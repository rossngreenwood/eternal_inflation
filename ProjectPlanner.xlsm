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52" windowHeight="7644" activeTab="2"/>
  </bookViews>
  <sheets>
    <sheet name="Project Planner" sheetId="1" r:id="rId1"/>
    <sheet name="Task List" sheetId="3" r:id="rId2"/>
    <sheet name="Run Schedule" sheetId="4" r:id="rId3"/>
    <sheet name="Units Check" sheetId="6" r:id="rId4"/>
    <sheet name="IO Units" sheetId="5" r:id="rId5"/>
    <sheet name="Hardcoded Values" sheetId="7" r:id="rId6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<sst xmlns="http://schemas.openxmlformats.org/spreadsheetml/2006/main" count="769" uniqueCount="429">
  <si>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</si>
  <si>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</si>
  <si>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</si>
  <si>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</si>
  <si>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</si>
  <si>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</si>
  <si>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</si>
  <si>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</si>
  <si>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</si>
  <si>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</si>
  <si>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</si>
  <si>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</si>
  <si>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</si>
  <si>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</si>
  <si>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</si>
  <si>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</si>
  <si>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</si>
  <si>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</si>
  <si>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</si>
  <si>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</si>
  <si>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</si>
  <si>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</si>
  <si>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</si>
  <si>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</si>
  <si>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</si>
  <si>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</si>
  <si>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</si>
  <si>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</si>
  <si>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</si>
  <si>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Debug</t>
  </si>
  <si>
    <t>Filler writing</t>
  </si>
  <si>
    <t>Results writing</t>
  </si>
  <si>
    <t>Initial runs</t>
  </si>
  <si>
    <t>Data analysis</t>
  </si>
  <si>
    <t>Full runs</t>
  </si>
  <si>
    <t>Incorporate FV</t>
  </si>
  <si>
    <t>Writing review</t>
  </si>
  <si>
    <t>Post to Arxiv</t>
  </si>
  <si>
    <t>Finish FV stuff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</si>
  <si>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</si>
  <si>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</si>
  <si>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</si>
  <si>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</si>
  <si>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</si>
  <si>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</si>
  <si>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</si>
  <si>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</si>
  <si>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</si>
  <si>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</si>
  <si>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</si>
  <si>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</si>
  <si>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</si>
  <si>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</si>
  <si>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</si>
  <si>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</si>
  <si>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</si>
  <si>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</si>
  <si>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</si>
  <si>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</si>
  <si>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</si>
  <si>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</si>
  <si>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</si>
  <si>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</si>
  <si>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</si>
  <si>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</si>
  <si>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</si>
  <si>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</si>
  <si>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</si>
  <si>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</si>
  <si>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</si>
  <si>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</si>
  <si>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</si>
  <si>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</si>
  <si>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</si>
  <si>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</si>
  <si>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</si>
  <si>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</si>
  <si>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</si>
  <si>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</si>
  <si>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</si>
  <si>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</si>
  <si>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</si>
  <si>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</si>
  <si>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</si>
  <si>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</si>
  <si>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</si>
  <si>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</si>
  <si>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</si>
  <si>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</si>
  <si>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</si>
  <si>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</si>
  <si>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</si>
  <si>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</si>
  <si>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</si>
  <si>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</si>
  <si>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</si>
  <si>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</si>
  <si>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</si>
  <si>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</si>
  <si>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</si>
  <si>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</si>
  <si>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</si>
  <si>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</si>
  <si>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</si>
  <si>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</si>
  <si>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</si>
  <si>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</si>
  <si>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Test ID</t>
  </si>
  <si>
    <t>Runtime</t>
  </si>
  <si>
    <t>Column13</t>
  </si>
  <si>
    <t>Column14</t>
  </si>
  <si>
    <t>Column15</t>
  </si>
  <si>
    <t>Column16</t>
  </si>
  <si>
    <t>Column17</t>
  </si>
  <si>
    <t>lambda_screen</t>
  </si>
  <si>
    <t>log10(mv)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</si>
  <si>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</si>
  <si>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</si>
  <si>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</si>
  <si>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</si>
  <si>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</si>
  <si>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</si>
  <si>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</si>
  <si>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</si>
  <si>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</si>
  <si>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</si>
  <si>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</si>
  <si>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</si>
  <si>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</si>
  <si>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</si>
  <si>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</si>
  <si>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</si>
  <si>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</si>
  <si>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</si>
  <si>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</si>
  <si>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</si>
  <si>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</si>
  <si>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</si>
  <si>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</si>
  <si>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</si>
  <si>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</si>
  <si>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</si>
  <si>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</si>
  <si>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</si>
  <si>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</si>
  <si>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</si>
  <si>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</si>
  <si>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</si>
  <si>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</si>
  <si>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</si>
  <si>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</si>
  <si>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</si>
  <si>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</si>
  <si>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</si>
  <si>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</si>
  <si>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</si>
  <si>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</si>
  <si>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</si>
  <si>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</si>
  <si>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</si>
  <si>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</si>
  <si>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</si>
  <si>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</si>
  <si>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</si>
  <si>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</si>
  <si>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</si>
  <si>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</si>
  <si>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</si>
  <si>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</si>
  <si>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</si>
  <si>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</si>
  <si>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</si>
  <si>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</si>
  <si>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</si>
  <si>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</si>
  <si>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</si>
  <si>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</si>
  <si>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</si>
  <si>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</si>
  <si>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</si>
  <si>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</si>
  <si>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</si>
  <si>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</si>
  <si>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</si>
  <si>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</si>
  <si>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</si>
  <si>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</si>
  <si>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</si>
  <si>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</si>
  <si>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</si>
  <si>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</si>
  <si>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</si>
  <si>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</si>
  <si>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</si>
  <si>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</si>
  <si>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</si>
  <si>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</si>
  <si>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</si>
  <si>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</si>
  <si>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</si>
  <si>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</si>
  <si>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</si>
  <si>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</si>
  <si>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</si>
  <si>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</si>
  <si>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</si>
  <si>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</si>
  <si>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</si>
  <si>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</si>
  <si>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NSinceStoch &gt; N sometimes - why?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</si>
  <si>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</si>
  <si>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</si>
  <si>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</si>
  <si>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</si>
  <si>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</si>
  <si>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</si>
  <si>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</si>
  <si>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</si>
  <si>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</si>
  <si>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</si>
  <si>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</si>
  <si>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</si>
  <si>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</si>
  <si>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</si>
  <si>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</si>
  <si>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</si>
  <si>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</si>
  <si>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</si>
  <si>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</si>
  <si>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</si>
  <si>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</si>
  <si>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</si>
  <si>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</si>
  <si>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</si>
  <si>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</si>
  <si>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</si>
  <si>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</si>
  <si>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</si>
  <si>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</si>
  <si>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</si>
  <si>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</si>
  <si>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</si>
  <si>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</si>
  <si>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</si>
  <si>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</si>
  <si>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</si>
  <si>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</si>
  <si>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</si>
  <si>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</si>
  <si>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</si>
  <si>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</si>
  <si>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</si>
  <si>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</si>
  <si>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</si>
  <si>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</si>
  <si>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</si>
  <si>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</si>
  <si>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</si>
  <si>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</si>
  <si>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</si>
  <si>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</si>
  <si>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</si>
  <si>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</si>
  <si>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</si>
  <si>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</si>
  <si>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</si>
  <si>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</si>
  <si>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</si>
  <si>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</si>
  <si>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</si>
  <si>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</si>
  <si>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</si>
  <si>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</si>
  <si>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</si>
  <si>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</si>
  <si>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</si>
  <si>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</si>
  <si>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</si>
  <si>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</si>
  <si>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</si>
  <si>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</si>
  <si>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</si>
  <si>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</si>
  <si>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</si>
  <si>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</si>
  <si>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</si>
  <si>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</si>
  <si>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</si>
  <si>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</si>
  <si>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</si>
  <si>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</si>
  <si>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</si>
  <si>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</si>
  <si>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</si>
  <si>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</si>
  <si>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</si>
  <si>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</si>
  <si>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</si>
  <si>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</si>
  <si>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</si>
  <si>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</si>
  <si>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</si>
  <si>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</si>
  <si>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</si>
  <si>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</si>
  <si>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</si>
  <si>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</si>
  <si>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</si>
  <si>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</si>
  <si>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</si>
  <si>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</si>
  <si>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</si>
  <si>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</si>
  <si>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</si>
  <si>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</si>
  <si>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</si>
  <si>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</si>
  <si>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</si>
  <si>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</si>
  <si>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</si>
  <si>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</si>
  <si>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</si>
  <si>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</si>
  <si>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</si>
  <si>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</si>
  <si>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</si>
  <si>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</si>
  <si>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</si>
  <si>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</si>
  <si>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</si>
  <si>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</si>
  <si>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</si>
  <si>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</si>
  <si>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</si>
  <si>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</si>
  <si>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</si>
  <si>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</si>
  <si>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</si>
  <si>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</si>
  <si>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</si>
  <si>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</si>
  <si>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</si>
  <si>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</si>
  <si>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</si>
  <si>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</si>
  <si>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</si>
  <si>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</si>
  <si>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</si>
  <si>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</si>
  <si>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</si>
  <si>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</si>
  <si>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</si>
  <si>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</si>
  <si>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</si>
  <si>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</si>
  <si>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</si>
  <si>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</si>
  <si>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</si>
  <si>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</si>
  <si>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</si>
  <si>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</si>
  <si>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</si>
  <si>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</si>
  <si>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</si>
  <si>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Adjusted vertical mass scale after fixing Q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</si>
  <si>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</si>
  <si>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</si>
  <si>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</si>
  <si>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</si>
  <si>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</si>
  <si>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</si>
  <si>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</si>
  <si>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</si>
  <si>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</si>
  <si>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</si>
  <si>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</si>
  <si>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</si>
  <si>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</si>
  <si>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</si>
  <si>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</si>
  <si>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</si>
  <si>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</si>
  <si>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Fix the amplitude of scalar curvature perturabations on the fly by tuning mv?</t>
  </si>
  <si>
    <t>log(V_exit/V_end)</t>
  </si>
  <si>
    <t>Get VBA to automate infile creation from run table</t>
  </si>
  <si>
    <t>File Path</t>
  </si>
  <si>
    <t>C:\Users\Ross\OneDrive\Documents\MATLAB\eternal_inflation\data\input\infile_0001.txt</t>
  </si>
  <si>
    <t>C:\Users\Ross\OneDrive\Documents\MATLAB\eternal_inflation\data\input\infile_0002.txt</t>
  </si>
  <si>
    <t>C:\Users\Ross\OneDrive\Documents\MATLAB\eternal_inflation\data\input\infile_0003.txt</t>
  </si>
  <si>
    <t>C:\Users\Ross\OneDrive\Documents\MATLAB\eternal_inflation\data\input\infile_0004.txt</t>
  </si>
  <si>
    <t>C:\Users\Ross\OneDrive\Documents\MATLAB\eternal_inflation\data\input\infile_0005.txt</t>
  </si>
  <si>
    <t>C:\Users\Ross\OneDrive\Documents\MATLAB\eternal_inflation\data\input\infile_0006.txt</t>
  </si>
  <si>
    <t>C:\Users\Ross\OneDrive\Documents\MATLAB\eternal_inflation\data\input\infile_0007.txt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</si>
  <si>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</si>
  <si>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</si>
  <si>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</si>
  <si>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</si>
  <si>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</si>
  <si>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</si>
  <si>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</si>
  <si>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</si>
  <si>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</si>
  <si>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</si>
  <si>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</si>
  <si>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</si>
  <si>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rho_Lambda_thres',   1e-7,...  % Threshold below which vacuum energy is considered "small"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</si>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</sst>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09]d\-mmm;@"/>
    <numFmt numFmtId="165" formatCode="ddd\ m/d"/>
    <numFmt numFmtId="166" formatCode="0000"/>
    <numFmt numFmtId="169" formatCode="0.000000"/>
  </numFmts>
  <fonts count="70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58" fillId="0" borderId="0" applyNumberFormat="0" applyFill="0" applyBorder="0" applyAlignment="0" applyProtection="0"/>
    <xf numFmtId="0" fontId="52" fillId="0" borderId="0" applyFill="0" applyBorder="0" applyProtection="0">
      <alignment horizontal="left" wrapText="1"/>
    </xf>
    <xf numFmtId="3" fontId="60" fillId="0" borderId="2" applyFill="0" applyProtection="0">
      <alignment horizontal="center"/>
    </xf>
    <xf numFmtId="0" fontId="60" fillId="0" borderId="0" applyFill="0" applyBorder="0" applyProtection="0">
      <alignment horizontal="center" wrapText="1"/>
    </xf>
    <xf numFmtId="0" fontId="51" fillId="0" borderId="0" applyNumberFormat="0" applyFill="0" applyBorder="0" applyProtection="0">
      <alignment horizontal="left" vertical="center"/>
    </xf>
    <xf numFmtId="9" fontId="53" fillId="0" borderId="0" applyFill="0" applyBorder="0" applyProtection="0">
      <alignment horizontal="center" vertical="center"/>
    </xf>
    <xf numFmtId="0" fontId="59" fillId="6" borderId="1" applyNumberFormat="0" applyProtection="0">
      <alignment horizontal="left" vertical="center"/>
    </xf>
    <xf numFmtId="0" fontId="58" fillId="0" borderId="0" applyNumberFormat="0" applyFill="0" applyBorder="0" applyProtection="0">
      <alignment vertical="center"/>
    </xf>
    <xf numFmtId="0" fontId="60" fillId="0" borderId="0" applyFill="0" applyProtection="0">
      <alignment vertical="center"/>
    </xf>
    <xf numFmtId="0" fontId="60" fillId="0" borderId="0" applyFill="0" applyProtection="0">
      <alignment horizontal="center" vertical="center" wrapText="1"/>
    </xf>
    <xf numFmtId="0" fontId="60" fillId="0" borderId="0" applyFill="0" applyProtection="0">
      <alignment horizontal="left"/>
    </xf>
    <xf numFmtId="0" fontId="62" fillId="0" borderId="0" applyNumberFormat="0" applyFill="0" applyBorder="0" applyProtection="0">
      <alignment vertical="center"/>
    </xf>
    <xf numFmtId="1" fontId="63" fillId="6" borderId="1">
      <alignment horizontal="center" vertical="center"/>
    </xf>
    <xf numFmtId="0" fontId="61" fillId="2" borderId="4" applyNumberFormat="0" applyFont="0" applyAlignment="0">
      <alignment horizontal="center"/>
    </xf>
    <xf numFmtId="0" fontId="61" fillId="3" borderId="3" applyNumberFormat="0" applyFont="0" applyAlignment="0">
      <alignment horizontal="center"/>
    </xf>
    <xf numFmtId="0" fontId="61" fillId="4" borderId="3" applyNumberFormat="0" applyFont="0" applyAlignment="0">
      <alignment horizontal="center"/>
    </xf>
    <xf numFmtId="0" fontId="61" fillId="5" borderId="3" applyNumberFormat="0" applyFont="0" applyAlignment="0">
      <alignment horizontal="center"/>
    </xf>
    <xf numFmtId="0" fontId="61" fillId="7" borderId="3" applyNumberFormat="0" applyFont="0" applyAlignment="0">
      <alignment horizontal="center"/>
    </xf>
    <xf numFmtId="0" fontId="50" fillId="0" borderId="0"/>
  </cellStyleXfs>
  <cellXfs count="127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52" fillId="0" borderId="0" xfId="2">
      <alignment horizontal="left" wrapText="1"/>
    </xf>
    <xf numFmtId="3" fontId="60" fillId="0" borderId="2" xfId="3">
      <alignment horizontal="center"/>
    </xf>
    <xf numFmtId="9" fontId="53" fillId="0" borderId="0" xfId="6">
      <alignment horizontal="center" vertical="center"/>
    </xf>
    <xf numFmtId="0" fontId="59" fillId="6" borderId="1" xfId="7">
      <alignment horizontal="left" vertical="center"/>
    </xf>
    <xf numFmtId="0" fontId="54" fillId="0" borderId="0" xfId="2" applyFont="1">
      <alignment horizontal="left" wrapText="1"/>
    </xf>
    <xf numFmtId="0" fontId="55" fillId="0" borderId="0" xfId="0" applyFont="1" applyAlignment="1">
      <alignment horizontal="center"/>
    </xf>
    <xf numFmtId="9" fontId="56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58" fillId="0" borderId="0" xfId="1" applyAlignment="1">
      <alignment horizontal="center"/>
    </xf>
    <xf numFmtId="0" fontId="58" fillId="0" borderId="0" xfId="8">
      <alignment vertical="center"/>
    </xf>
    <xf numFmtId="1" fontId="6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60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164" fontId="60" fillId="8" borderId="0" xfId="11" applyNumberFormat="1" applyFill="1" applyAlignment="1">
      <alignment horizontal="left" vertical="center" textRotation="90"/>
    </xf>
    <xf numFmtId="0" fontId="50" fillId="0" borderId="0" xfId="19"/>
    <xf numFmtId="0" fontId="50" fillId="0" borderId="0" xfId="19" applyAlignment="1">
      <alignment horizontal="center"/>
    </xf>
    <xf numFmtId="165" fontId="50" fillId="0" borderId="0" xfId="19" applyNumberFormat="1" applyAlignment="1">
      <alignment horizontal="center"/>
    </xf>
    <xf numFmtId="0" fontId="50" fillId="0" borderId="0" xfId="19" applyNumberFormat="1" applyAlignment="1">
      <alignment horizontal="center"/>
    </xf>
    <xf numFmtId="0" fontId="49" fillId="0" borderId="0" xfId="19" applyFont="1"/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45" fillId="0" borderId="0" xfId="19" applyFont="1"/>
    <xf numFmtId="0" fontId="44" fillId="0" borderId="0" xfId="19" applyFont="1"/>
    <xf numFmtId="0" fontId="43" fillId="0" borderId="0" xfId="19" applyFont="1"/>
    <xf numFmtId="0" fontId="42" fillId="0" borderId="0" xfId="19" applyFont="1"/>
    <xf numFmtId="0" fontId="41" fillId="0" borderId="0" xfId="19" applyFont="1"/>
    <xf numFmtId="0" fontId="40" fillId="0" borderId="0" xfId="19" applyFont="1"/>
    <xf numFmtId="0" fontId="39" fillId="0" borderId="0" xfId="19" applyFont="1"/>
    <xf numFmtId="0" fontId="38" fillId="0" borderId="0" xfId="19" applyFont="1"/>
    <xf numFmtId="0" fontId="37" fillId="0" borderId="0" xfId="19" applyFont="1"/>
    <xf numFmtId="0" fontId="36" fillId="0" borderId="0" xfId="19" applyFont="1"/>
    <xf numFmtId="0" fontId="35" fillId="0" borderId="0" xfId="19" applyFont="1"/>
    <xf numFmtId="0" fontId="34" fillId="0" borderId="0" xfId="19" applyFont="1"/>
    <xf numFmtId="0" fontId="64" fillId="0" borderId="0" xfId="0" applyFont="1" applyAlignment="1">
      <alignment horizontal="center" vertical="center" textRotation="90"/>
    </xf>
    <xf numFmtId="0" fontId="64" fillId="0" borderId="0" xfId="0" applyFont="1">
      <alignment horizontal="center" vertical="center"/>
    </xf>
    <xf numFmtId="0" fontId="6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33" fillId="0" borderId="0" xfId="19" applyFont="1"/>
    <xf numFmtId="0" fontId="31" fillId="0" borderId="0" xfId="19" applyFont="1"/>
    <xf numFmtId="0" fontId="30" fillId="0" borderId="0" xfId="19" applyFont="1"/>
    <xf numFmtId="0" fontId="29" fillId="0" borderId="0" xfId="19" applyFont="1"/>
    <xf numFmtId="0" fontId="28" fillId="0" borderId="0" xfId="19" applyFont="1"/>
    <xf numFmtId="0" fontId="27" fillId="0" borderId="0" xfId="19" applyFont="1"/>
    <xf numFmtId="0" fontId="26" fillId="0" borderId="0" xfId="19" applyFont="1"/>
    <xf numFmtId="0" fontId="25" fillId="0" borderId="0" xfId="19" applyFont="1"/>
    <xf numFmtId="0" fontId="24" fillId="0" borderId="0" xfId="19" applyFont="1"/>
    <xf numFmtId="0" fontId="23" fillId="0" borderId="0" xfId="19" applyFont="1"/>
    <xf numFmtId="0" fontId="32" fillId="0" borderId="0" xfId="19" applyFont="1" applyAlignment="1">
      <alignment horizontal="left"/>
    </xf>
    <xf numFmtId="0" fontId="33" fillId="0" borderId="0" xfId="19" applyFont="1" applyAlignment="1">
      <alignment horizontal="left"/>
    </xf>
    <xf numFmtId="0" fontId="45" fillId="0" borderId="0" xfId="19" applyFont="1" applyAlignment="1">
      <alignment horizontal="left"/>
    </xf>
    <xf numFmtId="0" fontId="50" fillId="0" borderId="0" xfId="19" applyAlignment="1">
      <alignment horizontal="left"/>
    </xf>
    <xf numFmtId="0" fontId="48" fillId="0" borderId="0" xfId="19" applyFont="1" applyAlignment="1">
      <alignment horizontal="left"/>
    </xf>
    <xf numFmtId="0" fontId="41" fillId="0" borderId="0" xfId="19" applyFont="1" applyAlignment="1">
      <alignment horizontal="left"/>
    </xf>
    <xf numFmtId="0" fontId="29" fillId="0" borderId="0" xfId="19" applyFont="1" applyAlignment="1">
      <alignment horizontal="left"/>
    </xf>
    <xf numFmtId="18" fontId="41" fillId="0" borderId="0" xfId="19" applyNumberFormat="1" applyFont="1" applyAlignment="1">
      <alignment horizontal="left"/>
    </xf>
    <xf numFmtId="0" fontId="23" fillId="0" borderId="0" xfId="19" applyFont="1" applyAlignment="1">
      <alignment horizontal="left"/>
    </xf>
    <xf numFmtId="0" fontId="22" fillId="0" borderId="0" xfId="19" applyFont="1"/>
    <xf numFmtId="0" fontId="21" fillId="0" borderId="0" xfId="19" applyFont="1"/>
    <xf numFmtId="0" fontId="20" fillId="0" borderId="0" xfId="19" applyFont="1"/>
    <xf numFmtId="0" fontId="20" fillId="0" borderId="0" xfId="19" applyFont="1" applyAlignment="1">
      <alignment horizontal="left"/>
    </xf>
    <xf numFmtId="0" fontId="19" fillId="0" borderId="0" xfId="19" applyFont="1"/>
    <xf numFmtId="0" fontId="18" fillId="0" borderId="0" xfId="19" applyFont="1"/>
    <xf numFmtId="0" fontId="18" fillId="0" borderId="0" xfId="19" applyFont="1" applyAlignment="1">
      <alignment horizontal="left"/>
    </xf>
    <xf numFmtId="0" fontId="17" fillId="0" borderId="0" xfId="19" applyNumberFormat="1" applyFont="1" applyAlignment="1">
      <alignment horizontal="center"/>
    </xf>
    <xf numFmtId="0" fontId="17" fillId="0" borderId="0" xfId="19" applyFont="1"/>
    <xf numFmtId="0" fontId="17" fillId="0" borderId="0" xfId="19" applyFont="1" applyAlignment="1">
      <alignment horizontal="left"/>
    </xf>
    <xf numFmtId="0" fontId="16" fillId="0" borderId="0" xfId="19" applyFont="1"/>
    <xf numFmtId="0" fontId="16" fillId="0" borderId="0" xfId="19" applyFont="1" applyAlignment="1">
      <alignment horizontal="left"/>
    </xf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2" fillId="0" borderId="0" xfId="19" applyFont="1"/>
    <xf numFmtId="0" fontId="11" fillId="0" borderId="0" xfId="19" applyFont="1"/>
    <xf numFmtId="165" fontId="11" fillId="0" borderId="0" xfId="19" applyNumberFormat="1" applyFont="1" applyAlignment="1">
      <alignment horizontal="center"/>
    </xf>
    <xf numFmtId="0" fontId="11" fillId="0" borderId="0" xfId="19" applyFont="1" applyAlignment="1">
      <alignment horizontal="left"/>
    </xf>
    <xf numFmtId="0" fontId="10" fillId="0" borderId="0" xfId="19" applyFont="1"/>
    <xf numFmtId="0" fontId="10" fillId="0" borderId="0" xfId="19" applyFont="1" applyAlignment="1">
      <alignment horizontal="left"/>
    </xf>
    <xf numFmtId="0" fontId="9" fillId="0" borderId="0" xfId="19" applyFont="1"/>
    <xf numFmtId="0" fontId="8" fillId="0" borderId="0" xfId="19" applyFont="1"/>
    <xf numFmtId="0" fontId="8" fillId="0" borderId="0" xfId="19" applyFont="1" applyAlignment="1">
      <alignment horizontal="left"/>
    </xf>
    <xf numFmtId="0" fontId="7" fillId="0" borderId="0" xfId="19" applyFont="1"/>
    <xf numFmtId="0" fontId="7" fillId="0" borderId="0" xfId="19" applyFont="1" applyAlignment="1">
      <alignment horizontal="left"/>
    </xf>
    <xf numFmtId="0" fontId="6" fillId="0" borderId="0" xfId="19" applyFont="1"/>
    <xf numFmtId="165" fontId="6" fillId="0" borderId="0" xfId="19" applyNumberFormat="1" applyFont="1" applyAlignment="1">
      <alignment horizontal="center"/>
    </xf>
    <xf numFmtId="0" fontId="5" fillId="0" borderId="0" xfId="19" applyFont="1"/>
    <xf numFmtId="0" fontId="4" fillId="0" borderId="0" xfId="19" applyFont="1"/>
    <xf numFmtId="0" fontId="4" fillId="0" borderId="0" xfId="19" applyFont="1" applyAlignment="1">
      <alignment horizontal="left"/>
    </xf>
    <xf numFmtId="0" fontId="3" fillId="0" borderId="0" xfId="19" applyFont="1"/>
    <xf numFmtId="0" fontId="2" fillId="0" borderId="0" xfId="19" applyFont="1" applyAlignment="1">
      <alignment horizontal="left"/>
    </xf>
    <xf numFmtId="0" fontId="2" fillId="0" borderId="0" xfId="19" applyFont="1"/>
    <xf numFmtId="0" fontId="65" fillId="0" borderId="0" xfId="0" applyFont="1">
      <alignment horizontal="center" vertical="center"/>
    </xf>
    <xf numFmtId="0" fontId="66" fillId="0" borderId="0" xfId="0" applyFont="1">
      <alignment horizontal="center" vertical="center"/>
    </xf>
    <xf numFmtId="0" fontId="66" fillId="0" borderId="0" xfId="0" applyFont="1" applyAlignment="1">
      <alignment horizontal="left" vertical="center"/>
    </xf>
    <xf numFmtId="1" fontId="66" fillId="0" borderId="0" xfId="0" applyNumberFormat="1" applyFont="1">
      <alignment horizontal="center" vertical="center"/>
    </xf>
    <xf numFmtId="0" fontId="1" fillId="0" borderId="0" xfId="19" applyFont="1"/>
    <xf numFmtId="0" fontId="69" fillId="0" borderId="0" xfId="0" applyFont="1">
      <alignment horizontal="center" vertical="center"/>
    </xf>
    <xf numFmtId="0" fontId="69" fillId="0" borderId="0" xfId="0" applyFont="1" applyAlignment="1">
      <alignment horizontal="left" vertical="center"/>
    </xf>
    <xf numFmtId="0" fontId="69" fillId="0" borderId="0" xfId="0" quotePrefix="1" applyFont="1" applyAlignment="1">
      <alignment horizontal="left" vertical="center"/>
    </xf>
    <xf numFmtId="166" fontId="59" fillId="0" borderId="0" xfId="0" applyNumberFormat="1" applyFont="1">
      <alignment horizontal="center" vertical="center"/>
    </xf>
    <xf numFmtId="0" fontId="64" fillId="0" borderId="0" xfId="0" applyFont="1" applyAlignment="1">
      <alignment horizontal="left" vertical="center"/>
    </xf>
    <xf numFmtId="0" fontId="66" fillId="0" borderId="0" xfId="0" quotePrefix="1" applyFont="1" applyAlignment="1">
      <alignment horizontal="left" vertical="center"/>
    </xf>
    <xf numFmtId="16" fontId="64" fillId="0" borderId="0" xfId="0" applyNumberFormat="1" applyFont="1">
      <alignment horizontal="center" vertical="center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62" fillId="0" borderId="0" xfId="12">
      <alignment vertical="center"/>
    </xf>
    <xf numFmtId="0" fontId="60" fillId="0" borderId="0" xfId="9">
      <alignment vertical="center"/>
    </xf>
    <xf numFmtId="0" fontId="60" fillId="0" borderId="2" xfId="9" applyBorder="1">
      <alignment vertical="center"/>
    </xf>
    <xf numFmtId="0" fontId="60" fillId="0" borderId="0" xfId="10">
      <alignment horizontal="center" vertical="center" wrapText="1"/>
    </xf>
    <xf numFmtId="0" fontId="60" fillId="0" borderId="2" xfId="10" applyBorder="1">
      <alignment horizontal="center" vertical="center" wrapText="1"/>
    </xf>
    <xf numFmtId="0" fontId="60" fillId="0" borderId="5" xfId="10" applyBorder="1">
      <alignment horizontal="center" vertical="center" wrapText="1"/>
    </xf>
    <xf numFmtId="0" fontId="57" fillId="0" borderId="6" xfId="5" applyFont="1" applyBorder="1">
      <alignment horizontal="left" vertical="center"/>
    </xf>
    <xf numFmtId="0" fontId="57" fillId="0" borderId="0" xfId="5" applyFont="1">
      <alignment horizontal="left" vertical="center"/>
    </xf>
    <xf numFmtId="0" fontId="57" fillId="0" borderId="7" xfId="5" applyFont="1" applyBorder="1">
      <alignment horizontal="left" vertical="center"/>
    </xf>
    <xf numFmtId="0" fontId="5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169" fontId="64" fillId="0" borderId="0" xfId="0" applyNumberFormat="1" applyFont="1">
      <alignment horizontal="center" vertical="center"/>
    </xf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F115" totalsRowShown="0">
  <autoFilter ref="A1:F115">
    <filterColumn colId="3">
      <filters blank="1">
        <filter val="0"/>
        <filter val="0.25"/>
      </filters>
    </filterColumn>
  </autoFilter>
  <sortState ref="A30:F115">
    <sortCondition descending="1" ref="C1:C115"/>
  </sortState>
  <tableColumns count="6">
    <tableColumn id="1" name="Task"/>
    <tableColumn id="2" name="Assigned"/>
    <tableColumn id="3" name="Due"/>
    <tableColumn id="6" name=" " dataDxfId="37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V33" totalsRowShown="0" headerRowDxfId="36" dataDxfId="35">
  <autoFilter ref="A1:V33"/>
  <tableColumns count="22">
    <tableColumn id="1" name="Test ID" dataDxfId="34"/>
    <tableColumn id="18" name="n_iter" dataDxfId="33"/>
    <tableColumn id="2" name="log10(mv)" dataDxfId="32"/>
    <tableColumn id="3" name="mh" dataDxfId="31"/>
    <tableColumn id="4" name="kmax" dataDxfId="30"/>
    <tableColumn id="19" name="gamma" dataDxfId="29"/>
    <tableColumn id="8" name="measure" dataDxfId="28"/>
    <tableColumn id="9" name="n_tunnel_max" dataDxfId="27"/>
    <tableColumn id="5" name="lambda_screen" dataDxfId="2"/>
    <tableColumn id="6" name="rho_Lambda_thres" dataDxfId="0"/>
    <tableColumn id="20" name="fixQ" dataDxfId="1"/>
    <tableColumn id="21" name="Nafter" dataDxfId="26"/>
    <tableColumn id="22" name="seed" dataDxfId="25"/>
    <tableColumn id="7" name="n_recycle" dataDxfId="24"/>
    <tableColumn id="10" name="End Date" dataDxfId="23"/>
    <tableColumn id="11" name="Runtime" dataDxfId="22"/>
    <tableColumn id="12" name="File Path" dataDxfId="21"/>
    <tableColumn id="13" name="Column13" dataDxfId="20"/>
    <tableColumn id="14" name="Column14" dataDxfId="19"/>
    <tableColumn id="15" name="Column15" dataDxfId="18"/>
    <tableColumn id="16" name="Column16" dataDxfId="17"/>
    <tableColumn id="17" name="Column17" dataDxfId="16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able44" displayName="Table44" ref="A1:E117" totalsRowShown="0" dataDxfId="15">
  <autoFilter ref="A1:E117"/>
  <sortState ref="A2:E117">
    <sortCondition ref="A1:A117"/>
  </sortState>
  <tableColumns count="5">
    <tableColumn id="1" name="Class" dataDxfId="14"/>
    <tableColumn id="2" name="Function" dataDxfId="13"/>
    <tableColumn id="3" name="Line" dataDxfId="12"/>
    <tableColumn id="5" name="Checked" dataDxfId="11"/>
    <tableColumn id="4" name="Description" dataDxfId="1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E46" totalsRowShown="0">
  <autoFilter ref="A1:E46">
    <filterColumn colId="0">
      <filters>
        <filter val="Input"/>
        <filter val="Output"/>
      </filters>
    </filterColumn>
  </autoFilter>
  <sortState ref="A6:E46">
    <sortCondition ref="A1:A46"/>
  </sortState>
  <tableColumns count="5">
    <tableColumn id="1" name="I/O"/>
    <tableColumn id="6" name="Quantity"/>
    <tableColumn id="2" name="Dimensions"/>
    <tableColumn id="3" name="Units"/>
    <tableColumn id="4" name="Description" dataDxfId="9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le446" displayName="Table446" ref="A1:E117" totalsRowShown="0" dataDxfId="8">
  <autoFilter ref="A1:E117">
    <filterColumn colId="3">
      <filters blank="1"/>
    </filterColumn>
  </autoFilter>
  <sortState ref="A2:E117">
    <sortCondition ref="A1:A117"/>
  </sortState>
  <tableColumns count="5">
    <tableColumn id="1" name="Class" dataDxfId="7"/>
    <tableColumn id="2" name="Function" dataDxfId="6"/>
    <tableColumn id="3" name="Line" dataDxfId="5"/>
    <tableColumn id="5" name="Checked" dataDxfId="4"/>
    <tableColumn id="4" name="Description" dataDxfId="3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O31"/>
  <sheetViews>
    <sheetView showGridLines="0" zoomScale="85" zoomScaleNormal="85" zoomScaleSheetLayoutView="80" workbookViewId="0">
      <selection activeCell="U6" sqref="U6"/>
    </sheetView>
  </sheetViews>
  <sheetFormatPr defaultColWidth="0" defaultRowHeight="30" customHeight="1" x14ac:dyDescent="0.35"/>
  <cols>
    <col min="1" max="1" width="2.6640625" customWidth="1"/>
    <col min="2" max="2" width="15.664062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67" ht="60" customHeight="1" thickBot="1" x14ac:dyDescent="1.05">
      <c r="B1" s="11" t="s">
        <v>40</v>
      </c>
      <c r="C1" s="10"/>
      <c r="D1" s="10"/>
      <c r="E1" s="10"/>
      <c r="F1" s="10"/>
      <c r="G1" s="10"/>
    </row>
    <row r="2" spans="2:67" ht="21" customHeight="1" thickTop="1" thickBot="1" x14ac:dyDescent="0.35">
      <c r="B2" s="112" t="s">
        <v>28</v>
      </c>
      <c r="C2" s="112"/>
      <c r="D2" s="112"/>
      <c r="E2" s="112"/>
      <c r="F2" s="112"/>
      <c r="G2" s="5" t="s">
        <v>20</v>
      </c>
      <c r="H2" s="12">
        <v>8</v>
      </c>
      <c r="J2" s="13"/>
      <c r="K2" s="118" t="s">
        <v>27</v>
      </c>
      <c r="L2" s="119"/>
      <c r="M2" s="119"/>
      <c r="N2" s="119"/>
      <c r="O2" s="120"/>
      <c r="P2" s="14"/>
      <c r="Q2" s="118" t="s">
        <v>26</v>
      </c>
      <c r="R2" s="121"/>
      <c r="S2" s="121"/>
      <c r="T2" s="120"/>
      <c r="U2" s="15"/>
      <c r="V2" s="110" t="s">
        <v>17</v>
      </c>
      <c r="W2" s="111"/>
      <c r="X2" s="111"/>
      <c r="Y2" s="122"/>
      <c r="Z2" s="16"/>
      <c r="AA2" s="123" t="s">
        <v>18</v>
      </c>
      <c r="AB2" s="124"/>
      <c r="AC2" s="124"/>
      <c r="AD2" s="124"/>
      <c r="AE2" s="124"/>
      <c r="AF2" s="124"/>
      <c r="AG2" s="125"/>
      <c r="AH2" s="17"/>
      <c r="AI2" s="110" t="s">
        <v>19</v>
      </c>
      <c r="AJ2" s="111"/>
      <c r="AK2" s="111"/>
      <c r="AL2" s="111"/>
      <c r="AM2" s="111"/>
      <c r="AN2" s="111"/>
      <c r="AO2" s="111"/>
      <c r="AP2" s="111"/>
    </row>
    <row r="3" spans="2:67" s="9" customFormat="1" ht="39.9" customHeight="1" thickTop="1" x14ac:dyDescent="0.3">
      <c r="B3" s="113" t="s">
        <v>0</v>
      </c>
      <c r="C3" s="115" t="s">
        <v>21</v>
      </c>
      <c r="D3" s="115" t="s">
        <v>22</v>
      </c>
      <c r="E3" s="115" t="s">
        <v>23</v>
      </c>
      <c r="F3" s="115" t="s">
        <v>24</v>
      </c>
      <c r="G3" s="117" t="s">
        <v>25</v>
      </c>
      <c r="H3" s="18">
        <v>42982</v>
      </c>
      <c r="I3" s="18">
        <v>42989</v>
      </c>
      <c r="J3" s="18">
        <v>42996</v>
      </c>
      <c r="K3" s="18">
        <v>43003</v>
      </c>
      <c r="L3" s="18">
        <v>43010</v>
      </c>
      <c r="M3" s="18">
        <v>43017</v>
      </c>
      <c r="N3" s="18">
        <v>43024</v>
      </c>
      <c r="O3" s="18">
        <v>43031</v>
      </c>
      <c r="P3" s="18">
        <v>43038</v>
      </c>
      <c r="Q3" s="18">
        <v>43045</v>
      </c>
      <c r="R3" s="18">
        <v>43052</v>
      </c>
      <c r="S3" s="20">
        <v>43059</v>
      </c>
      <c r="T3" s="18">
        <v>43066</v>
      </c>
      <c r="U3" s="18">
        <v>43073</v>
      </c>
      <c r="V3" s="18">
        <v>43080</v>
      </c>
      <c r="W3" s="20">
        <v>43087</v>
      </c>
      <c r="X3" s="20">
        <v>43094</v>
      </c>
      <c r="Y3" s="20">
        <v>43101</v>
      </c>
      <c r="Z3" s="18">
        <v>43108</v>
      </c>
      <c r="AA3" s="18">
        <v>43115</v>
      </c>
      <c r="AB3" s="18">
        <v>43122</v>
      </c>
      <c r="AC3" s="18">
        <v>43129</v>
      </c>
      <c r="AD3" s="18">
        <v>43136</v>
      </c>
      <c r="AE3" s="18">
        <v>43143</v>
      </c>
      <c r="AF3" s="18">
        <v>43150</v>
      </c>
      <c r="AG3" s="18">
        <v>43157</v>
      </c>
      <c r="AH3" s="18">
        <v>43164</v>
      </c>
      <c r="AI3" s="18">
        <v>43171</v>
      </c>
      <c r="AJ3" s="18">
        <v>43178</v>
      </c>
      <c r="AK3" s="18">
        <v>43185</v>
      </c>
      <c r="AL3" s="18">
        <v>43192</v>
      </c>
      <c r="AM3" s="18">
        <v>43199</v>
      </c>
      <c r="AN3" s="18">
        <v>43206</v>
      </c>
      <c r="AO3" s="18">
        <v>43213</v>
      </c>
      <c r="AP3" s="18">
        <v>43220</v>
      </c>
      <c r="AQ3" s="18">
        <v>43227</v>
      </c>
      <c r="AR3" s="18">
        <v>43234</v>
      </c>
      <c r="AS3" s="18">
        <v>43241</v>
      </c>
      <c r="AT3" s="18">
        <v>43248</v>
      </c>
      <c r="AU3" s="18">
        <v>43255</v>
      </c>
      <c r="AV3" s="18">
        <v>43262</v>
      </c>
      <c r="AW3" s="18"/>
    </row>
    <row r="4" spans="2:67" ht="15.75" customHeight="1" x14ac:dyDescent="0.3">
      <c r="B4" s="114"/>
      <c r="C4" s="116"/>
      <c r="D4" s="116"/>
      <c r="E4" s="116"/>
      <c r="F4" s="116"/>
      <c r="G4" s="116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67" ht="30" customHeight="1" x14ac:dyDescent="0.35">
      <c r="B5" s="6" t="s">
        <v>38</v>
      </c>
      <c r="C5" s="7">
        <v>1</v>
      </c>
      <c r="D5" s="7">
        <v>3</v>
      </c>
      <c r="E5" s="7">
        <v>1</v>
      </c>
      <c r="F5" s="7">
        <v>8</v>
      </c>
      <c r="G5" s="8">
        <v>1</v>
      </c>
      <c r="W5" s="19"/>
      <c r="X5" s="19"/>
      <c r="Y5" s="19"/>
    </row>
    <row r="6" spans="2:67" ht="30" customHeight="1" x14ac:dyDescent="0.35">
      <c r="B6" s="6" t="s">
        <v>35</v>
      </c>
      <c r="C6" s="7">
        <v>3</v>
      </c>
      <c r="D6" s="7">
        <v>1</v>
      </c>
      <c r="E6" s="7">
        <v>3</v>
      </c>
      <c r="F6" s="7">
        <v>6</v>
      </c>
      <c r="G6" s="8">
        <v>0.9</v>
      </c>
      <c r="W6" s="19"/>
      <c r="X6" s="19"/>
      <c r="Y6" s="19"/>
    </row>
    <row r="7" spans="2:67" ht="30" customHeight="1" x14ac:dyDescent="0.35">
      <c r="B7" s="6" t="s">
        <v>29</v>
      </c>
      <c r="C7" s="7">
        <v>3</v>
      </c>
      <c r="D7" s="7">
        <v>5</v>
      </c>
      <c r="E7" s="7">
        <v>8</v>
      </c>
      <c r="F7" s="7">
        <v>1</v>
      </c>
      <c r="G7" s="8">
        <v>0.1</v>
      </c>
      <c r="W7" s="19"/>
      <c r="X7" s="19"/>
      <c r="Y7" s="19"/>
    </row>
    <row r="8" spans="2:67" ht="30" customHeight="1" x14ac:dyDescent="0.35">
      <c r="B8" s="6" t="s">
        <v>32</v>
      </c>
      <c r="C8" s="7">
        <v>4</v>
      </c>
      <c r="D8" s="7">
        <v>3</v>
      </c>
      <c r="E8" s="7">
        <v>8</v>
      </c>
      <c r="F8" s="7">
        <v>1</v>
      </c>
      <c r="G8" s="8"/>
      <c r="W8" s="19"/>
      <c r="X8" s="19"/>
      <c r="Y8" s="19"/>
    </row>
    <row r="9" spans="2:67" ht="30" customHeight="1" x14ac:dyDescent="0.35">
      <c r="B9" s="6" t="s">
        <v>33</v>
      </c>
      <c r="C9" s="7">
        <v>6</v>
      </c>
      <c r="D9" s="7">
        <v>9</v>
      </c>
      <c r="E9" s="7">
        <v>0</v>
      </c>
      <c r="F9" s="7">
        <v>0</v>
      </c>
      <c r="G9" s="8"/>
      <c r="W9" s="19"/>
      <c r="X9" s="19"/>
      <c r="Y9" s="19"/>
    </row>
    <row r="10" spans="2:67" ht="30" customHeight="1" x14ac:dyDescent="0.35">
      <c r="B10" s="6" t="s">
        <v>34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67" ht="30" customHeight="1" x14ac:dyDescent="0.35">
      <c r="B11" s="6" t="s">
        <v>39</v>
      </c>
      <c r="C11" s="7">
        <v>14</v>
      </c>
      <c r="D11" s="7">
        <v>2</v>
      </c>
      <c r="E11" s="7">
        <v>0</v>
      </c>
      <c r="F11" s="7">
        <v>0</v>
      </c>
      <c r="G11" s="8"/>
      <c r="W11" s="19"/>
      <c r="X11" s="19"/>
      <c r="Y11" s="19"/>
    </row>
    <row r="12" spans="2:67" ht="30" customHeight="1" x14ac:dyDescent="0.35">
      <c r="B12" s="6" t="s">
        <v>30</v>
      </c>
      <c r="C12" s="7">
        <v>1</v>
      </c>
      <c r="D12" s="7">
        <v>12</v>
      </c>
      <c r="E12" s="7">
        <v>1</v>
      </c>
      <c r="F12" s="7">
        <v>3</v>
      </c>
      <c r="G12" s="8">
        <v>0.2</v>
      </c>
      <c r="W12" s="19"/>
      <c r="X12" s="19"/>
      <c r="Y12" s="19"/>
    </row>
    <row r="13" spans="2:67" ht="30" customHeight="1" x14ac:dyDescent="0.35">
      <c r="B13" s="6" t="s">
        <v>31</v>
      </c>
      <c r="C13" s="7">
        <v>9</v>
      </c>
      <c r="D13" s="7">
        <v>6</v>
      </c>
      <c r="E13" s="7">
        <v>0</v>
      </c>
      <c r="F13" s="7">
        <v>0</v>
      </c>
      <c r="G13" s="8"/>
      <c r="W13" s="19"/>
      <c r="X13" s="19"/>
      <c r="Y13" s="19"/>
    </row>
    <row r="14" spans="2:67" ht="30" customHeight="1" x14ac:dyDescent="0.35">
      <c r="B14" s="6" t="s">
        <v>36</v>
      </c>
      <c r="C14" s="7">
        <v>12</v>
      </c>
      <c r="D14" s="7">
        <v>4</v>
      </c>
      <c r="E14" s="7">
        <v>0</v>
      </c>
      <c r="F14" s="7">
        <v>0</v>
      </c>
      <c r="G14" s="8"/>
      <c r="W14" s="19"/>
      <c r="X14" s="19"/>
      <c r="Y14" s="19"/>
    </row>
    <row r="15" spans="2:67" ht="30" customHeight="1" x14ac:dyDescent="0.35">
      <c r="B15" s="6" t="s">
        <v>37</v>
      </c>
      <c r="C15" s="7">
        <v>15</v>
      </c>
      <c r="D15" s="7">
        <v>1</v>
      </c>
      <c r="E15" s="7">
        <v>0</v>
      </c>
      <c r="F15" s="7">
        <v>0</v>
      </c>
      <c r="G15" s="8"/>
      <c r="W15" s="19"/>
      <c r="X15" s="19"/>
      <c r="Y15" s="19"/>
    </row>
    <row r="16" spans="2:67" ht="30" hidden="1" customHeight="1" x14ac:dyDescent="0.35">
      <c r="B16" s="6" t="s">
        <v>1</v>
      </c>
      <c r="C16" s="7">
        <v>0</v>
      </c>
      <c r="D16" s="7">
        <v>0</v>
      </c>
      <c r="E16" s="7">
        <v>0</v>
      </c>
      <c r="F16" s="7">
        <v>0</v>
      </c>
      <c r="G16" s="8">
        <v>0.6</v>
      </c>
    </row>
    <row r="17" spans="2:7" ht="30" hidden="1" customHeight="1" x14ac:dyDescent="0.35">
      <c r="B17" s="6" t="s">
        <v>2</v>
      </c>
      <c r="C17" s="7">
        <v>0</v>
      </c>
      <c r="D17" s="7">
        <v>0</v>
      </c>
      <c r="E17" s="7">
        <v>0</v>
      </c>
      <c r="F17" s="7">
        <v>0</v>
      </c>
      <c r="G17" s="8">
        <v>0</v>
      </c>
    </row>
    <row r="18" spans="2:7" ht="30" hidden="1" customHeight="1" x14ac:dyDescent="0.35">
      <c r="B18" s="6" t="s">
        <v>3</v>
      </c>
      <c r="C18" s="7">
        <v>0</v>
      </c>
      <c r="D18" s="7">
        <v>0</v>
      </c>
      <c r="E18" s="7">
        <v>0</v>
      </c>
      <c r="F18" s="7">
        <v>0</v>
      </c>
      <c r="G18" s="8">
        <v>0.5</v>
      </c>
    </row>
    <row r="19" spans="2:7" ht="30" hidden="1" customHeight="1" x14ac:dyDescent="0.35">
      <c r="B19" s="6" t="s">
        <v>4</v>
      </c>
      <c r="C19" s="7">
        <v>0</v>
      </c>
      <c r="D19" s="7">
        <v>0</v>
      </c>
      <c r="E19" s="7">
        <v>0</v>
      </c>
      <c r="F19" s="7">
        <v>0</v>
      </c>
      <c r="G19" s="8">
        <v>0</v>
      </c>
    </row>
    <row r="20" spans="2:7" ht="30" hidden="1" customHeight="1" x14ac:dyDescent="0.35">
      <c r="B20" s="6" t="s">
        <v>5</v>
      </c>
      <c r="C20" s="7">
        <v>0</v>
      </c>
      <c r="D20" s="7">
        <v>0</v>
      </c>
      <c r="E20" s="7">
        <v>0</v>
      </c>
      <c r="F20" s="7">
        <v>0</v>
      </c>
      <c r="G20" s="8">
        <v>0.01</v>
      </c>
    </row>
    <row r="21" spans="2:7" ht="30" hidden="1" customHeight="1" x14ac:dyDescent="0.35">
      <c r="B21" s="6" t="s">
        <v>6</v>
      </c>
      <c r="C21" s="7">
        <v>0</v>
      </c>
      <c r="D21" s="7">
        <v>0</v>
      </c>
      <c r="E21" s="7">
        <v>0</v>
      </c>
      <c r="F21" s="7">
        <v>0</v>
      </c>
      <c r="G21" s="8">
        <v>0.8</v>
      </c>
    </row>
    <row r="22" spans="2:7" ht="30" hidden="1" customHeight="1" x14ac:dyDescent="0.35">
      <c r="B22" s="6" t="s">
        <v>7</v>
      </c>
      <c r="C22" s="7">
        <v>0</v>
      </c>
      <c r="D22" s="7">
        <v>0</v>
      </c>
      <c r="E22" s="7">
        <v>0</v>
      </c>
      <c r="F22" s="7">
        <v>0</v>
      </c>
      <c r="G22" s="8">
        <v>0</v>
      </c>
    </row>
    <row r="23" spans="2:7" ht="30" hidden="1" customHeight="1" x14ac:dyDescent="0.35">
      <c r="B23" s="6" t="s">
        <v>8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35">
      <c r="B24" s="6" t="s">
        <v>9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35">
      <c r="B25" s="6" t="s">
        <v>10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35">
      <c r="B26" s="6" t="s">
        <v>11</v>
      </c>
      <c r="C26" s="7">
        <v>0</v>
      </c>
      <c r="D26" s="7">
        <v>0</v>
      </c>
      <c r="E26" s="7">
        <v>0</v>
      </c>
      <c r="F26" s="7">
        <v>0</v>
      </c>
      <c r="G26" s="8">
        <v>0.44</v>
      </c>
    </row>
    <row r="27" spans="2:7" ht="30" hidden="1" customHeight="1" x14ac:dyDescent="0.35">
      <c r="B27" s="6" t="s">
        <v>12</v>
      </c>
      <c r="C27" s="7">
        <v>0</v>
      </c>
      <c r="D27" s="7">
        <v>0</v>
      </c>
      <c r="E27" s="7">
        <v>0</v>
      </c>
      <c r="F27" s="7">
        <v>0</v>
      </c>
      <c r="G27" s="8">
        <v>0</v>
      </c>
    </row>
    <row r="28" spans="2:7" ht="30" hidden="1" customHeight="1" x14ac:dyDescent="0.35">
      <c r="B28" s="6" t="s">
        <v>13</v>
      </c>
      <c r="C28" s="7">
        <v>0</v>
      </c>
      <c r="D28" s="7">
        <v>0</v>
      </c>
      <c r="E28" s="7">
        <v>0</v>
      </c>
      <c r="F28" s="7">
        <v>0</v>
      </c>
      <c r="G28" s="8">
        <v>0.12</v>
      </c>
    </row>
    <row r="29" spans="2:7" ht="30" hidden="1" customHeight="1" x14ac:dyDescent="0.35">
      <c r="B29" s="6" t="s">
        <v>14</v>
      </c>
      <c r="C29" s="7">
        <v>0</v>
      </c>
      <c r="D29" s="7">
        <v>0</v>
      </c>
      <c r="E29" s="7">
        <v>0</v>
      </c>
      <c r="F29" s="7">
        <v>0</v>
      </c>
      <c r="G29" s="8">
        <v>0.05</v>
      </c>
    </row>
    <row r="30" spans="2:7" ht="30" hidden="1" customHeight="1" x14ac:dyDescent="0.35">
      <c r="B30" s="6" t="s">
        <v>15</v>
      </c>
      <c r="C30" s="7">
        <v>0</v>
      </c>
      <c r="D30" s="7">
        <v>0</v>
      </c>
      <c r="E30" s="7">
        <v>0</v>
      </c>
      <c r="F30" s="7">
        <v>0</v>
      </c>
      <c r="G30" s="8">
        <v>0</v>
      </c>
    </row>
    <row r="31" spans="2:7" ht="30" hidden="1" customHeight="1" x14ac:dyDescent="0.35">
      <c r="B31" s="6" t="s">
        <v>16</v>
      </c>
      <c r="C31" s="7">
        <v>0</v>
      </c>
      <c r="D31" s="7">
        <v>0</v>
      </c>
      <c r="E31" s="7">
        <v>0</v>
      </c>
      <c r="F31" s="7">
        <v>0</v>
      </c>
      <c r="G31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1">
    <cfRule type="expression" dxfId="47" priority="1">
      <formula>PercentComplete</formula>
    </cfRule>
    <cfRule type="expression" dxfId="46" priority="3">
      <formula>PercentCompleteBeyond</formula>
    </cfRule>
    <cfRule type="expression" dxfId="45" priority="4">
      <formula>Actual</formula>
    </cfRule>
    <cfRule type="expression" dxfId="44" priority="5">
      <formula>ActualBeyond</formula>
    </cfRule>
    <cfRule type="expression" dxfId="43" priority="6">
      <formula>Plan</formula>
    </cfRule>
    <cfRule type="expression" dxfId="42" priority="7">
      <formula>H$4=period_selected</formula>
    </cfRule>
    <cfRule type="expression" dxfId="41" priority="11">
      <formula>MOD(COLUMN(),2)</formula>
    </cfRule>
    <cfRule type="expression" dxfId="40" priority="12">
      <formula>MOD(COLUMN(),2)=0</formula>
    </cfRule>
  </conditionalFormatting>
  <conditionalFormatting sqref="B32:BO32">
    <cfRule type="expression" dxfId="39" priority="2">
      <formula>TRUE</formula>
    </cfRule>
  </conditionalFormatting>
  <conditionalFormatting sqref="H4:BO4">
    <cfRule type="expression" dxfId="38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AW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9"/>
  <sheetViews>
    <sheetView zoomScaleNormal="100" workbookViewId="0">
      <selection activeCell="E112" sqref="E112"/>
    </sheetView>
  </sheetViews>
  <sheetFormatPr defaultColWidth="0" defaultRowHeight="14.4" customHeight="1" zeroHeight="1" x14ac:dyDescent="0.3"/>
  <cols>
    <col min="1" max="1" width="51.21875" style="21" customWidth="1"/>
    <col min="2" max="2" width="9.77734375" style="21" customWidth="1"/>
    <col min="3" max="3" width="10.5546875" style="21" customWidth="1"/>
    <col min="4" max="4" width="5.21875" style="21" customWidth="1"/>
    <col min="5" max="5" width="9.77734375" style="21" customWidth="1"/>
    <col min="6" max="6" width="70.33203125" style="21" customWidth="1"/>
    <col min="7" max="7" width="0" style="21" hidden="1" customWidth="1"/>
    <col min="8" max="16384" width="8.88671875" style="21" hidden="1"/>
  </cols>
  <sheetData>
    <row r="1" spans="1:6" x14ac:dyDescent="0.3">
      <c r="A1" s="21" t="s">
        <v>41</v>
      </c>
      <c r="B1" s="22" t="s">
        <v>42</v>
      </c>
      <c r="C1" s="22" t="s">
        <v>43</v>
      </c>
      <c r="D1" s="22" t="s">
        <v>44</v>
      </c>
      <c r="E1" s="22" t="s">
        <v>45</v>
      </c>
      <c r="F1" s="21" t="s">
        <v>46</v>
      </c>
    </row>
    <row r="2" spans="1:6" hidden="1" x14ac:dyDescent="0.3">
      <c r="A2" s="29" t="s">
        <v>79</v>
      </c>
      <c r="B2" s="23">
        <v>42992</v>
      </c>
      <c r="C2" s="23">
        <v>42993</v>
      </c>
      <c r="D2" s="24">
        <v>1.5</v>
      </c>
      <c r="E2" s="23">
        <v>43006</v>
      </c>
      <c r="F2" s="33" t="s">
        <v>84</v>
      </c>
    </row>
    <row r="3" spans="1:6" hidden="1" x14ac:dyDescent="0.3">
      <c r="A3" s="26" t="s">
        <v>65</v>
      </c>
      <c r="B3" s="23">
        <v>42986</v>
      </c>
      <c r="C3" s="23">
        <v>42999</v>
      </c>
      <c r="D3" s="24">
        <v>1.5</v>
      </c>
      <c r="E3" s="23">
        <v>43006</v>
      </c>
      <c r="F3" s="33" t="s">
        <v>86</v>
      </c>
    </row>
    <row r="4" spans="1:6" hidden="1" x14ac:dyDescent="0.3">
      <c r="A4" s="21" t="s">
        <v>47</v>
      </c>
      <c r="B4" s="23">
        <v>42983</v>
      </c>
      <c r="C4" s="23">
        <v>42983</v>
      </c>
      <c r="D4" s="24">
        <v>1</v>
      </c>
      <c r="E4" s="23">
        <v>42984</v>
      </c>
    </row>
    <row r="5" spans="1:6" hidden="1" x14ac:dyDescent="0.3">
      <c r="A5" s="21" t="s">
        <v>48</v>
      </c>
      <c r="B5" s="23">
        <v>42983</v>
      </c>
      <c r="C5" s="23">
        <v>42983</v>
      </c>
      <c r="D5" s="24">
        <v>1</v>
      </c>
      <c r="E5" s="23">
        <v>42992</v>
      </c>
      <c r="F5" s="21" t="s">
        <v>49</v>
      </c>
    </row>
    <row r="6" spans="1:6" hidden="1" x14ac:dyDescent="0.3">
      <c r="A6" s="21" t="s">
        <v>50</v>
      </c>
      <c r="B6" s="23">
        <v>42983</v>
      </c>
      <c r="C6" s="23">
        <v>42983</v>
      </c>
      <c r="D6" s="24">
        <v>1</v>
      </c>
      <c r="E6" s="23">
        <v>42984</v>
      </c>
    </row>
    <row r="7" spans="1:6" hidden="1" x14ac:dyDescent="0.3">
      <c r="A7" s="21" t="s">
        <v>52</v>
      </c>
      <c r="B7" s="23">
        <v>42983</v>
      </c>
      <c r="C7" s="23">
        <v>42984</v>
      </c>
      <c r="D7" s="24">
        <v>1</v>
      </c>
      <c r="E7" s="23">
        <v>42986</v>
      </c>
      <c r="F7" s="25" t="s">
        <v>64</v>
      </c>
    </row>
    <row r="8" spans="1:6" hidden="1" x14ac:dyDescent="0.3">
      <c r="A8" s="21" t="s">
        <v>51</v>
      </c>
      <c r="B8" s="23">
        <v>42983</v>
      </c>
      <c r="C8" s="23">
        <v>42990</v>
      </c>
      <c r="D8" s="24">
        <v>1</v>
      </c>
      <c r="E8" s="23">
        <v>42990</v>
      </c>
    </row>
    <row r="9" spans="1:6" hidden="1" x14ac:dyDescent="0.3">
      <c r="A9" s="21" t="s">
        <v>55</v>
      </c>
      <c r="B9" s="23">
        <v>42983</v>
      </c>
      <c r="C9" s="23">
        <v>42990</v>
      </c>
      <c r="D9" s="24">
        <v>1</v>
      </c>
      <c r="E9" s="23">
        <v>42991</v>
      </c>
      <c r="F9" s="27" t="s">
        <v>71</v>
      </c>
    </row>
    <row r="10" spans="1:6" hidden="1" x14ac:dyDescent="0.3">
      <c r="A10" s="30" t="s">
        <v>80</v>
      </c>
      <c r="B10" s="23">
        <v>42990</v>
      </c>
      <c r="C10" s="23">
        <v>42992</v>
      </c>
      <c r="D10" s="24">
        <v>1</v>
      </c>
      <c r="E10" s="23">
        <v>43027</v>
      </c>
      <c r="F10" s="32" t="s">
        <v>82</v>
      </c>
    </row>
    <row r="11" spans="1:6" hidden="1" x14ac:dyDescent="0.3">
      <c r="A11" s="21" t="s">
        <v>59</v>
      </c>
      <c r="B11" s="23">
        <v>42984</v>
      </c>
      <c r="C11" s="23">
        <v>42992</v>
      </c>
      <c r="D11" s="24">
        <v>1</v>
      </c>
      <c r="E11" s="23">
        <v>42992</v>
      </c>
      <c r="F11" s="26" t="s">
        <v>69</v>
      </c>
    </row>
    <row r="12" spans="1:6" hidden="1" x14ac:dyDescent="0.3">
      <c r="A12" s="21" t="s">
        <v>56</v>
      </c>
      <c r="B12" s="23">
        <v>42983</v>
      </c>
      <c r="C12" s="23">
        <v>42992</v>
      </c>
      <c r="D12" s="24">
        <v>1</v>
      </c>
      <c r="E12" s="23">
        <v>42992</v>
      </c>
      <c r="F12" s="21" t="s">
        <v>57</v>
      </c>
    </row>
    <row r="13" spans="1:6" hidden="1" x14ac:dyDescent="0.3">
      <c r="A13" s="27" t="s">
        <v>72</v>
      </c>
      <c r="B13" s="23">
        <v>42990</v>
      </c>
      <c r="C13" s="23">
        <v>42993</v>
      </c>
      <c r="D13" s="24">
        <v>1</v>
      </c>
      <c r="E13" s="23">
        <v>43006</v>
      </c>
      <c r="F13" s="27" t="s">
        <v>73</v>
      </c>
    </row>
    <row r="14" spans="1:6" hidden="1" x14ac:dyDescent="0.3">
      <c r="A14" s="31" t="s">
        <v>81</v>
      </c>
      <c r="B14" s="23">
        <v>42998</v>
      </c>
      <c r="C14" s="23">
        <v>42998</v>
      </c>
      <c r="D14" s="24">
        <v>1</v>
      </c>
      <c r="E14" s="23">
        <v>43006</v>
      </c>
    </row>
    <row r="15" spans="1:6" hidden="1" x14ac:dyDescent="0.3">
      <c r="A15" s="21" t="s">
        <v>53</v>
      </c>
      <c r="B15" s="23">
        <v>42983</v>
      </c>
      <c r="C15" s="23">
        <v>42991</v>
      </c>
      <c r="D15" s="24">
        <v>1</v>
      </c>
      <c r="E15" s="23">
        <v>42999</v>
      </c>
      <c r="F15" s="29" t="s">
        <v>75</v>
      </c>
    </row>
    <row r="16" spans="1:6" hidden="1" x14ac:dyDescent="0.3">
      <c r="A16" s="21" t="s">
        <v>54</v>
      </c>
      <c r="B16" s="23">
        <v>42983</v>
      </c>
      <c r="C16" s="23">
        <v>42991</v>
      </c>
      <c r="D16" s="24">
        <v>1</v>
      </c>
      <c r="E16" s="23">
        <v>42999</v>
      </c>
      <c r="F16" s="29" t="s">
        <v>78</v>
      </c>
    </row>
    <row r="17" spans="1:6" hidden="1" x14ac:dyDescent="0.3">
      <c r="A17" s="33" t="s">
        <v>83</v>
      </c>
      <c r="B17" s="23">
        <v>43021</v>
      </c>
      <c r="C17" s="23">
        <v>43021</v>
      </c>
      <c r="D17" s="24">
        <v>1</v>
      </c>
      <c r="E17" s="23">
        <v>43027</v>
      </c>
    </row>
    <row r="18" spans="1:6" hidden="1" x14ac:dyDescent="0.3">
      <c r="A18" s="33" t="s">
        <v>88</v>
      </c>
      <c r="B18" s="23">
        <v>43021</v>
      </c>
      <c r="C18" s="23">
        <v>43021</v>
      </c>
      <c r="D18" s="24">
        <v>1</v>
      </c>
      <c r="E18" s="23">
        <v>43027</v>
      </c>
      <c r="F18" s="33"/>
    </row>
    <row r="19" spans="1:6" hidden="1" x14ac:dyDescent="0.3">
      <c r="A19" s="33" t="s">
        <v>89</v>
      </c>
      <c r="B19" s="23">
        <v>43021</v>
      </c>
      <c r="C19" s="23">
        <v>43024</v>
      </c>
      <c r="D19" s="24">
        <v>1</v>
      </c>
      <c r="E19" s="23">
        <v>43027</v>
      </c>
      <c r="F19" s="33" t="s">
        <v>90</v>
      </c>
    </row>
    <row r="20" spans="1:6" hidden="1" x14ac:dyDescent="0.3">
      <c r="A20" s="35" t="s">
        <v>94</v>
      </c>
      <c r="B20" s="23">
        <v>43021</v>
      </c>
      <c r="C20" s="23">
        <v>43024</v>
      </c>
      <c r="D20" s="24">
        <v>1</v>
      </c>
      <c r="E20" s="23">
        <v>43027</v>
      </c>
      <c r="F20" s="33"/>
    </row>
    <row r="21" spans="1:6" hidden="1" x14ac:dyDescent="0.3">
      <c r="A21" s="35" t="s">
        <v>93</v>
      </c>
      <c r="B21" s="23">
        <v>43021</v>
      </c>
      <c r="C21" s="23">
        <v>43027</v>
      </c>
      <c r="D21" s="24">
        <v>1</v>
      </c>
      <c r="E21" s="23">
        <v>43023</v>
      </c>
      <c r="F21" s="33"/>
    </row>
    <row r="22" spans="1:6" hidden="1" x14ac:dyDescent="0.3">
      <c r="A22" s="34" t="s">
        <v>91</v>
      </c>
      <c r="B22" s="23">
        <v>43021</v>
      </c>
      <c r="C22" s="23">
        <v>43027</v>
      </c>
      <c r="D22" s="24">
        <v>1</v>
      </c>
      <c r="E22" s="23">
        <v>43027</v>
      </c>
      <c r="F22" s="34" t="s">
        <v>92</v>
      </c>
    </row>
    <row r="23" spans="1:6" hidden="1" x14ac:dyDescent="0.3">
      <c r="A23" s="36" t="s">
        <v>97</v>
      </c>
      <c r="B23" s="23">
        <v>43024</v>
      </c>
      <c r="C23" s="23">
        <v>43025</v>
      </c>
      <c r="D23" s="24">
        <v>1</v>
      </c>
      <c r="E23" s="23">
        <v>43034</v>
      </c>
      <c r="F23" s="37" t="s">
        <v>98</v>
      </c>
    </row>
    <row r="24" spans="1:6" hidden="1" x14ac:dyDescent="0.3">
      <c r="A24" s="38" t="s">
        <v>99</v>
      </c>
      <c r="B24" s="23">
        <v>43026</v>
      </c>
      <c r="C24" s="23">
        <v>43027</v>
      </c>
      <c r="D24" s="24">
        <v>1</v>
      </c>
      <c r="E24" s="23">
        <v>43034</v>
      </c>
      <c r="F24" s="39" t="s">
        <v>100</v>
      </c>
    </row>
    <row r="25" spans="1:6" hidden="1" x14ac:dyDescent="0.3">
      <c r="A25" s="36" t="s">
        <v>96</v>
      </c>
      <c r="B25" s="23">
        <v>43024</v>
      </c>
      <c r="C25" s="23">
        <v>43026</v>
      </c>
      <c r="D25" s="24">
        <v>1</v>
      </c>
      <c r="E25" s="23">
        <v>43034</v>
      </c>
      <c r="F25" s="33"/>
    </row>
    <row r="26" spans="1:6" hidden="1" x14ac:dyDescent="0.3">
      <c r="A26" s="35" t="s">
        <v>95</v>
      </c>
      <c r="B26" s="23">
        <v>43021</v>
      </c>
      <c r="C26" s="23">
        <v>43024</v>
      </c>
      <c r="D26" s="24">
        <v>1</v>
      </c>
      <c r="E26" s="23">
        <v>43027</v>
      </c>
      <c r="F26" s="33"/>
    </row>
    <row r="27" spans="1:6" hidden="1" x14ac:dyDescent="0.3">
      <c r="A27" s="45" t="s">
        <v>128</v>
      </c>
      <c r="B27" s="23">
        <v>43109</v>
      </c>
      <c r="C27" s="23">
        <v>43118</v>
      </c>
      <c r="D27" s="24">
        <v>1</v>
      </c>
      <c r="E27" s="23">
        <v>43118</v>
      </c>
      <c r="F27" s="33"/>
    </row>
    <row r="28" spans="1:6" hidden="1" x14ac:dyDescent="0.3">
      <c r="A28" s="39" t="s">
        <v>101</v>
      </c>
      <c r="B28" s="23">
        <v>43109</v>
      </c>
      <c r="C28" s="23">
        <v>43118</v>
      </c>
      <c r="D28" s="24">
        <v>1</v>
      </c>
      <c r="E28" s="23">
        <v>43118</v>
      </c>
      <c r="F28" s="33"/>
    </row>
    <row r="29" spans="1:6" hidden="1" x14ac:dyDescent="0.3">
      <c r="A29" s="28" t="s">
        <v>74</v>
      </c>
      <c r="B29" s="23">
        <v>43109</v>
      </c>
      <c r="C29" s="23">
        <v>43118</v>
      </c>
      <c r="D29" s="24">
        <v>1.5</v>
      </c>
      <c r="E29" s="23">
        <v>43125</v>
      </c>
      <c r="F29" s="55"/>
    </row>
    <row r="30" spans="1:6" x14ac:dyDescent="0.3">
      <c r="A30" s="95" t="s">
        <v>208</v>
      </c>
      <c r="B30" s="23">
        <v>43140</v>
      </c>
      <c r="C30" s="81">
        <v>43159</v>
      </c>
      <c r="D30" s="24">
        <v>0</v>
      </c>
      <c r="E30" s="23">
        <v>43160</v>
      </c>
      <c r="F30" s="89"/>
    </row>
    <row r="31" spans="1:6" hidden="1" x14ac:dyDescent="0.3">
      <c r="A31" s="26" t="s">
        <v>66</v>
      </c>
      <c r="B31" s="23">
        <v>42986</v>
      </c>
      <c r="C31" s="23">
        <v>43060</v>
      </c>
      <c r="D31" s="24">
        <v>1.5</v>
      </c>
      <c r="E31" s="23">
        <v>43040</v>
      </c>
      <c r="F31" s="26" t="s">
        <v>67</v>
      </c>
    </row>
    <row r="32" spans="1:6" hidden="1" x14ac:dyDescent="0.3">
      <c r="A32" s="29" t="s">
        <v>76</v>
      </c>
      <c r="B32" s="23">
        <v>43109</v>
      </c>
      <c r="C32" s="23">
        <v>43118</v>
      </c>
      <c r="D32" s="24">
        <v>1.5</v>
      </c>
      <c r="E32" s="23">
        <v>43125</v>
      </c>
      <c r="F32" s="57" t="s">
        <v>77</v>
      </c>
    </row>
    <row r="33" spans="1:6" hidden="1" x14ac:dyDescent="0.3">
      <c r="A33" s="69" t="s">
        <v>159</v>
      </c>
      <c r="B33" s="23">
        <v>43124</v>
      </c>
      <c r="C33" s="23">
        <v>43125</v>
      </c>
      <c r="D33" s="24">
        <v>1</v>
      </c>
      <c r="E33" s="23">
        <v>43132</v>
      </c>
      <c r="F33" s="70" t="s">
        <v>158</v>
      </c>
    </row>
    <row r="34" spans="1:6" hidden="1" x14ac:dyDescent="0.3">
      <c r="A34" s="69" t="s">
        <v>157</v>
      </c>
      <c r="B34" s="23">
        <v>43124</v>
      </c>
      <c r="C34" s="23">
        <v>43124</v>
      </c>
      <c r="D34" s="24">
        <v>1</v>
      </c>
      <c r="E34" s="23">
        <v>43125</v>
      </c>
      <c r="F34" s="60"/>
    </row>
    <row r="35" spans="1:6" hidden="1" x14ac:dyDescent="0.3">
      <c r="A35" s="68" t="s">
        <v>156</v>
      </c>
      <c r="B35" s="23">
        <v>43122</v>
      </c>
      <c r="C35" s="23">
        <v>43122</v>
      </c>
      <c r="D35" s="24">
        <v>1</v>
      </c>
      <c r="E35" s="23">
        <v>43125</v>
      </c>
      <c r="F35" s="60"/>
    </row>
    <row r="36" spans="1:6" hidden="1" x14ac:dyDescent="0.3">
      <c r="A36" s="49" t="s">
        <v>135</v>
      </c>
      <c r="B36" s="23">
        <v>43112</v>
      </c>
      <c r="C36" s="23">
        <v>43118</v>
      </c>
      <c r="D36" s="24">
        <v>1</v>
      </c>
      <c r="E36" s="23">
        <v>43125</v>
      </c>
      <c r="F36" s="60"/>
    </row>
    <row r="37" spans="1:6" hidden="1" x14ac:dyDescent="0.3">
      <c r="A37" s="54" t="s">
        <v>144</v>
      </c>
      <c r="B37" s="23">
        <v>43117</v>
      </c>
      <c r="C37" s="23">
        <v>43117</v>
      </c>
      <c r="D37" s="24">
        <v>1</v>
      </c>
      <c r="E37" s="23">
        <v>43125</v>
      </c>
      <c r="F37" s="60"/>
    </row>
    <row r="38" spans="1:6" hidden="1" x14ac:dyDescent="0.3">
      <c r="A38" s="40" t="s">
        <v>102</v>
      </c>
      <c r="B38" s="23">
        <v>43109</v>
      </c>
      <c r="C38" s="23">
        <v>43118</v>
      </c>
      <c r="D38" s="24">
        <v>1.5</v>
      </c>
      <c r="E38" s="23">
        <v>43125</v>
      </c>
      <c r="F38" s="61" t="s">
        <v>134</v>
      </c>
    </row>
    <row r="39" spans="1:6" hidden="1" x14ac:dyDescent="0.3">
      <c r="A39" s="66" t="s">
        <v>149</v>
      </c>
      <c r="B39" s="23">
        <v>43119</v>
      </c>
      <c r="C39" s="23">
        <v>43122</v>
      </c>
      <c r="D39" s="24">
        <v>1</v>
      </c>
      <c r="E39" s="23">
        <v>43125</v>
      </c>
      <c r="F39" s="60"/>
    </row>
    <row r="40" spans="1:6" hidden="1" x14ac:dyDescent="0.3">
      <c r="A40" s="46" t="s">
        <v>129</v>
      </c>
      <c r="B40" s="23">
        <v>43109</v>
      </c>
      <c r="C40" s="23">
        <v>43118</v>
      </c>
      <c r="D40" s="24">
        <v>1</v>
      </c>
      <c r="E40" s="23">
        <v>43118</v>
      </c>
      <c r="F40" s="33"/>
    </row>
    <row r="41" spans="1:6" hidden="1" x14ac:dyDescent="0.3">
      <c r="A41" s="67" t="s">
        <v>151</v>
      </c>
      <c r="B41" s="23">
        <v>43119</v>
      </c>
      <c r="C41" s="23">
        <v>43122</v>
      </c>
      <c r="D41" s="24">
        <v>1</v>
      </c>
      <c r="E41" s="23">
        <v>43125</v>
      </c>
    </row>
    <row r="42" spans="1:6" hidden="1" x14ac:dyDescent="0.3">
      <c r="A42" s="47" t="s">
        <v>130</v>
      </c>
      <c r="B42" s="23">
        <f ca="1">TODAY()</f>
        <v>43145</v>
      </c>
      <c r="C42" s="23">
        <v>43118</v>
      </c>
      <c r="D42" s="24">
        <v>1</v>
      </c>
      <c r="E42" s="23">
        <v>43118</v>
      </c>
      <c r="F42" s="33"/>
    </row>
    <row r="43" spans="1:6" hidden="1" x14ac:dyDescent="0.3">
      <c r="A43" s="66" t="s">
        <v>152</v>
      </c>
      <c r="B43" s="23">
        <v>43119</v>
      </c>
      <c r="C43" s="23">
        <v>43119</v>
      </c>
      <c r="D43" s="24">
        <v>1</v>
      </c>
      <c r="E43" s="23">
        <v>43125</v>
      </c>
      <c r="F43" s="67" t="s">
        <v>153</v>
      </c>
    </row>
    <row r="44" spans="1:6" hidden="1" x14ac:dyDescent="0.3">
      <c r="A44" s="48" t="s">
        <v>132</v>
      </c>
      <c r="B44" s="23">
        <f ca="1">TODAY()</f>
        <v>43145</v>
      </c>
      <c r="C44" s="23">
        <v>43118</v>
      </c>
      <c r="D44" s="24">
        <v>1</v>
      </c>
      <c r="E44" s="23">
        <v>43118</v>
      </c>
      <c r="F44" s="33"/>
    </row>
    <row r="45" spans="1:6" hidden="1" x14ac:dyDescent="0.3">
      <c r="A45" s="48" t="s">
        <v>133</v>
      </c>
      <c r="B45" s="23">
        <f ca="1">TODAY()</f>
        <v>43145</v>
      </c>
      <c r="C45" s="23">
        <v>43118</v>
      </c>
      <c r="D45" s="24">
        <v>1</v>
      </c>
      <c r="E45" s="23">
        <v>43118</v>
      </c>
      <c r="F45" s="33"/>
    </row>
    <row r="46" spans="1:6" hidden="1" x14ac:dyDescent="0.3">
      <c r="A46" s="68" t="s">
        <v>154</v>
      </c>
      <c r="B46" s="23">
        <v>43122</v>
      </c>
      <c r="C46" s="23">
        <v>43122</v>
      </c>
      <c r="D46" s="24">
        <v>1</v>
      </c>
      <c r="E46" s="23">
        <v>43125</v>
      </c>
      <c r="F46" s="60"/>
    </row>
    <row r="47" spans="1:6" hidden="1" x14ac:dyDescent="0.3">
      <c r="A47" s="49" t="s">
        <v>136</v>
      </c>
      <c r="B47" s="23">
        <f ca="1">TODAY()</f>
        <v>43145</v>
      </c>
      <c r="C47" s="23"/>
      <c r="D47" s="24">
        <v>1</v>
      </c>
      <c r="E47" s="23">
        <v>43118</v>
      </c>
      <c r="F47" s="33"/>
    </row>
    <row r="48" spans="1:6" hidden="1" x14ac:dyDescent="0.3">
      <c r="A48" s="49" t="s">
        <v>137</v>
      </c>
      <c r="B48" s="23"/>
      <c r="C48" s="23"/>
      <c r="D48" s="24">
        <v>1</v>
      </c>
      <c r="E48" s="23">
        <v>43118</v>
      </c>
      <c r="F48" s="33"/>
    </row>
    <row r="49" spans="1:6" hidden="1" x14ac:dyDescent="0.3">
      <c r="A49" s="50" t="s">
        <v>138</v>
      </c>
      <c r="B49" s="23">
        <v>43112</v>
      </c>
      <c r="C49" s="23">
        <v>43118</v>
      </c>
      <c r="D49" s="24">
        <v>1</v>
      </c>
      <c r="E49" s="23">
        <v>43118</v>
      </c>
      <c r="F49" s="33"/>
    </row>
    <row r="50" spans="1:6" hidden="1" x14ac:dyDescent="0.3">
      <c r="A50" s="51" t="s">
        <v>139</v>
      </c>
      <c r="B50" s="23">
        <v>43115</v>
      </c>
      <c r="C50" s="23">
        <v>43117</v>
      </c>
      <c r="D50" s="24">
        <v>1</v>
      </c>
      <c r="E50" s="23">
        <v>43118</v>
      </c>
      <c r="F50" s="62">
        <v>0.60416666666666663</v>
      </c>
    </row>
    <row r="51" spans="1:6" hidden="1" x14ac:dyDescent="0.3">
      <c r="A51" s="52" t="s">
        <v>140</v>
      </c>
      <c r="B51" s="23">
        <v>43115</v>
      </c>
      <c r="C51" s="23">
        <v>43118</v>
      </c>
      <c r="D51" s="24">
        <v>1</v>
      </c>
      <c r="E51" s="23">
        <v>43118</v>
      </c>
      <c r="F51" s="60"/>
    </row>
    <row r="52" spans="1:6" hidden="1" x14ac:dyDescent="0.3">
      <c r="A52" s="52" t="s">
        <v>141</v>
      </c>
      <c r="B52" s="23">
        <v>43116</v>
      </c>
      <c r="C52" s="23">
        <v>43116</v>
      </c>
      <c r="D52" s="24">
        <v>1</v>
      </c>
      <c r="E52" s="23">
        <v>43118</v>
      </c>
      <c r="F52" s="33"/>
    </row>
    <row r="53" spans="1:6" hidden="1" x14ac:dyDescent="0.3">
      <c r="A53" s="53" t="s">
        <v>142</v>
      </c>
      <c r="B53" s="23">
        <v>43116</v>
      </c>
      <c r="C53" s="23">
        <v>43116</v>
      </c>
      <c r="D53" s="24">
        <v>1</v>
      </c>
      <c r="E53" s="23">
        <v>43118</v>
      </c>
      <c r="F53" s="33"/>
    </row>
    <row r="54" spans="1:6" hidden="1" x14ac:dyDescent="0.3">
      <c r="A54" s="53" t="s">
        <v>143</v>
      </c>
      <c r="B54" s="23">
        <v>43116</v>
      </c>
      <c r="C54" s="23">
        <v>43116</v>
      </c>
      <c r="D54" s="24">
        <v>1</v>
      </c>
      <c r="E54" s="23">
        <v>43118</v>
      </c>
      <c r="F54" s="33"/>
    </row>
    <row r="55" spans="1:6" hidden="1" x14ac:dyDescent="0.3">
      <c r="A55" s="48" t="s">
        <v>131</v>
      </c>
      <c r="B55" s="23">
        <v>43112</v>
      </c>
      <c r="C55" s="23">
        <v>43118</v>
      </c>
      <c r="D55" s="24">
        <v>1</v>
      </c>
      <c r="E55" s="23">
        <v>43125</v>
      </c>
      <c r="F55" s="63" t="s">
        <v>146</v>
      </c>
    </row>
    <row r="56" spans="1:6" hidden="1" x14ac:dyDescent="0.3">
      <c r="A56" s="54" t="s">
        <v>145</v>
      </c>
      <c r="B56" s="23">
        <v>43117</v>
      </c>
      <c r="C56" s="23">
        <v>43118</v>
      </c>
      <c r="D56" s="24">
        <v>1</v>
      </c>
      <c r="E56" s="23">
        <v>43118</v>
      </c>
      <c r="F56" s="60"/>
    </row>
    <row r="57" spans="1:6" hidden="1" x14ac:dyDescent="0.3">
      <c r="A57" s="64" t="s">
        <v>147</v>
      </c>
      <c r="B57" s="23">
        <v>43117</v>
      </c>
      <c r="C57" s="23">
        <v>43118</v>
      </c>
      <c r="D57" s="24">
        <v>1.5</v>
      </c>
      <c r="E57" s="23">
        <v>43125</v>
      </c>
      <c r="F57" s="60"/>
    </row>
    <row r="58" spans="1:6" hidden="1" x14ac:dyDescent="0.3">
      <c r="A58" s="65" t="s">
        <v>148</v>
      </c>
      <c r="B58" s="23">
        <v>43117</v>
      </c>
      <c r="C58" s="23">
        <v>43117</v>
      </c>
      <c r="D58" s="24">
        <v>1</v>
      </c>
      <c r="E58" s="23">
        <v>43118</v>
      </c>
      <c r="F58" s="60"/>
    </row>
    <row r="59" spans="1:6" hidden="1" x14ac:dyDescent="0.3">
      <c r="A59" s="69" t="s">
        <v>165</v>
      </c>
      <c r="B59" s="23">
        <v>43124</v>
      </c>
      <c r="C59" s="23">
        <v>43124</v>
      </c>
      <c r="D59" s="24">
        <v>1</v>
      </c>
      <c r="E59" s="23">
        <v>43125</v>
      </c>
      <c r="F59" s="60"/>
    </row>
    <row r="60" spans="1:6" hidden="1" x14ac:dyDescent="0.3">
      <c r="A60" s="21" t="s">
        <v>58</v>
      </c>
      <c r="B60" s="23">
        <v>43109</v>
      </c>
      <c r="C60" s="23">
        <v>43118</v>
      </c>
      <c r="D60" s="24">
        <v>1.5</v>
      </c>
      <c r="E60" s="23">
        <v>43125</v>
      </c>
      <c r="F60" s="59" t="s">
        <v>68</v>
      </c>
    </row>
    <row r="61" spans="1:6" hidden="1" x14ac:dyDescent="0.3">
      <c r="A61" s="69" t="s">
        <v>161</v>
      </c>
      <c r="B61" s="23">
        <v>43124</v>
      </c>
      <c r="C61" s="23">
        <v>43124</v>
      </c>
      <c r="D61" s="24">
        <v>1</v>
      </c>
      <c r="E61" s="23">
        <v>43125</v>
      </c>
      <c r="F61" s="60" t="s">
        <v>85</v>
      </c>
    </row>
    <row r="62" spans="1:6" hidden="1" x14ac:dyDescent="0.3">
      <c r="A62" s="69" t="s">
        <v>162</v>
      </c>
      <c r="B62" s="23">
        <v>43124</v>
      </c>
      <c r="C62" s="23">
        <v>43124</v>
      </c>
      <c r="D62" s="24">
        <v>1</v>
      </c>
      <c r="E62" s="23">
        <v>43125</v>
      </c>
      <c r="F62" s="60"/>
    </row>
    <row r="63" spans="1:6" hidden="1" x14ac:dyDescent="0.3">
      <c r="A63" s="68" t="s">
        <v>155</v>
      </c>
      <c r="B63" s="23">
        <v>43122</v>
      </c>
      <c r="C63" s="23">
        <v>43124</v>
      </c>
      <c r="D63" s="24">
        <v>1</v>
      </c>
      <c r="E63" s="23">
        <v>43125</v>
      </c>
      <c r="F63" s="60"/>
    </row>
    <row r="64" spans="1:6" hidden="1" x14ac:dyDescent="0.3">
      <c r="A64" s="21" t="s">
        <v>63</v>
      </c>
      <c r="B64" s="23">
        <v>43109</v>
      </c>
      <c r="C64" s="23">
        <v>43118</v>
      </c>
      <c r="D64" s="24">
        <v>1.5</v>
      </c>
      <c r="E64" s="23">
        <v>43125</v>
      </c>
      <c r="F64" s="59" t="s">
        <v>70</v>
      </c>
    </row>
    <row r="65" spans="1:6" hidden="1" x14ac:dyDescent="0.3">
      <c r="A65" s="69" t="s">
        <v>164</v>
      </c>
      <c r="B65" s="23">
        <v>43124</v>
      </c>
      <c r="C65" s="23">
        <v>43125</v>
      </c>
      <c r="D65" s="24">
        <v>1.5</v>
      </c>
      <c r="E65" s="23">
        <v>43132</v>
      </c>
      <c r="F65" s="60"/>
    </row>
    <row r="66" spans="1:6" hidden="1" x14ac:dyDescent="0.3">
      <c r="A66" s="21" t="s">
        <v>60</v>
      </c>
      <c r="B66" s="23">
        <v>43124</v>
      </c>
      <c r="C66" s="23">
        <v>43126</v>
      </c>
      <c r="D66" s="24">
        <v>1</v>
      </c>
      <c r="E66" s="23">
        <v>43132</v>
      </c>
      <c r="F66" s="60" t="s">
        <v>87</v>
      </c>
    </row>
    <row r="67" spans="1:6" x14ac:dyDescent="0.3">
      <c r="A67" s="69" t="s">
        <v>163</v>
      </c>
      <c r="B67" s="23">
        <v>43124</v>
      </c>
      <c r="C67" s="23">
        <v>43156</v>
      </c>
      <c r="D67" s="24">
        <v>0.25</v>
      </c>
      <c r="E67" s="23">
        <v>43160</v>
      </c>
      <c r="F67" s="60"/>
    </row>
    <row r="68" spans="1:6" hidden="1" x14ac:dyDescent="0.3">
      <c r="A68" s="72" t="s">
        <v>166</v>
      </c>
      <c r="B68" s="23">
        <v>43125</v>
      </c>
      <c r="C68" s="23">
        <v>43136</v>
      </c>
      <c r="D68" s="24">
        <v>1.5</v>
      </c>
      <c r="E68" s="23">
        <v>43139</v>
      </c>
      <c r="F68" s="73" t="s">
        <v>167</v>
      </c>
    </row>
    <row r="69" spans="1:6" hidden="1" x14ac:dyDescent="0.3">
      <c r="A69" s="40" t="s">
        <v>103</v>
      </c>
      <c r="B69" s="23">
        <v>43124</v>
      </c>
      <c r="C69" s="23">
        <v>43124</v>
      </c>
      <c r="D69" s="71">
        <v>1.5</v>
      </c>
      <c r="E69" s="23">
        <v>43125</v>
      </c>
      <c r="F69" s="70" t="s">
        <v>160</v>
      </c>
    </row>
    <row r="70" spans="1:6" hidden="1" x14ac:dyDescent="0.3">
      <c r="A70" s="66" t="s">
        <v>150</v>
      </c>
      <c r="B70" s="23">
        <v>43119</v>
      </c>
      <c r="C70" s="23">
        <v>43136</v>
      </c>
      <c r="D70" s="24">
        <v>1</v>
      </c>
      <c r="E70" s="23">
        <v>43139</v>
      </c>
      <c r="F70" s="60"/>
    </row>
    <row r="71" spans="1:6" hidden="1" x14ac:dyDescent="0.3">
      <c r="A71" s="21" t="s">
        <v>61</v>
      </c>
      <c r="B71" s="23">
        <v>43124</v>
      </c>
      <c r="C71" s="23">
        <v>43136</v>
      </c>
      <c r="D71" s="24">
        <v>1</v>
      </c>
      <c r="E71" s="23">
        <v>43139</v>
      </c>
      <c r="F71" s="58" t="s">
        <v>62</v>
      </c>
    </row>
    <row r="72" spans="1:6" hidden="1" x14ac:dyDescent="0.3">
      <c r="A72" s="72" t="s">
        <v>168</v>
      </c>
      <c r="B72" s="23">
        <v>43125</v>
      </c>
      <c r="C72" s="23">
        <v>43126</v>
      </c>
      <c r="D72" s="24">
        <v>1</v>
      </c>
      <c r="E72" s="23">
        <v>43132</v>
      </c>
      <c r="F72" s="60"/>
    </row>
    <row r="73" spans="1:6" hidden="1" x14ac:dyDescent="0.3">
      <c r="A73" s="74" t="s">
        <v>169</v>
      </c>
      <c r="B73" s="23">
        <v>43129</v>
      </c>
      <c r="C73" s="23">
        <v>43143</v>
      </c>
      <c r="D73" s="24">
        <v>1</v>
      </c>
      <c r="E73" s="23">
        <v>43160</v>
      </c>
      <c r="F73" s="75" t="s">
        <v>170</v>
      </c>
    </row>
    <row r="74" spans="1:6" hidden="1" x14ac:dyDescent="0.3">
      <c r="A74" s="76" t="s">
        <v>171</v>
      </c>
      <c r="B74" s="23">
        <v>43131</v>
      </c>
      <c r="C74" s="23">
        <v>43131</v>
      </c>
      <c r="D74" s="24">
        <v>1</v>
      </c>
      <c r="E74" s="23">
        <v>43132</v>
      </c>
      <c r="F74" s="60"/>
    </row>
    <row r="75" spans="1:6" hidden="1" x14ac:dyDescent="0.3">
      <c r="A75" s="76" t="s">
        <v>172</v>
      </c>
      <c r="B75" s="23">
        <v>43131</v>
      </c>
      <c r="C75" s="23">
        <v>43131</v>
      </c>
      <c r="D75" s="24">
        <v>1</v>
      </c>
      <c r="E75" s="23">
        <v>43132</v>
      </c>
      <c r="F75" s="60"/>
    </row>
    <row r="76" spans="1:6" hidden="1" x14ac:dyDescent="0.3">
      <c r="A76" s="76" t="s">
        <v>173</v>
      </c>
      <c r="B76" s="23">
        <v>43129</v>
      </c>
      <c r="C76" s="23">
        <v>43137</v>
      </c>
      <c r="D76" s="24">
        <v>1</v>
      </c>
      <c r="E76" s="23">
        <v>43139</v>
      </c>
      <c r="F76" s="60"/>
    </row>
    <row r="77" spans="1:6" hidden="1" x14ac:dyDescent="0.3">
      <c r="A77" s="77" t="s">
        <v>95</v>
      </c>
      <c r="B77" s="23">
        <v>43132</v>
      </c>
      <c r="C77" s="23">
        <v>43133</v>
      </c>
      <c r="D77" s="24">
        <v>1</v>
      </c>
      <c r="E77" s="23">
        <v>43139</v>
      </c>
      <c r="F77" s="60"/>
    </row>
    <row r="78" spans="1:6" hidden="1" x14ac:dyDescent="0.3">
      <c r="A78" s="77" t="s">
        <v>174</v>
      </c>
      <c r="B78" s="23">
        <v>43132</v>
      </c>
      <c r="C78" s="23">
        <v>43133</v>
      </c>
      <c r="D78" s="24">
        <v>1</v>
      </c>
      <c r="E78" s="23">
        <v>43139</v>
      </c>
      <c r="F78" s="60"/>
    </row>
    <row r="79" spans="1:6" hidden="1" x14ac:dyDescent="0.3">
      <c r="A79" s="77" t="s">
        <v>175</v>
      </c>
      <c r="B79" s="23">
        <v>43132</v>
      </c>
      <c r="C79" s="23">
        <v>43136</v>
      </c>
      <c r="D79" s="24">
        <v>1.5</v>
      </c>
      <c r="E79" s="23">
        <v>43139</v>
      </c>
      <c r="F79" s="60"/>
    </row>
    <row r="80" spans="1:6" hidden="1" x14ac:dyDescent="0.3">
      <c r="A80" s="78" t="s">
        <v>176</v>
      </c>
      <c r="B80" s="23">
        <v>43132</v>
      </c>
      <c r="C80" s="23">
        <v>43132</v>
      </c>
      <c r="D80" s="24">
        <v>1</v>
      </c>
      <c r="E80" s="23">
        <v>43139</v>
      </c>
      <c r="F80" s="60"/>
    </row>
    <row r="81" spans="1:6" hidden="1" x14ac:dyDescent="0.3">
      <c r="A81" s="78" t="s">
        <v>177</v>
      </c>
      <c r="B81" s="23">
        <v>43132</v>
      </c>
      <c r="C81" s="23">
        <v>43132</v>
      </c>
      <c r="D81" s="24">
        <v>1.5</v>
      </c>
      <c r="E81" s="23">
        <v>43139</v>
      </c>
      <c r="F81" s="60"/>
    </row>
    <row r="82" spans="1:6" hidden="1" x14ac:dyDescent="0.3">
      <c r="A82" s="79" t="s">
        <v>178</v>
      </c>
      <c r="B82" s="23">
        <v>43132</v>
      </c>
      <c r="C82" s="23">
        <v>43136</v>
      </c>
      <c r="D82" s="24">
        <v>1.5</v>
      </c>
      <c r="E82" s="23">
        <v>43139</v>
      </c>
      <c r="F82" s="82" t="s">
        <v>182</v>
      </c>
    </row>
    <row r="83" spans="1:6" hidden="1" x14ac:dyDescent="0.3">
      <c r="A83" s="80" t="s">
        <v>179</v>
      </c>
      <c r="B83" s="23">
        <v>43133</v>
      </c>
      <c r="C83" s="23">
        <v>43133</v>
      </c>
      <c r="D83" s="24">
        <v>1</v>
      </c>
      <c r="E83" s="23">
        <v>43139</v>
      </c>
      <c r="F83" s="60"/>
    </row>
    <row r="84" spans="1:6" hidden="1" x14ac:dyDescent="0.3">
      <c r="A84" s="80" t="s">
        <v>180</v>
      </c>
      <c r="B84" s="23">
        <v>43133</v>
      </c>
      <c r="C84" s="81">
        <v>43133</v>
      </c>
      <c r="D84" s="24">
        <v>1</v>
      </c>
      <c r="E84" s="23">
        <v>43139</v>
      </c>
      <c r="F84" s="60"/>
    </row>
    <row r="85" spans="1:6" hidden="1" x14ac:dyDescent="0.3">
      <c r="A85" s="80" t="s">
        <v>181</v>
      </c>
      <c r="B85" s="23">
        <v>43133</v>
      </c>
      <c r="C85" s="81">
        <v>43136</v>
      </c>
      <c r="D85" s="24">
        <v>1</v>
      </c>
      <c r="E85" s="23">
        <v>43139</v>
      </c>
      <c r="F85" s="89" t="s">
        <v>199</v>
      </c>
    </row>
    <row r="86" spans="1:6" hidden="1" x14ac:dyDescent="0.3">
      <c r="A86" s="83" t="s">
        <v>183</v>
      </c>
      <c r="B86" s="23">
        <v>43134</v>
      </c>
      <c r="C86" s="81">
        <v>43136</v>
      </c>
      <c r="D86" s="24">
        <v>1</v>
      </c>
      <c r="E86" s="23">
        <v>43139</v>
      </c>
      <c r="F86" s="84" t="s">
        <v>184</v>
      </c>
    </row>
    <row r="87" spans="1:6" hidden="1" x14ac:dyDescent="0.3">
      <c r="A87" s="83" t="s">
        <v>185</v>
      </c>
      <c r="B87" s="23">
        <v>43134</v>
      </c>
      <c r="C87" s="81">
        <v>43136</v>
      </c>
      <c r="D87" s="24">
        <v>1.5</v>
      </c>
      <c r="E87" s="23">
        <v>43139</v>
      </c>
      <c r="F87" s="60"/>
    </row>
    <row r="88" spans="1:6" hidden="1" x14ac:dyDescent="0.3">
      <c r="A88" s="85" t="s">
        <v>186</v>
      </c>
      <c r="B88" s="23">
        <v>43135</v>
      </c>
      <c r="C88" s="81">
        <v>43136</v>
      </c>
      <c r="D88" s="24">
        <v>1</v>
      </c>
      <c r="E88" s="23">
        <v>43139</v>
      </c>
      <c r="F88" s="60"/>
    </row>
    <row r="89" spans="1:6" hidden="1" x14ac:dyDescent="0.3">
      <c r="A89" s="85" t="s">
        <v>187</v>
      </c>
      <c r="B89" s="23">
        <v>43136</v>
      </c>
      <c r="C89" s="81">
        <v>43136</v>
      </c>
      <c r="D89" s="24">
        <v>1</v>
      </c>
      <c r="E89" s="23">
        <v>43139</v>
      </c>
      <c r="F89" s="60"/>
    </row>
    <row r="90" spans="1:6" hidden="1" x14ac:dyDescent="0.3">
      <c r="A90" s="85" t="s">
        <v>188</v>
      </c>
      <c r="B90" s="23">
        <v>43136</v>
      </c>
      <c r="C90" s="81">
        <v>43136</v>
      </c>
      <c r="D90" s="24">
        <v>1.5</v>
      </c>
      <c r="E90" s="23">
        <v>43139</v>
      </c>
      <c r="F90" s="89" t="s">
        <v>197</v>
      </c>
    </row>
    <row r="91" spans="1:6" hidden="1" x14ac:dyDescent="0.3">
      <c r="A91" s="85" t="s">
        <v>189</v>
      </c>
      <c r="B91" s="23">
        <v>43136</v>
      </c>
      <c r="C91" s="81">
        <v>43137</v>
      </c>
      <c r="D91" s="24">
        <v>1</v>
      </c>
      <c r="E91" s="23">
        <v>43139</v>
      </c>
      <c r="F91" s="89" t="s">
        <v>198</v>
      </c>
    </row>
    <row r="92" spans="1:6" hidden="1" x14ac:dyDescent="0.3">
      <c r="A92" s="86" t="s">
        <v>190</v>
      </c>
      <c r="B92" s="23">
        <v>43137</v>
      </c>
      <c r="C92" s="81">
        <v>43144</v>
      </c>
      <c r="D92" s="24">
        <v>1</v>
      </c>
      <c r="E92" s="23">
        <v>43139</v>
      </c>
      <c r="F92" s="87" t="s">
        <v>191</v>
      </c>
    </row>
    <row r="93" spans="1:6" hidden="1" x14ac:dyDescent="0.3">
      <c r="A93" s="86" t="s">
        <v>192</v>
      </c>
      <c r="B93" s="23">
        <v>43137</v>
      </c>
      <c r="C93" s="81">
        <v>43137</v>
      </c>
      <c r="D93" s="24">
        <v>1</v>
      </c>
      <c r="E93" s="23">
        <v>43139</v>
      </c>
      <c r="F93" s="60"/>
    </row>
    <row r="94" spans="1:6" hidden="1" x14ac:dyDescent="0.3">
      <c r="A94" s="88" t="s">
        <v>193</v>
      </c>
      <c r="B94" s="23">
        <v>43137</v>
      </c>
      <c r="C94" s="81">
        <v>43137</v>
      </c>
      <c r="D94" s="24">
        <v>1</v>
      </c>
      <c r="E94" s="23">
        <v>43139</v>
      </c>
      <c r="F94" s="89" t="s">
        <v>200</v>
      </c>
    </row>
    <row r="95" spans="1:6" hidden="1" x14ac:dyDescent="0.3">
      <c r="A95" s="88" t="s">
        <v>194</v>
      </c>
      <c r="B95" s="23">
        <v>43137</v>
      </c>
      <c r="C95" s="81">
        <v>43137</v>
      </c>
      <c r="D95" s="24">
        <v>1</v>
      </c>
      <c r="E95" s="23">
        <v>43139</v>
      </c>
      <c r="F95" s="60"/>
    </row>
    <row r="96" spans="1:6" hidden="1" x14ac:dyDescent="0.3">
      <c r="A96" s="88" t="s">
        <v>195</v>
      </c>
      <c r="B96" s="23">
        <v>43137</v>
      </c>
      <c r="C96" s="81">
        <v>43137</v>
      </c>
      <c r="D96" s="24">
        <v>1</v>
      </c>
      <c r="E96" s="23">
        <v>43139</v>
      </c>
      <c r="F96" s="89" t="s">
        <v>196</v>
      </c>
    </row>
    <row r="97" spans="1:6" hidden="1" x14ac:dyDescent="0.3">
      <c r="A97" s="90" t="s">
        <v>201</v>
      </c>
      <c r="B97" s="23">
        <v>43138</v>
      </c>
      <c r="C97" s="81">
        <v>43139</v>
      </c>
      <c r="D97" s="24">
        <v>1</v>
      </c>
      <c r="E97" s="23">
        <v>43139</v>
      </c>
      <c r="F97" s="89"/>
    </row>
    <row r="98" spans="1:6" hidden="1" x14ac:dyDescent="0.3">
      <c r="A98" s="90" t="s">
        <v>202</v>
      </c>
      <c r="B98" s="23">
        <v>43138</v>
      </c>
      <c r="C98" s="81">
        <v>43139</v>
      </c>
      <c r="D98" s="24">
        <v>1</v>
      </c>
      <c r="E98" s="91">
        <v>43139</v>
      </c>
      <c r="F98" s="89"/>
    </row>
    <row r="99" spans="1:6" hidden="1" x14ac:dyDescent="0.3">
      <c r="A99" s="92" t="s">
        <v>204</v>
      </c>
      <c r="B99" s="23">
        <v>43138</v>
      </c>
      <c r="C99" s="81">
        <v>43139</v>
      </c>
      <c r="D99" s="24">
        <v>1</v>
      </c>
      <c r="E99" s="23">
        <v>43139</v>
      </c>
      <c r="F99" s="89"/>
    </row>
    <row r="100" spans="1:6" hidden="1" x14ac:dyDescent="0.3">
      <c r="A100" s="92" t="s">
        <v>203</v>
      </c>
      <c r="B100" s="23">
        <v>43138</v>
      </c>
      <c r="C100" s="81">
        <v>43138</v>
      </c>
      <c r="D100" s="24">
        <v>1</v>
      </c>
      <c r="E100" s="23">
        <v>43139</v>
      </c>
      <c r="F100" s="89"/>
    </row>
    <row r="101" spans="1:6" hidden="1" x14ac:dyDescent="0.3">
      <c r="A101" s="93" t="s">
        <v>205</v>
      </c>
      <c r="B101" s="23">
        <v>43139</v>
      </c>
      <c r="C101" s="81">
        <v>43139</v>
      </c>
      <c r="D101" s="24">
        <v>1</v>
      </c>
      <c r="E101" s="23">
        <v>43144</v>
      </c>
      <c r="F101" s="94" t="s">
        <v>206</v>
      </c>
    </row>
    <row r="102" spans="1:6" hidden="1" x14ac:dyDescent="0.3">
      <c r="A102" s="93" t="s">
        <v>207</v>
      </c>
      <c r="B102" s="23">
        <v>43139</v>
      </c>
      <c r="C102" s="81">
        <v>43140</v>
      </c>
      <c r="D102" s="24">
        <v>1.5</v>
      </c>
      <c r="E102" s="23">
        <v>43144</v>
      </c>
      <c r="F102" s="96" t="s">
        <v>210</v>
      </c>
    </row>
    <row r="103" spans="1:6" x14ac:dyDescent="0.3">
      <c r="A103" s="95" t="s">
        <v>209</v>
      </c>
      <c r="B103" s="23">
        <v>43140</v>
      </c>
      <c r="C103" s="81">
        <v>43145</v>
      </c>
      <c r="D103" s="24">
        <v>0</v>
      </c>
      <c r="E103" s="23">
        <v>43160</v>
      </c>
      <c r="F103" s="89"/>
    </row>
    <row r="104" spans="1:6" hidden="1" x14ac:dyDescent="0.3">
      <c r="A104" s="102" t="s">
        <v>328</v>
      </c>
      <c r="B104" s="23">
        <v>43143</v>
      </c>
      <c r="C104" s="23">
        <v>43144</v>
      </c>
      <c r="D104" s="24">
        <v>1</v>
      </c>
      <c r="E104" s="23">
        <v>43160</v>
      </c>
      <c r="F104" s="56" t="s">
        <v>127</v>
      </c>
    </row>
    <row r="105" spans="1:6" hidden="1" x14ac:dyDescent="0.3">
      <c r="A105" s="97" t="s">
        <v>211</v>
      </c>
      <c r="B105" s="23">
        <v>43143</v>
      </c>
      <c r="C105" s="81">
        <v>43144</v>
      </c>
      <c r="D105" s="24">
        <v>1</v>
      </c>
      <c r="E105" s="23">
        <v>43160</v>
      </c>
      <c r="F105" s="60"/>
    </row>
    <row r="106" spans="1:6" x14ac:dyDescent="0.3">
      <c r="A106" s="102" t="s">
        <v>329</v>
      </c>
      <c r="B106" s="23">
        <v>43144</v>
      </c>
      <c r="C106" s="81">
        <v>43145</v>
      </c>
      <c r="D106" s="24">
        <v>0</v>
      </c>
      <c r="E106" s="23">
        <v>43160</v>
      </c>
      <c r="F106" s="96"/>
    </row>
    <row r="107" spans="1:6" hidden="1" x14ac:dyDescent="0.3">
      <c r="A107" s="97" t="s">
        <v>263</v>
      </c>
      <c r="B107" s="23">
        <v>43143</v>
      </c>
      <c r="C107" s="81">
        <v>43143</v>
      </c>
      <c r="D107" s="24">
        <v>1</v>
      </c>
      <c r="E107" s="23">
        <v>43160</v>
      </c>
      <c r="F107" s="96" t="s">
        <v>314</v>
      </c>
    </row>
    <row r="108" spans="1:6" x14ac:dyDescent="0.3">
      <c r="A108" s="97" t="s">
        <v>323</v>
      </c>
      <c r="B108" s="23">
        <v>43143</v>
      </c>
      <c r="C108" s="81">
        <v>43144</v>
      </c>
      <c r="D108" s="24">
        <v>0</v>
      </c>
      <c r="E108" s="23">
        <v>43160</v>
      </c>
      <c r="F108" s="96"/>
    </row>
    <row r="109" spans="1:6" hidden="1" x14ac:dyDescent="0.3">
      <c r="A109" s="102" t="s">
        <v>327</v>
      </c>
      <c r="B109" s="23">
        <v>43144</v>
      </c>
      <c r="C109" s="81">
        <v>43144</v>
      </c>
      <c r="D109" s="24">
        <v>1</v>
      </c>
      <c r="E109" s="23">
        <v>43160</v>
      </c>
      <c r="F109" s="96"/>
    </row>
    <row r="110" spans="1:6" x14ac:dyDescent="0.3">
      <c r="A110" s="102" t="s">
        <v>330</v>
      </c>
      <c r="B110" s="23">
        <v>43144</v>
      </c>
      <c r="C110" s="81">
        <v>43144</v>
      </c>
      <c r="D110" s="24">
        <v>0</v>
      </c>
      <c r="E110" s="23">
        <v>43160</v>
      </c>
      <c r="F110" s="96"/>
    </row>
    <row r="111" spans="1:6" hidden="1" x14ac:dyDescent="0.3">
      <c r="A111" s="102" t="s">
        <v>384</v>
      </c>
      <c r="B111" s="23">
        <v>43144</v>
      </c>
      <c r="C111" s="81">
        <v>43144</v>
      </c>
      <c r="D111" s="24">
        <v>1</v>
      </c>
      <c r="E111" s="23">
        <v>43160</v>
      </c>
      <c r="F111" s="96"/>
    </row>
    <row r="112" spans="1:6" x14ac:dyDescent="0.3">
      <c r="A112" s="97"/>
      <c r="B112" s="23"/>
      <c r="C112" s="81"/>
      <c r="D112" s="24"/>
      <c r="E112" s="23"/>
      <c r="F112" s="96"/>
    </row>
    <row r="113" spans="1:6" x14ac:dyDescent="0.3">
      <c r="A113" s="97"/>
      <c r="B113" s="23"/>
      <c r="C113" s="81"/>
      <c r="D113" s="24"/>
      <c r="E113" s="23"/>
      <c r="F113" s="96"/>
    </row>
    <row r="114" spans="1:6" x14ac:dyDescent="0.3">
      <c r="A114" s="85"/>
      <c r="B114" s="23"/>
      <c r="C114" s="81"/>
      <c r="D114" s="24"/>
      <c r="E114" s="23"/>
      <c r="F114" s="60"/>
    </row>
    <row r="115" spans="1:6" x14ac:dyDescent="0.3">
      <c r="B115" s="23"/>
      <c r="C115" s="23"/>
      <c r="D115" s="24"/>
      <c r="E115" s="23"/>
      <c r="F115" s="58"/>
    </row>
    <row r="116" spans="1:6" hidden="1" x14ac:dyDescent="0.3"/>
    <row r="117" spans="1:6" ht="14.4" hidden="1" customHeight="1" x14ac:dyDescent="0.3"/>
    <row r="118" spans="1:6" ht="14.4" hidden="1" customHeight="1" x14ac:dyDescent="0.3"/>
    <row r="119" spans="1:6" ht="14.4" hidden="1" customHeight="1" x14ac:dyDescent="0.3"/>
  </sheetData>
  <conditionalFormatting sqref="D2:D115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4"/>
  <sheetViews>
    <sheetView tabSelected="1" zoomScaleNormal="100" workbookViewId="0">
      <selection activeCell="O7" sqref="O7"/>
    </sheetView>
  </sheetViews>
  <sheetFormatPr defaultColWidth="8.88671875" defaultRowHeight="14.4" zeroHeight="1" x14ac:dyDescent="0.3"/>
  <cols>
    <col min="1" max="1" width="5.88671875" style="42" customWidth="1"/>
    <col min="2" max="2" width="10.109375" style="42" customWidth="1"/>
    <col min="3" max="3" width="8.109375" style="42" customWidth="1"/>
    <col min="4" max="9" width="4.77734375" style="42" customWidth="1"/>
    <col min="10" max="10" width="11" style="42" customWidth="1"/>
    <col min="11" max="14" width="4.77734375" style="42" customWidth="1"/>
    <col min="15" max="15" width="8.109375" customWidth="1"/>
    <col min="16" max="16" width="8.44140625" customWidth="1"/>
    <col min="17" max="17" width="53.88671875" style="42" customWidth="1"/>
    <col min="18" max="18" width="12.5546875" style="42" customWidth="1"/>
    <col min="19" max="19" width="13.88671875" style="42" customWidth="1"/>
    <col min="20" max="24" width="11.109375" style="42" customWidth="1"/>
  </cols>
  <sheetData>
    <row r="1" spans="1:24" ht="88.8" x14ac:dyDescent="0.3">
      <c r="A1" s="41" t="s">
        <v>107</v>
      </c>
      <c r="B1" s="41" t="s">
        <v>331</v>
      </c>
      <c r="C1" s="41" t="s">
        <v>115</v>
      </c>
      <c r="D1" s="41" t="s">
        <v>104</v>
      </c>
      <c r="E1" s="41" t="s">
        <v>332</v>
      </c>
      <c r="F1" s="41" t="s">
        <v>333</v>
      </c>
      <c r="G1" s="41" t="s">
        <v>105</v>
      </c>
      <c r="H1" s="41" t="s">
        <v>106</v>
      </c>
      <c r="I1" s="41" t="s">
        <v>114</v>
      </c>
      <c r="J1" s="41" t="s">
        <v>335</v>
      </c>
      <c r="K1" s="41" t="s">
        <v>336</v>
      </c>
      <c r="L1" s="41" t="s">
        <v>337</v>
      </c>
      <c r="M1" s="41" t="s">
        <v>338</v>
      </c>
      <c r="N1" s="41" t="s">
        <v>339</v>
      </c>
      <c r="O1" s="43" t="s">
        <v>428</v>
      </c>
      <c r="P1" s="43" t="s">
        <v>108</v>
      </c>
      <c r="Q1" s="43" t="s">
        <v>385</v>
      </c>
      <c r="R1" s="41" t="s">
        <v>109</v>
      </c>
      <c r="S1" s="41" t="s">
        <v>110</v>
      </c>
      <c r="T1" s="42" t="s">
        <v>111</v>
      </c>
      <c r="U1" s="42" t="s">
        <v>112</v>
      </c>
      <c r="V1" s="42" t="s">
        <v>113</v>
      </c>
      <c r="W1"/>
      <c r="X1"/>
    </row>
    <row r="2" spans="1:24" x14ac:dyDescent="0.3">
      <c r="A2" s="106">
        <v>1</v>
      </c>
      <c r="B2" s="42">
        <v>24000000</v>
      </c>
      <c r="C2" s="42">
        <v>7.0000000000000001E-3</v>
      </c>
      <c r="D2" s="42">
        <v>0.2</v>
      </c>
      <c r="E2" s="42">
        <v>30</v>
      </c>
      <c r="F2" s="42">
        <v>0</v>
      </c>
      <c r="G2" s="42" t="s">
        <v>116</v>
      </c>
      <c r="H2" s="42">
        <v>3</v>
      </c>
      <c r="I2" s="42">
        <v>1</v>
      </c>
      <c r="J2" s="126">
        <f>POWER(POWER(Table2[[#This Row],[log10(mv)]],4)/10,0.25)</f>
        <v>3.9363892763324441E-3</v>
      </c>
      <c r="K2" s="42">
        <v>0</v>
      </c>
      <c r="L2" s="42">
        <v>55</v>
      </c>
      <c r="M2" s="42">
        <v>-1</v>
      </c>
      <c r="N2" s="42">
        <v>4</v>
      </c>
      <c r="O2" s="42"/>
      <c r="P2" s="42"/>
      <c r="Q2" s="107" t="s">
        <v>386</v>
      </c>
      <c r="W2"/>
      <c r="X2"/>
    </row>
    <row r="3" spans="1:24" x14ac:dyDescent="0.3">
      <c r="A3" s="106">
        <v>2</v>
      </c>
      <c r="B3" s="42">
        <v>24000000</v>
      </c>
      <c r="C3" s="42">
        <v>7.0000000000000001E-3</v>
      </c>
      <c r="D3" s="42">
        <v>0.5</v>
      </c>
      <c r="E3" s="42">
        <v>30</v>
      </c>
      <c r="F3" s="42">
        <v>0</v>
      </c>
      <c r="G3" s="42" t="s">
        <v>116</v>
      </c>
      <c r="H3" s="42">
        <v>3</v>
      </c>
      <c r="I3" s="42">
        <v>1</v>
      </c>
      <c r="J3" s="126">
        <f>POWER(POWER(Table2[[#This Row],[log10(mv)]],4)/10,0.25)</f>
        <v>3.9363892763324441E-3</v>
      </c>
      <c r="K3" s="42">
        <v>0</v>
      </c>
      <c r="L3" s="42">
        <v>55</v>
      </c>
      <c r="M3" s="42">
        <v>-1</v>
      </c>
      <c r="N3" s="42">
        <v>4</v>
      </c>
      <c r="O3" s="109"/>
      <c r="P3" s="42"/>
      <c r="Q3" s="107" t="s">
        <v>387</v>
      </c>
      <c r="W3"/>
      <c r="X3"/>
    </row>
    <row r="4" spans="1:24" x14ac:dyDescent="0.3">
      <c r="A4" s="106">
        <v>3</v>
      </c>
      <c r="B4" s="42">
        <v>24000000</v>
      </c>
      <c r="C4" s="42">
        <v>7.0000000000000001E-3</v>
      </c>
      <c r="D4" s="42">
        <v>1</v>
      </c>
      <c r="E4" s="42">
        <v>30</v>
      </c>
      <c r="F4" s="42">
        <v>0</v>
      </c>
      <c r="G4" s="42" t="s">
        <v>116</v>
      </c>
      <c r="H4" s="42">
        <v>3</v>
      </c>
      <c r="I4" s="42">
        <v>1</v>
      </c>
      <c r="J4" s="126">
        <f>POWER(POWER(Table2[[#This Row],[log10(mv)]],4)/10,0.25)</f>
        <v>3.9363892763324441E-3</v>
      </c>
      <c r="K4" s="42">
        <v>0</v>
      </c>
      <c r="L4" s="42">
        <v>55</v>
      </c>
      <c r="M4" s="42">
        <v>-1</v>
      </c>
      <c r="N4" s="42">
        <v>4</v>
      </c>
      <c r="O4" s="109"/>
      <c r="P4" s="42"/>
      <c r="Q4" s="107" t="s">
        <v>388</v>
      </c>
      <c r="W4"/>
      <c r="X4"/>
    </row>
    <row r="5" spans="1:24" x14ac:dyDescent="0.3">
      <c r="A5" s="106">
        <v>4</v>
      </c>
      <c r="B5" s="42">
        <v>24000000</v>
      </c>
      <c r="C5" s="42">
        <v>7.0000000000000001E-3</v>
      </c>
      <c r="D5" s="42">
        <v>2</v>
      </c>
      <c r="E5" s="42">
        <v>30</v>
      </c>
      <c r="F5" s="42">
        <v>0</v>
      </c>
      <c r="G5" s="42" t="s">
        <v>116</v>
      </c>
      <c r="H5" s="42">
        <v>3</v>
      </c>
      <c r="I5" s="42">
        <v>1</v>
      </c>
      <c r="J5" s="126">
        <f>POWER(POWER(Table2[[#This Row],[log10(mv)]],4)/10,0.25)</f>
        <v>3.9363892763324441E-3</v>
      </c>
      <c r="K5" s="42">
        <v>0</v>
      </c>
      <c r="L5" s="42">
        <v>55</v>
      </c>
      <c r="M5" s="42">
        <v>-1</v>
      </c>
      <c r="N5" s="42">
        <v>4</v>
      </c>
      <c r="O5" s="109"/>
      <c r="P5" s="42"/>
      <c r="Q5" s="107" t="s">
        <v>389</v>
      </c>
      <c r="W5"/>
      <c r="X5"/>
    </row>
    <row r="6" spans="1:24" x14ac:dyDescent="0.3">
      <c r="A6" s="106">
        <v>5</v>
      </c>
      <c r="B6" s="42">
        <v>24000000</v>
      </c>
      <c r="C6" s="42">
        <v>7.0000000000000001E-3</v>
      </c>
      <c r="D6" s="42">
        <v>5</v>
      </c>
      <c r="E6" s="42">
        <v>30</v>
      </c>
      <c r="F6" s="42">
        <v>0</v>
      </c>
      <c r="G6" s="42" t="s">
        <v>116</v>
      </c>
      <c r="H6" s="42">
        <v>3</v>
      </c>
      <c r="I6" s="42">
        <v>1</v>
      </c>
      <c r="J6" s="126">
        <f>POWER(POWER(Table2[[#This Row],[log10(mv)]],4)/10,0.25)</f>
        <v>3.9363892763324441E-3</v>
      </c>
      <c r="K6" s="42">
        <v>0</v>
      </c>
      <c r="L6" s="42">
        <v>55</v>
      </c>
      <c r="M6" s="42">
        <v>-1</v>
      </c>
      <c r="N6" s="42">
        <v>4</v>
      </c>
      <c r="O6" s="42"/>
      <c r="P6" s="42"/>
      <c r="Q6" s="107" t="s">
        <v>390</v>
      </c>
      <c r="W6"/>
      <c r="X6"/>
    </row>
    <row r="7" spans="1:24" x14ac:dyDescent="0.3">
      <c r="A7" s="106">
        <v>6</v>
      </c>
      <c r="B7" s="42">
        <v>24000000</v>
      </c>
      <c r="C7" s="42">
        <v>7.0000000000000001E-3</v>
      </c>
      <c r="D7" s="42">
        <v>10</v>
      </c>
      <c r="E7" s="42">
        <v>30</v>
      </c>
      <c r="F7" s="42">
        <v>0</v>
      </c>
      <c r="G7" s="42" t="s">
        <v>116</v>
      </c>
      <c r="H7" s="42">
        <v>3</v>
      </c>
      <c r="I7" s="42">
        <v>1</v>
      </c>
      <c r="J7" s="126">
        <f>POWER(POWER(Table2[[#This Row],[log10(mv)]],4)/10,0.25)</f>
        <v>3.9363892763324441E-3</v>
      </c>
      <c r="K7" s="42">
        <v>0</v>
      </c>
      <c r="L7" s="42">
        <v>55</v>
      </c>
      <c r="M7" s="42">
        <v>-1</v>
      </c>
      <c r="N7" s="42">
        <v>4</v>
      </c>
      <c r="O7" s="42"/>
      <c r="P7" s="42"/>
      <c r="Q7" s="107" t="s">
        <v>391</v>
      </c>
      <c r="W7"/>
      <c r="X7"/>
    </row>
    <row r="8" spans="1:24" x14ac:dyDescent="0.3">
      <c r="A8" s="106">
        <v>7</v>
      </c>
      <c r="B8" s="42">
        <v>24000000</v>
      </c>
      <c r="C8" s="42">
        <v>7.0000000000000001E-3</v>
      </c>
      <c r="D8" s="42">
        <v>20</v>
      </c>
      <c r="E8" s="42">
        <v>30</v>
      </c>
      <c r="F8" s="42">
        <v>0</v>
      </c>
      <c r="G8" s="42" t="s">
        <v>116</v>
      </c>
      <c r="H8" s="42">
        <v>3</v>
      </c>
      <c r="I8" s="42">
        <v>1</v>
      </c>
      <c r="J8" s="126">
        <f>POWER(POWER(Table2[[#This Row],[log10(mv)]],4)/10,0.25)</f>
        <v>3.9363892763324441E-3</v>
      </c>
      <c r="K8" s="42">
        <v>0</v>
      </c>
      <c r="L8" s="42">
        <v>55</v>
      </c>
      <c r="M8" s="42">
        <v>-1</v>
      </c>
      <c r="N8" s="42">
        <v>4</v>
      </c>
      <c r="O8" s="42"/>
      <c r="P8" s="42"/>
      <c r="Q8" s="107" t="s">
        <v>392</v>
      </c>
      <c r="W8"/>
      <c r="X8"/>
    </row>
    <row r="9" spans="1:24" x14ac:dyDescent="0.3">
      <c r="A9" s="106"/>
      <c r="J9" s="126"/>
      <c r="O9" s="42"/>
      <c r="P9" s="42"/>
      <c r="Q9" s="107"/>
      <c r="W9"/>
      <c r="X9"/>
    </row>
    <row r="10" spans="1:24" x14ac:dyDescent="0.3">
      <c r="A10" s="106"/>
      <c r="J10" s="126"/>
      <c r="O10" s="42"/>
      <c r="P10" s="42"/>
      <c r="Q10" s="107"/>
      <c r="W10"/>
      <c r="X10"/>
    </row>
    <row r="11" spans="1:24" x14ac:dyDescent="0.3">
      <c r="A11" s="106"/>
      <c r="J11" s="126"/>
      <c r="O11" s="42"/>
      <c r="P11" s="42"/>
      <c r="Q11" s="107"/>
      <c r="W11"/>
      <c r="X11"/>
    </row>
    <row r="12" spans="1:24" x14ac:dyDescent="0.3">
      <c r="A12" s="106"/>
      <c r="J12" s="126"/>
      <c r="O12" s="42"/>
      <c r="P12" s="42"/>
      <c r="Q12" s="107"/>
      <c r="W12"/>
      <c r="X12"/>
    </row>
    <row r="13" spans="1:24" x14ac:dyDescent="0.3">
      <c r="A13" s="106"/>
      <c r="J13" s="126"/>
      <c r="O13" s="42"/>
      <c r="P13" s="42"/>
      <c r="Q13" s="107"/>
      <c r="W13"/>
      <c r="X13"/>
    </row>
    <row r="14" spans="1:24" x14ac:dyDescent="0.3">
      <c r="A14" s="106"/>
      <c r="J14" s="126"/>
      <c r="O14" s="42"/>
      <c r="P14" s="42"/>
      <c r="Q14" s="107"/>
      <c r="W14"/>
      <c r="X14"/>
    </row>
    <row r="15" spans="1:24" x14ac:dyDescent="0.3">
      <c r="A15" s="106"/>
      <c r="J15" s="126"/>
      <c r="O15" s="42"/>
      <c r="P15" s="42"/>
      <c r="Q15" s="107"/>
      <c r="W15"/>
      <c r="X15"/>
    </row>
    <row r="16" spans="1:24" x14ac:dyDescent="0.3">
      <c r="A16" s="106"/>
      <c r="J16" s="126"/>
      <c r="O16" s="42"/>
      <c r="P16" s="42"/>
      <c r="Q16" s="107"/>
      <c r="W16"/>
      <c r="X16"/>
    </row>
    <row r="17" spans="1:24" x14ac:dyDescent="0.3">
      <c r="A17" s="106"/>
      <c r="J17" s="126"/>
      <c r="O17" s="42"/>
      <c r="P17" s="42"/>
      <c r="Q17" s="107"/>
      <c r="W17"/>
      <c r="X17"/>
    </row>
    <row r="18" spans="1:24" x14ac:dyDescent="0.3">
      <c r="A18" s="106"/>
      <c r="J18" s="126"/>
      <c r="O18" s="42"/>
      <c r="P18" s="42"/>
      <c r="Q18" s="107"/>
      <c r="W18"/>
      <c r="X18"/>
    </row>
    <row r="19" spans="1:24" x14ac:dyDescent="0.3">
      <c r="A19" s="106"/>
      <c r="J19" s="126"/>
      <c r="O19" s="42"/>
      <c r="P19" s="42"/>
      <c r="Q19" s="107"/>
      <c r="W19"/>
      <c r="X19"/>
    </row>
    <row r="20" spans="1:24" x14ac:dyDescent="0.3">
      <c r="A20" s="106"/>
      <c r="J20" s="126"/>
      <c r="O20" s="42"/>
      <c r="P20" s="42"/>
      <c r="Q20" s="107"/>
      <c r="W20"/>
      <c r="X20"/>
    </row>
    <row r="21" spans="1:24" x14ac:dyDescent="0.3">
      <c r="A21" s="106"/>
      <c r="J21" s="126"/>
      <c r="O21" s="42"/>
      <c r="P21" s="42"/>
      <c r="Q21" s="107"/>
      <c r="W21"/>
      <c r="X21"/>
    </row>
    <row r="22" spans="1:24" x14ac:dyDescent="0.3">
      <c r="A22" s="106"/>
      <c r="J22" s="126"/>
      <c r="O22" s="42"/>
      <c r="P22" s="42"/>
      <c r="Q22" s="107"/>
      <c r="W22"/>
      <c r="X22"/>
    </row>
    <row r="23" spans="1:24" x14ac:dyDescent="0.3">
      <c r="A23" s="106"/>
      <c r="J23" s="126"/>
      <c r="O23" s="42"/>
      <c r="P23" s="42"/>
      <c r="Q23" s="107"/>
      <c r="W23"/>
      <c r="X23"/>
    </row>
    <row r="24" spans="1:24" x14ac:dyDescent="0.3">
      <c r="A24" s="106"/>
      <c r="J24" s="126"/>
      <c r="O24" s="42"/>
      <c r="P24" s="42"/>
      <c r="Q24" s="107"/>
      <c r="W24"/>
      <c r="X24"/>
    </row>
    <row r="25" spans="1:24" x14ac:dyDescent="0.3">
      <c r="A25" s="106"/>
      <c r="J25" s="126"/>
      <c r="O25" s="42"/>
      <c r="P25" s="42"/>
      <c r="Q25" s="107"/>
      <c r="W25"/>
      <c r="X25"/>
    </row>
    <row r="26" spans="1:24" x14ac:dyDescent="0.3">
      <c r="A26" s="106"/>
      <c r="J26" s="126"/>
      <c r="O26" s="42"/>
      <c r="P26" s="42"/>
      <c r="Q26" s="107"/>
      <c r="W26"/>
      <c r="X26"/>
    </row>
    <row r="27" spans="1:24" x14ac:dyDescent="0.3">
      <c r="A27" s="106"/>
      <c r="J27" s="126"/>
      <c r="O27" s="42"/>
      <c r="P27" s="42"/>
      <c r="Q27" s="107"/>
      <c r="W27"/>
      <c r="X27"/>
    </row>
    <row r="28" spans="1:24" x14ac:dyDescent="0.3">
      <c r="A28" s="106"/>
      <c r="J28" s="126"/>
      <c r="O28" s="42"/>
      <c r="P28" s="42"/>
      <c r="Q28" s="107"/>
      <c r="W28"/>
      <c r="X28"/>
    </row>
    <row r="29" spans="1:24" x14ac:dyDescent="0.3">
      <c r="A29" s="106"/>
      <c r="J29" s="126"/>
      <c r="O29" s="42"/>
      <c r="P29" s="42"/>
      <c r="Q29" s="107"/>
      <c r="W29"/>
      <c r="X29"/>
    </row>
    <row r="30" spans="1:24" x14ac:dyDescent="0.3">
      <c r="A30" s="106"/>
      <c r="J30" s="126"/>
      <c r="O30" s="42"/>
      <c r="P30" s="42"/>
      <c r="Q30" s="107"/>
      <c r="W30"/>
      <c r="X30"/>
    </row>
    <row r="31" spans="1:24" x14ac:dyDescent="0.3">
      <c r="A31" s="106"/>
      <c r="J31" s="126"/>
      <c r="O31" s="42"/>
      <c r="P31" s="42"/>
      <c r="Q31" s="107"/>
      <c r="W31"/>
      <c r="X31"/>
    </row>
    <row r="32" spans="1:24" x14ac:dyDescent="0.3">
      <c r="A32" s="106"/>
      <c r="J32" s="126"/>
      <c r="O32" s="42"/>
      <c r="P32" s="42"/>
      <c r="Q32" s="107"/>
      <c r="W32"/>
      <c r="X32"/>
    </row>
    <row r="33" spans="1:24" x14ac:dyDescent="0.3">
      <c r="A33" s="106"/>
      <c r="J33" s="126"/>
      <c r="O33" s="42"/>
      <c r="P33" s="42"/>
      <c r="Q33" s="107"/>
      <c r="W33"/>
      <c r="X33"/>
    </row>
    <row r="34" spans="1:24" hidden="1" x14ac:dyDescent="0.3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topLeftCell="A7"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212</v>
      </c>
      <c r="B1" t="s">
        <v>213</v>
      </c>
      <c r="C1" t="s">
        <v>214</v>
      </c>
      <c r="D1" t="s">
        <v>215</v>
      </c>
      <c r="E1" s="44" t="s">
        <v>121</v>
      </c>
    </row>
    <row r="2" spans="1:5" x14ac:dyDescent="0.3">
      <c r="A2" s="99" t="s">
        <v>249</v>
      </c>
      <c r="B2" s="100" t="s">
        <v>250</v>
      </c>
      <c r="C2" s="101">
        <v>128</v>
      </c>
      <c r="D2" s="98">
        <v>1</v>
      </c>
      <c r="E2" s="100" t="s">
        <v>251</v>
      </c>
    </row>
    <row r="3" spans="1:5" x14ac:dyDescent="0.3">
      <c r="A3" s="99" t="s">
        <v>249</v>
      </c>
      <c r="B3" s="100" t="s">
        <v>250</v>
      </c>
      <c r="C3" s="101">
        <v>129</v>
      </c>
      <c r="D3" s="98">
        <v>1</v>
      </c>
      <c r="E3" s="100" t="s">
        <v>252</v>
      </c>
    </row>
    <row r="4" spans="1:5" x14ac:dyDescent="0.3">
      <c r="A4" s="99" t="s">
        <v>249</v>
      </c>
      <c r="B4" s="100" t="s">
        <v>250</v>
      </c>
      <c r="C4" s="101">
        <v>137</v>
      </c>
      <c r="D4" s="98">
        <v>1</v>
      </c>
      <c r="E4" s="100" t="s">
        <v>253</v>
      </c>
    </row>
    <row r="5" spans="1:5" x14ac:dyDescent="0.3">
      <c r="A5" s="99" t="s">
        <v>249</v>
      </c>
      <c r="B5" s="100" t="s">
        <v>250</v>
      </c>
      <c r="C5" s="101">
        <v>139</v>
      </c>
      <c r="D5" s="98">
        <v>1</v>
      </c>
      <c r="E5" s="100" t="s">
        <v>254</v>
      </c>
    </row>
    <row r="6" spans="1:5" x14ac:dyDescent="0.3">
      <c r="A6" s="99" t="s">
        <v>249</v>
      </c>
      <c r="B6" s="100" t="s">
        <v>259</v>
      </c>
      <c r="C6" s="101">
        <v>508</v>
      </c>
      <c r="D6" s="98">
        <v>1</v>
      </c>
      <c r="E6" s="100" t="s">
        <v>260</v>
      </c>
    </row>
    <row r="7" spans="1:5" x14ac:dyDescent="0.3">
      <c r="A7" s="99" t="s">
        <v>249</v>
      </c>
      <c r="B7" s="100" t="s">
        <v>259</v>
      </c>
      <c r="C7" s="101">
        <v>510</v>
      </c>
      <c r="D7" s="98">
        <v>1</v>
      </c>
      <c r="E7" s="100" t="s">
        <v>326</v>
      </c>
    </row>
    <row r="8" spans="1:5" x14ac:dyDescent="0.3">
      <c r="A8" s="99" t="s">
        <v>249</v>
      </c>
      <c r="B8" s="100" t="s">
        <v>259</v>
      </c>
      <c r="C8" s="101">
        <v>529</v>
      </c>
      <c r="D8" s="98">
        <v>1</v>
      </c>
      <c r="E8" s="100" t="s">
        <v>262</v>
      </c>
    </row>
    <row r="9" spans="1:5" x14ac:dyDescent="0.3">
      <c r="A9" s="99" t="s">
        <v>249</v>
      </c>
      <c r="B9" s="100" t="s">
        <v>259</v>
      </c>
      <c r="C9" s="101">
        <v>533</v>
      </c>
      <c r="D9" s="98">
        <v>1</v>
      </c>
      <c r="E9" s="100" t="s">
        <v>311</v>
      </c>
    </row>
    <row r="10" spans="1:5" x14ac:dyDescent="0.3">
      <c r="A10" s="99" t="s">
        <v>249</v>
      </c>
      <c r="B10" s="100" t="s">
        <v>259</v>
      </c>
      <c r="C10" s="101">
        <v>548</v>
      </c>
      <c r="D10" s="98">
        <v>1</v>
      </c>
      <c r="E10" s="100" t="s">
        <v>264</v>
      </c>
    </row>
    <row r="11" spans="1:5" x14ac:dyDescent="0.3">
      <c r="A11" s="99" t="s">
        <v>249</v>
      </c>
      <c r="B11" s="100" t="s">
        <v>266</v>
      </c>
      <c r="C11" s="101">
        <v>576</v>
      </c>
      <c r="D11" s="98">
        <v>1</v>
      </c>
      <c r="E11" s="100" t="s">
        <v>265</v>
      </c>
    </row>
    <row r="12" spans="1:5" x14ac:dyDescent="0.3">
      <c r="A12" s="99" t="s">
        <v>249</v>
      </c>
      <c r="B12" s="100" t="s">
        <v>266</v>
      </c>
      <c r="C12" s="101">
        <v>656</v>
      </c>
      <c r="D12" s="98">
        <v>1</v>
      </c>
      <c r="E12" s="100" t="s">
        <v>267</v>
      </c>
    </row>
    <row r="13" spans="1:5" x14ac:dyDescent="0.3">
      <c r="A13" s="99" t="s">
        <v>249</v>
      </c>
      <c r="B13" s="100" t="s">
        <v>266</v>
      </c>
      <c r="C13" s="101">
        <v>658</v>
      </c>
      <c r="D13" s="98">
        <v>1</v>
      </c>
      <c r="E13" s="100" t="s">
        <v>268</v>
      </c>
    </row>
    <row r="14" spans="1:5" x14ac:dyDescent="0.3">
      <c r="A14" s="99" t="s">
        <v>249</v>
      </c>
      <c r="B14" s="100" t="s">
        <v>266</v>
      </c>
      <c r="C14" s="101">
        <v>696</v>
      </c>
      <c r="D14" s="98">
        <v>1</v>
      </c>
      <c r="E14" s="100" t="s">
        <v>269</v>
      </c>
    </row>
    <row r="15" spans="1:5" x14ac:dyDescent="0.3">
      <c r="A15" s="99" t="s">
        <v>249</v>
      </c>
      <c r="B15" s="100" t="s">
        <v>266</v>
      </c>
      <c r="C15" s="101">
        <v>697</v>
      </c>
      <c r="D15" s="98">
        <v>1</v>
      </c>
      <c r="E15" s="100" t="s">
        <v>312</v>
      </c>
    </row>
    <row r="16" spans="1:5" x14ac:dyDescent="0.3">
      <c r="A16" s="99" t="s">
        <v>249</v>
      </c>
      <c r="B16" s="100" t="s">
        <v>266</v>
      </c>
      <c r="C16" s="101">
        <v>731</v>
      </c>
      <c r="D16" s="98">
        <v>1</v>
      </c>
      <c r="E16" s="100" t="s">
        <v>270</v>
      </c>
    </row>
    <row r="17" spans="1:5" x14ac:dyDescent="0.3">
      <c r="A17" s="99" t="s">
        <v>249</v>
      </c>
      <c r="B17" s="100" t="s">
        <v>266</v>
      </c>
      <c r="C17" s="101">
        <v>766</v>
      </c>
      <c r="D17" s="98">
        <v>1</v>
      </c>
      <c r="E17" s="100" t="s">
        <v>316</v>
      </c>
    </row>
    <row r="18" spans="1:5" x14ac:dyDescent="0.3">
      <c r="A18" s="99" t="s">
        <v>249</v>
      </c>
      <c r="B18" s="100" t="s">
        <v>266</v>
      </c>
      <c r="C18" s="101">
        <v>839</v>
      </c>
      <c r="D18" s="98">
        <v>1</v>
      </c>
      <c r="E18" s="100" t="s">
        <v>320</v>
      </c>
    </row>
    <row r="19" spans="1:5" x14ac:dyDescent="0.3">
      <c r="A19" s="99" t="s">
        <v>249</v>
      </c>
      <c r="B19" s="100" t="s">
        <v>266</v>
      </c>
      <c r="C19" s="101">
        <v>856</v>
      </c>
      <c r="D19" s="98">
        <v>1</v>
      </c>
      <c r="E19" s="100" t="s">
        <v>324</v>
      </c>
    </row>
    <row r="20" spans="1:5" x14ac:dyDescent="0.3">
      <c r="A20" s="99" t="s">
        <v>249</v>
      </c>
      <c r="B20" s="100" t="s">
        <v>271</v>
      </c>
      <c r="C20" s="101">
        <v>888</v>
      </c>
      <c r="D20" s="98">
        <v>1</v>
      </c>
      <c r="E20" s="100" t="s">
        <v>272</v>
      </c>
    </row>
    <row r="21" spans="1:5" x14ac:dyDescent="0.3">
      <c r="A21" s="99" t="s">
        <v>249</v>
      </c>
      <c r="B21" s="100" t="s">
        <v>271</v>
      </c>
      <c r="C21" s="101">
        <v>898</v>
      </c>
      <c r="D21" s="98">
        <v>1</v>
      </c>
      <c r="E21" s="100" t="s">
        <v>317</v>
      </c>
    </row>
    <row r="22" spans="1:5" x14ac:dyDescent="0.3">
      <c r="A22" s="99" t="s">
        <v>249</v>
      </c>
      <c r="B22" s="100" t="s">
        <v>271</v>
      </c>
      <c r="C22" s="101">
        <v>913</v>
      </c>
      <c r="D22" s="98">
        <v>1</v>
      </c>
      <c r="E22" s="100" t="s">
        <v>273</v>
      </c>
    </row>
    <row r="23" spans="1:5" x14ac:dyDescent="0.3">
      <c r="A23" s="99" t="s">
        <v>249</v>
      </c>
      <c r="B23" s="100" t="s">
        <v>271</v>
      </c>
      <c r="C23" s="101">
        <v>937</v>
      </c>
      <c r="D23" s="99">
        <v>1</v>
      </c>
      <c r="E23" s="100" t="s">
        <v>274</v>
      </c>
    </row>
    <row r="24" spans="1:5" x14ac:dyDescent="0.3">
      <c r="A24" s="99" t="s">
        <v>249</v>
      </c>
      <c r="B24" s="100" t="s">
        <v>271</v>
      </c>
      <c r="C24" s="101">
        <v>1008</v>
      </c>
      <c r="D24" s="99">
        <v>1</v>
      </c>
      <c r="E24" s="100" t="s">
        <v>275</v>
      </c>
    </row>
    <row r="25" spans="1:5" x14ac:dyDescent="0.3">
      <c r="A25" s="99" t="s">
        <v>249</v>
      </c>
      <c r="B25" s="100" t="s">
        <v>278</v>
      </c>
      <c r="C25" s="101">
        <v>1095</v>
      </c>
      <c r="D25" s="99">
        <v>1</v>
      </c>
      <c r="E25" s="100" t="s">
        <v>279</v>
      </c>
    </row>
    <row r="26" spans="1:5" x14ac:dyDescent="0.3">
      <c r="A26" s="99" t="s">
        <v>249</v>
      </c>
      <c r="B26" s="100" t="s">
        <v>278</v>
      </c>
      <c r="C26" s="101">
        <v>1096</v>
      </c>
      <c r="D26" s="99">
        <v>1</v>
      </c>
      <c r="E26" s="100" t="s">
        <v>319</v>
      </c>
    </row>
    <row r="27" spans="1:5" x14ac:dyDescent="0.3">
      <c r="A27" s="99" t="s">
        <v>249</v>
      </c>
      <c r="B27" s="100" t="s">
        <v>278</v>
      </c>
      <c r="C27" s="101">
        <v>1097</v>
      </c>
      <c r="D27" s="99">
        <v>1</v>
      </c>
      <c r="E27" s="100" t="s">
        <v>280</v>
      </c>
    </row>
    <row r="28" spans="1:5" x14ac:dyDescent="0.3">
      <c r="A28" s="99" t="s">
        <v>249</v>
      </c>
      <c r="B28" s="100" t="s">
        <v>278</v>
      </c>
      <c r="C28" s="101">
        <v>1119</v>
      </c>
      <c r="D28" s="98">
        <v>1</v>
      </c>
      <c r="E28" s="100" t="s">
        <v>318</v>
      </c>
    </row>
    <row r="29" spans="1:5" x14ac:dyDescent="0.3">
      <c r="A29" s="99" t="s">
        <v>249</v>
      </c>
      <c r="B29" s="100" t="s">
        <v>281</v>
      </c>
      <c r="C29" s="101">
        <v>1157</v>
      </c>
      <c r="D29" s="98">
        <v>1</v>
      </c>
      <c r="E29" s="100" t="s">
        <v>272</v>
      </c>
    </row>
    <row r="30" spans="1:5" x14ac:dyDescent="0.3">
      <c r="A30" s="99" t="s">
        <v>249</v>
      </c>
      <c r="B30" s="100" t="s">
        <v>281</v>
      </c>
      <c r="C30" s="101">
        <v>1176</v>
      </c>
      <c r="D30" s="98">
        <v>1</v>
      </c>
      <c r="E30" s="100" t="s">
        <v>282</v>
      </c>
    </row>
    <row r="31" spans="1:5" x14ac:dyDescent="0.3">
      <c r="A31" s="99" t="s">
        <v>249</v>
      </c>
      <c r="B31" s="100" t="s">
        <v>281</v>
      </c>
      <c r="C31" s="101">
        <v>1178</v>
      </c>
      <c r="D31" s="98">
        <v>1</v>
      </c>
      <c r="E31" s="100" t="s">
        <v>283</v>
      </c>
    </row>
    <row r="32" spans="1:5" x14ac:dyDescent="0.3">
      <c r="A32" s="99" t="s">
        <v>249</v>
      </c>
      <c r="B32" s="100" t="s">
        <v>281</v>
      </c>
      <c r="C32" s="101">
        <v>1218</v>
      </c>
      <c r="D32" s="98">
        <v>1</v>
      </c>
      <c r="E32" s="100" t="s">
        <v>284</v>
      </c>
    </row>
    <row r="33" spans="1:5" x14ac:dyDescent="0.3">
      <c r="A33" s="99" t="s">
        <v>249</v>
      </c>
      <c r="B33" s="100" t="s">
        <v>286</v>
      </c>
      <c r="C33" s="101">
        <v>1271</v>
      </c>
      <c r="D33" s="98">
        <v>1</v>
      </c>
      <c r="E33" s="100" t="s">
        <v>285</v>
      </c>
    </row>
    <row r="34" spans="1:5" x14ac:dyDescent="0.3">
      <c r="A34" s="99" t="s">
        <v>249</v>
      </c>
      <c r="B34" s="100" t="s">
        <v>286</v>
      </c>
      <c r="C34" s="101">
        <v>1290</v>
      </c>
      <c r="D34" s="98">
        <v>1</v>
      </c>
      <c r="E34" s="100" t="s">
        <v>282</v>
      </c>
    </row>
    <row r="35" spans="1:5" x14ac:dyDescent="0.3">
      <c r="A35" s="99" t="s">
        <v>249</v>
      </c>
      <c r="B35" s="100" t="s">
        <v>286</v>
      </c>
      <c r="C35" s="101">
        <v>1292</v>
      </c>
      <c r="D35" s="98">
        <v>1</v>
      </c>
      <c r="E35" s="100" t="s">
        <v>283</v>
      </c>
    </row>
    <row r="36" spans="1:5" x14ac:dyDescent="0.3">
      <c r="A36" s="99" t="s">
        <v>249</v>
      </c>
      <c r="B36" s="100" t="s">
        <v>286</v>
      </c>
      <c r="C36" s="101">
        <v>1312</v>
      </c>
      <c r="D36" s="98">
        <v>1</v>
      </c>
      <c r="E36" s="100" t="s">
        <v>287</v>
      </c>
    </row>
    <row r="37" spans="1:5" x14ac:dyDescent="0.3">
      <c r="A37" s="99" t="s">
        <v>249</v>
      </c>
      <c r="B37" s="100" t="s">
        <v>289</v>
      </c>
      <c r="C37" s="101">
        <v>1351</v>
      </c>
      <c r="D37" s="98">
        <v>1</v>
      </c>
      <c r="E37" s="100" t="s">
        <v>288</v>
      </c>
    </row>
    <row r="38" spans="1:5" x14ac:dyDescent="0.3">
      <c r="A38" s="99" t="s">
        <v>249</v>
      </c>
      <c r="B38" s="100" t="s">
        <v>289</v>
      </c>
      <c r="C38" s="101">
        <v>1353</v>
      </c>
      <c r="D38" s="98">
        <v>1</v>
      </c>
      <c r="E38" s="100" t="s">
        <v>290</v>
      </c>
    </row>
    <row r="39" spans="1:5" x14ac:dyDescent="0.3">
      <c r="A39" s="99" t="s">
        <v>249</v>
      </c>
      <c r="B39" s="100" t="s">
        <v>300</v>
      </c>
      <c r="C39" s="101">
        <v>1377</v>
      </c>
      <c r="D39" s="98">
        <v>1</v>
      </c>
      <c r="E39" s="100" t="s">
        <v>291</v>
      </c>
    </row>
    <row r="40" spans="1:5" x14ac:dyDescent="0.3">
      <c r="A40" s="99" t="s">
        <v>249</v>
      </c>
      <c r="B40" s="100" t="s">
        <v>300</v>
      </c>
      <c r="C40" s="101">
        <v>1378</v>
      </c>
      <c r="D40" s="98">
        <v>1</v>
      </c>
      <c r="E40" s="100" t="s">
        <v>292</v>
      </c>
    </row>
    <row r="41" spans="1:5" x14ac:dyDescent="0.3">
      <c r="A41" s="99" t="s">
        <v>249</v>
      </c>
      <c r="B41" s="100" t="s">
        <v>300</v>
      </c>
      <c r="C41" s="101">
        <v>1379</v>
      </c>
      <c r="D41" s="98">
        <v>1</v>
      </c>
      <c r="E41" s="100" t="s">
        <v>293</v>
      </c>
    </row>
    <row r="42" spans="1:5" x14ac:dyDescent="0.3">
      <c r="A42" s="99" t="s">
        <v>249</v>
      </c>
      <c r="B42" s="100" t="s">
        <v>300</v>
      </c>
      <c r="C42" s="101">
        <v>1381</v>
      </c>
      <c r="D42" s="98">
        <v>1</v>
      </c>
      <c r="E42" s="100" t="s">
        <v>325</v>
      </c>
    </row>
    <row r="43" spans="1:5" x14ac:dyDescent="0.3">
      <c r="A43" s="99" t="s">
        <v>249</v>
      </c>
      <c r="B43" s="100" t="s">
        <v>300</v>
      </c>
      <c r="C43" s="101">
        <v>1382</v>
      </c>
      <c r="D43" s="98">
        <v>1</v>
      </c>
      <c r="E43" s="100" t="s">
        <v>294</v>
      </c>
    </row>
    <row r="44" spans="1:5" x14ac:dyDescent="0.3">
      <c r="A44" s="99" t="s">
        <v>249</v>
      </c>
      <c r="B44" s="100" t="s">
        <v>300</v>
      </c>
      <c r="C44" s="101">
        <v>1383</v>
      </c>
      <c r="D44" s="98">
        <v>1</v>
      </c>
      <c r="E44" s="100" t="s">
        <v>295</v>
      </c>
    </row>
    <row r="45" spans="1:5" x14ac:dyDescent="0.3">
      <c r="A45" s="99" t="s">
        <v>249</v>
      </c>
      <c r="B45" s="100" t="s">
        <v>300</v>
      </c>
      <c r="C45" s="101">
        <v>1384</v>
      </c>
      <c r="D45" s="98">
        <v>1</v>
      </c>
      <c r="E45" s="100" t="s">
        <v>296</v>
      </c>
    </row>
    <row r="46" spans="1:5" x14ac:dyDescent="0.3">
      <c r="A46" s="99" t="s">
        <v>249</v>
      </c>
      <c r="B46" s="100" t="s">
        <v>300</v>
      </c>
      <c r="C46" s="101">
        <v>1385</v>
      </c>
      <c r="D46" s="98">
        <v>1</v>
      </c>
      <c r="E46" s="100" t="s">
        <v>297</v>
      </c>
    </row>
    <row r="47" spans="1:5" x14ac:dyDescent="0.3">
      <c r="A47" s="99" t="s">
        <v>249</v>
      </c>
      <c r="B47" s="100" t="s">
        <v>300</v>
      </c>
      <c r="C47" s="101">
        <v>1386</v>
      </c>
      <c r="D47" s="98">
        <v>1</v>
      </c>
      <c r="E47" s="100" t="s">
        <v>298</v>
      </c>
    </row>
    <row r="48" spans="1:5" x14ac:dyDescent="0.3">
      <c r="A48" s="99" t="s">
        <v>249</v>
      </c>
      <c r="B48" s="100" t="s">
        <v>300</v>
      </c>
      <c r="C48" s="101">
        <v>1387</v>
      </c>
      <c r="D48" s="98">
        <v>1</v>
      </c>
      <c r="E48" s="100" t="s">
        <v>315</v>
      </c>
    </row>
    <row r="49" spans="1:5" x14ac:dyDescent="0.3">
      <c r="A49" s="99" t="s">
        <v>249</v>
      </c>
      <c r="B49" s="100" t="s">
        <v>300</v>
      </c>
      <c r="C49" s="101">
        <v>1388</v>
      </c>
      <c r="D49" s="98">
        <v>1</v>
      </c>
      <c r="E49" s="100" t="s">
        <v>299</v>
      </c>
    </row>
    <row r="50" spans="1:5" x14ac:dyDescent="0.3">
      <c r="A50" s="99" t="s">
        <v>249</v>
      </c>
      <c r="B50" s="100" t="s">
        <v>302</v>
      </c>
      <c r="C50" s="101">
        <v>2298</v>
      </c>
      <c r="D50" s="98">
        <v>1</v>
      </c>
      <c r="E50" s="100" t="s">
        <v>301</v>
      </c>
    </row>
    <row r="51" spans="1:5" x14ac:dyDescent="0.3">
      <c r="A51" s="99" t="s">
        <v>249</v>
      </c>
      <c r="B51" s="100" t="s">
        <v>302</v>
      </c>
      <c r="C51" s="101">
        <v>2308</v>
      </c>
      <c r="D51" s="98">
        <v>1</v>
      </c>
      <c r="E51" s="100" t="s">
        <v>303</v>
      </c>
    </row>
    <row r="52" spans="1:5" x14ac:dyDescent="0.3">
      <c r="A52" s="99" t="s">
        <v>249</v>
      </c>
      <c r="B52" s="100" t="s">
        <v>304</v>
      </c>
      <c r="C52" s="101" t="s">
        <v>218</v>
      </c>
      <c r="D52" s="98">
        <v>1</v>
      </c>
      <c r="E52" s="100"/>
    </row>
    <row r="53" spans="1:5" x14ac:dyDescent="0.3">
      <c r="A53" s="99" t="s">
        <v>249</v>
      </c>
      <c r="B53" s="100" t="s">
        <v>305</v>
      </c>
      <c r="C53" s="101" t="s">
        <v>218</v>
      </c>
      <c r="D53" s="98">
        <v>1</v>
      </c>
      <c r="E53" s="100"/>
    </row>
    <row r="54" spans="1:5" x14ac:dyDescent="0.3">
      <c r="A54" s="99" t="s">
        <v>249</v>
      </c>
      <c r="B54" s="100" t="s">
        <v>321</v>
      </c>
      <c r="C54" s="99" t="s">
        <v>218</v>
      </c>
      <c r="D54" s="98">
        <v>1</v>
      </c>
      <c r="E54" s="100"/>
    </row>
    <row r="55" spans="1:5" x14ac:dyDescent="0.3">
      <c r="A55" s="99" t="s">
        <v>216</v>
      </c>
      <c r="B55" s="100" t="s">
        <v>216</v>
      </c>
      <c r="C55" s="99">
        <v>188</v>
      </c>
      <c r="D55" s="98">
        <v>1</v>
      </c>
      <c r="E55" s="100" t="s">
        <v>322</v>
      </c>
    </row>
    <row r="56" spans="1:5" x14ac:dyDescent="0.3">
      <c r="A56" s="99" t="s">
        <v>216</v>
      </c>
      <c r="B56" s="100" t="s">
        <v>219</v>
      </c>
      <c r="C56" s="99">
        <v>271</v>
      </c>
      <c r="D56" s="98">
        <v>1</v>
      </c>
      <c r="E56" s="100" t="s">
        <v>220</v>
      </c>
    </row>
    <row r="57" spans="1:5" x14ac:dyDescent="0.3">
      <c r="A57" s="99" t="s">
        <v>216</v>
      </c>
      <c r="B57" s="100" t="s">
        <v>219</v>
      </c>
      <c r="C57" s="99">
        <v>279</v>
      </c>
      <c r="D57" s="98">
        <v>1</v>
      </c>
      <c r="E57" s="100" t="s">
        <v>221</v>
      </c>
    </row>
    <row r="58" spans="1:5" x14ac:dyDescent="0.3">
      <c r="A58" s="99" t="s">
        <v>216</v>
      </c>
      <c r="B58" s="100" t="s">
        <v>223</v>
      </c>
      <c r="C58" s="99">
        <v>394</v>
      </c>
      <c r="D58" s="98">
        <v>1</v>
      </c>
      <c r="E58" s="100" t="s">
        <v>224</v>
      </c>
    </row>
    <row r="59" spans="1:5" x14ac:dyDescent="0.3">
      <c r="A59" s="99" t="s">
        <v>216</v>
      </c>
      <c r="B59" s="100" t="s">
        <v>223</v>
      </c>
      <c r="C59" s="99">
        <v>400</v>
      </c>
      <c r="D59" s="98">
        <v>1</v>
      </c>
      <c r="E59" s="100" t="s">
        <v>225</v>
      </c>
    </row>
    <row r="60" spans="1:5" x14ac:dyDescent="0.3">
      <c r="A60" s="99" t="s">
        <v>216</v>
      </c>
      <c r="B60" s="100" t="s">
        <v>226</v>
      </c>
      <c r="C60" s="99">
        <v>423</v>
      </c>
      <c r="D60" s="98">
        <v>1</v>
      </c>
      <c r="E60" s="100" t="s">
        <v>227</v>
      </c>
    </row>
    <row r="61" spans="1:5" x14ac:dyDescent="0.3">
      <c r="A61" s="99" t="s">
        <v>216</v>
      </c>
      <c r="B61" s="100" t="s">
        <v>226</v>
      </c>
      <c r="C61" s="99">
        <v>425</v>
      </c>
      <c r="D61" s="98">
        <v>1</v>
      </c>
      <c r="E61" s="100" t="s">
        <v>228</v>
      </c>
    </row>
    <row r="62" spans="1:5" x14ac:dyDescent="0.3">
      <c r="A62" s="99" t="s">
        <v>216</v>
      </c>
      <c r="B62" s="100" t="s">
        <v>226</v>
      </c>
      <c r="C62" s="99">
        <v>428</v>
      </c>
      <c r="D62" s="98">
        <v>1</v>
      </c>
      <c r="E62" s="100" t="s">
        <v>229</v>
      </c>
    </row>
    <row r="63" spans="1:5" x14ac:dyDescent="0.3">
      <c r="A63" s="99" t="s">
        <v>216</v>
      </c>
      <c r="B63" s="100" t="s">
        <v>232</v>
      </c>
      <c r="C63" s="99">
        <v>459</v>
      </c>
      <c r="D63" s="98">
        <v>1</v>
      </c>
      <c r="E63" s="100" t="s">
        <v>233</v>
      </c>
    </row>
    <row r="64" spans="1:5" x14ac:dyDescent="0.3">
      <c r="A64" s="99" t="s">
        <v>216</v>
      </c>
      <c r="B64" s="100" t="s">
        <v>232</v>
      </c>
      <c r="C64" s="99">
        <v>470</v>
      </c>
      <c r="D64" s="98">
        <v>1</v>
      </c>
      <c r="E64" s="100" t="s">
        <v>230</v>
      </c>
    </row>
    <row r="65" spans="1:5" x14ac:dyDescent="0.3">
      <c r="A65" s="99" t="s">
        <v>216</v>
      </c>
      <c r="B65" s="100" t="s">
        <v>232</v>
      </c>
      <c r="C65" s="99">
        <v>472</v>
      </c>
      <c r="D65" s="98">
        <v>1</v>
      </c>
      <c r="E65" s="100" t="s">
        <v>231</v>
      </c>
    </row>
    <row r="66" spans="1:5" x14ac:dyDescent="0.3">
      <c r="A66" s="99" t="s">
        <v>216</v>
      </c>
      <c r="B66" s="100" t="s">
        <v>235</v>
      </c>
      <c r="C66" s="99">
        <v>598</v>
      </c>
      <c r="D66" s="98">
        <v>1</v>
      </c>
      <c r="E66" s="100" t="s">
        <v>236</v>
      </c>
    </row>
    <row r="67" spans="1:5" x14ac:dyDescent="0.3">
      <c r="A67" s="99" t="s">
        <v>216</v>
      </c>
      <c r="B67" s="100" t="s">
        <v>235</v>
      </c>
      <c r="C67" s="99">
        <v>680</v>
      </c>
      <c r="D67" s="98">
        <v>1</v>
      </c>
      <c r="E67" s="100" t="s">
        <v>237</v>
      </c>
    </row>
    <row r="68" spans="1:5" x14ac:dyDescent="0.3">
      <c r="A68" s="99" t="s">
        <v>216</v>
      </c>
      <c r="B68" s="100" t="s">
        <v>235</v>
      </c>
      <c r="C68" s="99">
        <v>708</v>
      </c>
      <c r="D68" s="98">
        <v>1</v>
      </c>
      <c r="E68" s="100" t="s">
        <v>238</v>
      </c>
    </row>
    <row r="69" spans="1:5" x14ac:dyDescent="0.3">
      <c r="A69" s="99" t="s">
        <v>216</v>
      </c>
      <c r="B69" s="100" t="s">
        <v>239</v>
      </c>
      <c r="C69" s="99">
        <v>726</v>
      </c>
      <c r="D69" s="98">
        <v>1</v>
      </c>
      <c r="E69" s="100" t="s">
        <v>240</v>
      </c>
    </row>
    <row r="70" spans="1:5" x14ac:dyDescent="0.3">
      <c r="A70" s="99" t="s">
        <v>216</v>
      </c>
      <c r="B70" s="100" t="s">
        <v>239</v>
      </c>
      <c r="C70" s="99">
        <v>739</v>
      </c>
      <c r="D70" s="98">
        <v>1</v>
      </c>
      <c r="E70" s="100" t="s">
        <v>241</v>
      </c>
    </row>
    <row r="71" spans="1:5" x14ac:dyDescent="0.3">
      <c r="A71" s="99" t="s">
        <v>216</v>
      </c>
      <c r="B71" s="100" t="s">
        <v>239</v>
      </c>
      <c r="C71" s="99">
        <v>740</v>
      </c>
      <c r="D71" s="98">
        <v>1</v>
      </c>
      <c r="E71" s="100" t="s">
        <v>242</v>
      </c>
    </row>
    <row r="72" spans="1:5" x14ac:dyDescent="0.3">
      <c r="A72" s="99" t="s">
        <v>216</v>
      </c>
      <c r="B72" s="100" t="s">
        <v>239</v>
      </c>
      <c r="C72" s="99">
        <v>754</v>
      </c>
      <c r="D72" s="98">
        <v>1</v>
      </c>
      <c r="E72" s="100" t="s">
        <v>243</v>
      </c>
    </row>
    <row r="73" spans="1:5" x14ac:dyDescent="0.3">
      <c r="A73" s="99" t="s">
        <v>216</v>
      </c>
      <c r="B73" s="100" t="s">
        <v>239</v>
      </c>
      <c r="C73" s="99">
        <v>758</v>
      </c>
      <c r="D73" s="98">
        <v>1</v>
      </c>
      <c r="E73" s="100" t="s">
        <v>244</v>
      </c>
    </row>
    <row r="74" spans="1:5" x14ac:dyDescent="0.3">
      <c r="A74" s="99" t="s">
        <v>216</v>
      </c>
      <c r="B74" s="100" t="s">
        <v>239</v>
      </c>
      <c r="C74" s="99">
        <v>779</v>
      </c>
      <c r="D74" s="98">
        <v>1</v>
      </c>
      <c r="E74" s="100" t="s">
        <v>245</v>
      </c>
    </row>
    <row r="75" spans="1:5" x14ac:dyDescent="0.3">
      <c r="A75" s="99" t="s">
        <v>216</v>
      </c>
      <c r="B75" s="100" t="s">
        <v>239</v>
      </c>
      <c r="C75" s="99">
        <v>793</v>
      </c>
      <c r="D75" s="98">
        <v>1</v>
      </c>
      <c r="E75" s="100" t="s">
        <v>246</v>
      </c>
    </row>
    <row r="76" spans="1:5" x14ac:dyDescent="0.3">
      <c r="A76" s="99" t="s">
        <v>216</v>
      </c>
      <c r="B76" s="100" t="s">
        <v>247</v>
      </c>
      <c r="C76" s="99">
        <v>898</v>
      </c>
      <c r="D76" s="98">
        <v>1</v>
      </c>
      <c r="E76" s="100" t="s">
        <v>238</v>
      </c>
    </row>
    <row r="77" spans="1:5" x14ac:dyDescent="0.3">
      <c r="A77" s="99" t="s">
        <v>216</v>
      </c>
      <c r="B77" s="100" t="s">
        <v>247</v>
      </c>
      <c r="C77" s="99">
        <v>927</v>
      </c>
      <c r="D77" s="98">
        <v>1</v>
      </c>
      <c r="E77" s="100" t="s">
        <v>248</v>
      </c>
    </row>
    <row r="78" spans="1:5" x14ac:dyDescent="0.3">
      <c r="A78" s="99" t="s">
        <v>216</v>
      </c>
      <c r="B78" s="100" t="s">
        <v>217</v>
      </c>
      <c r="C78" s="99" t="s">
        <v>218</v>
      </c>
      <c r="D78" s="98">
        <v>1</v>
      </c>
      <c r="E78" s="100"/>
    </row>
    <row r="79" spans="1:5" x14ac:dyDescent="0.3">
      <c r="A79" s="99" t="s">
        <v>216</v>
      </c>
      <c r="B79" s="100" t="s">
        <v>222</v>
      </c>
      <c r="C79" s="99" t="s">
        <v>218</v>
      </c>
      <c r="D79" s="98">
        <v>1</v>
      </c>
      <c r="E79" s="100"/>
    </row>
    <row r="80" spans="1:5" x14ac:dyDescent="0.3">
      <c r="A80" s="99" t="s">
        <v>216</v>
      </c>
      <c r="B80" s="100" t="s">
        <v>234</v>
      </c>
      <c r="C80" s="99" t="s">
        <v>218</v>
      </c>
      <c r="D80" s="98">
        <v>1</v>
      </c>
      <c r="E80" s="100"/>
    </row>
    <row r="81" spans="1:5" x14ac:dyDescent="0.3">
      <c r="A81" s="99" t="s">
        <v>276</v>
      </c>
      <c r="B81" s="100" t="s">
        <v>309</v>
      </c>
      <c r="C81" s="101">
        <v>106</v>
      </c>
      <c r="D81" s="98">
        <v>1</v>
      </c>
      <c r="E81" s="100" t="s">
        <v>313</v>
      </c>
    </row>
    <row r="82" spans="1:5" x14ac:dyDescent="0.3">
      <c r="A82" s="99" t="s">
        <v>276</v>
      </c>
      <c r="B82" s="100" t="s">
        <v>277</v>
      </c>
      <c r="C82" s="101">
        <v>107</v>
      </c>
      <c r="D82" s="98">
        <v>1</v>
      </c>
      <c r="E82" s="100" t="s">
        <v>313</v>
      </c>
    </row>
    <row r="83" spans="1:5" x14ac:dyDescent="0.3">
      <c r="A83" s="99" t="s">
        <v>276</v>
      </c>
      <c r="B83" s="100" t="s">
        <v>310</v>
      </c>
      <c r="C83" s="101">
        <v>115</v>
      </c>
      <c r="D83" s="98">
        <v>1</v>
      </c>
      <c r="E83" s="100" t="s">
        <v>307</v>
      </c>
    </row>
    <row r="84" spans="1:5" x14ac:dyDescent="0.3">
      <c r="A84" s="99" t="s">
        <v>276</v>
      </c>
      <c r="B84" s="100" t="s">
        <v>309</v>
      </c>
      <c r="C84" s="101">
        <v>120</v>
      </c>
      <c r="D84" s="98">
        <v>1</v>
      </c>
      <c r="E84" s="100" t="s">
        <v>306</v>
      </c>
    </row>
    <row r="85" spans="1:5" x14ac:dyDescent="0.3">
      <c r="A85" s="99" t="s">
        <v>276</v>
      </c>
      <c r="B85" s="100" t="s">
        <v>277</v>
      </c>
      <c r="C85" s="101">
        <v>122</v>
      </c>
      <c r="D85" s="98">
        <v>1</v>
      </c>
      <c r="E85" s="100" t="s">
        <v>306</v>
      </c>
    </row>
    <row r="86" spans="1:5" x14ac:dyDescent="0.3">
      <c r="A86" s="99" t="s">
        <v>276</v>
      </c>
      <c r="B86" s="100" t="s">
        <v>310</v>
      </c>
      <c r="C86" s="101">
        <v>131</v>
      </c>
      <c r="D86" s="98">
        <v>1</v>
      </c>
      <c r="E86" s="100" t="s">
        <v>306</v>
      </c>
    </row>
    <row r="87" spans="1:5" x14ac:dyDescent="0.3">
      <c r="A87" s="99" t="s">
        <v>276</v>
      </c>
      <c r="B87" s="100" t="s">
        <v>277</v>
      </c>
      <c r="C87" s="101">
        <v>136</v>
      </c>
      <c r="D87" s="98">
        <v>1</v>
      </c>
      <c r="E87" s="100" t="s">
        <v>308</v>
      </c>
    </row>
    <row r="88" spans="1:5" x14ac:dyDescent="0.3">
      <c r="A88" s="99"/>
      <c r="B88" s="100"/>
      <c r="C88" s="99"/>
      <c r="D88" s="98"/>
      <c r="E88" s="100"/>
    </row>
    <row r="89" spans="1:5" x14ac:dyDescent="0.3">
      <c r="A89" s="99"/>
      <c r="B89" s="100"/>
      <c r="C89" s="99"/>
      <c r="D89" s="98"/>
      <c r="E89" s="100"/>
    </row>
    <row r="90" spans="1:5" x14ac:dyDescent="0.3">
      <c r="A90" s="99"/>
      <c r="B90" s="100"/>
      <c r="C90" s="99"/>
      <c r="D90" s="98"/>
      <c r="E90" s="100"/>
    </row>
    <row r="91" spans="1:5" x14ac:dyDescent="0.3">
      <c r="A91" s="99"/>
      <c r="B91" s="100"/>
      <c r="C91" s="99"/>
      <c r="D91" s="98"/>
      <c r="E91" s="100"/>
    </row>
    <row r="92" spans="1:5" x14ac:dyDescent="0.3">
      <c r="A92" s="99"/>
      <c r="B92" s="100"/>
      <c r="C92" s="101"/>
      <c r="D92" s="98"/>
      <c r="E92" s="100"/>
    </row>
    <row r="93" spans="1:5" x14ac:dyDescent="0.3">
      <c r="A93" s="99"/>
      <c r="B93" s="100"/>
      <c r="C93" s="101"/>
      <c r="D93" s="98"/>
      <c r="E93" s="100"/>
    </row>
    <row r="94" spans="1:5" x14ac:dyDescent="0.3">
      <c r="A94" s="99"/>
      <c r="B94" s="100"/>
      <c r="C94" s="101"/>
      <c r="D94" s="98"/>
      <c r="E94" s="100"/>
    </row>
    <row r="95" spans="1:5" x14ac:dyDescent="0.3">
      <c r="A95" s="99"/>
      <c r="B95" s="100"/>
      <c r="C95" s="101"/>
      <c r="D95" s="98"/>
      <c r="E95" s="100"/>
    </row>
    <row r="96" spans="1:5" x14ac:dyDescent="0.3">
      <c r="A96" s="99"/>
      <c r="B96" s="100"/>
      <c r="C96" s="101"/>
      <c r="D96" s="98"/>
      <c r="E96" s="100"/>
    </row>
    <row r="97" spans="1:5" x14ac:dyDescent="0.3">
      <c r="A97" s="99"/>
      <c r="B97" s="100"/>
      <c r="C97" s="101"/>
      <c r="D97" s="98"/>
      <c r="E97" s="100"/>
    </row>
    <row r="98" spans="1:5" x14ac:dyDescent="0.3">
      <c r="A98" s="99"/>
      <c r="B98" s="100"/>
      <c r="C98" s="101"/>
      <c r="D98" s="98"/>
      <c r="E98" s="100"/>
    </row>
    <row r="99" spans="1:5" x14ac:dyDescent="0.3">
      <c r="A99" s="99"/>
      <c r="B99" s="100"/>
      <c r="C99" s="101"/>
      <c r="D99" s="98"/>
      <c r="E99" s="100"/>
    </row>
    <row r="100" spans="1:5" x14ac:dyDescent="0.3">
      <c r="A100" s="99"/>
      <c r="B100" s="100"/>
      <c r="C100" s="101"/>
      <c r="D100" s="98"/>
      <c r="E100" s="100"/>
    </row>
    <row r="101" spans="1:5" x14ac:dyDescent="0.3">
      <c r="A101" s="99"/>
      <c r="B101" s="100"/>
      <c r="C101" s="101"/>
      <c r="D101" s="98"/>
      <c r="E101" s="100"/>
    </row>
    <row r="102" spans="1:5" x14ac:dyDescent="0.3">
      <c r="A102" s="99"/>
      <c r="B102" s="100"/>
      <c r="C102" s="101"/>
      <c r="D102" s="98"/>
      <c r="E102" s="100"/>
    </row>
    <row r="103" spans="1:5" x14ac:dyDescent="0.3">
      <c r="A103" s="99"/>
      <c r="B103" s="100"/>
      <c r="C103" s="101"/>
      <c r="D103" s="98"/>
      <c r="E103" s="100"/>
    </row>
    <row r="104" spans="1:5" x14ac:dyDescent="0.3">
      <c r="A104" s="99"/>
      <c r="B104" s="100"/>
      <c r="C104" s="101"/>
      <c r="D104" s="98"/>
      <c r="E104" s="100"/>
    </row>
    <row r="105" spans="1:5" x14ac:dyDescent="0.3">
      <c r="A105" s="99"/>
      <c r="B105" s="100"/>
      <c r="C105" s="101"/>
      <c r="D105" s="98"/>
      <c r="E105" s="100"/>
    </row>
    <row r="106" spans="1:5" x14ac:dyDescent="0.3">
      <c r="A106" s="99"/>
      <c r="B106" s="100"/>
      <c r="C106" s="101"/>
      <c r="D106" s="98"/>
      <c r="E106" s="100"/>
    </row>
    <row r="107" spans="1:5" x14ac:dyDescent="0.3">
      <c r="A107" s="99"/>
      <c r="B107" s="100"/>
      <c r="C107" s="101"/>
      <c r="D107" s="98"/>
      <c r="E107" s="100"/>
    </row>
    <row r="108" spans="1:5" x14ac:dyDescent="0.3">
      <c r="A108" s="99"/>
      <c r="B108" s="100"/>
      <c r="C108" s="101"/>
      <c r="D108" s="98"/>
      <c r="E108" s="100"/>
    </row>
    <row r="109" spans="1:5" x14ac:dyDescent="0.3">
      <c r="A109" s="99"/>
      <c r="B109" s="100"/>
      <c r="C109" s="101"/>
      <c r="D109" s="98"/>
      <c r="E109" s="100"/>
    </row>
    <row r="110" spans="1:5" x14ac:dyDescent="0.3">
      <c r="A110" s="99"/>
      <c r="B110" s="100"/>
      <c r="C110" s="101"/>
      <c r="D110" s="98"/>
      <c r="E110" s="100"/>
    </row>
    <row r="111" spans="1:5" x14ac:dyDescent="0.3">
      <c r="A111" s="99"/>
      <c r="B111" s="100"/>
      <c r="C111" s="101"/>
      <c r="D111" s="98"/>
      <c r="E111" s="100"/>
    </row>
    <row r="112" spans="1:5" x14ac:dyDescent="0.3">
      <c r="A112" s="99"/>
      <c r="B112" s="100"/>
      <c r="C112" s="101"/>
      <c r="D112" s="98"/>
      <c r="E112" s="100"/>
    </row>
    <row r="113" spans="1:5" x14ac:dyDescent="0.3">
      <c r="A113" s="99"/>
      <c r="B113" s="100"/>
      <c r="C113" s="101"/>
      <c r="D113" s="98"/>
      <c r="E113" s="100"/>
    </row>
    <row r="114" spans="1:5" x14ac:dyDescent="0.3">
      <c r="A114" s="99"/>
      <c r="B114" s="100"/>
      <c r="C114" s="101"/>
      <c r="D114" s="98"/>
      <c r="E114" s="100"/>
    </row>
    <row r="115" spans="1:5" x14ac:dyDescent="0.3">
      <c r="A115" s="99"/>
      <c r="B115" s="100"/>
      <c r="C115" s="101"/>
      <c r="D115" s="98"/>
      <c r="E115" s="100"/>
    </row>
    <row r="116" spans="1:5" x14ac:dyDescent="0.3">
      <c r="A116" s="99"/>
      <c r="B116" s="100"/>
      <c r="C116" s="101"/>
      <c r="D116" s="98"/>
      <c r="E116" s="100"/>
    </row>
    <row r="117" spans="1:5" x14ac:dyDescent="0.3">
      <c r="A117" s="99"/>
      <c r="B117" s="100"/>
      <c r="C117" s="101"/>
      <c r="D117" s="98"/>
      <c r="E117" s="100"/>
    </row>
    <row r="118" spans="1:5" hidden="1" x14ac:dyDescent="0.3">
      <c r="E118" s="44"/>
    </row>
    <row r="119" spans="1:5" hidden="1" x14ac:dyDescent="0.3">
      <c r="E119" s="44"/>
    </row>
    <row r="120" spans="1:5" hidden="1" x14ac:dyDescent="0.3">
      <c r="E120" s="44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topLeftCell="A17" zoomScale="115" zoomScaleNormal="115" workbookViewId="0">
      <selection activeCell="B29" sqref="B29"/>
    </sheetView>
  </sheetViews>
  <sheetFormatPr defaultColWidth="0" defaultRowHeight="14.4" zeroHeight="1" x14ac:dyDescent="0.3"/>
  <cols>
    <col min="1" max="1" width="11.77734375" customWidth="1"/>
    <col min="2" max="2" width="18.88671875" customWidth="1"/>
    <col min="3" max="3" width="12.6640625" customWidth="1"/>
    <col min="4" max="4" width="9.33203125" customWidth="1"/>
    <col min="5" max="5" width="53.5546875" customWidth="1"/>
    <col min="6" max="16384" width="8.88671875" hidden="1"/>
  </cols>
  <sheetData>
    <row r="1" spans="1:5" x14ac:dyDescent="0.3">
      <c r="A1" t="s">
        <v>255</v>
      </c>
      <c r="B1" t="s">
        <v>355</v>
      </c>
      <c r="C1" t="s">
        <v>117</v>
      </c>
      <c r="D1" t="s">
        <v>122</v>
      </c>
      <c r="E1" s="44" t="s">
        <v>121</v>
      </c>
    </row>
    <row r="2" spans="1:5" hidden="1" x14ac:dyDescent="0.3">
      <c r="A2" t="s">
        <v>258</v>
      </c>
      <c r="B2" t="s">
        <v>118</v>
      </c>
      <c r="D2" t="s">
        <v>119</v>
      </c>
      <c r="E2" s="44" t="s">
        <v>261</v>
      </c>
    </row>
    <row r="3" spans="1:5" hidden="1" x14ac:dyDescent="0.3">
      <c r="A3" t="s">
        <v>258</v>
      </c>
      <c r="E3" s="44"/>
    </row>
    <row r="4" spans="1:5" hidden="1" x14ac:dyDescent="0.3">
      <c r="A4" t="s">
        <v>258</v>
      </c>
      <c r="E4" s="44"/>
    </row>
    <row r="5" spans="1:5" hidden="1" x14ac:dyDescent="0.3">
      <c r="A5" t="s">
        <v>258</v>
      </c>
      <c r="E5" s="44"/>
    </row>
    <row r="6" spans="1:5" hidden="1" x14ac:dyDescent="0.3">
      <c r="A6" s="103" t="s">
        <v>258</v>
      </c>
      <c r="B6" s="103" t="s">
        <v>120</v>
      </c>
      <c r="C6" s="103" t="s">
        <v>344</v>
      </c>
      <c r="D6" s="103" t="s">
        <v>119</v>
      </c>
      <c r="E6" s="104" t="s">
        <v>123</v>
      </c>
    </row>
    <row r="7" spans="1:5" hidden="1" x14ac:dyDescent="0.3">
      <c r="A7" s="103"/>
      <c r="B7" s="103"/>
      <c r="C7" s="103"/>
      <c r="D7" s="103"/>
      <c r="E7" s="104"/>
    </row>
    <row r="8" spans="1:5" x14ac:dyDescent="0.3">
      <c r="A8" s="103" t="s">
        <v>256</v>
      </c>
      <c r="B8" s="103" t="s">
        <v>336</v>
      </c>
      <c r="C8" s="103" t="s">
        <v>345</v>
      </c>
      <c r="D8" s="103" t="s">
        <v>345</v>
      </c>
      <c r="E8" s="104" t="s">
        <v>382</v>
      </c>
    </row>
    <row r="9" spans="1:5" x14ac:dyDescent="0.3">
      <c r="A9" s="103" t="s">
        <v>256</v>
      </c>
      <c r="B9" s="103" t="s">
        <v>333</v>
      </c>
      <c r="C9" s="103" t="s">
        <v>345</v>
      </c>
      <c r="D9" s="103" t="s">
        <v>345</v>
      </c>
      <c r="E9" s="104" t="s">
        <v>381</v>
      </c>
    </row>
    <row r="10" spans="1:5" x14ac:dyDescent="0.3">
      <c r="A10" s="103" t="s">
        <v>256</v>
      </c>
      <c r="B10" s="103" t="s">
        <v>332</v>
      </c>
      <c r="C10" s="103" t="s">
        <v>345</v>
      </c>
      <c r="D10" s="103" t="s">
        <v>345</v>
      </c>
      <c r="E10" s="104" t="s">
        <v>380</v>
      </c>
    </row>
    <row r="11" spans="1:5" x14ac:dyDescent="0.3">
      <c r="A11" s="103" t="s">
        <v>256</v>
      </c>
      <c r="B11" s="103" t="s">
        <v>334</v>
      </c>
      <c r="C11" s="103" t="s">
        <v>345</v>
      </c>
      <c r="D11" s="103" t="s">
        <v>345</v>
      </c>
      <c r="E11" s="104" t="s">
        <v>379</v>
      </c>
    </row>
    <row r="12" spans="1:5" x14ac:dyDescent="0.3">
      <c r="A12" s="103" t="s">
        <v>256</v>
      </c>
      <c r="B12" s="103" t="s">
        <v>105</v>
      </c>
      <c r="C12" s="103" t="s">
        <v>345</v>
      </c>
      <c r="D12" s="103" t="s">
        <v>345</v>
      </c>
      <c r="E12" s="105" t="s">
        <v>378</v>
      </c>
    </row>
    <row r="13" spans="1:5" x14ac:dyDescent="0.3">
      <c r="A13" s="103" t="s">
        <v>256</v>
      </c>
      <c r="B13" s="103" t="s">
        <v>104</v>
      </c>
      <c r="C13" s="103" t="s">
        <v>345</v>
      </c>
      <c r="D13" s="103" t="s">
        <v>345</v>
      </c>
      <c r="E13" s="104" t="s">
        <v>377</v>
      </c>
    </row>
    <row r="14" spans="1:5" x14ac:dyDescent="0.3">
      <c r="A14" s="103" t="s">
        <v>256</v>
      </c>
      <c r="B14" s="103" t="s">
        <v>124</v>
      </c>
      <c r="C14" s="103" t="s">
        <v>345</v>
      </c>
      <c r="D14" s="103" t="s">
        <v>345</v>
      </c>
      <c r="E14" s="104" t="s">
        <v>376</v>
      </c>
    </row>
    <row r="15" spans="1:5" x14ac:dyDescent="0.3">
      <c r="A15" s="103" t="s">
        <v>256</v>
      </c>
      <c r="B15" s="103" t="s">
        <v>331</v>
      </c>
      <c r="C15" s="103" t="s">
        <v>345</v>
      </c>
      <c r="D15" s="103" t="s">
        <v>345</v>
      </c>
      <c r="E15" s="104" t="s">
        <v>375</v>
      </c>
    </row>
    <row r="16" spans="1:5" x14ac:dyDescent="0.3">
      <c r="A16" s="103" t="s">
        <v>256</v>
      </c>
      <c r="B16" s="103" t="s">
        <v>339</v>
      </c>
      <c r="C16" s="103" t="s">
        <v>345</v>
      </c>
      <c r="D16" s="103" t="s">
        <v>345</v>
      </c>
      <c r="E16" s="104" t="s">
        <v>374</v>
      </c>
    </row>
    <row r="17" spans="1:5" x14ac:dyDescent="0.3">
      <c r="A17" s="103" t="s">
        <v>256</v>
      </c>
      <c r="B17" s="103" t="s">
        <v>106</v>
      </c>
      <c r="C17" s="103" t="s">
        <v>345</v>
      </c>
      <c r="D17" s="103" t="s">
        <v>345</v>
      </c>
      <c r="E17" s="104" t="s">
        <v>373</v>
      </c>
    </row>
    <row r="18" spans="1:5" x14ac:dyDescent="0.3">
      <c r="A18" s="103" t="s">
        <v>256</v>
      </c>
      <c r="B18" s="103" t="s">
        <v>337</v>
      </c>
      <c r="C18" s="103" t="s">
        <v>345</v>
      </c>
      <c r="D18" s="103" t="s">
        <v>345</v>
      </c>
      <c r="E18" s="104" t="s">
        <v>372</v>
      </c>
    </row>
    <row r="19" spans="1:5" x14ac:dyDescent="0.3">
      <c r="A19" s="103" t="s">
        <v>256</v>
      </c>
      <c r="B19" s="103" t="s">
        <v>335</v>
      </c>
      <c r="C19" s="103" t="s">
        <v>345</v>
      </c>
      <c r="D19" s="103" t="s">
        <v>345</v>
      </c>
      <c r="E19" s="104" t="s">
        <v>356</v>
      </c>
    </row>
    <row r="20" spans="1:5" x14ac:dyDescent="0.3">
      <c r="A20" s="103" t="s">
        <v>256</v>
      </c>
      <c r="B20" s="103" t="s">
        <v>338</v>
      </c>
      <c r="C20" s="103" t="s">
        <v>345</v>
      </c>
      <c r="D20" s="103" t="s">
        <v>345</v>
      </c>
      <c r="E20" s="104" t="s">
        <v>371</v>
      </c>
    </row>
    <row r="21" spans="1:5" x14ac:dyDescent="0.3">
      <c r="A21" s="103" t="s">
        <v>257</v>
      </c>
      <c r="B21" s="103" t="s">
        <v>343</v>
      </c>
      <c r="C21" s="103" t="s">
        <v>345</v>
      </c>
      <c r="D21" s="103" t="s">
        <v>345</v>
      </c>
      <c r="E21" s="104" t="s">
        <v>370</v>
      </c>
    </row>
    <row r="22" spans="1:5" x14ac:dyDescent="0.3">
      <c r="A22" s="103" t="s">
        <v>257</v>
      </c>
      <c r="B22" s="103" t="s">
        <v>346</v>
      </c>
      <c r="C22" s="103"/>
      <c r="D22" s="103"/>
      <c r="E22" s="104" t="s">
        <v>383</v>
      </c>
    </row>
    <row r="23" spans="1:5" x14ac:dyDescent="0.3">
      <c r="A23" s="103" t="s">
        <v>257</v>
      </c>
      <c r="B23" s="103" t="s">
        <v>350</v>
      </c>
      <c r="C23" s="103" t="s">
        <v>345</v>
      </c>
      <c r="D23" s="103" t="s">
        <v>345</v>
      </c>
      <c r="E23" s="104" t="s">
        <v>367</v>
      </c>
    </row>
    <row r="24" spans="1:5" x14ac:dyDescent="0.3">
      <c r="A24" s="103" t="s">
        <v>257</v>
      </c>
      <c r="B24" s="103" t="s">
        <v>347</v>
      </c>
      <c r="C24" s="103" t="s">
        <v>345</v>
      </c>
      <c r="D24" s="103" t="s">
        <v>345</v>
      </c>
      <c r="E24" s="104" t="s">
        <v>366</v>
      </c>
    </row>
    <row r="25" spans="1:5" x14ac:dyDescent="0.3">
      <c r="A25" s="103" t="s">
        <v>257</v>
      </c>
      <c r="B25" s="103" t="s">
        <v>351</v>
      </c>
      <c r="C25" s="103" t="s">
        <v>345</v>
      </c>
      <c r="D25" s="103" t="s">
        <v>345</v>
      </c>
      <c r="E25" s="104" t="s">
        <v>365</v>
      </c>
    </row>
    <row r="26" spans="1:5" x14ac:dyDescent="0.3">
      <c r="A26" s="103" t="s">
        <v>257</v>
      </c>
      <c r="B26" s="103" t="s">
        <v>124</v>
      </c>
      <c r="C26" s="103" t="s">
        <v>345</v>
      </c>
      <c r="D26" s="103" t="s">
        <v>345</v>
      </c>
      <c r="E26" s="104" t="s">
        <v>364</v>
      </c>
    </row>
    <row r="27" spans="1:5" x14ac:dyDescent="0.3">
      <c r="A27" s="103" t="s">
        <v>257</v>
      </c>
      <c r="B27" s="103" t="s">
        <v>341</v>
      </c>
      <c r="C27" s="103" t="s">
        <v>345</v>
      </c>
      <c r="D27" s="103" t="s">
        <v>345</v>
      </c>
      <c r="E27" s="104" t="s">
        <v>368</v>
      </c>
    </row>
    <row r="28" spans="1:5" x14ac:dyDescent="0.3">
      <c r="A28" s="103" t="s">
        <v>257</v>
      </c>
      <c r="B28" s="103" t="s">
        <v>340</v>
      </c>
      <c r="C28" s="103" t="s">
        <v>345</v>
      </c>
      <c r="D28" s="103" t="s">
        <v>345</v>
      </c>
      <c r="E28" s="104" t="s">
        <v>369</v>
      </c>
    </row>
    <row r="29" spans="1:5" x14ac:dyDescent="0.3">
      <c r="A29" s="103" t="s">
        <v>257</v>
      </c>
      <c r="B29" s="103" t="s">
        <v>353</v>
      </c>
      <c r="C29" s="103" t="s">
        <v>345</v>
      </c>
      <c r="D29" s="103" t="s">
        <v>345</v>
      </c>
      <c r="E29" s="104" t="s">
        <v>363</v>
      </c>
    </row>
    <row r="30" spans="1:5" x14ac:dyDescent="0.3">
      <c r="A30" s="103" t="s">
        <v>257</v>
      </c>
      <c r="B30" s="103" t="s">
        <v>349</v>
      </c>
      <c r="C30" s="103" t="s">
        <v>345</v>
      </c>
      <c r="D30" s="103" t="s">
        <v>345</v>
      </c>
      <c r="E30" s="104" t="s">
        <v>362</v>
      </c>
    </row>
    <row r="31" spans="1:5" x14ac:dyDescent="0.3">
      <c r="A31" s="103" t="s">
        <v>257</v>
      </c>
      <c r="B31" s="103" t="s">
        <v>352</v>
      </c>
      <c r="C31" s="103" t="s">
        <v>345</v>
      </c>
      <c r="D31" s="103" t="s">
        <v>345</v>
      </c>
      <c r="E31" s="104" t="s">
        <v>357</v>
      </c>
    </row>
    <row r="32" spans="1:5" x14ac:dyDescent="0.3">
      <c r="A32" s="103" t="s">
        <v>257</v>
      </c>
      <c r="B32" s="103" t="s">
        <v>354</v>
      </c>
      <c r="C32" s="103" t="s">
        <v>345</v>
      </c>
      <c r="D32" s="103" t="s">
        <v>345</v>
      </c>
      <c r="E32" s="104" t="s">
        <v>358</v>
      </c>
    </row>
    <row r="33" spans="1:5" x14ac:dyDescent="0.3">
      <c r="A33" s="103" t="s">
        <v>257</v>
      </c>
      <c r="B33" s="103" t="s">
        <v>125</v>
      </c>
      <c r="C33" s="103" t="s">
        <v>218</v>
      </c>
      <c r="D33" s="103"/>
      <c r="E33" s="104" t="s">
        <v>359</v>
      </c>
    </row>
    <row r="34" spans="1:5" x14ac:dyDescent="0.3">
      <c r="A34" s="103" t="s">
        <v>257</v>
      </c>
      <c r="B34" s="103" t="s">
        <v>342</v>
      </c>
      <c r="C34" s="103" t="s">
        <v>345</v>
      </c>
      <c r="D34" s="103" t="s">
        <v>345</v>
      </c>
      <c r="E34" s="104" t="s">
        <v>360</v>
      </c>
    </row>
    <row r="35" spans="1:5" x14ac:dyDescent="0.3">
      <c r="A35" s="103" t="s">
        <v>257</v>
      </c>
      <c r="B35" s="103" t="s">
        <v>126</v>
      </c>
      <c r="C35" s="103" t="s">
        <v>345</v>
      </c>
      <c r="D35" s="103" t="s">
        <v>345</v>
      </c>
      <c r="E35" s="104" t="s">
        <v>356</v>
      </c>
    </row>
    <row r="36" spans="1:5" x14ac:dyDescent="0.3">
      <c r="A36" s="103" t="s">
        <v>257</v>
      </c>
      <c r="B36" s="103" t="s">
        <v>348</v>
      </c>
      <c r="C36" s="103" t="s">
        <v>345</v>
      </c>
      <c r="D36" s="103" t="s">
        <v>345</v>
      </c>
      <c r="E36" s="104" t="s">
        <v>361</v>
      </c>
    </row>
    <row r="37" spans="1:5" hidden="1" x14ac:dyDescent="0.3">
      <c r="A37" s="103"/>
      <c r="B37" s="103"/>
      <c r="C37" s="103"/>
      <c r="D37" s="103"/>
      <c r="E37" s="104"/>
    </row>
    <row r="38" spans="1:5" hidden="1" x14ac:dyDescent="0.3">
      <c r="A38" s="103"/>
      <c r="B38" s="103"/>
      <c r="C38" s="103"/>
      <c r="D38" s="103"/>
      <c r="E38" s="104"/>
    </row>
    <row r="39" spans="1:5" hidden="1" x14ac:dyDescent="0.3">
      <c r="A39" s="103"/>
      <c r="B39" s="103"/>
      <c r="C39" s="103"/>
      <c r="D39" s="103"/>
      <c r="E39" s="104"/>
    </row>
    <row r="40" spans="1:5" hidden="1" x14ac:dyDescent="0.3">
      <c r="A40" s="103"/>
      <c r="B40" s="103"/>
      <c r="C40" s="103"/>
      <c r="D40" s="103"/>
      <c r="E40" s="104"/>
    </row>
    <row r="41" spans="1:5" hidden="1" x14ac:dyDescent="0.3">
      <c r="A41" s="103"/>
      <c r="B41" s="103"/>
      <c r="C41" s="103"/>
      <c r="D41" s="103"/>
      <c r="E41" s="104"/>
    </row>
    <row r="42" spans="1:5" hidden="1" x14ac:dyDescent="0.3">
      <c r="A42" s="103"/>
      <c r="B42" s="103"/>
      <c r="C42" s="103"/>
      <c r="D42" s="103"/>
      <c r="E42" s="104"/>
    </row>
    <row r="43" spans="1:5" hidden="1" x14ac:dyDescent="0.3">
      <c r="A43" s="103"/>
      <c r="B43" s="103"/>
      <c r="C43" s="103"/>
      <c r="D43" s="103"/>
      <c r="E43" s="104"/>
    </row>
    <row r="44" spans="1:5" hidden="1" x14ac:dyDescent="0.3">
      <c r="A44" s="103"/>
      <c r="B44" s="103"/>
      <c r="C44" s="103"/>
      <c r="D44" s="103"/>
      <c r="E44" s="104"/>
    </row>
    <row r="45" spans="1:5" hidden="1" x14ac:dyDescent="0.3">
      <c r="A45" s="103"/>
      <c r="B45" s="103"/>
      <c r="C45" s="103"/>
      <c r="D45" s="103"/>
      <c r="E45" s="104"/>
    </row>
    <row r="46" spans="1:5" hidden="1" x14ac:dyDescent="0.3">
      <c r="A46" s="103"/>
      <c r="B46" s="103"/>
      <c r="C46" s="103"/>
      <c r="D46" s="103"/>
      <c r="E46" s="104"/>
    </row>
    <row r="47" spans="1:5" hidden="1" x14ac:dyDescent="0.3">
      <c r="E47" s="44"/>
    </row>
    <row r="48" spans="1:5" hidden="1" x14ac:dyDescent="0.3">
      <c r="E48" s="44"/>
    </row>
    <row r="49" spans="5:5" hidden="1" x14ac:dyDescent="0.3">
      <c r="E49" s="44"/>
    </row>
    <row r="50" spans="5:5" hidden="1" x14ac:dyDescent="0.3"/>
    <row r="51" spans="5:5" hidden="1" x14ac:dyDescent="0.3"/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B44" sqref="B44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212</v>
      </c>
      <c r="B1" t="s">
        <v>213</v>
      </c>
      <c r="C1" t="s">
        <v>214</v>
      </c>
      <c r="D1" t="s">
        <v>215</v>
      </c>
      <c r="E1" s="44" t="s">
        <v>121</v>
      </c>
    </row>
    <row r="2" spans="1:5" hidden="1" x14ac:dyDescent="0.3">
      <c r="A2" s="99" t="s">
        <v>249</v>
      </c>
      <c r="B2" s="100" t="s">
        <v>266</v>
      </c>
      <c r="C2" s="101">
        <v>577</v>
      </c>
      <c r="D2" s="98">
        <v>1</v>
      </c>
      <c r="E2" s="100" t="s">
        <v>409</v>
      </c>
    </row>
    <row r="3" spans="1:5" x14ac:dyDescent="0.3">
      <c r="A3" s="99" t="s">
        <v>249</v>
      </c>
      <c r="B3" s="100" t="s">
        <v>266</v>
      </c>
      <c r="C3" s="101">
        <v>582</v>
      </c>
      <c r="D3" s="98"/>
      <c r="E3" s="100" t="s">
        <v>265</v>
      </c>
    </row>
    <row r="4" spans="1:5" hidden="1" x14ac:dyDescent="0.3">
      <c r="A4" s="99" t="s">
        <v>249</v>
      </c>
      <c r="B4" s="100" t="s">
        <v>266</v>
      </c>
      <c r="C4" s="101">
        <v>628</v>
      </c>
      <c r="D4" s="98">
        <v>1</v>
      </c>
      <c r="E4" s="100" t="s">
        <v>410</v>
      </c>
    </row>
    <row r="5" spans="1:5" x14ac:dyDescent="0.3">
      <c r="A5" s="99" t="s">
        <v>249</v>
      </c>
      <c r="B5" s="100" t="s">
        <v>266</v>
      </c>
      <c r="C5" s="101">
        <v>705</v>
      </c>
      <c r="D5" s="98"/>
      <c r="E5" s="100" t="s">
        <v>411</v>
      </c>
    </row>
    <row r="6" spans="1:5" x14ac:dyDescent="0.3">
      <c r="A6" s="99" t="s">
        <v>249</v>
      </c>
      <c r="B6" s="100" t="s">
        <v>266</v>
      </c>
      <c r="C6" s="101">
        <v>770</v>
      </c>
      <c r="D6" s="99"/>
      <c r="E6" s="100" t="s">
        <v>412</v>
      </c>
    </row>
    <row r="7" spans="1:5" x14ac:dyDescent="0.3">
      <c r="A7" s="99" t="s">
        <v>249</v>
      </c>
      <c r="B7" s="100" t="s">
        <v>266</v>
      </c>
      <c r="C7" s="101">
        <v>771</v>
      </c>
      <c r="D7" s="99"/>
      <c r="E7" s="100" t="s">
        <v>413</v>
      </c>
    </row>
    <row r="8" spans="1:5" x14ac:dyDescent="0.3">
      <c r="A8" s="99" t="s">
        <v>249</v>
      </c>
      <c r="B8" s="100" t="s">
        <v>266</v>
      </c>
      <c r="C8" s="101">
        <v>772</v>
      </c>
      <c r="D8" s="99"/>
      <c r="E8" s="100" t="s">
        <v>414</v>
      </c>
    </row>
    <row r="9" spans="1:5" hidden="1" x14ac:dyDescent="0.3">
      <c r="A9" s="99" t="s">
        <v>249</v>
      </c>
      <c r="B9" s="100" t="s">
        <v>266</v>
      </c>
      <c r="C9" s="101">
        <v>773</v>
      </c>
      <c r="D9" s="99">
        <v>0</v>
      </c>
      <c r="E9" s="100" t="s">
        <v>415</v>
      </c>
    </row>
    <row r="10" spans="1:5" hidden="1" x14ac:dyDescent="0.3">
      <c r="A10" s="99" t="s">
        <v>249</v>
      </c>
      <c r="B10" s="100" t="s">
        <v>266</v>
      </c>
      <c r="C10" s="101">
        <v>863</v>
      </c>
      <c r="D10" s="99">
        <v>1</v>
      </c>
      <c r="E10" s="100" t="s">
        <v>416</v>
      </c>
    </row>
    <row r="11" spans="1:5" hidden="1" x14ac:dyDescent="0.3">
      <c r="A11" s="99" t="s">
        <v>249</v>
      </c>
      <c r="B11" s="100" t="s">
        <v>271</v>
      </c>
      <c r="C11" s="101">
        <v>897</v>
      </c>
      <c r="D11" s="98">
        <v>1</v>
      </c>
      <c r="E11" s="100" t="s">
        <v>417</v>
      </c>
    </row>
    <row r="12" spans="1:5" hidden="1" x14ac:dyDescent="0.3">
      <c r="A12" s="99" t="s">
        <v>249</v>
      </c>
      <c r="B12" s="100" t="s">
        <v>271</v>
      </c>
      <c r="C12" s="101">
        <v>906</v>
      </c>
      <c r="D12" s="98">
        <v>1</v>
      </c>
      <c r="E12" s="100" t="s">
        <v>418</v>
      </c>
    </row>
    <row r="13" spans="1:5" hidden="1" x14ac:dyDescent="0.3">
      <c r="A13" s="99" t="s">
        <v>249</v>
      </c>
      <c r="B13" s="100" t="s">
        <v>250</v>
      </c>
      <c r="C13" s="101">
        <v>13</v>
      </c>
      <c r="D13" s="98">
        <v>1</v>
      </c>
      <c r="E13" s="100" t="s">
        <v>393</v>
      </c>
    </row>
    <row r="14" spans="1:5" hidden="1" x14ac:dyDescent="0.3">
      <c r="A14" s="99" t="s">
        <v>249</v>
      </c>
      <c r="B14" s="100" t="s">
        <v>250</v>
      </c>
      <c r="C14" s="101">
        <v>14</v>
      </c>
      <c r="D14" s="98">
        <v>1</v>
      </c>
      <c r="E14" s="108" t="s">
        <v>394</v>
      </c>
    </row>
    <row r="15" spans="1:5" hidden="1" x14ac:dyDescent="0.3">
      <c r="A15" s="99" t="s">
        <v>249</v>
      </c>
      <c r="B15" s="100" t="s">
        <v>250</v>
      </c>
      <c r="C15" s="101">
        <v>15</v>
      </c>
      <c r="D15" s="98">
        <v>1</v>
      </c>
      <c r="E15" s="108" t="s">
        <v>395</v>
      </c>
    </row>
    <row r="16" spans="1:5" hidden="1" x14ac:dyDescent="0.3">
      <c r="A16" s="99" t="s">
        <v>249</v>
      </c>
      <c r="B16" s="100" t="s">
        <v>250</v>
      </c>
      <c r="C16" s="101">
        <v>16</v>
      </c>
      <c r="D16" s="98">
        <v>1</v>
      </c>
      <c r="E16" s="108" t="s">
        <v>396</v>
      </c>
    </row>
    <row r="17" spans="1:5" hidden="1" x14ac:dyDescent="0.3">
      <c r="A17" s="99" t="s">
        <v>249</v>
      </c>
      <c r="B17" s="100" t="s">
        <v>250</v>
      </c>
      <c r="C17" s="101">
        <v>17</v>
      </c>
      <c r="D17" s="98">
        <v>1</v>
      </c>
      <c r="E17" s="108" t="s">
        <v>397</v>
      </c>
    </row>
    <row r="18" spans="1:5" hidden="1" x14ac:dyDescent="0.3">
      <c r="A18" s="99" t="s">
        <v>249</v>
      </c>
      <c r="B18" s="100" t="s">
        <v>250</v>
      </c>
      <c r="C18" s="101">
        <v>18</v>
      </c>
      <c r="D18" s="98">
        <v>1</v>
      </c>
      <c r="E18" s="108" t="s">
        <v>398</v>
      </c>
    </row>
    <row r="19" spans="1:5" hidden="1" x14ac:dyDescent="0.3">
      <c r="A19" s="99" t="s">
        <v>249</v>
      </c>
      <c r="B19" s="100" t="s">
        <v>250</v>
      </c>
      <c r="C19" s="101">
        <v>19</v>
      </c>
      <c r="D19" s="98">
        <v>1</v>
      </c>
      <c r="E19" s="108" t="s">
        <v>399</v>
      </c>
    </row>
    <row r="20" spans="1:5" hidden="1" x14ac:dyDescent="0.3">
      <c r="A20" s="99" t="s">
        <v>249</v>
      </c>
      <c r="B20" s="100" t="s">
        <v>250</v>
      </c>
      <c r="C20" s="101">
        <v>20</v>
      </c>
      <c r="D20" s="98">
        <v>1</v>
      </c>
      <c r="E20" s="108" t="s">
        <v>400</v>
      </c>
    </row>
    <row r="21" spans="1:5" hidden="1" x14ac:dyDescent="0.3">
      <c r="A21" s="99" t="s">
        <v>249</v>
      </c>
      <c r="B21" s="100" t="s">
        <v>250</v>
      </c>
      <c r="C21" s="101">
        <v>21</v>
      </c>
      <c r="D21" s="98">
        <v>1</v>
      </c>
      <c r="E21" s="108" t="s">
        <v>401</v>
      </c>
    </row>
    <row r="22" spans="1:5" hidden="1" x14ac:dyDescent="0.3">
      <c r="A22" s="99" t="s">
        <v>249</v>
      </c>
      <c r="B22" s="100" t="s">
        <v>250</v>
      </c>
      <c r="C22" s="101">
        <v>22</v>
      </c>
      <c r="D22" s="98">
        <v>1</v>
      </c>
      <c r="E22" s="108" t="s">
        <v>402</v>
      </c>
    </row>
    <row r="23" spans="1:5" hidden="1" x14ac:dyDescent="0.3">
      <c r="A23" s="99" t="s">
        <v>249</v>
      </c>
      <c r="B23" s="100" t="s">
        <v>250</v>
      </c>
      <c r="C23" s="101">
        <v>23</v>
      </c>
      <c r="D23" s="98">
        <v>1</v>
      </c>
      <c r="E23" s="108" t="s">
        <v>403</v>
      </c>
    </row>
    <row r="24" spans="1:5" hidden="1" x14ac:dyDescent="0.3">
      <c r="A24" s="99" t="s">
        <v>249</v>
      </c>
      <c r="B24" s="100" t="s">
        <v>250</v>
      </c>
      <c r="C24" s="101">
        <v>24</v>
      </c>
      <c r="D24" s="98">
        <v>1</v>
      </c>
      <c r="E24" s="108" t="s">
        <v>404</v>
      </c>
    </row>
    <row r="25" spans="1:5" x14ac:dyDescent="0.3">
      <c r="A25" s="99" t="s">
        <v>249</v>
      </c>
      <c r="B25" s="100" t="s">
        <v>250</v>
      </c>
      <c r="C25" s="101">
        <v>25</v>
      </c>
      <c r="D25" s="98"/>
      <c r="E25" s="108" t="s">
        <v>405</v>
      </c>
    </row>
    <row r="26" spans="1:5" hidden="1" x14ac:dyDescent="0.3">
      <c r="A26" s="99" t="s">
        <v>249</v>
      </c>
      <c r="B26" s="100" t="s">
        <v>250</v>
      </c>
      <c r="C26" s="101">
        <v>37</v>
      </c>
      <c r="D26" s="98">
        <v>1</v>
      </c>
      <c r="E26" s="108" t="s">
        <v>406</v>
      </c>
    </row>
    <row r="27" spans="1:5" hidden="1" x14ac:dyDescent="0.3">
      <c r="A27" s="99" t="s">
        <v>249</v>
      </c>
      <c r="B27" s="100" t="s">
        <v>250</v>
      </c>
      <c r="C27" s="101">
        <v>69</v>
      </c>
      <c r="D27" s="98">
        <v>1</v>
      </c>
      <c r="E27" s="100" t="s">
        <v>407</v>
      </c>
    </row>
    <row r="28" spans="1:5" x14ac:dyDescent="0.3">
      <c r="A28" s="99" t="s">
        <v>249</v>
      </c>
      <c r="B28" s="100" t="s">
        <v>250</v>
      </c>
      <c r="C28" s="101">
        <v>71</v>
      </c>
      <c r="D28" s="98"/>
      <c r="E28" s="100" t="s">
        <v>408</v>
      </c>
    </row>
    <row r="29" spans="1:5" x14ac:dyDescent="0.3">
      <c r="A29" s="99" t="s">
        <v>216</v>
      </c>
      <c r="B29" s="100" t="s">
        <v>216</v>
      </c>
      <c r="C29" s="101">
        <v>122</v>
      </c>
      <c r="D29" s="98"/>
      <c r="E29" s="100" t="s">
        <v>419</v>
      </c>
    </row>
    <row r="30" spans="1:5" x14ac:dyDescent="0.3">
      <c r="A30" s="99" t="s">
        <v>216</v>
      </c>
      <c r="B30" s="100" t="s">
        <v>216</v>
      </c>
      <c r="C30" s="101">
        <v>151</v>
      </c>
      <c r="D30" s="98"/>
      <c r="E30" s="100" t="s">
        <v>420</v>
      </c>
    </row>
    <row r="31" spans="1:5" x14ac:dyDescent="0.3">
      <c r="A31" s="99" t="s">
        <v>216</v>
      </c>
      <c r="B31" s="100" t="s">
        <v>235</v>
      </c>
      <c r="C31" s="101">
        <v>578</v>
      </c>
      <c r="D31" s="98"/>
      <c r="E31" s="100" t="s">
        <v>421</v>
      </c>
    </row>
    <row r="32" spans="1:5" x14ac:dyDescent="0.3">
      <c r="A32" s="99" t="s">
        <v>216</v>
      </c>
      <c r="B32" s="100" t="s">
        <v>235</v>
      </c>
      <c r="C32" s="101">
        <v>579</v>
      </c>
      <c r="D32" s="98"/>
      <c r="E32" s="100" t="s">
        <v>422</v>
      </c>
    </row>
    <row r="33" spans="1:5" x14ac:dyDescent="0.3">
      <c r="A33" s="99" t="s">
        <v>216</v>
      </c>
      <c r="B33" s="100" t="s">
        <v>235</v>
      </c>
      <c r="C33" s="101">
        <v>586</v>
      </c>
      <c r="D33" s="98"/>
      <c r="E33" s="100" t="s">
        <v>423</v>
      </c>
    </row>
    <row r="34" spans="1:5" x14ac:dyDescent="0.3">
      <c r="A34" s="99" t="s">
        <v>216</v>
      </c>
      <c r="B34" s="100" t="s">
        <v>235</v>
      </c>
      <c r="C34" s="101">
        <v>599</v>
      </c>
      <c r="D34" s="98"/>
      <c r="E34" s="100" t="s">
        <v>424</v>
      </c>
    </row>
    <row r="35" spans="1:5" x14ac:dyDescent="0.3">
      <c r="A35" s="99" t="s">
        <v>216</v>
      </c>
      <c r="B35" s="100" t="s">
        <v>235</v>
      </c>
      <c r="C35" s="101">
        <v>600</v>
      </c>
      <c r="D35" s="98"/>
      <c r="E35" s="100" t="s">
        <v>425</v>
      </c>
    </row>
    <row r="36" spans="1:5" x14ac:dyDescent="0.3">
      <c r="A36" s="99" t="s">
        <v>216</v>
      </c>
      <c r="B36" s="100" t="s">
        <v>235</v>
      </c>
      <c r="C36" s="101">
        <v>608</v>
      </c>
      <c r="D36" s="98"/>
      <c r="E36" s="100" t="s">
        <v>426</v>
      </c>
    </row>
    <row r="37" spans="1:5" x14ac:dyDescent="0.3">
      <c r="A37" s="99" t="s">
        <v>216</v>
      </c>
      <c r="B37" s="100" t="s">
        <v>239</v>
      </c>
      <c r="C37" s="101">
        <v>718</v>
      </c>
      <c r="D37" s="98"/>
      <c r="E37" s="100" t="s">
        <v>427</v>
      </c>
    </row>
    <row r="38" spans="1:5" x14ac:dyDescent="0.3">
      <c r="A38" s="99"/>
      <c r="B38" s="100"/>
      <c r="C38" s="101"/>
      <c r="D38" s="98"/>
      <c r="E38" s="100"/>
    </row>
    <row r="39" spans="1:5" x14ac:dyDescent="0.3">
      <c r="A39" s="99"/>
      <c r="B39" s="100"/>
      <c r="C39" s="101"/>
      <c r="D39" s="98"/>
      <c r="E39" s="100"/>
    </row>
    <row r="40" spans="1:5" x14ac:dyDescent="0.3">
      <c r="A40" s="99"/>
      <c r="B40" s="100"/>
      <c r="C40" s="101"/>
      <c r="D40" s="98"/>
      <c r="E40" s="100"/>
    </row>
    <row r="41" spans="1:5" x14ac:dyDescent="0.3">
      <c r="A41" s="99"/>
      <c r="B41" s="100"/>
      <c r="C41" s="101"/>
      <c r="D41" s="98"/>
      <c r="E41" s="100"/>
    </row>
    <row r="42" spans="1:5" x14ac:dyDescent="0.3">
      <c r="A42" s="99"/>
      <c r="B42" s="100"/>
      <c r="C42" s="101"/>
      <c r="D42" s="98"/>
      <c r="E42" s="100"/>
    </row>
    <row r="43" spans="1:5" x14ac:dyDescent="0.3">
      <c r="A43" s="99"/>
      <c r="B43" s="100"/>
      <c r="C43" s="101"/>
      <c r="D43" s="98"/>
      <c r="E43" s="100"/>
    </row>
    <row r="44" spans="1:5" x14ac:dyDescent="0.3">
      <c r="A44" s="99"/>
      <c r="B44" s="100"/>
      <c r="C44" s="101"/>
      <c r="D44" s="98"/>
      <c r="E44" s="100"/>
    </row>
    <row r="45" spans="1:5" x14ac:dyDescent="0.3">
      <c r="A45" s="99"/>
      <c r="B45" s="100"/>
      <c r="C45" s="101"/>
      <c r="D45" s="98"/>
      <c r="E45" s="100"/>
    </row>
    <row r="46" spans="1:5" x14ac:dyDescent="0.3">
      <c r="A46" s="99"/>
      <c r="B46" s="100"/>
      <c r="C46" s="101"/>
      <c r="D46" s="98"/>
      <c r="E46" s="100"/>
    </row>
    <row r="47" spans="1:5" x14ac:dyDescent="0.3">
      <c r="A47" s="99"/>
      <c r="B47" s="100"/>
      <c r="C47" s="101"/>
      <c r="D47" s="98"/>
      <c r="E47" s="100"/>
    </row>
    <row r="48" spans="1:5" x14ac:dyDescent="0.3">
      <c r="A48" s="99"/>
      <c r="B48" s="100"/>
      <c r="C48" s="101"/>
      <c r="D48" s="98"/>
      <c r="E48" s="100"/>
    </row>
    <row r="49" spans="1:5" x14ac:dyDescent="0.3">
      <c r="A49" s="99"/>
      <c r="B49" s="100"/>
      <c r="C49" s="101"/>
      <c r="D49" s="98"/>
      <c r="E49" s="100"/>
    </row>
    <row r="50" spans="1:5" x14ac:dyDescent="0.3">
      <c r="A50" s="99"/>
      <c r="B50" s="100"/>
      <c r="C50" s="101"/>
      <c r="D50" s="98"/>
      <c r="E50" s="100"/>
    </row>
    <row r="51" spans="1:5" x14ac:dyDescent="0.3">
      <c r="A51" s="99"/>
      <c r="B51" s="100"/>
      <c r="C51" s="101"/>
      <c r="D51" s="98"/>
      <c r="E51" s="100"/>
    </row>
    <row r="52" spans="1:5" x14ac:dyDescent="0.3">
      <c r="A52" s="99"/>
      <c r="B52" s="100"/>
      <c r="C52" s="101"/>
      <c r="D52" s="98"/>
      <c r="E52" s="100"/>
    </row>
    <row r="53" spans="1:5" x14ac:dyDescent="0.3">
      <c r="A53" s="99"/>
      <c r="B53" s="100"/>
      <c r="C53" s="101"/>
      <c r="D53" s="98"/>
      <c r="E53" s="100"/>
    </row>
    <row r="54" spans="1:5" x14ac:dyDescent="0.3">
      <c r="A54" s="99"/>
      <c r="B54" s="100"/>
      <c r="C54" s="99"/>
      <c r="D54" s="98"/>
      <c r="E54" s="100"/>
    </row>
    <row r="55" spans="1:5" x14ac:dyDescent="0.3">
      <c r="A55" s="99"/>
      <c r="B55" s="100"/>
      <c r="C55" s="99"/>
      <c r="D55" s="98"/>
      <c r="E55" s="100"/>
    </row>
    <row r="56" spans="1:5" x14ac:dyDescent="0.3">
      <c r="A56" s="99"/>
      <c r="B56" s="100"/>
      <c r="C56" s="99"/>
      <c r="D56" s="98"/>
      <c r="E56" s="100"/>
    </row>
    <row r="57" spans="1:5" x14ac:dyDescent="0.3">
      <c r="A57" s="99"/>
      <c r="B57" s="100"/>
      <c r="C57" s="99"/>
      <c r="D57" s="98"/>
      <c r="E57" s="100"/>
    </row>
    <row r="58" spans="1:5" x14ac:dyDescent="0.3">
      <c r="A58" s="99"/>
      <c r="B58" s="100"/>
      <c r="C58" s="99"/>
      <c r="D58" s="98"/>
      <c r="E58" s="100"/>
    </row>
    <row r="59" spans="1:5" x14ac:dyDescent="0.3">
      <c r="A59" s="99"/>
      <c r="B59" s="100"/>
      <c r="C59" s="99"/>
      <c r="D59" s="98"/>
      <c r="E59" s="100"/>
    </row>
    <row r="60" spans="1:5" x14ac:dyDescent="0.3">
      <c r="A60" s="99"/>
      <c r="B60" s="100"/>
      <c r="C60" s="99"/>
      <c r="D60" s="98"/>
      <c r="E60" s="100"/>
    </row>
    <row r="61" spans="1:5" x14ac:dyDescent="0.3">
      <c r="A61" s="99"/>
      <c r="B61" s="100"/>
      <c r="C61" s="99"/>
      <c r="D61" s="98"/>
      <c r="E61" s="100"/>
    </row>
    <row r="62" spans="1:5" x14ac:dyDescent="0.3">
      <c r="A62" s="99"/>
      <c r="B62" s="100"/>
      <c r="C62" s="99"/>
      <c r="D62" s="98"/>
      <c r="E62" s="100"/>
    </row>
    <row r="63" spans="1:5" x14ac:dyDescent="0.3">
      <c r="A63" s="99"/>
      <c r="B63" s="100"/>
      <c r="C63" s="99"/>
      <c r="D63" s="98"/>
      <c r="E63" s="100"/>
    </row>
    <row r="64" spans="1:5" x14ac:dyDescent="0.3">
      <c r="A64" s="99"/>
      <c r="B64" s="100"/>
      <c r="C64" s="99"/>
      <c r="D64" s="98"/>
      <c r="E64" s="100"/>
    </row>
    <row r="65" spans="1:5" x14ac:dyDescent="0.3">
      <c r="A65" s="99"/>
      <c r="B65" s="100"/>
      <c r="C65" s="99"/>
      <c r="D65" s="98"/>
      <c r="E65" s="100"/>
    </row>
    <row r="66" spans="1:5" x14ac:dyDescent="0.3">
      <c r="A66" s="99"/>
      <c r="B66" s="100"/>
      <c r="C66" s="99"/>
      <c r="D66" s="98"/>
      <c r="E66" s="100"/>
    </row>
    <row r="67" spans="1:5" x14ac:dyDescent="0.3">
      <c r="A67" s="99"/>
      <c r="B67" s="100"/>
      <c r="C67" s="99"/>
      <c r="D67" s="98"/>
      <c r="E67" s="100"/>
    </row>
    <row r="68" spans="1:5" x14ac:dyDescent="0.3">
      <c r="A68" s="99"/>
      <c r="B68" s="100"/>
      <c r="C68" s="99"/>
      <c r="D68" s="98"/>
      <c r="E68" s="100"/>
    </row>
    <row r="69" spans="1:5" x14ac:dyDescent="0.3">
      <c r="A69" s="99"/>
      <c r="B69" s="100"/>
      <c r="C69" s="99"/>
      <c r="D69" s="98"/>
      <c r="E69" s="100"/>
    </row>
    <row r="70" spans="1:5" x14ac:dyDescent="0.3">
      <c r="A70" s="99"/>
      <c r="B70" s="100"/>
      <c r="C70" s="99"/>
      <c r="D70" s="98"/>
      <c r="E70" s="100"/>
    </row>
    <row r="71" spans="1:5" x14ac:dyDescent="0.3">
      <c r="A71" s="99"/>
      <c r="B71" s="100"/>
      <c r="C71" s="99"/>
      <c r="D71" s="98"/>
      <c r="E71" s="100"/>
    </row>
    <row r="72" spans="1:5" x14ac:dyDescent="0.3">
      <c r="A72" s="99"/>
      <c r="B72" s="100"/>
      <c r="C72" s="99"/>
      <c r="D72" s="98"/>
      <c r="E72" s="100"/>
    </row>
    <row r="73" spans="1:5" x14ac:dyDescent="0.3">
      <c r="A73" s="99"/>
      <c r="B73" s="100"/>
      <c r="C73" s="99"/>
      <c r="D73" s="98"/>
      <c r="E73" s="100"/>
    </row>
    <row r="74" spans="1:5" x14ac:dyDescent="0.3">
      <c r="A74" s="99"/>
      <c r="B74" s="100"/>
      <c r="C74" s="99"/>
      <c r="D74" s="98"/>
      <c r="E74" s="100"/>
    </row>
    <row r="75" spans="1:5" x14ac:dyDescent="0.3">
      <c r="A75" s="99"/>
      <c r="B75" s="100"/>
      <c r="C75" s="99"/>
      <c r="D75" s="98"/>
      <c r="E75" s="100"/>
    </row>
    <row r="76" spans="1:5" x14ac:dyDescent="0.3">
      <c r="A76" s="99"/>
      <c r="B76" s="100"/>
      <c r="C76" s="99"/>
      <c r="D76" s="98"/>
      <c r="E76" s="100"/>
    </row>
    <row r="77" spans="1:5" x14ac:dyDescent="0.3">
      <c r="A77" s="99"/>
      <c r="B77" s="100"/>
      <c r="C77" s="99"/>
      <c r="D77" s="98"/>
      <c r="E77" s="100"/>
    </row>
    <row r="78" spans="1:5" x14ac:dyDescent="0.3">
      <c r="A78" s="99"/>
      <c r="B78" s="100"/>
      <c r="C78" s="99"/>
      <c r="D78" s="98"/>
      <c r="E78" s="100"/>
    </row>
    <row r="79" spans="1:5" x14ac:dyDescent="0.3">
      <c r="A79" s="99"/>
      <c r="B79" s="100"/>
      <c r="C79" s="99"/>
      <c r="D79" s="98"/>
      <c r="E79" s="100"/>
    </row>
    <row r="80" spans="1:5" x14ac:dyDescent="0.3">
      <c r="A80" s="99"/>
      <c r="B80" s="100"/>
      <c r="C80" s="99"/>
      <c r="D80" s="98"/>
      <c r="E80" s="100"/>
    </row>
    <row r="81" spans="1:5" x14ac:dyDescent="0.3">
      <c r="A81" s="99"/>
      <c r="B81" s="100"/>
      <c r="C81" s="101"/>
      <c r="D81" s="98"/>
      <c r="E81" s="100"/>
    </row>
    <row r="82" spans="1:5" x14ac:dyDescent="0.3">
      <c r="A82" s="99"/>
      <c r="B82" s="100"/>
      <c r="C82" s="101"/>
      <c r="D82" s="98"/>
      <c r="E82" s="100"/>
    </row>
    <row r="83" spans="1:5" x14ac:dyDescent="0.3">
      <c r="A83" s="99"/>
      <c r="B83" s="100"/>
      <c r="C83" s="101"/>
      <c r="D83" s="98"/>
      <c r="E83" s="100"/>
    </row>
    <row r="84" spans="1:5" x14ac:dyDescent="0.3">
      <c r="A84" s="99"/>
      <c r="B84" s="100"/>
      <c r="C84" s="101"/>
      <c r="D84" s="98"/>
      <c r="E84" s="100"/>
    </row>
    <row r="85" spans="1:5" x14ac:dyDescent="0.3">
      <c r="A85" s="99"/>
      <c r="B85" s="100"/>
      <c r="C85" s="101"/>
      <c r="D85" s="98"/>
      <c r="E85" s="100"/>
    </row>
    <row r="86" spans="1:5" x14ac:dyDescent="0.3">
      <c r="A86" s="99"/>
      <c r="B86" s="100"/>
      <c r="C86" s="101"/>
      <c r="D86" s="98"/>
      <c r="E86" s="100"/>
    </row>
    <row r="87" spans="1:5" x14ac:dyDescent="0.3">
      <c r="A87" s="99"/>
      <c r="B87" s="100"/>
      <c r="C87" s="101"/>
      <c r="D87" s="98"/>
      <c r="E87" s="100"/>
    </row>
    <row r="88" spans="1:5" x14ac:dyDescent="0.3">
      <c r="A88" s="99"/>
      <c r="B88" s="100"/>
      <c r="C88" s="99"/>
      <c r="D88" s="98"/>
      <c r="E88" s="100"/>
    </row>
    <row r="89" spans="1:5" x14ac:dyDescent="0.3">
      <c r="A89" s="99"/>
      <c r="B89" s="100"/>
      <c r="C89" s="99"/>
      <c r="D89" s="98"/>
      <c r="E89" s="100"/>
    </row>
    <row r="90" spans="1:5" x14ac:dyDescent="0.3">
      <c r="A90" s="99"/>
      <c r="B90" s="100"/>
      <c r="C90" s="99"/>
      <c r="D90" s="98"/>
      <c r="E90" s="100"/>
    </row>
    <row r="91" spans="1:5" x14ac:dyDescent="0.3">
      <c r="A91" s="99"/>
      <c r="B91" s="100"/>
      <c r="C91" s="99"/>
      <c r="D91" s="98"/>
      <c r="E91" s="100"/>
    </row>
    <row r="92" spans="1:5" x14ac:dyDescent="0.3">
      <c r="A92" s="99"/>
      <c r="B92" s="100"/>
      <c r="C92" s="101"/>
      <c r="D92" s="98"/>
      <c r="E92" s="100"/>
    </row>
    <row r="93" spans="1:5" x14ac:dyDescent="0.3">
      <c r="A93" s="99"/>
      <c r="B93" s="100"/>
      <c r="C93" s="101"/>
      <c r="D93" s="98"/>
      <c r="E93" s="100"/>
    </row>
    <row r="94" spans="1:5" x14ac:dyDescent="0.3">
      <c r="A94" s="99"/>
      <c r="B94" s="100"/>
      <c r="C94" s="101"/>
      <c r="D94" s="98"/>
      <c r="E94" s="100"/>
    </row>
    <row r="95" spans="1:5" x14ac:dyDescent="0.3">
      <c r="A95" s="99"/>
      <c r="B95" s="100"/>
      <c r="C95" s="101"/>
      <c r="D95" s="98"/>
      <c r="E95" s="100"/>
    </row>
    <row r="96" spans="1:5" x14ac:dyDescent="0.3">
      <c r="A96" s="99"/>
      <c r="B96" s="100"/>
      <c r="C96" s="101"/>
      <c r="D96" s="98"/>
      <c r="E96" s="100"/>
    </row>
    <row r="97" spans="1:5" x14ac:dyDescent="0.3">
      <c r="A97" s="99"/>
      <c r="B97" s="100"/>
      <c r="C97" s="101"/>
      <c r="D97" s="98"/>
      <c r="E97" s="100"/>
    </row>
    <row r="98" spans="1:5" x14ac:dyDescent="0.3">
      <c r="A98" s="99"/>
      <c r="B98" s="100"/>
      <c r="C98" s="101"/>
      <c r="D98" s="98"/>
      <c r="E98" s="100"/>
    </row>
    <row r="99" spans="1:5" x14ac:dyDescent="0.3">
      <c r="A99" s="99"/>
      <c r="B99" s="100"/>
      <c r="C99" s="101"/>
      <c r="D99" s="98"/>
      <c r="E99" s="100"/>
    </row>
    <row r="100" spans="1:5" x14ac:dyDescent="0.3">
      <c r="A100" s="99"/>
      <c r="B100" s="100"/>
      <c r="C100" s="101"/>
      <c r="D100" s="98"/>
      <c r="E100" s="100"/>
    </row>
    <row r="101" spans="1:5" x14ac:dyDescent="0.3">
      <c r="A101" s="99"/>
      <c r="B101" s="100"/>
      <c r="C101" s="101"/>
      <c r="D101" s="98"/>
      <c r="E101" s="100"/>
    </row>
    <row r="102" spans="1:5" x14ac:dyDescent="0.3">
      <c r="A102" s="99"/>
      <c r="B102" s="100"/>
      <c r="C102" s="101"/>
      <c r="D102" s="98"/>
      <c r="E102" s="100"/>
    </row>
    <row r="103" spans="1:5" x14ac:dyDescent="0.3">
      <c r="A103" s="99"/>
      <c r="B103" s="100"/>
      <c r="C103" s="101"/>
      <c r="D103" s="98"/>
      <c r="E103" s="100"/>
    </row>
    <row r="104" spans="1:5" x14ac:dyDescent="0.3">
      <c r="A104" s="99"/>
      <c r="B104" s="100"/>
      <c r="C104" s="101"/>
      <c r="D104" s="98"/>
      <c r="E104" s="100"/>
    </row>
    <row r="105" spans="1:5" x14ac:dyDescent="0.3">
      <c r="A105" s="99"/>
      <c r="B105" s="100"/>
      <c r="C105" s="101"/>
      <c r="D105" s="98"/>
      <c r="E105" s="100"/>
    </row>
    <row r="106" spans="1:5" x14ac:dyDescent="0.3">
      <c r="A106" s="99"/>
      <c r="B106" s="100"/>
      <c r="C106" s="101"/>
      <c r="D106" s="98"/>
      <c r="E106" s="100"/>
    </row>
    <row r="107" spans="1:5" x14ac:dyDescent="0.3">
      <c r="A107" s="99"/>
      <c r="B107" s="100"/>
      <c r="C107" s="101"/>
      <c r="D107" s="98"/>
      <c r="E107" s="100"/>
    </row>
    <row r="108" spans="1:5" x14ac:dyDescent="0.3">
      <c r="A108" s="99"/>
      <c r="B108" s="100"/>
      <c r="C108" s="101"/>
      <c r="D108" s="98"/>
      <c r="E108" s="100"/>
    </row>
    <row r="109" spans="1:5" x14ac:dyDescent="0.3">
      <c r="A109" s="99"/>
      <c r="B109" s="100"/>
      <c r="C109" s="101"/>
      <c r="D109" s="98"/>
      <c r="E109" s="100"/>
    </row>
    <row r="110" spans="1:5" x14ac:dyDescent="0.3">
      <c r="A110" s="99"/>
      <c r="B110" s="100"/>
      <c r="C110" s="101"/>
      <c r="D110" s="98"/>
      <c r="E110" s="100"/>
    </row>
    <row r="111" spans="1:5" x14ac:dyDescent="0.3">
      <c r="A111" s="99"/>
      <c r="B111" s="100"/>
      <c r="C111" s="101"/>
      <c r="D111" s="98"/>
      <c r="E111" s="100"/>
    </row>
    <row r="112" spans="1:5" x14ac:dyDescent="0.3">
      <c r="A112" s="99"/>
      <c r="B112" s="100"/>
      <c r="C112" s="101"/>
      <c r="D112" s="98"/>
      <c r="E112" s="100"/>
    </row>
    <row r="113" spans="1:5" x14ac:dyDescent="0.3">
      <c r="A113" s="99"/>
      <c r="B113" s="100"/>
      <c r="C113" s="101"/>
      <c r="D113" s="98"/>
      <c r="E113" s="100"/>
    </row>
    <row r="114" spans="1:5" x14ac:dyDescent="0.3">
      <c r="A114" s="99"/>
      <c r="B114" s="100"/>
      <c r="C114" s="101"/>
      <c r="D114" s="98"/>
      <c r="E114" s="100"/>
    </row>
    <row r="115" spans="1:5" x14ac:dyDescent="0.3">
      <c r="A115" s="99"/>
      <c r="B115" s="100"/>
      <c r="C115" s="101"/>
      <c r="D115" s="98"/>
      <c r="E115" s="100"/>
    </row>
    <row r="116" spans="1:5" x14ac:dyDescent="0.3">
      <c r="A116" s="99"/>
      <c r="B116" s="100"/>
      <c r="C116" s="101"/>
      <c r="D116" s="98"/>
      <c r="E116" s="100"/>
    </row>
    <row r="117" spans="1:5" x14ac:dyDescent="0.3">
      <c r="A117" s="99"/>
      <c r="B117" s="100"/>
      <c r="C117" s="101"/>
      <c r="D117" s="98"/>
      <c r="E117" s="100"/>
    </row>
    <row r="118" spans="1:5" hidden="1" x14ac:dyDescent="0.3">
      <c r="E118" s="44"/>
    </row>
    <row r="119" spans="1:5" hidden="1" x14ac:dyDescent="0.3">
      <c r="E119" s="44"/>
    </row>
    <row r="120" spans="1:5" hidden="1" x14ac:dyDescent="0.3">
      <c r="E120" s="44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Project Planner</vt:lpstr>
      <vt:lpstr>Task List</vt:lpstr>
      <vt:lpstr>Run Schedule</vt:lpstr>
      <vt:lpstr>Units Check</vt:lpstr>
      <vt:lpstr>IO Units</vt:lpstr>
      <vt:lpstr>Hardcoded Values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2018-02-14T17:20:36Z</dcterms:modified>
</cp:coreProperties>
</file>