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5D65267C-C703-48D7-AEB2-4F3C15B2D423}" xr6:coauthVersionLast="31" xr6:coauthVersionMax="31" xr10:uidLastSave="{00000000-0000-0000-0000-000000000000}"/>
  <bookViews>
    <workbookView xWindow="0" yWindow="0" windowWidth="8649" windowHeight="7646" activeTab="4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<sst xmlns="http://schemas.openxmlformats.org/spreadsheetml/2006/main" count="6593" uniqueCount="2981">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</sst>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  <numFmt numFmtId="170" formatCode="0.0E+00"/>
  </numFmts>
  <fonts count="109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96" fillId="0" borderId="0" applyNumberFormat="0" applyFill="0" applyBorder="0" applyAlignment="0" applyProtection="0"/>
    <xf numFmtId="0" fontId="90" fillId="0" borderId="0" applyFill="0" applyBorder="0" applyProtection="0">
      <alignment horizontal="left" wrapText="1"/>
    </xf>
    <xf numFmtId="3" fontId="98" fillId="0" borderId="2" applyFill="0" applyProtection="0">
      <alignment horizontal="center"/>
    </xf>
    <xf numFmtId="0" fontId="98" fillId="0" borderId="0" applyFill="0" applyBorder="0" applyProtection="0">
      <alignment horizontal="center" wrapText="1"/>
    </xf>
    <xf numFmtId="0" fontId="89" fillId="0" borderId="0" applyNumberFormat="0" applyFill="0" applyBorder="0" applyProtection="0">
      <alignment horizontal="left" vertical="center"/>
    </xf>
    <xf numFmtId="9" fontId="91" fillId="0" borderId="0" applyFill="0" applyBorder="0" applyProtection="0">
      <alignment horizontal="center" vertical="center"/>
    </xf>
    <xf numFmtId="0" fontId="97" fillId="6" borderId="1" applyNumberFormat="0" applyProtection="0">
      <alignment horizontal="left" vertical="center"/>
    </xf>
    <xf numFmtId="0" fontId="96" fillId="0" borderId="0" applyNumberFormat="0" applyFill="0" applyBorder="0" applyProtection="0">
      <alignment vertical="center"/>
    </xf>
    <xf numFmtId="0" fontId="98" fillId="0" borderId="0" applyFill="0" applyProtection="0">
      <alignment vertical="center"/>
    </xf>
    <xf numFmtId="0" fontId="98" fillId="0" borderId="0" applyFill="0" applyProtection="0">
      <alignment horizontal="center" vertical="center" wrapText="1"/>
    </xf>
    <xf numFmtId="0" fontId="98" fillId="0" borderId="0" applyFill="0" applyProtection="0">
      <alignment horizontal="left"/>
    </xf>
    <xf numFmtId="0" fontId="100" fillId="0" borderId="0" applyNumberFormat="0" applyFill="0" applyBorder="0" applyProtection="0">
      <alignment vertical="center"/>
    </xf>
    <xf numFmtId="1" fontId="101" fillId="6" borderId="1">
      <alignment horizontal="center" vertical="center"/>
    </xf>
    <xf numFmtId="0" fontId="99" fillId="2" borderId="4" applyNumberFormat="0" applyFont="0" applyAlignment="0">
      <alignment horizontal="center"/>
    </xf>
    <xf numFmtId="0" fontId="99" fillId="3" borderId="3" applyNumberFormat="0" applyFont="0" applyAlignment="0">
      <alignment horizontal="center"/>
    </xf>
    <xf numFmtId="0" fontId="99" fillId="4" borderId="3" applyNumberFormat="0" applyFont="0" applyAlignment="0">
      <alignment horizontal="center"/>
    </xf>
    <xf numFmtId="0" fontId="99" fillId="5" borderId="3" applyNumberFormat="0" applyFont="0" applyAlignment="0">
      <alignment horizontal="center"/>
    </xf>
    <xf numFmtId="0" fontId="99" fillId="7" borderId="3" applyNumberFormat="0" applyFont="0" applyAlignment="0">
      <alignment horizontal="center"/>
    </xf>
    <xf numFmtId="0" fontId="88" fillId="0" borderId="0"/>
  </cellStyleXfs>
  <cellXfs count="18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90" fillId="0" borderId="0" xfId="2">
      <alignment horizontal="left" wrapText="1"/>
    </xf>
    <xf numFmtId="3" fontId="98" fillId="0" borderId="2" xfId="3">
      <alignment horizontal="center"/>
    </xf>
    <xf numFmtId="9" fontId="91" fillId="0" borderId="0" xfId="6">
      <alignment horizontal="center" vertical="center"/>
    </xf>
    <xf numFmtId="0" fontId="97" fillId="6" borderId="1" xfId="7">
      <alignment horizontal="left" vertical="center"/>
    </xf>
    <xf numFmtId="0" fontId="92" fillId="0" borderId="0" xfId="2" applyFont="1">
      <alignment horizontal="left" wrapText="1"/>
    </xf>
    <xf numFmtId="0" fontId="93" fillId="0" borderId="0" xfId="0" applyFont="1" applyAlignment="1">
      <alignment horizontal="center"/>
    </xf>
    <xf numFmtId="9" fontId="94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96" fillId="0" borderId="0" xfId="1" applyAlignment="1">
      <alignment horizontal="center"/>
    </xf>
    <xf numFmtId="0" fontId="96" fillId="0" borderId="0" xfId="8">
      <alignment vertical="center"/>
    </xf>
    <xf numFmtId="1" fontId="101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98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88" fillId="0" borderId="0" xfId="19"/>
    <xf numFmtId="0" fontId="88" fillId="0" borderId="0" xfId="19" applyAlignment="1">
      <alignment horizontal="center"/>
    </xf>
    <xf numFmtId="165" fontId="88" fillId="0" borderId="0" xfId="19" applyNumberFormat="1" applyAlignment="1">
      <alignment horizontal="center"/>
    </xf>
    <xf numFmtId="0" fontId="88" fillId="0" borderId="0" xfId="19" applyNumberFormat="1" applyAlignment="1">
      <alignment horizontal="center"/>
    </xf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102" fillId="0" borderId="0" xfId="0" applyFont="1" applyAlignment="1">
      <alignment horizontal="center" vertical="center" textRotation="90"/>
    </xf>
    <xf numFmtId="0" fontId="102" fillId="0" borderId="0" xfId="0" applyFont="1">
      <alignment horizontal="center" vertical="center"/>
    </xf>
    <xf numFmtId="0" fontId="102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71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70" fillId="0" borderId="0" xfId="19" applyFont="1" applyAlignment="1">
      <alignment horizontal="left"/>
    </xf>
    <xf numFmtId="0" fontId="71" fillId="0" borderId="0" xfId="19" applyFont="1" applyAlignment="1">
      <alignment horizontal="left"/>
    </xf>
    <xf numFmtId="0" fontId="83" fillId="0" borderId="0" xfId="19" applyFont="1" applyAlignment="1">
      <alignment horizontal="left"/>
    </xf>
    <xf numFmtId="0" fontId="88" fillId="0" borderId="0" xfId="19" applyAlignment="1">
      <alignment horizontal="left"/>
    </xf>
    <xf numFmtId="0" fontId="86" fillId="0" borderId="0" xfId="19" applyFont="1" applyAlignment="1">
      <alignment horizontal="left"/>
    </xf>
    <xf numFmtId="0" fontId="79" fillId="0" borderId="0" xfId="19" applyFont="1" applyAlignment="1">
      <alignment horizontal="left"/>
    </xf>
    <xf numFmtId="0" fontId="67" fillId="0" borderId="0" xfId="19" applyFont="1" applyAlignment="1">
      <alignment horizontal="left"/>
    </xf>
    <xf numFmtId="18" fontId="79" fillId="0" borderId="0" xfId="19" applyNumberFormat="1" applyFont="1" applyAlignment="1">
      <alignment horizontal="left"/>
    </xf>
    <xf numFmtId="0" fontId="61" fillId="0" borderId="0" xfId="19" applyFont="1" applyAlignment="1">
      <alignment horizontal="left"/>
    </xf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8" fillId="0" borderId="0" xfId="19" applyFont="1" applyAlignment="1">
      <alignment horizontal="left"/>
    </xf>
    <xf numFmtId="0" fontId="57" fillId="0" borderId="0" xfId="19" applyFont="1"/>
    <xf numFmtId="0" fontId="56" fillId="0" borderId="0" xfId="19" applyFont="1"/>
    <xf numFmtId="0" fontId="56" fillId="0" borderId="0" xfId="19" applyFont="1" applyAlignment="1">
      <alignment horizontal="left"/>
    </xf>
    <xf numFmtId="0" fontId="55" fillId="0" borderId="0" xfId="19" applyNumberFormat="1" applyFont="1" applyAlignment="1">
      <alignment horizontal="center"/>
    </xf>
    <xf numFmtId="0" fontId="55" fillId="0" borderId="0" xfId="19" applyFont="1"/>
    <xf numFmtId="0" fontId="55" fillId="0" borderId="0" xfId="19" applyFont="1" applyAlignment="1">
      <alignment horizontal="left"/>
    </xf>
    <xf numFmtId="0" fontId="54" fillId="0" borderId="0" xfId="19" applyFont="1"/>
    <xf numFmtId="0" fontId="54" fillId="0" borderId="0" xfId="19" applyFont="1" applyAlignment="1">
      <alignment horizontal="left"/>
    </xf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165" fontId="49" fillId="0" borderId="0" xfId="19" applyNumberFormat="1" applyFont="1" applyAlignment="1">
      <alignment horizontal="center"/>
    </xf>
    <xf numFmtId="0" fontId="49" fillId="0" borderId="0" xfId="19" applyFont="1" applyAlignment="1">
      <alignment horizontal="left"/>
    </xf>
    <xf numFmtId="0" fontId="48" fillId="0" borderId="0" xfId="19" applyFont="1"/>
    <xf numFmtId="0" fontId="48" fillId="0" borderId="0" xfId="19" applyFont="1" applyAlignment="1">
      <alignment horizontal="left"/>
    </xf>
    <xf numFmtId="0" fontId="47" fillId="0" borderId="0" xfId="19" applyFont="1"/>
    <xf numFmtId="0" fontId="46" fillId="0" borderId="0" xfId="19" applyFont="1"/>
    <xf numFmtId="0" fontId="46" fillId="0" borderId="0" xfId="19" applyFont="1" applyAlignment="1">
      <alignment horizontal="left"/>
    </xf>
    <xf numFmtId="0" fontId="45" fillId="0" borderId="0" xfId="19" applyFont="1"/>
    <xf numFmtId="0" fontId="45" fillId="0" borderId="0" xfId="19" applyFont="1" applyAlignment="1">
      <alignment horizontal="left"/>
    </xf>
    <xf numFmtId="0" fontId="44" fillId="0" borderId="0" xfId="19" applyFont="1"/>
    <xf numFmtId="165" fontId="44" fillId="0" borderId="0" xfId="19" applyNumberFormat="1" applyFont="1" applyAlignment="1">
      <alignment horizontal="center"/>
    </xf>
    <xf numFmtId="0" fontId="43" fillId="0" borderId="0" xfId="19" applyFont="1"/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Font="1"/>
    <xf numFmtId="0" fontId="40" fillId="0" borderId="0" xfId="19" applyFont="1" applyAlignment="1">
      <alignment horizontal="left"/>
    </xf>
    <xf numFmtId="0" fontId="40" fillId="0" borderId="0" xfId="19" applyFont="1"/>
    <xf numFmtId="0" fontId="103" fillId="0" borderId="0" xfId="0" applyFont="1">
      <alignment horizontal="center" vertical="center"/>
    </xf>
    <xf numFmtId="0" fontId="104" fillId="0" borderId="0" xfId="0" applyFont="1">
      <alignment horizontal="center" vertical="center"/>
    </xf>
    <xf numFmtId="0" fontId="104" fillId="0" borderId="0" xfId="0" applyFont="1" applyAlignment="1">
      <alignment horizontal="left" vertical="center"/>
    </xf>
    <xf numFmtId="1" fontId="104" fillId="0" borderId="0" xfId="0" applyNumberFormat="1" applyFont="1">
      <alignment horizontal="center" vertical="center"/>
    </xf>
    <xf numFmtId="0" fontId="39" fillId="0" borderId="0" xfId="19" applyFont="1"/>
    <xf numFmtId="0" fontId="107" fillId="0" borderId="0" xfId="0" applyFont="1">
      <alignment horizontal="center" vertical="center"/>
    </xf>
    <xf numFmtId="0" fontId="107" fillId="0" borderId="0" xfId="0" applyFont="1" applyAlignment="1">
      <alignment horizontal="left" vertical="center"/>
    </xf>
    <xf numFmtId="0" fontId="107" fillId="0" borderId="0" xfId="0" quotePrefix="1" applyFont="1" applyAlignment="1">
      <alignment horizontal="left" vertical="center"/>
    </xf>
    <xf numFmtId="166" fontId="97" fillId="0" borderId="0" xfId="0" applyNumberFormat="1" applyFont="1">
      <alignment horizontal="center" vertical="center"/>
    </xf>
    <xf numFmtId="0" fontId="104" fillId="0" borderId="0" xfId="0" quotePrefix="1" applyFont="1" applyAlignment="1">
      <alignment horizontal="left" vertical="center"/>
    </xf>
    <xf numFmtId="16" fontId="102" fillId="0" borderId="0" xfId="0" applyNumberFormat="1" applyFont="1">
      <alignment horizontal="center" vertical="center"/>
    </xf>
    <xf numFmtId="167" fontId="102" fillId="0" borderId="0" xfId="0" applyNumberFormat="1" applyFont="1">
      <alignment horizontal="center" vertical="center"/>
    </xf>
    <xf numFmtId="1" fontId="102" fillId="0" borderId="0" xfId="0" applyNumberFormat="1" applyFont="1">
      <alignment horizontal="center" vertical="center"/>
    </xf>
    <xf numFmtId="0" fontId="102" fillId="0" borderId="0" xfId="0" applyFont="1" applyAlignment="1">
      <alignment horizontal="center" vertical="center"/>
    </xf>
    <xf numFmtId="168" fontId="102" fillId="0" borderId="0" xfId="0" applyNumberFormat="1" applyFont="1">
      <alignment horizontal="center" vertical="center"/>
    </xf>
    <xf numFmtId="0" fontId="38" fillId="0" borderId="0" xfId="19" applyFont="1"/>
    <xf numFmtId="0" fontId="37" fillId="0" borderId="0" xfId="19" applyFont="1"/>
    <xf numFmtId="165" fontId="37" fillId="0" borderId="0" xfId="19" applyNumberFormat="1" applyFont="1" applyAlignment="1">
      <alignment horizontal="center"/>
    </xf>
    <xf numFmtId="0" fontId="37" fillId="0" borderId="0" xfId="19" applyFont="1" applyAlignment="1">
      <alignment horizontal="left"/>
    </xf>
    <xf numFmtId="0" fontId="92" fillId="0" borderId="0" xfId="2" applyFont="1" applyAlignment="1">
      <alignment horizontal="left" vertical="center" wrapText="1"/>
    </xf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33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30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0" fontId="28" fillId="0" borderId="0" xfId="19" applyFont="1"/>
    <xf numFmtId="165" fontId="28" fillId="0" borderId="0" xfId="19" applyNumberFormat="1" applyFont="1" applyAlignment="1">
      <alignment horizontal="center"/>
    </xf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49" fontId="103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04" fillId="0" borderId="0" xfId="0" applyFont="1" applyAlignment="1">
      <alignment horizontal="right" vertical="center"/>
    </xf>
    <xf numFmtId="0" fontId="17" fillId="0" borderId="0" xfId="19" applyFont="1"/>
    <xf numFmtId="2" fontId="0" fillId="0" borderId="0" xfId="0" applyNumberFormat="1">
      <alignment horizontal="center" vertical="center"/>
    </xf>
    <xf numFmtId="2" fontId="107" fillId="0" borderId="0" xfId="0" applyNumberFormat="1" applyFont="1">
      <alignment horizontal="center" vertical="center"/>
    </xf>
    <xf numFmtId="1" fontId="107" fillId="0" borderId="0" xfId="0" applyNumberFormat="1" applyFont="1" applyAlignment="1">
      <alignment horizontal="center" vertical="center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08" fillId="0" borderId="0" xfId="0" applyFont="1" applyAlignment="1">
      <alignment horizontal="left" vertical="center"/>
    </xf>
    <xf numFmtId="164" fontId="108" fillId="0" borderId="0" xfId="0" applyNumberFormat="1" applyFont="1">
      <alignment horizontal="center" vertical="center"/>
    </xf>
    <xf numFmtId="169" fontId="97" fillId="0" borderId="0" xfId="0" applyNumberFormat="1" applyFont="1">
      <alignment horizontal="center" vertical="center"/>
    </xf>
    <xf numFmtId="0" fontId="12" fillId="0" borderId="0" xfId="19" applyFont="1" applyAlignment="1">
      <alignment horizontal="left"/>
    </xf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 applyAlignment="1">
      <alignment horizontal="left"/>
    </xf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/>
    <xf numFmtId="170" fontId="102" fillId="0" borderId="0" xfId="0" applyNumberFormat="1" applyFont="1">
      <alignment horizontal="center" vertical="center"/>
    </xf>
    <xf numFmtId="0" fontId="3" fillId="0" borderId="0" xfId="19" applyFont="1"/>
    <xf numFmtId="165" fontId="3" fillId="0" borderId="0" xfId="19" applyNumberFormat="1" applyFont="1" applyAlignment="1">
      <alignment horizontal="center"/>
    </xf>
    <xf numFmtId="0" fontId="2" fillId="0" borderId="0" xfId="19" applyFont="1"/>
    <xf numFmtId="165" fontId="1" fillId="0" borderId="0" xfId="19" applyNumberFormat="1" applyFont="1" applyAlignment="1">
      <alignment horizont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0" fillId="0" borderId="0" xfId="12">
      <alignment vertical="center"/>
    </xf>
    <xf numFmtId="0" fontId="98" fillId="0" borderId="0" xfId="9">
      <alignment vertical="center"/>
    </xf>
    <xf numFmtId="0" fontId="98" fillId="0" borderId="2" xfId="9" applyBorder="1">
      <alignment vertical="center"/>
    </xf>
    <xf numFmtId="0" fontId="98" fillId="0" borderId="0" xfId="10">
      <alignment horizontal="center" vertical="center" wrapText="1"/>
    </xf>
    <xf numFmtId="0" fontId="98" fillId="0" borderId="2" xfId="10" applyBorder="1">
      <alignment horizontal="center" vertical="center" wrapText="1"/>
    </xf>
    <xf numFmtId="0" fontId="98" fillId="0" borderId="5" xfId="10" applyBorder="1">
      <alignment horizontal="center" vertical="center" wrapText="1"/>
    </xf>
    <xf numFmtId="0" fontId="95" fillId="0" borderId="6" xfId="5" applyFont="1" applyBorder="1">
      <alignment horizontal="left" vertical="center"/>
    </xf>
    <xf numFmtId="0" fontId="95" fillId="0" borderId="0" xfId="5" applyFont="1">
      <alignment horizontal="left" vertical="center"/>
    </xf>
    <xf numFmtId="0" fontId="95" fillId="0" borderId="7" xfId="5" applyFont="1" applyBorder="1">
      <alignment horizontal="left" vertical="center"/>
    </xf>
    <xf numFmtId="0" fontId="95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84" totalsRowShown="0">
  <autoFilter ref="A1:F184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84">
    <sortCondition descending="1" ref="C1:C184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6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34" totalsRowShown="0">
  <autoFilter ref="A1:F34" xr:uid="{00000000-0009-0000-0100-000008000000}"/>
  <sortState ref="A2:F33">
    <sortCondition descending="1" ref="C1:C34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6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67"/>
    <tableColumn id="2" xr3:uid="{00000000-0010-0000-0200-000002000000}" name="End" dataDxfId="66"/>
    <tableColumn id="3" xr3:uid="{00000000-0010-0000-0200-000003000000}" name="Description" dataDxfId="65"/>
    <tableColumn id="6" xr3:uid="{00000000-0010-0000-0200-000006000000}" name="Git Hash" dataDxfId="64"/>
    <tableColumn id="4" xr3:uid="{00000000-0010-0000-0200-000004000000}" name="Start Date" dataDxfId="63"/>
    <tableColumn id="5" xr3:uid="{00000000-0010-0000-0200-000005000000}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384" totalsRowShown="0" headerRowDxfId="61" dataDxfId="60">
  <autoFilter ref="A1:S1384" xr:uid="{00000000-0009-0000-0100-000009000000}"/>
  <sortState ref="A2:S771">
    <sortCondition ref="A1:A771"/>
  </sortState>
  <tableColumns count="19">
    <tableColumn id="1" xr3:uid="{00000000-0010-0000-0300-000001000000}" name="Run ID" dataDxfId="59"/>
    <tableColumn id="18" xr3:uid="{00000000-0010-0000-0300-000012000000}" name="n_iter" dataDxfId="58"/>
    <tableColumn id="2" xr3:uid="{00000000-0010-0000-0300-000002000000}" name="mv" dataDxfId="57"/>
    <tableColumn id="3" xr3:uid="{00000000-0010-0000-0300-000003000000}" name="mh" dataDxfId="56"/>
    <tableColumn id="4" xr3:uid="{00000000-0010-0000-0300-000004000000}" name="kmax" dataDxfId="55"/>
    <tableColumn id="19" xr3:uid="{00000000-0010-0000-0300-000013000000}" name="gamma" dataDxfId="54"/>
    <tableColumn id="8" xr3:uid="{00000000-0010-0000-0300-000008000000}" name="measure" dataDxfId="53"/>
    <tableColumn id="9" xr3:uid="{00000000-0010-0000-0300-000009000000}" name="n_tunnel_max" dataDxfId="52"/>
    <tableColumn id="5" xr3:uid="{00000000-0010-0000-0300-000005000000}" name="lambda_screen" dataDxfId="51"/>
    <tableColumn id="6" xr3:uid="{00000000-0010-0000-0300-000006000000}" name="mv_offset_max" dataDxfId="50"/>
    <tableColumn id="20" xr3:uid="{00000000-0010-0000-0300-000014000000}" name="fixQ" dataDxfId="49"/>
    <tableColumn id="21" xr3:uid="{00000000-0010-0000-0300-000015000000}" name="Nafter" dataDxfId="48"/>
    <tableColumn id="22" xr3:uid="{00000000-0010-0000-0300-000016000000}" name="seed" dataDxfId="47"/>
    <tableColumn id="7" xr3:uid="{00000000-0010-0000-0300-000007000000}" name="n_recycle" dataDxfId="46"/>
    <tableColumn id="14" xr3:uid="{00000000-0010-0000-0300-00000E000000}" name="Input File Path" dataDxfId="45"/>
    <tableColumn id="10" xr3:uid="{00000000-0010-0000-0300-00000A000000}" name="Job ID" dataDxfId="44"/>
    <tableColumn id="24" xr3:uid="{00000000-0010-0000-0300-000018000000}" name="End Date2" dataDxfId="43"/>
    <tableColumn id="11" xr3:uid="{00000000-0010-0000-0300-00000B000000}" name="Runtime" dataDxfId="42"/>
    <tableColumn id="12" xr3:uid="{00000000-0010-0000-0300-00000C000000}" name="Git Hash" dataDxfId="4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40" dataDxfId="3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38"/>
    <tableColumn id="18" xr3:uid="{00000000-0010-0000-0400-000012000000}" name="n_iter" dataDxfId="37"/>
    <tableColumn id="2" xr3:uid="{00000000-0010-0000-0400-000002000000}" name="mv" dataDxfId="36"/>
    <tableColumn id="3" xr3:uid="{00000000-0010-0000-0400-000003000000}" name="mh" dataDxfId="35"/>
    <tableColumn id="4" xr3:uid="{00000000-0010-0000-0400-000004000000}" name="kmax" dataDxfId="34"/>
    <tableColumn id="19" xr3:uid="{00000000-0010-0000-0400-000013000000}" name="gamma" dataDxfId="33"/>
    <tableColumn id="8" xr3:uid="{00000000-0010-0000-0400-000008000000}" name="measure" dataDxfId="32"/>
    <tableColumn id="9" xr3:uid="{00000000-0010-0000-0400-000009000000}" name="n_tunnel_max" dataDxfId="31"/>
    <tableColumn id="5" xr3:uid="{00000000-0010-0000-0400-000005000000}" name="lambda_screen" dataDxfId="30"/>
    <tableColumn id="6" xr3:uid="{00000000-0010-0000-0400-000006000000}" name="rho_Lambda_thres" dataDxfId="29"/>
    <tableColumn id="20" xr3:uid="{00000000-0010-0000-0400-000014000000}" name="fixQ" dataDxfId="28"/>
    <tableColumn id="21" xr3:uid="{00000000-0010-0000-0400-000015000000}" name="Nafter" dataDxfId="27"/>
    <tableColumn id="22" xr3:uid="{00000000-0010-0000-0400-000016000000}" name="seed" dataDxfId="26"/>
    <tableColumn id="7" xr3:uid="{00000000-0010-0000-0400-000007000000}" name="n_recycle" dataDxfId="25"/>
    <tableColumn id="14" xr3:uid="{00000000-0010-0000-0400-00000E000000}" name="Input File Path" dataDxfId="24"/>
    <tableColumn id="10" xr3:uid="{00000000-0010-0000-0400-00000A000000}" name="Job ID" dataDxfId="23"/>
    <tableColumn id="24" xr3:uid="{00000000-0010-0000-0400-000018000000}" name="End Date2" dataDxfId="22"/>
    <tableColumn id="11" xr3:uid="{00000000-0010-0000-0400-00000B000000}" name="Runtime" dataDxfId="21"/>
    <tableColumn id="12" xr3:uid="{00000000-0010-0000-0400-00000C000000}" name="Git Hash" dataDxfId="2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19"/>
    <tableColumn id="5" xr3:uid="{00000000-0010-0000-0500-000005000000}" name="Position History" dataDxfId="18"/>
    <tableColumn id="7" xr3:uid="{00000000-0010-0000-0500-000007000000}" name="Position2" dataDxfId="1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1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1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14"/>
    <tableColumn id="2" xr3:uid="{00000000-0010-0000-0600-000002000000}" name="Function" dataDxfId="13"/>
    <tableColumn id="3" xr3:uid="{00000000-0010-0000-0600-000003000000}" name="Line" dataDxfId="12"/>
    <tableColumn id="5" xr3:uid="{00000000-0010-0000-0600-000005000000}" name="Checked" dataDxfId="11"/>
    <tableColumn id="4" xr3:uid="{00000000-0010-0000-0600-000004000000}" name="Description" dataDxfId="1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8"/>
    <tableColumn id="2" xr3:uid="{00000000-0010-0000-0700-000002000000}" name="Function" dataDxfId="7"/>
    <tableColumn id="3" xr3:uid="{00000000-0010-0000-0700-000003000000}" name="Line" dataDxfId="6"/>
    <tableColumn id="5" xr3:uid="{00000000-0010-0000-0700-000005000000}" name="Checked" dataDxfId="5"/>
    <tableColumn id="4" xr3:uid="{00000000-0010-0000-0700-000004000000}" name="Description" dataDxfId="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3">
  <autoFilter ref="A1:C28" xr:uid="{00000000-0009-0000-0100-000006000000}"/>
  <tableColumns count="3">
    <tableColumn id="1" xr3:uid="{00000000-0010-0000-0800-000001000000}" name="Code" dataDxfId="2"/>
    <tableColumn id="2" xr3:uid="{00000000-0010-0000-0800-000002000000}" name="Description" dataDxfId="1"/>
    <tableColumn id="3" xr3:uid="{00000000-0010-0000-0800-000003000000}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D14" sqref="D14"/>
    </sheetView>
  </sheetViews>
  <sheetFormatPr defaultColWidth="0" defaultRowHeight="30" customHeight="1"/>
  <cols>
    <col min="1" max="1" width="2.640625" customWidth="1"/>
    <col min="2" max="2" width="42.57031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71" t="s">
        <v>28</v>
      </c>
      <c r="C2" s="171"/>
      <c r="D2" s="171"/>
      <c r="E2" s="171"/>
      <c r="F2" s="171"/>
      <c r="G2" s="5" t="s">
        <v>20</v>
      </c>
      <c r="H2" s="12">
        <v>9</v>
      </c>
      <c r="J2" s="13"/>
      <c r="K2" s="177" t="s">
        <v>27</v>
      </c>
      <c r="L2" s="178"/>
      <c r="M2" s="178"/>
      <c r="N2" s="178"/>
      <c r="O2" s="179"/>
      <c r="P2" s="14"/>
      <c r="Q2" s="177" t="s">
        <v>26</v>
      </c>
      <c r="R2" s="180"/>
      <c r="S2" s="180"/>
      <c r="T2" s="179"/>
      <c r="U2" s="15"/>
      <c r="V2" s="169" t="s">
        <v>17</v>
      </c>
      <c r="W2" s="170"/>
      <c r="X2" s="170"/>
      <c r="Y2" s="181"/>
      <c r="Z2" s="16"/>
      <c r="AA2" s="182" t="s">
        <v>18</v>
      </c>
      <c r="AB2" s="183"/>
      <c r="AC2" s="183"/>
      <c r="AD2" s="183"/>
      <c r="AE2" s="183"/>
      <c r="AF2" s="183"/>
      <c r="AG2" s="184"/>
      <c r="AH2" s="17"/>
      <c r="AI2" s="169" t="s">
        <v>19</v>
      </c>
      <c r="AJ2" s="170"/>
      <c r="AK2" s="170"/>
      <c r="AL2" s="170"/>
      <c r="AM2" s="170"/>
      <c r="AN2" s="170"/>
      <c r="AO2" s="170"/>
      <c r="AP2" s="170"/>
    </row>
    <row r="3" spans="2:16384" s="9" customFormat="1" ht="39.9" customHeight="1" thickTop="1">
      <c r="B3" s="172" t="s">
        <v>0</v>
      </c>
      <c r="C3" s="174" t="s">
        <v>21</v>
      </c>
      <c r="D3" s="174" t="s">
        <v>22</v>
      </c>
      <c r="E3" s="174" t="s">
        <v>23</v>
      </c>
      <c r="F3" s="174" t="s">
        <v>24</v>
      </c>
      <c r="G3" s="176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73"/>
      <c r="C4" s="175"/>
      <c r="D4" s="175"/>
      <c r="E4" s="175"/>
      <c r="F4" s="175"/>
      <c r="G4" s="175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9" priority="1">
      <formula>PercentComplete</formula>
    </cfRule>
    <cfRule type="expression" dxfId="78" priority="3">
      <formula>PercentCompleteBeyond</formula>
    </cfRule>
    <cfRule type="expression" dxfId="77" priority="4">
      <formula>Actual</formula>
    </cfRule>
    <cfRule type="expression" dxfId="76" priority="5">
      <formula>ActualBeyond</formula>
    </cfRule>
    <cfRule type="expression" dxfId="75" priority="6">
      <formula>Plan</formula>
    </cfRule>
    <cfRule type="expression" dxfId="74" priority="7">
      <formula>H$4=period_selected</formula>
    </cfRule>
    <cfRule type="expression" dxfId="73" priority="11">
      <formula>MOD(COLUMN(),2)</formula>
    </cfRule>
    <cfRule type="expression" dxfId="72" priority="12">
      <formula>MOD(COLUMN(),2)=0</formula>
    </cfRule>
  </conditionalFormatting>
  <conditionalFormatting sqref="B33:BO33">
    <cfRule type="expression" dxfId="71" priority="2">
      <formula>TRUE</formula>
    </cfRule>
  </conditionalFormatting>
  <conditionalFormatting sqref="H4:BO4">
    <cfRule type="expression" dxfId="7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88"/>
  <sheetViews>
    <sheetView zoomScaleNormal="100" workbookViewId="0">
      <selection activeCell="E183" sqref="E183"/>
    </sheetView>
  </sheetViews>
  <sheetFormatPr defaultColWidth="0" defaultRowHeight="14.4" customHeight="1" zeroHeight="1"/>
  <cols>
    <col min="1" max="1" width="55.64062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t="14.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t="14.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t="14.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t="14.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t="14.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t="14.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t="14.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t="14.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t="14.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t="14.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t="14.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t="14.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t="14.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t="14.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t="14.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t="14.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t="14.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t="14.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t="14.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t="14.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t="14.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t="14.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t="14.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t="14.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t="14.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t="14.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t="14.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t="14.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t="14.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t="14.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t="14.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t="14.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t="14.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t="14.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t="14.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t="14.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t="14.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t="14.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t="14.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t="14.6" hidden="1">
      <c r="A42" s="46" t="s">
        <v>117</v>
      </c>
      <c r="B42" s="22">
        <f ca="1">TODAY()</f>
        <v>43317</v>
      </c>
      <c r="C42" s="22">
        <v>43118</v>
      </c>
      <c r="D42" s="23">
        <v>1</v>
      </c>
      <c r="E42" s="22">
        <v>43118</v>
      </c>
      <c r="F42" s="32"/>
    </row>
    <row r="43" spans="1:6" ht="14.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t="14.6" hidden="1">
      <c r="A44" s="47" t="s">
        <v>119</v>
      </c>
      <c r="B44" s="22">
        <f ca="1">TODAY()</f>
        <v>43317</v>
      </c>
      <c r="C44" s="22">
        <v>43118</v>
      </c>
      <c r="D44" s="23">
        <v>1</v>
      </c>
      <c r="E44" s="22">
        <v>43118</v>
      </c>
      <c r="F44" s="32"/>
    </row>
    <row r="45" spans="1:6" ht="14.6" hidden="1">
      <c r="A45" s="47" t="s">
        <v>120</v>
      </c>
      <c r="B45" s="22">
        <f ca="1">TODAY()</f>
        <v>43317</v>
      </c>
      <c r="C45" s="22">
        <v>43118</v>
      </c>
      <c r="D45" s="23">
        <v>1</v>
      </c>
      <c r="E45" s="22">
        <v>43118</v>
      </c>
      <c r="F45" s="32"/>
    </row>
    <row r="46" spans="1:6" ht="14.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t="14.6" hidden="1">
      <c r="A47" s="48" t="s">
        <v>123</v>
      </c>
      <c r="B47" s="22">
        <f ca="1">TODAY()</f>
        <v>43317</v>
      </c>
      <c r="C47" s="22"/>
      <c r="D47" s="23">
        <v>1</v>
      </c>
      <c r="E47" s="22">
        <v>43118</v>
      </c>
      <c r="F47" s="32"/>
    </row>
    <row r="48" spans="1:6" ht="14.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t="14.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t="14.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t="14.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t="14.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t="14.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t="14.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t="14.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t="14.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t="14.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t="14.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t="14.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t="14.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t="14.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t="14.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t="14.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t="14.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t="14.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t="14.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t="14.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t="14.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t="14.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t="14.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t="14.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t="14.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t="14.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t="14.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t="14.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t="14.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t="14.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t="14.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t="14.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t="14.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t="14.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t="14.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t="14.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t="14.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t="14.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t="14.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t="14.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t="14.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t="14.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t="14.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t="14.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t="14.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t="14.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t="14.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t="14.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t="14.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t="14.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t="14.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t="14.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t="14.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t="14.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t="14.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t="14.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t="14.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t="14.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t="14.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t="14.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t="14.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t="14.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t="14.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t="14.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t="14.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t="14.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t="14.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t="14.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t="14.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t="14.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t="14.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t="14.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t="14.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t="14.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t="14.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t="14.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t="14.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t="14.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t="14.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t="14.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t="14.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t="14.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t="14.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t="14.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t="14.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t="14.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t="14.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t="14.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t="14.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t="14.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t="14.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t="14.6" hidden="1">
      <c r="A139" s="137" t="s">
        <v>993</v>
      </c>
      <c r="B139" s="22">
        <f ca="1">IF(COUNTA($A139)=1,TODAY(),"")</f>
        <v>43317</v>
      </c>
      <c r="C139" s="80">
        <v>43242</v>
      </c>
      <c r="D139" s="23">
        <v>0.5</v>
      </c>
      <c r="E139" s="22">
        <v>43263</v>
      </c>
      <c r="F139" s="59"/>
    </row>
    <row r="140" spans="1:6" ht="14.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t="14.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t="14.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t="14.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t="14.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t="14.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t="14.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t="14.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t="14.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t="14.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t="14.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t="14.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t="14.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t="14.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t="14.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t="14.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t="14.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t="14.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t="14.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t="14.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t="14.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t="14.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t="14.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t="14.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t="14.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t="14.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t="14.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t="14.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t="14.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t="14.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t="14.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 ht="14.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t="14.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t="14.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t="14.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t="14.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t="14.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t="14.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t="14.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 ht="14.6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 ht="14.6">
      <c r="A180" s="165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 ht="14.6">
      <c r="A181" s="165" t="s">
        <v>2892</v>
      </c>
      <c r="B181" s="166">
        <v>43271</v>
      </c>
      <c r="C181" s="80">
        <v>43276</v>
      </c>
      <c r="D181" s="23"/>
      <c r="E181" s="22"/>
      <c r="F181" s="59"/>
    </row>
    <row r="182" spans="1:6" ht="14.6">
      <c r="A182" s="163"/>
      <c r="B182" s="22"/>
      <c r="C182" s="80"/>
      <c r="D182" s="23"/>
      <c r="E182" s="22"/>
      <c r="F182" s="59"/>
    </row>
    <row r="183" spans="1:6" ht="14.6">
      <c r="A183" s="123"/>
      <c r="B183" s="22"/>
      <c r="C183" s="80"/>
      <c r="D183" s="23"/>
      <c r="E183" s="22"/>
      <c r="F183" s="59"/>
    </row>
    <row r="184" spans="1:6" ht="14.6">
      <c r="B184" s="22"/>
      <c r="C184" s="22"/>
      <c r="D184" s="23"/>
      <c r="E184" s="22"/>
      <c r="F184" s="57"/>
    </row>
    <row r="185" spans="1:6" ht="14.6" hidden="1"/>
    <row r="186" spans="1:6" ht="14.4" hidden="1" customHeight="1"/>
    <row r="187" spans="1:6" ht="14.4" hidden="1" customHeight="1"/>
    <row r="188" spans="1:6" ht="14.4" hidden="1" customHeight="1"/>
  </sheetData>
  <conditionalFormatting sqref="D2:D184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79"/>
  <sheetViews>
    <sheetView zoomScaleNormal="100" workbookViewId="0">
      <selection activeCell="A28" sqref="A28"/>
    </sheetView>
  </sheetViews>
  <sheetFormatPr defaultColWidth="0" defaultRowHeight="14.4" customHeight="1" zeroHeight="1"/>
  <cols>
    <col min="1" max="1" width="51.210937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t="14.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 ht="14.6">
      <c r="A3" s="155" t="s">
        <v>2065</v>
      </c>
      <c r="B3" s="22">
        <v>43251</v>
      </c>
      <c r="C3" s="22">
        <v>43256</v>
      </c>
      <c r="D3" s="23">
        <v>0.5</v>
      </c>
      <c r="E3" s="22">
        <v>43256</v>
      </c>
      <c r="F3" s="32"/>
    </row>
    <row r="4" spans="1:6" ht="14.6">
      <c r="A4" s="165" t="s">
        <v>2893</v>
      </c>
      <c r="B4" s="22">
        <v>43271</v>
      </c>
      <c r="C4" s="22">
        <v>43273</v>
      </c>
      <c r="D4" s="23">
        <v>0</v>
      </c>
      <c r="E4" s="22">
        <v>43278</v>
      </c>
    </row>
    <row r="5" spans="1:6" ht="14.6">
      <c r="A5" s="165" t="s">
        <v>2894</v>
      </c>
      <c r="B5" s="22">
        <v>43271</v>
      </c>
      <c r="C5" s="22">
        <v>43280</v>
      </c>
      <c r="D5" s="23">
        <v>0</v>
      </c>
      <c r="E5" s="22">
        <v>43284</v>
      </c>
    </row>
    <row r="6" spans="1:6" ht="14.6">
      <c r="A6" s="167" t="s">
        <v>2980</v>
      </c>
      <c r="B6" s="22">
        <v>43273</v>
      </c>
      <c r="C6" s="22">
        <v>43276</v>
      </c>
      <c r="D6" s="23">
        <v>0.25</v>
      </c>
      <c r="E6" s="168">
        <v>43284</v>
      </c>
    </row>
    <row r="7" spans="1:6" ht="14.6">
      <c r="B7" s="22"/>
      <c r="C7" s="22"/>
      <c r="D7" s="23"/>
      <c r="E7" s="22"/>
      <c r="F7" s="24"/>
    </row>
    <row r="8" spans="1:6" ht="14.6">
      <c r="B8" s="22"/>
      <c r="C8" s="22"/>
      <c r="D8" s="23"/>
      <c r="E8" s="22"/>
    </row>
    <row r="9" spans="1:6" ht="14.6">
      <c r="B9" s="22"/>
      <c r="C9" s="22"/>
      <c r="D9" s="23"/>
      <c r="E9" s="22"/>
      <c r="F9" s="26"/>
    </row>
    <row r="10" spans="1:6" ht="14.6">
      <c r="A10" s="29"/>
      <c r="B10" s="22"/>
      <c r="C10" s="22"/>
      <c r="D10" s="23"/>
      <c r="E10" s="22"/>
      <c r="F10" s="31"/>
    </row>
    <row r="11" spans="1:6" ht="14.6">
      <c r="B11" s="22"/>
      <c r="C11" s="22"/>
      <c r="D11" s="23"/>
      <c r="E11" s="22"/>
      <c r="F11" s="25"/>
    </row>
    <row r="12" spans="1:6" ht="14.6">
      <c r="B12" s="22"/>
      <c r="C12" s="22"/>
      <c r="D12" s="23"/>
      <c r="E12" s="22"/>
    </row>
    <row r="13" spans="1:6" ht="14.6">
      <c r="A13" s="26"/>
      <c r="B13" s="22"/>
      <c r="C13" s="22"/>
      <c r="D13" s="23"/>
      <c r="E13" s="22"/>
      <c r="F13" s="26"/>
    </row>
    <row r="14" spans="1:6" ht="14.6">
      <c r="A14" s="30"/>
      <c r="B14" s="22"/>
      <c r="C14" s="22"/>
      <c r="D14" s="23"/>
      <c r="E14" s="22"/>
    </row>
    <row r="15" spans="1:6" ht="14.6">
      <c r="B15" s="22"/>
      <c r="C15" s="22"/>
      <c r="D15" s="23"/>
      <c r="E15" s="22"/>
      <c r="F15" s="28"/>
    </row>
    <row r="16" spans="1:6" ht="14.6">
      <c r="B16" s="22"/>
      <c r="C16" s="22"/>
      <c r="D16" s="23"/>
      <c r="E16" s="22"/>
      <c r="F16" s="28"/>
    </row>
    <row r="17" spans="1:6" ht="14.6">
      <c r="A17" s="32"/>
      <c r="B17" s="22"/>
      <c r="C17" s="22"/>
      <c r="D17" s="23"/>
      <c r="E17" s="22"/>
    </row>
    <row r="18" spans="1:6" ht="14.6">
      <c r="A18" s="32"/>
      <c r="B18" s="22"/>
      <c r="C18" s="22"/>
      <c r="D18" s="23"/>
      <c r="E18" s="22"/>
      <c r="F18" s="32"/>
    </row>
    <row r="19" spans="1:6" ht="14.6">
      <c r="A19" s="32"/>
      <c r="B19" s="22"/>
      <c r="C19" s="22"/>
      <c r="D19" s="23"/>
      <c r="E19" s="22"/>
      <c r="F19" s="32"/>
    </row>
    <row r="20" spans="1:6" ht="14.6">
      <c r="A20" s="34"/>
      <c r="B20" s="22"/>
      <c r="C20" s="22"/>
      <c r="D20" s="23"/>
      <c r="E20" s="22"/>
      <c r="F20" s="32"/>
    </row>
    <row r="21" spans="1:6" ht="14.6">
      <c r="A21" s="34"/>
      <c r="B21" s="22"/>
      <c r="C21" s="22"/>
      <c r="D21" s="23"/>
      <c r="E21" s="22"/>
      <c r="F21" s="32"/>
    </row>
    <row r="22" spans="1:6" ht="14.6">
      <c r="A22" s="33"/>
      <c r="B22" s="22"/>
      <c r="C22" s="22"/>
      <c r="D22" s="23"/>
      <c r="E22" s="22"/>
      <c r="F22" s="33"/>
    </row>
    <row r="23" spans="1:6" ht="14.6">
      <c r="A23" s="35"/>
      <c r="B23" s="22"/>
      <c r="C23" s="22"/>
      <c r="D23" s="23"/>
      <c r="E23" s="22"/>
      <c r="F23" s="36"/>
    </row>
    <row r="24" spans="1:6" ht="14.6">
      <c r="A24" s="37"/>
      <c r="B24" s="22"/>
      <c r="C24" s="22"/>
      <c r="D24" s="23"/>
      <c r="E24" s="22"/>
      <c r="F24" s="38"/>
    </row>
    <row r="25" spans="1:6" ht="14.6">
      <c r="A25" s="35"/>
      <c r="B25" s="22"/>
      <c r="C25" s="22"/>
      <c r="D25" s="23"/>
      <c r="E25" s="22"/>
      <c r="F25" s="32"/>
    </row>
    <row r="26" spans="1:6" ht="14.6">
      <c r="A26" s="34"/>
      <c r="B26" s="22"/>
      <c r="C26" s="22"/>
      <c r="D26" s="23"/>
      <c r="E26" s="22"/>
      <c r="F26" s="32"/>
    </row>
    <row r="27" spans="1:6" ht="14.6">
      <c r="A27" s="44"/>
      <c r="B27" s="22"/>
      <c r="C27" s="22"/>
      <c r="D27" s="23"/>
      <c r="E27" s="22"/>
      <c r="F27" s="32"/>
    </row>
    <row r="28" spans="1:6" ht="14.6">
      <c r="A28" s="38"/>
      <c r="B28" s="22"/>
      <c r="C28" s="22"/>
      <c r="D28" s="23"/>
      <c r="E28" s="22"/>
      <c r="F28" s="32"/>
    </row>
    <row r="29" spans="1:6" ht="14.6">
      <c r="A29" s="27"/>
      <c r="B29" s="22"/>
      <c r="C29" s="22"/>
      <c r="D29" s="23"/>
      <c r="E29" s="22"/>
      <c r="F29" s="54"/>
    </row>
    <row r="30" spans="1:6" ht="14.6">
      <c r="A30" s="94"/>
      <c r="B30" s="22"/>
      <c r="C30" s="80"/>
      <c r="D30" s="23"/>
      <c r="E30" s="22"/>
      <c r="F30" s="88"/>
    </row>
    <row r="31" spans="1:6" ht="14.6">
      <c r="A31" s="25"/>
      <c r="B31" s="22"/>
      <c r="C31" s="22"/>
      <c r="D31" s="23"/>
      <c r="E31" s="22"/>
      <c r="F31" s="25"/>
    </row>
    <row r="32" spans="1:6" ht="14.6">
      <c r="A32" s="28"/>
      <c r="B32" s="22"/>
      <c r="C32" s="22"/>
      <c r="D32" s="23"/>
      <c r="E32" s="22"/>
      <c r="F32" s="56"/>
    </row>
    <row r="33" spans="1:6" ht="14.6">
      <c r="A33" s="68"/>
      <c r="B33" s="22"/>
      <c r="C33" s="22"/>
      <c r="D33" s="23"/>
      <c r="E33" s="22"/>
      <c r="F33" s="69"/>
    </row>
    <row r="34" spans="1:6" ht="14.6">
      <c r="B34" s="22"/>
      <c r="C34" s="22"/>
      <c r="D34" s="23"/>
      <c r="E34" s="22"/>
      <c r="F34" s="57"/>
    </row>
    <row r="35" spans="1:6" ht="14.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workbookViewId="0">
      <selection activeCell="C23" sqref="C23"/>
    </sheetView>
  </sheetViews>
  <sheetFormatPr defaultRowHeight="14.6"/>
  <cols>
    <col min="1" max="1" width="6.78515625" customWidth="1"/>
    <col min="2" max="2" width="6.85546875" customWidth="1"/>
    <col min="3" max="3" width="54.5703125" customWidth="1"/>
    <col min="4" max="4" width="10.78515625" customWidth="1"/>
    <col min="5" max="5" width="11.42578125" customWidth="1"/>
    <col min="6" max="6" width="10.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/>
      <c r="B12" s="153"/>
      <c r="C12" s="151"/>
      <c r="D12" s="151"/>
      <c r="E12" s="152"/>
      <c r="F12" s="152"/>
    </row>
    <row r="13" spans="1:6">
      <c r="A13" s="153"/>
      <c r="B13" s="153"/>
      <c r="C13" s="151"/>
      <c r="D13" s="151"/>
      <c r="E13" s="152"/>
      <c r="F13" s="152"/>
    </row>
    <row r="14" spans="1:6">
      <c r="A14" s="153"/>
      <c r="B14" s="153"/>
      <c r="C14" s="151"/>
      <c r="D14" s="151"/>
      <c r="E14" s="152"/>
      <c r="F14" s="152"/>
    </row>
    <row r="15" spans="1:6">
      <c r="A15" s="153"/>
      <c r="B15" s="153"/>
      <c r="C15" s="151"/>
      <c r="D15" s="151"/>
      <c r="E15" s="152"/>
      <c r="F15" s="152"/>
    </row>
    <row r="16" spans="1:6">
      <c r="A16" s="153"/>
      <c r="B16" s="153"/>
      <c r="C16" s="151"/>
      <c r="D16" s="151"/>
      <c r="E16" s="152"/>
      <c r="F16" s="152"/>
    </row>
    <row r="17" spans="1:6">
      <c r="A17" s="153"/>
      <c r="B17" s="153"/>
      <c r="C17" s="151"/>
      <c r="D17" s="151"/>
      <c r="E17" s="152"/>
      <c r="F17" s="152"/>
    </row>
    <row r="18" spans="1:6">
      <c r="A18" s="153"/>
      <c r="B18" s="153"/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384"/>
  <sheetViews>
    <sheetView tabSelected="1" topLeftCell="A858" zoomScale="85" zoomScaleNormal="85" workbookViewId="0">
      <selection activeCell="M886" sqref="M886"/>
    </sheetView>
  </sheetViews>
  <sheetFormatPr defaultColWidth="0" defaultRowHeight="14.6" zeroHeight="1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76.3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/>
      <c r="J884" s="164"/>
      <c r="O884" s="111"/>
      <c r="P884" s="109"/>
      <c r="Q884" s="41"/>
      <c r="R884" s="111"/>
      <c r="S884" s="110"/>
    </row>
    <row r="885" spans="1:19">
      <c r="A885" s="105"/>
      <c r="J885" s="164"/>
      <c r="O885" s="111"/>
      <c r="P885" s="109"/>
      <c r="Q885" s="41"/>
      <c r="R885" s="111"/>
      <c r="S885" s="110"/>
    </row>
    <row r="886" spans="1:19">
      <c r="A886" s="105"/>
      <c r="J886" s="164"/>
      <c r="O886" s="111"/>
      <c r="P886" s="109"/>
      <c r="Q886" s="41"/>
      <c r="R886" s="111"/>
      <c r="S886" s="110"/>
    </row>
    <row r="887" spans="1:19">
      <c r="A887" s="105"/>
      <c r="J887" s="164"/>
      <c r="O887" s="111"/>
      <c r="P887" s="109"/>
      <c r="Q887" s="41"/>
      <c r="R887" s="111"/>
      <c r="S887" s="110"/>
    </row>
    <row r="888" spans="1:19">
      <c r="A888" s="105"/>
      <c r="J888" s="164"/>
      <c r="O888" s="111"/>
      <c r="P888" s="109"/>
      <c r="Q888" s="41"/>
      <c r="R888" s="111"/>
      <c r="S888" s="110"/>
    </row>
    <row r="889" spans="1:19">
      <c r="A889" s="105"/>
      <c r="J889" s="164"/>
      <c r="O889" s="111"/>
      <c r="P889" s="109"/>
      <c r="Q889" s="41"/>
      <c r="R889" s="111"/>
      <c r="S889" s="110"/>
    </row>
    <row r="890" spans="1:19">
      <c r="A890" s="105"/>
      <c r="J890" s="164"/>
      <c r="O890" s="111"/>
      <c r="P890" s="109"/>
      <c r="Q890" s="41"/>
      <c r="R890" s="111"/>
      <c r="S890" s="110"/>
    </row>
    <row r="891" spans="1:19">
      <c r="A891" s="105"/>
      <c r="J891" s="164"/>
      <c r="O891" s="111"/>
      <c r="P891" s="109"/>
      <c r="Q891" s="41"/>
      <c r="R891" s="111"/>
      <c r="S891" s="110"/>
    </row>
    <row r="892" spans="1:19">
      <c r="A892" s="105"/>
      <c r="J892" s="164"/>
      <c r="O892" s="111"/>
      <c r="P892" s="109"/>
      <c r="Q892" s="41"/>
      <c r="R892" s="111"/>
      <c r="S892" s="110"/>
    </row>
    <row r="893" spans="1:19">
      <c r="A893" s="105"/>
      <c r="J893" s="164"/>
      <c r="O893" s="111"/>
      <c r="P893" s="109"/>
      <c r="Q893" s="41"/>
      <c r="R893" s="111"/>
      <c r="S893" s="110"/>
    </row>
    <row r="894" spans="1:19">
      <c r="A894" s="105"/>
      <c r="J894" s="164"/>
      <c r="O894" s="111"/>
      <c r="P894" s="109"/>
      <c r="Q894" s="41"/>
      <c r="R894" s="111"/>
      <c r="S894" s="110"/>
    </row>
    <row r="895" spans="1:19">
      <c r="A895" s="105"/>
      <c r="J895" s="164"/>
      <c r="O895" s="111"/>
      <c r="P895" s="109"/>
      <c r="Q895" s="41"/>
      <c r="R895" s="111"/>
      <c r="S895" s="110"/>
    </row>
    <row r="896" spans="1:19">
      <c r="A896" s="105"/>
      <c r="J896" s="164"/>
      <c r="O896" s="111"/>
      <c r="P896" s="109"/>
      <c r="Q896" s="41"/>
      <c r="R896" s="111"/>
      <c r="S896" s="110"/>
    </row>
    <row r="897" spans="1:19">
      <c r="A897" s="105"/>
      <c r="J897" s="164"/>
      <c r="O897" s="111"/>
      <c r="P897" s="109"/>
      <c r="Q897" s="41"/>
      <c r="R897" s="111"/>
      <c r="S897" s="110"/>
    </row>
    <row r="898" spans="1:19">
      <c r="A898" s="105"/>
      <c r="J898" s="164"/>
      <c r="O898" s="111"/>
      <c r="P898" s="109"/>
      <c r="Q898" s="41"/>
      <c r="R898" s="111"/>
      <c r="S898" s="110"/>
    </row>
    <row r="899" spans="1:19">
      <c r="A899" s="105"/>
      <c r="J899" s="164"/>
      <c r="O899" s="111"/>
      <c r="P899" s="109"/>
      <c r="Q899" s="41"/>
      <c r="R899" s="111"/>
      <c r="S899" s="110"/>
    </row>
    <row r="900" spans="1:19">
      <c r="A900" s="105"/>
      <c r="J900" s="164"/>
      <c r="O900" s="111"/>
      <c r="P900" s="109"/>
      <c r="Q900" s="41"/>
      <c r="R900" s="111"/>
      <c r="S900" s="110"/>
    </row>
    <row r="901" spans="1:19">
      <c r="A901" s="105"/>
      <c r="J901" s="164"/>
      <c r="O901" s="111"/>
      <c r="P901" s="109"/>
      <c r="Q901" s="41"/>
      <c r="R901" s="111"/>
      <c r="S901" s="110"/>
    </row>
    <row r="902" spans="1:19">
      <c r="A902" s="105"/>
      <c r="J902" s="108"/>
      <c r="O902" s="111"/>
      <c r="P902" s="109"/>
      <c r="Q902" s="41"/>
      <c r="R902" s="111"/>
      <c r="S902" s="110"/>
    </row>
    <row r="903" spans="1:19">
      <c r="A903" s="105"/>
      <c r="J903" s="108"/>
      <c r="O903" s="111"/>
      <c r="P903" s="109"/>
      <c r="Q903" s="41"/>
      <c r="R903" s="111"/>
      <c r="S903" s="110"/>
    </row>
    <row r="904" spans="1:19">
      <c r="A904" s="105"/>
      <c r="J904" s="108"/>
      <c r="O904" s="111"/>
      <c r="P904" s="109"/>
      <c r="Q904" s="41"/>
      <c r="R904" s="111"/>
      <c r="S904" s="110"/>
    </row>
    <row r="905" spans="1:19">
      <c r="A905" s="105"/>
      <c r="J905" s="108"/>
      <c r="O905" s="111"/>
      <c r="P905" s="109"/>
      <c r="Q905" s="41"/>
      <c r="R905" s="111"/>
      <c r="S905" s="110"/>
    </row>
    <row r="906" spans="1:19">
      <c r="A906" s="105"/>
      <c r="J906" s="108"/>
      <c r="O906" s="111"/>
      <c r="P906" s="109"/>
      <c r="Q906" s="41"/>
      <c r="R906" s="111"/>
      <c r="S906" s="110"/>
    </row>
    <row r="907" spans="1:19">
      <c r="A907" s="105"/>
      <c r="J907" s="108"/>
      <c r="O907" s="111"/>
      <c r="P907" s="109"/>
      <c r="Q907" s="41"/>
      <c r="R907" s="111"/>
      <c r="S907" s="110"/>
    </row>
    <row r="908" spans="1:19">
      <c r="A908" s="105"/>
      <c r="J908" s="108"/>
      <c r="O908" s="111"/>
      <c r="P908" s="109"/>
      <c r="Q908" s="41"/>
      <c r="R908" s="111"/>
      <c r="S908" s="110"/>
    </row>
    <row r="909" spans="1:19">
      <c r="A909" s="105"/>
      <c r="J909" s="108"/>
      <c r="O909" s="111"/>
      <c r="P909" s="109"/>
      <c r="Q909" s="41"/>
      <c r="R909" s="111"/>
      <c r="S909" s="110"/>
    </row>
    <row r="910" spans="1:19">
      <c r="A910" s="105"/>
      <c r="J910" s="108"/>
      <c r="O910" s="111"/>
      <c r="P910" s="109"/>
      <c r="Q910" s="41"/>
      <c r="R910" s="111"/>
      <c r="S910" s="110"/>
    </row>
    <row r="911" spans="1:19">
      <c r="A911" s="105"/>
      <c r="J911" s="108"/>
      <c r="O911" s="111"/>
      <c r="P911" s="109"/>
      <c r="Q911" s="41"/>
      <c r="R911" s="111"/>
      <c r="S911" s="110"/>
    </row>
    <row r="912" spans="1:19">
      <c r="A912" s="105"/>
      <c r="J912" s="108"/>
      <c r="O912" s="111"/>
      <c r="P912" s="109"/>
      <c r="Q912" s="41"/>
      <c r="R912" s="111"/>
      <c r="S912" s="110"/>
    </row>
    <row r="913" spans="1:19">
      <c r="A913" s="105"/>
      <c r="J913" s="108"/>
      <c r="O913" s="111"/>
      <c r="P913" s="109"/>
      <c r="Q913" s="41"/>
      <c r="R913" s="111"/>
      <c r="S913" s="110"/>
    </row>
    <row r="914" spans="1:19">
      <c r="A914" s="105"/>
      <c r="J914" s="108"/>
      <c r="O914" s="111"/>
      <c r="P914" s="109"/>
      <c r="Q914" s="41"/>
      <c r="R914" s="111"/>
      <c r="S914" s="110"/>
    </row>
    <row r="915" spans="1:19">
      <c r="A915" s="105"/>
      <c r="J915" s="108"/>
      <c r="O915" s="111"/>
      <c r="P915" s="109"/>
      <c r="Q915" s="41"/>
      <c r="R915" s="111"/>
      <c r="S915" s="110"/>
    </row>
    <row r="916" spans="1:19">
      <c r="A916" s="105"/>
      <c r="J916" s="108"/>
      <c r="O916" s="111"/>
      <c r="P916" s="109"/>
      <c r="Q916" s="41"/>
      <c r="R916" s="111"/>
      <c r="S916" s="110"/>
    </row>
    <row r="917" spans="1:19">
      <c r="A917" s="105"/>
      <c r="J917" s="108"/>
      <c r="O917" s="111"/>
      <c r="P917" s="109"/>
      <c r="Q917" s="41"/>
      <c r="R917" s="111"/>
      <c r="S917" s="110"/>
    </row>
    <row r="918" spans="1:19">
      <c r="A918" s="105"/>
      <c r="J918" s="108"/>
      <c r="O918" s="111"/>
      <c r="P918" s="109"/>
      <c r="Q918" s="41"/>
      <c r="R918" s="111"/>
      <c r="S918" s="110"/>
    </row>
    <row r="919" spans="1:19">
      <c r="A919" s="105"/>
      <c r="J919" s="108"/>
      <c r="O919" s="111"/>
      <c r="P919" s="109"/>
      <c r="Q919" s="41"/>
      <c r="R919" s="111"/>
      <c r="S919" s="110"/>
    </row>
    <row r="920" spans="1:19">
      <c r="A920" s="105"/>
      <c r="J920" s="108"/>
      <c r="O920" s="111"/>
      <c r="P920" s="109"/>
      <c r="Q920" s="41"/>
      <c r="R920" s="111"/>
      <c r="S920" s="110"/>
    </row>
    <row r="921" spans="1:19">
      <c r="A921" s="105"/>
      <c r="J921" s="108"/>
      <c r="O921" s="111"/>
      <c r="P921" s="109"/>
      <c r="Q921" s="41"/>
      <c r="R921" s="111"/>
      <c r="S921" s="110"/>
    </row>
    <row r="922" spans="1:19">
      <c r="A922" s="105"/>
      <c r="J922" s="108"/>
      <c r="O922" s="111"/>
      <c r="P922" s="109"/>
      <c r="Q922" s="41"/>
      <c r="R922" s="111"/>
      <c r="S922" s="110"/>
    </row>
    <row r="923" spans="1:19">
      <c r="A923" s="105"/>
      <c r="J923" s="108"/>
      <c r="O923" s="111"/>
      <c r="P923" s="109"/>
      <c r="Q923" s="41"/>
      <c r="R923" s="111"/>
      <c r="S923" s="110"/>
    </row>
    <row r="924" spans="1:19">
      <c r="A924" s="105"/>
      <c r="J924" s="108"/>
      <c r="O924" s="111"/>
      <c r="P924" s="109"/>
      <c r="Q924" s="41"/>
      <c r="R924" s="111"/>
      <c r="S924" s="110"/>
    </row>
    <row r="925" spans="1:19">
      <c r="A925" s="105"/>
      <c r="J925" s="108"/>
      <c r="O925" s="111"/>
      <c r="P925" s="109"/>
      <c r="Q925" s="41"/>
      <c r="R925" s="111"/>
      <c r="S925" s="110"/>
    </row>
    <row r="926" spans="1:19">
      <c r="A926" s="105"/>
      <c r="J926" s="108"/>
      <c r="O926" s="111"/>
      <c r="P926" s="109"/>
      <c r="Q926" s="41"/>
      <c r="R926" s="111"/>
      <c r="S926" s="110"/>
    </row>
    <row r="927" spans="1:19">
      <c r="A927" s="105"/>
      <c r="J927" s="108"/>
      <c r="O927" s="111"/>
      <c r="P927" s="109"/>
      <c r="Q927" s="41"/>
      <c r="R927" s="111"/>
      <c r="S927" s="110"/>
    </row>
    <row r="928" spans="1:19">
      <c r="A928" s="105"/>
      <c r="J928" s="108"/>
      <c r="O928" s="111"/>
      <c r="P928" s="109"/>
      <c r="Q928" s="41"/>
      <c r="R928" s="111"/>
      <c r="S928" s="110"/>
    </row>
    <row r="929" spans="1:19">
      <c r="A929" s="105"/>
      <c r="J929" s="108"/>
      <c r="O929" s="111"/>
      <c r="P929" s="109"/>
      <c r="Q929" s="41"/>
      <c r="R929" s="111"/>
      <c r="S929" s="110"/>
    </row>
    <row r="930" spans="1:19">
      <c r="A930" s="105"/>
      <c r="J930" s="108"/>
      <c r="O930" s="111"/>
      <c r="P930" s="109"/>
      <c r="Q930" s="41"/>
      <c r="R930" s="111"/>
      <c r="S930" s="110"/>
    </row>
    <row r="931" spans="1:19">
      <c r="A931" s="105"/>
      <c r="J931" s="108"/>
      <c r="O931" s="111"/>
      <c r="P931" s="109"/>
      <c r="Q931" s="41"/>
      <c r="R931" s="111"/>
      <c r="S931" s="110"/>
    </row>
    <row r="932" spans="1:19">
      <c r="A932" s="105"/>
      <c r="J932" s="108"/>
      <c r="O932" s="111"/>
      <c r="P932" s="109"/>
      <c r="Q932" s="41"/>
      <c r="R932" s="111"/>
      <c r="S932" s="110"/>
    </row>
    <row r="933" spans="1:19">
      <c r="A933" s="105"/>
      <c r="J933" s="108"/>
      <c r="O933" s="111"/>
      <c r="P933" s="109"/>
      <c r="Q933" s="41"/>
      <c r="R933" s="111"/>
      <c r="S933" s="110"/>
    </row>
    <row r="934" spans="1:19">
      <c r="A934" s="105"/>
      <c r="J934" s="108"/>
      <c r="O934" s="111"/>
      <c r="P934" s="109"/>
      <c r="Q934" s="41"/>
      <c r="R934" s="111"/>
      <c r="S934" s="110"/>
    </row>
    <row r="935" spans="1:19">
      <c r="A935" s="105"/>
      <c r="J935" s="108"/>
      <c r="O935" s="111"/>
      <c r="P935" s="109"/>
      <c r="Q935" s="41"/>
      <c r="R935" s="111"/>
      <c r="S935" s="110"/>
    </row>
    <row r="936" spans="1:19">
      <c r="A936" s="105"/>
      <c r="J936" s="108"/>
      <c r="O936" s="111"/>
      <c r="P936" s="109"/>
      <c r="Q936" s="41"/>
      <c r="R936" s="111"/>
      <c r="S936" s="110"/>
    </row>
    <row r="937" spans="1:19">
      <c r="A937" s="105"/>
      <c r="J937" s="108"/>
      <c r="O937" s="111"/>
      <c r="P937" s="109"/>
      <c r="Q937" s="41"/>
      <c r="R937" s="111"/>
      <c r="S937" s="110"/>
    </row>
    <row r="938" spans="1:19">
      <c r="A938" s="105"/>
      <c r="J938" s="108"/>
      <c r="O938" s="111"/>
      <c r="P938" s="109"/>
      <c r="Q938" s="41"/>
      <c r="R938" s="111"/>
      <c r="S938" s="110"/>
    </row>
    <row r="939" spans="1:19">
      <c r="A939" s="105"/>
      <c r="J939" s="108"/>
      <c r="O939" s="111"/>
      <c r="P939" s="109"/>
      <c r="Q939" s="41"/>
      <c r="R939" s="111"/>
      <c r="S939" s="110"/>
    </row>
    <row r="940" spans="1:19">
      <c r="A940" s="105"/>
      <c r="J940" s="108"/>
      <c r="O940" s="111"/>
      <c r="P940" s="109"/>
      <c r="Q940" s="41"/>
      <c r="R940" s="111"/>
      <c r="S940" s="110"/>
    </row>
    <row r="941" spans="1:19">
      <c r="A941" s="105"/>
      <c r="J941" s="108"/>
      <c r="O941" s="111"/>
      <c r="P941" s="109"/>
      <c r="Q941" s="41"/>
      <c r="R941" s="111"/>
      <c r="S941" s="110"/>
    </row>
    <row r="942" spans="1:19">
      <c r="A942" s="105"/>
      <c r="J942" s="108"/>
      <c r="O942" s="111"/>
      <c r="P942" s="109"/>
      <c r="Q942" s="41"/>
      <c r="R942" s="111"/>
      <c r="S942" s="110"/>
    </row>
    <row r="943" spans="1:19">
      <c r="A943" s="105"/>
      <c r="J943" s="108"/>
      <c r="O943" s="111"/>
      <c r="P943" s="109"/>
      <c r="Q943" s="41"/>
      <c r="R943" s="111"/>
      <c r="S943" s="110"/>
    </row>
    <row r="944" spans="1:19">
      <c r="A944" s="105"/>
      <c r="J944" s="108"/>
      <c r="O944" s="111"/>
      <c r="P944" s="109"/>
      <c r="Q944" s="41"/>
      <c r="R944" s="111"/>
      <c r="S944" s="110"/>
    </row>
    <row r="945" spans="1:19">
      <c r="A945" s="105"/>
      <c r="J945" s="108"/>
      <c r="O945" s="111"/>
      <c r="P945" s="109"/>
      <c r="Q945" s="41"/>
      <c r="R945" s="111"/>
      <c r="S945" s="110"/>
    </row>
    <row r="946" spans="1:19">
      <c r="A946" s="105"/>
      <c r="J946" s="108"/>
      <c r="O946" s="111"/>
      <c r="P946" s="109"/>
      <c r="Q946" s="41"/>
      <c r="R946" s="111"/>
      <c r="S946" s="110"/>
    </row>
    <row r="947" spans="1:19">
      <c r="A947" s="105"/>
      <c r="J947" s="108"/>
      <c r="O947" s="111"/>
      <c r="P947" s="109"/>
      <c r="Q947" s="41"/>
      <c r="R947" s="111"/>
      <c r="S947" s="110"/>
    </row>
    <row r="948" spans="1:19">
      <c r="A948" s="105"/>
      <c r="J948" s="108"/>
      <c r="O948" s="111"/>
      <c r="P948" s="109"/>
      <c r="Q948" s="41"/>
      <c r="R948" s="111"/>
      <c r="S948" s="110"/>
    </row>
    <row r="949" spans="1:19">
      <c r="A949" s="105"/>
      <c r="J949" s="108"/>
      <c r="O949" s="111"/>
      <c r="P949" s="109"/>
      <c r="Q949" s="41"/>
      <c r="R949" s="111"/>
      <c r="S949" s="110"/>
    </row>
    <row r="950" spans="1:19">
      <c r="A950" s="105"/>
      <c r="J950" s="108"/>
      <c r="O950" s="111"/>
      <c r="P950" s="109"/>
      <c r="Q950" s="41"/>
      <c r="R950" s="111"/>
      <c r="S950" s="110"/>
    </row>
    <row r="951" spans="1:19">
      <c r="A951" s="105"/>
      <c r="J951" s="108"/>
      <c r="O951" s="111"/>
      <c r="P951" s="109"/>
      <c r="Q951" s="41"/>
      <c r="R951" s="111"/>
      <c r="S951" s="110"/>
    </row>
    <row r="952" spans="1:19">
      <c r="A952" s="105"/>
      <c r="J952" s="108"/>
      <c r="O952" s="111"/>
      <c r="P952" s="109"/>
      <c r="Q952" s="41"/>
      <c r="R952" s="111"/>
      <c r="S952" s="110"/>
    </row>
    <row r="953" spans="1:19">
      <c r="A953" s="105"/>
      <c r="J953" s="108"/>
      <c r="O953" s="111"/>
      <c r="P953" s="109"/>
      <c r="Q953" s="41"/>
      <c r="R953" s="111"/>
      <c r="S953" s="110"/>
    </row>
    <row r="954" spans="1:19">
      <c r="A954" s="105"/>
      <c r="J954" s="108"/>
      <c r="O954" s="111"/>
      <c r="P954" s="109"/>
      <c r="Q954" s="41"/>
      <c r="R954" s="111"/>
      <c r="S954" s="110"/>
    </row>
    <row r="955" spans="1:19">
      <c r="A955" s="105"/>
      <c r="J955" s="108"/>
      <c r="O955" s="111"/>
      <c r="P955" s="109"/>
      <c r="Q955" s="41"/>
      <c r="R955" s="111"/>
      <c r="S955" s="110"/>
    </row>
    <row r="956" spans="1:19">
      <c r="A956" s="105"/>
      <c r="J956" s="108"/>
      <c r="O956" s="111"/>
      <c r="P956" s="109"/>
      <c r="Q956" s="41"/>
      <c r="R956" s="111"/>
      <c r="S956" s="110"/>
    </row>
    <row r="957" spans="1:19">
      <c r="A957" s="105"/>
      <c r="J957" s="108"/>
      <c r="O957" s="111"/>
      <c r="P957" s="109"/>
      <c r="Q957" s="41"/>
      <c r="R957" s="111"/>
      <c r="S957" s="110"/>
    </row>
    <row r="958" spans="1:19">
      <c r="A958" s="105"/>
      <c r="J958" s="108"/>
      <c r="O958" s="111"/>
      <c r="P958" s="109"/>
      <c r="Q958" s="41"/>
      <c r="R958" s="111"/>
      <c r="S958" s="110"/>
    </row>
    <row r="959" spans="1:19">
      <c r="A959" s="105"/>
      <c r="J959" s="108"/>
      <c r="O959" s="111"/>
      <c r="P959" s="109"/>
      <c r="Q959" s="41"/>
      <c r="R959" s="111"/>
      <c r="S959" s="110"/>
    </row>
    <row r="960" spans="1:19">
      <c r="A960" s="105"/>
      <c r="J960" s="108"/>
      <c r="O960" s="111"/>
      <c r="P960" s="109"/>
      <c r="Q960" s="41"/>
      <c r="R960" s="111"/>
      <c r="S960" s="110"/>
    </row>
    <row r="961" spans="1:19">
      <c r="A961" s="105"/>
      <c r="J961" s="108"/>
      <c r="O961" s="111"/>
      <c r="P961" s="109"/>
      <c r="Q961" s="41"/>
      <c r="R961" s="111"/>
      <c r="S961" s="110"/>
    </row>
    <row r="962" spans="1:19">
      <c r="A962" s="105"/>
      <c r="J962" s="108"/>
      <c r="O962" s="111"/>
      <c r="P962" s="109"/>
      <c r="Q962" s="41"/>
      <c r="R962" s="111"/>
      <c r="S962" s="110"/>
    </row>
    <row r="963" spans="1:19">
      <c r="A963" s="105"/>
      <c r="J963" s="108"/>
      <c r="O963" s="111"/>
      <c r="P963" s="109"/>
      <c r="Q963" s="41"/>
      <c r="R963" s="111"/>
      <c r="S963" s="110"/>
    </row>
    <row r="964" spans="1:19">
      <c r="A964" s="105"/>
      <c r="J964" s="108"/>
      <c r="O964" s="111"/>
      <c r="P964" s="109"/>
      <c r="Q964" s="41"/>
      <c r="R964" s="111"/>
      <c r="S964" s="110"/>
    </row>
    <row r="965" spans="1:19">
      <c r="A965" s="105"/>
      <c r="J965" s="108"/>
      <c r="O965" s="111"/>
      <c r="P965" s="109"/>
      <c r="Q965" s="41"/>
      <c r="R965" s="111"/>
      <c r="S965" s="110"/>
    </row>
    <row r="966" spans="1:19">
      <c r="A966" s="105"/>
      <c r="J966" s="108"/>
      <c r="O966" s="111"/>
      <c r="P966" s="109"/>
      <c r="Q966" s="41"/>
      <c r="R966" s="111"/>
      <c r="S966" s="110"/>
    </row>
    <row r="967" spans="1:19">
      <c r="A967" s="105"/>
      <c r="J967" s="108"/>
      <c r="O967" s="111"/>
      <c r="P967" s="109"/>
      <c r="Q967" s="41"/>
      <c r="R967" s="111"/>
      <c r="S967" s="110"/>
    </row>
    <row r="968" spans="1:19">
      <c r="A968" s="105"/>
      <c r="J968" s="108"/>
      <c r="O968" s="111"/>
      <c r="P968" s="109"/>
      <c r="Q968" s="41"/>
      <c r="R968" s="111"/>
      <c r="S968" s="110"/>
    </row>
    <row r="969" spans="1:19">
      <c r="A969" s="105"/>
      <c r="J969" s="108"/>
      <c r="O969" s="111"/>
      <c r="P969" s="109"/>
      <c r="Q969" s="41"/>
      <c r="R969" s="111"/>
      <c r="S969" s="110"/>
    </row>
    <row r="970" spans="1:19">
      <c r="A970" s="105"/>
      <c r="J970" s="108"/>
      <c r="O970" s="111"/>
      <c r="P970" s="109"/>
      <c r="Q970" s="41"/>
      <c r="R970" s="111"/>
      <c r="S970" s="110"/>
    </row>
    <row r="971" spans="1:19">
      <c r="A971" s="105"/>
      <c r="J971" s="108"/>
      <c r="O971" s="111"/>
      <c r="P971" s="109"/>
      <c r="Q971" s="41"/>
      <c r="R971" s="111"/>
      <c r="S971" s="110"/>
    </row>
    <row r="972" spans="1:19">
      <c r="A972" s="105"/>
      <c r="J972" s="108"/>
      <c r="O972" s="111"/>
      <c r="P972" s="109"/>
      <c r="Q972" s="41"/>
      <c r="R972" s="111"/>
      <c r="S972" s="110"/>
    </row>
    <row r="973" spans="1:19">
      <c r="A973" s="105"/>
      <c r="J973" s="108"/>
      <c r="O973" s="111"/>
      <c r="P973" s="109"/>
      <c r="Q973" s="41"/>
      <c r="R973" s="111"/>
      <c r="S973" s="110"/>
    </row>
    <row r="974" spans="1:19">
      <c r="A974" s="105"/>
      <c r="J974" s="108"/>
      <c r="O974" s="111"/>
      <c r="P974" s="109"/>
      <c r="Q974" s="41"/>
      <c r="R974" s="111"/>
      <c r="S974" s="110"/>
    </row>
    <row r="975" spans="1:19">
      <c r="A975" s="105"/>
      <c r="J975" s="108"/>
      <c r="O975" s="111"/>
      <c r="P975" s="109"/>
      <c r="Q975" s="41"/>
      <c r="R975" s="111"/>
      <c r="S975" s="110"/>
    </row>
    <row r="976" spans="1:19">
      <c r="A976" s="105"/>
      <c r="J976" s="108"/>
      <c r="O976" s="111"/>
      <c r="P976" s="109"/>
      <c r="Q976" s="41"/>
      <c r="R976" s="111"/>
      <c r="S976" s="110"/>
    </row>
    <row r="977" spans="1:19">
      <c r="A977" s="105"/>
      <c r="J977" s="108"/>
      <c r="O977" s="111"/>
      <c r="P977" s="109"/>
      <c r="Q977" s="41"/>
      <c r="R977" s="111"/>
      <c r="S977" s="110"/>
    </row>
    <row r="978" spans="1:19">
      <c r="A978" s="105"/>
      <c r="J978" s="108"/>
      <c r="O978" s="111"/>
      <c r="P978" s="109"/>
      <c r="Q978" s="41"/>
      <c r="R978" s="111"/>
      <c r="S978" s="110"/>
    </row>
    <row r="979" spans="1:19">
      <c r="A979" s="105"/>
      <c r="J979" s="108"/>
      <c r="O979" s="111"/>
      <c r="P979" s="109"/>
      <c r="Q979" s="41"/>
      <c r="R979" s="111"/>
      <c r="S979" s="110"/>
    </row>
    <row r="980" spans="1:19">
      <c r="A980" s="105"/>
      <c r="J980" s="108"/>
      <c r="O980" s="111"/>
      <c r="P980" s="109"/>
      <c r="Q980" s="41"/>
      <c r="R980" s="111"/>
      <c r="S980" s="110"/>
    </row>
    <row r="981" spans="1:19">
      <c r="A981" s="105"/>
      <c r="J981" s="108"/>
      <c r="O981" s="111"/>
      <c r="P981" s="109"/>
      <c r="Q981" s="41"/>
      <c r="R981" s="111"/>
      <c r="S981" s="110"/>
    </row>
    <row r="982" spans="1:19">
      <c r="A982" s="105"/>
      <c r="J982" s="108"/>
      <c r="O982" s="111"/>
      <c r="P982" s="109"/>
      <c r="Q982" s="41"/>
      <c r="R982" s="111"/>
      <c r="S982" s="110"/>
    </row>
    <row r="983" spans="1:19">
      <c r="A983" s="105"/>
      <c r="J983" s="108"/>
      <c r="O983" s="111"/>
      <c r="P983" s="109"/>
      <c r="Q983" s="41"/>
      <c r="R983" s="111"/>
      <c r="S983" s="110"/>
    </row>
    <row r="984" spans="1:19">
      <c r="A984" s="105"/>
      <c r="J984" s="108"/>
      <c r="O984" s="111"/>
      <c r="P984" s="109"/>
      <c r="Q984" s="41"/>
      <c r="R984" s="111"/>
      <c r="S984" s="110"/>
    </row>
    <row r="985" spans="1:19">
      <c r="A985" s="105"/>
      <c r="J985" s="108"/>
      <c r="O985" s="111"/>
      <c r="P985" s="109"/>
      <c r="Q985" s="41"/>
      <c r="R985" s="111"/>
      <c r="S985" s="110"/>
    </row>
    <row r="986" spans="1:19">
      <c r="A986" s="105"/>
      <c r="J986" s="108"/>
      <c r="O986" s="111"/>
      <c r="P986" s="109"/>
      <c r="Q986" s="41"/>
      <c r="R986" s="111"/>
      <c r="S986" s="110"/>
    </row>
    <row r="987" spans="1:19">
      <c r="A987" s="105"/>
      <c r="J987" s="108"/>
      <c r="O987" s="111"/>
      <c r="P987" s="109"/>
      <c r="Q987" s="41"/>
      <c r="R987" s="111"/>
      <c r="S987" s="110"/>
    </row>
    <row r="988" spans="1:19">
      <c r="A988" s="105"/>
      <c r="J988" s="108"/>
      <c r="O988" s="111"/>
      <c r="P988" s="109"/>
      <c r="Q988" s="41"/>
      <c r="R988" s="111"/>
      <c r="S988" s="110"/>
    </row>
    <row r="989" spans="1:19">
      <c r="A989" s="105"/>
      <c r="J989" s="108"/>
      <c r="O989" s="111"/>
      <c r="P989" s="109"/>
      <c r="Q989" s="41"/>
      <c r="R989" s="111"/>
      <c r="S989" s="110"/>
    </row>
    <row r="990" spans="1:19">
      <c r="A990" s="105"/>
      <c r="J990" s="108"/>
      <c r="O990" s="111"/>
      <c r="P990" s="109"/>
      <c r="Q990" s="41"/>
      <c r="R990" s="111"/>
      <c r="S990" s="110"/>
    </row>
    <row r="991" spans="1:19">
      <c r="A991" s="105"/>
      <c r="J991" s="108"/>
      <c r="O991" s="111"/>
      <c r="P991" s="109"/>
      <c r="Q991" s="41"/>
      <c r="R991" s="111"/>
      <c r="S991" s="110"/>
    </row>
    <row r="992" spans="1:19">
      <c r="A992" s="105"/>
      <c r="J992" s="108"/>
      <c r="O992" s="111"/>
      <c r="P992" s="109"/>
      <c r="Q992" s="41"/>
      <c r="R992" s="111"/>
      <c r="S992" s="110"/>
    </row>
    <row r="993" spans="1:19">
      <c r="A993" s="105"/>
      <c r="J993" s="108"/>
      <c r="O993" s="111"/>
      <c r="P993" s="109"/>
      <c r="Q993" s="41"/>
      <c r="R993" s="111"/>
      <c r="S993" s="110"/>
    </row>
    <row r="994" spans="1:19">
      <c r="A994" s="105"/>
      <c r="J994" s="108"/>
      <c r="O994" s="111"/>
      <c r="P994" s="109"/>
      <c r="Q994" s="41"/>
      <c r="R994" s="111"/>
      <c r="S994" s="110"/>
    </row>
    <row r="995" spans="1:19">
      <c r="A995" s="105"/>
      <c r="J995" s="108"/>
      <c r="O995" s="111"/>
      <c r="P995" s="109"/>
      <c r="Q995" s="41"/>
      <c r="R995" s="111"/>
      <c r="S995" s="110"/>
    </row>
    <row r="996" spans="1:19">
      <c r="A996" s="105"/>
      <c r="J996" s="108"/>
      <c r="O996" s="111"/>
      <c r="P996" s="109"/>
      <c r="Q996" s="41"/>
      <c r="R996" s="111"/>
      <c r="S996" s="110"/>
    </row>
    <row r="997" spans="1:19">
      <c r="A997" s="105"/>
      <c r="J997" s="108"/>
      <c r="O997" s="111"/>
      <c r="P997" s="109"/>
      <c r="Q997" s="41"/>
      <c r="R997" s="111"/>
      <c r="S997" s="110"/>
    </row>
    <row r="998" spans="1:19">
      <c r="A998" s="105"/>
      <c r="J998" s="108"/>
      <c r="O998" s="111"/>
      <c r="P998" s="109"/>
      <c r="Q998" s="41"/>
      <c r="R998" s="111"/>
      <c r="S998" s="110"/>
    </row>
    <row r="999" spans="1:19">
      <c r="A999" s="105"/>
      <c r="J999" s="108"/>
      <c r="O999" s="111"/>
      <c r="P999" s="109"/>
      <c r="Q999" s="41"/>
      <c r="R999" s="111"/>
      <c r="S999" s="110"/>
    </row>
    <row r="1000" spans="1:19">
      <c r="A1000" s="105"/>
      <c r="J1000" s="108"/>
      <c r="O1000" s="111"/>
      <c r="P1000" s="109"/>
      <c r="Q1000" s="41"/>
      <c r="R1000" s="111"/>
      <c r="S1000" s="110"/>
    </row>
    <row r="1001" spans="1:19">
      <c r="A1001" s="105"/>
      <c r="J1001" s="108"/>
      <c r="O1001" s="111"/>
      <c r="P1001" s="109"/>
      <c r="Q1001" s="41"/>
      <c r="R1001" s="111"/>
      <c r="S1001" s="110"/>
    </row>
    <row r="1002" spans="1:19">
      <c r="A1002" s="105"/>
      <c r="J1002" s="108"/>
      <c r="O1002" s="111"/>
      <c r="P1002" s="109"/>
      <c r="Q1002" s="41"/>
      <c r="R1002" s="111"/>
      <c r="S1002" s="110"/>
    </row>
    <row r="1003" spans="1:19">
      <c r="A1003" s="105"/>
      <c r="J1003" s="108"/>
      <c r="O1003" s="111"/>
      <c r="P1003" s="109"/>
      <c r="Q1003" s="41"/>
      <c r="R1003" s="111"/>
      <c r="S1003" s="110"/>
    </row>
    <row r="1004" spans="1:19">
      <c r="A1004" s="105"/>
      <c r="J1004" s="108"/>
      <c r="O1004" s="111"/>
      <c r="P1004" s="109"/>
      <c r="Q1004" s="41"/>
      <c r="R1004" s="111"/>
      <c r="S1004" s="110"/>
    </row>
    <row r="1005" spans="1:19">
      <c r="A1005" s="105"/>
      <c r="J1005" s="108"/>
      <c r="O1005" s="111"/>
      <c r="P1005" s="109"/>
      <c r="Q1005" s="41"/>
      <c r="R1005" s="111"/>
      <c r="S1005" s="110"/>
    </row>
    <row r="1006" spans="1:19">
      <c r="A1006" s="105"/>
      <c r="J1006" s="108"/>
      <c r="O1006" s="111"/>
      <c r="P1006" s="109"/>
      <c r="Q1006" s="41"/>
      <c r="R1006" s="111"/>
      <c r="S1006" s="110"/>
    </row>
    <row r="1007" spans="1:19">
      <c r="A1007" s="105"/>
      <c r="J1007" s="108"/>
      <c r="O1007" s="111"/>
      <c r="P1007" s="109"/>
      <c r="Q1007" s="41"/>
      <c r="R1007" s="111"/>
      <c r="S1007" s="110"/>
    </row>
    <row r="1008" spans="1:19">
      <c r="A1008" s="105"/>
      <c r="J1008" s="108"/>
      <c r="O1008" s="111"/>
      <c r="P1008" s="109"/>
      <c r="Q1008" s="41"/>
      <c r="R1008" s="111"/>
      <c r="S1008" s="110"/>
    </row>
    <row r="1009" spans="1:19">
      <c r="A1009" s="105"/>
      <c r="J1009" s="108"/>
      <c r="O1009" s="111"/>
      <c r="P1009" s="109"/>
      <c r="Q1009" s="41"/>
      <c r="R1009" s="111"/>
      <c r="S1009" s="110"/>
    </row>
    <row r="1010" spans="1:19">
      <c r="A1010" s="105"/>
      <c r="J1010" s="108"/>
      <c r="O1010" s="111"/>
      <c r="P1010" s="109"/>
      <c r="Q1010" s="41"/>
      <c r="R1010" s="111"/>
      <c r="S1010" s="110"/>
    </row>
    <row r="1011" spans="1:19">
      <c r="A1011" s="105"/>
      <c r="J1011" s="108"/>
      <c r="O1011" s="111"/>
      <c r="P1011" s="109"/>
      <c r="Q1011" s="41"/>
      <c r="R1011" s="111"/>
      <c r="S1011" s="110"/>
    </row>
    <row r="1012" spans="1:19">
      <c r="A1012" s="105"/>
      <c r="J1012" s="108"/>
      <c r="O1012" s="111"/>
      <c r="P1012" s="109"/>
      <c r="Q1012" s="41"/>
      <c r="R1012" s="111"/>
      <c r="S1012" s="110"/>
    </row>
    <row r="1013" spans="1:19">
      <c r="A1013" s="105"/>
      <c r="J1013" s="108"/>
      <c r="O1013" s="111"/>
      <c r="P1013" s="109"/>
      <c r="Q1013" s="41"/>
      <c r="R1013" s="111"/>
      <c r="S1013" s="110"/>
    </row>
    <row r="1014" spans="1:19">
      <c r="A1014" s="105"/>
      <c r="J1014" s="108"/>
      <c r="O1014" s="111"/>
      <c r="P1014" s="109"/>
      <c r="Q1014" s="41"/>
      <c r="R1014" s="111"/>
      <c r="S1014" s="110"/>
    </row>
    <row r="1015" spans="1:19">
      <c r="A1015" s="105"/>
      <c r="J1015" s="108"/>
      <c r="O1015" s="111"/>
      <c r="P1015" s="109"/>
      <c r="Q1015" s="41"/>
      <c r="R1015" s="111"/>
      <c r="S1015" s="110"/>
    </row>
    <row r="1016" spans="1:19">
      <c r="A1016" s="105"/>
      <c r="J1016" s="108"/>
      <c r="O1016" s="111"/>
      <c r="P1016" s="109"/>
      <c r="Q1016" s="41"/>
      <c r="R1016" s="111"/>
      <c r="S1016" s="110"/>
    </row>
    <row r="1017" spans="1:19">
      <c r="A1017" s="105"/>
      <c r="J1017" s="108"/>
      <c r="O1017" s="111"/>
      <c r="P1017" s="109"/>
      <c r="Q1017" s="41"/>
      <c r="R1017" s="111"/>
      <c r="S1017" s="110"/>
    </row>
    <row r="1018" spans="1:19">
      <c r="A1018" s="105"/>
      <c r="J1018" s="108"/>
      <c r="O1018" s="111"/>
      <c r="P1018" s="109"/>
      <c r="Q1018" s="41"/>
      <c r="R1018" s="111"/>
      <c r="S1018" s="110"/>
    </row>
    <row r="1019" spans="1:19">
      <c r="A1019" s="105"/>
      <c r="J1019" s="108"/>
      <c r="O1019" s="111"/>
      <c r="P1019" s="109"/>
      <c r="Q1019" s="41"/>
      <c r="R1019" s="111"/>
      <c r="S1019" s="110"/>
    </row>
    <row r="1020" spans="1:19">
      <c r="A1020" s="105"/>
      <c r="J1020" s="108"/>
      <c r="O1020" s="111"/>
      <c r="P1020" s="109"/>
      <c r="Q1020" s="41"/>
      <c r="R1020" s="111"/>
      <c r="S1020" s="110"/>
    </row>
    <row r="1021" spans="1:19">
      <c r="A1021" s="105"/>
      <c r="J1021" s="108"/>
      <c r="O1021" s="111"/>
      <c r="P1021" s="109"/>
      <c r="Q1021" s="41"/>
      <c r="R1021" s="111"/>
      <c r="S1021" s="110"/>
    </row>
    <row r="1022" spans="1:19">
      <c r="A1022" s="105"/>
      <c r="J1022" s="108"/>
      <c r="O1022" s="111"/>
      <c r="P1022" s="109"/>
      <c r="Q1022" s="41"/>
      <c r="R1022" s="111"/>
      <c r="S1022" s="110"/>
    </row>
    <row r="1023" spans="1:19">
      <c r="A1023" s="105"/>
      <c r="J1023" s="108"/>
      <c r="O1023" s="111"/>
      <c r="P1023" s="109"/>
      <c r="Q1023" s="41"/>
      <c r="R1023" s="111"/>
      <c r="S1023" s="110"/>
    </row>
    <row r="1024" spans="1:19">
      <c r="A1024" s="105"/>
      <c r="J1024" s="108"/>
      <c r="O1024" s="111"/>
      <c r="P1024" s="109"/>
      <c r="Q1024" s="41"/>
      <c r="R1024" s="111"/>
      <c r="S1024" s="110"/>
    </row>
    <row r="1025" spans="1:19">
      <c r="A1025" s="105"/>
      <c r="J1025" s="108"/>
      <c r="O1025" s="111"/>
      <c r="P1025" s="109"/>
      <c r="Q1025" s="41"/>
      <c r="R1025" s="111"/>
      <c r="S1025" s="110"/>
    </row>
    <row r="1026" spans="1:19">
      <c r="A1026" s="105"/>
      <c r="J1026" s="108"/>
      <c r="O1026" s="111"/>
      <c r="P1026" s="109"/>
      <c r="Q1026" s="41"/>
      <c r="R1026" s="111"/>
      <c r="S1026" s="110"/>
    </row>
    <row r="1027" spans="1:19">
      <c r="A1027" s="105"/>
      <c r="J1027" s="108"/>
      <c r="O1027" s="111"/>
      <c r="P1027" s="109"/>
      <c r="Q1027" s="41"/>
      <c r="R1027" s="111"/>
      <c r="S1027" s="110"/>
    </row>
    <row r="1028" spans="1:19">
      <c r="A1028" s="105"/>
      <c r="J1028" s="108"/>
      <c r="O1028" s="111"/>
      <c r="P1028" s="109"/>
      <c r="Q1028" s="41"/>
      <c r="R1028" s="111"/>
      <c r="S1028" s="110"/>
    </row>
    <row r="1029" spans="1:19">
      <c r="A1029" s="105"/>
      <c r="J1029" s="108"/>
      <c r="O1029" s="111"/>
      <c r="P1029" s="109"/>
      <c r="Q1029" s="41"/>
      <c r="R1029" s="111"/>
      <c r="S1029" s="110"/>
    </row>
    <row r="1030" spans="1:19">
      <c r="A1030" s="105"/>
      <c r="J1030" s="108"/>
      <c r="O1030" s="111"/>
      <c r="P1030" s="109"/>
      <c r="Q1030" s="41"/>
      <c r="R1030" s="111"/>
      <c r="S1030" s="110"/>
    </row>
    <row r="1031" spans="1:19">
      <c r="A1031" s="105"/>
      <c r="J1031" s="108"/>
      <c r="O1031" s="111"/>
      <c r="P1031" s="109"/>
      <c r="Q1031" s="41"/>
      <c r="R1031" s="111"/>
      <c r="S1031" s="110"/>
    </row>
    <row r="1032" spans="1:19">
      <c r="A1032" s="105"/>
      <c r="J1032" s="108"/>
      <c r="O1032" s="111"/>
      <c r="P1032" s="109"/>
      <c r="Q1032" s="41"/>
      <c r="R1032" s="111"/>
      <c r="S1032" s="110"/>
    </row>
    <row r="1033" spans="1:19">
      <c r="A1033" s="105"/>
      <c r="J1033" s="108"/>
      <c r="O1033" s="111"/>
      <c r="P1033" s="109"/>
      <c r="Q1033" s="41"/>
      <c r="R1033" s="111"/>
      <c r="S1033" s="110"/>
    </row>
    <row r="1034" spans="1:19">
      <c r="A1034" s="105"/>
      <c r="J1034" s="108"/>
      <c r="O1034" s="111"/>
      <c r="P1034" s="109"/>
      <c r="Q1034" s="41"/>
      <c r="R1034" s="111"/>
      <c r="S1034" s="110"/>
    </row>
    <row r="1035" spans="1:19">
      <c r="A1035" s="105"/>
      <c r="J1035" s="108"/>
      <c r="O1035" s="111"/>
      <c r="P1035" s="109"/>
      <c r="Q1035" s="41"/>
      <c r="R1035" s="111"/>
      <c r="S1035" s="110"/>
    </row>
    <row r="1036" spans="1:19">
      <c r="A1036" s="105"/>
      <c r="J1036" s="108"/>
      <c r="O1036" s="111"/>
      <c r="P1036" s="109"/>
      <c r="Q1036" s="41"/>
      <c r="R1036" s="111"/>
      <c r="S1036" s="110"/>
    </row>
    <row r="1037" spans="1:19">
      <c r="A1037" s="105"/>
      <c r="J1037" s="108"/>
      <c r="O1037" s="111"/>
      <c r="P1037" s="109"/>
      <c r="Q1037" s="41"/>
      <c r="R1037" s="111"/>
      <c r="S1037" s="110"/>
    </row>
    <row r="1038" spans="1:19">
      <c r="A1038" s="105"/>
      <c r="J1038" s="108"/>
      <c r="O1038" s="111"/>
      <c r="P1038" s="109"/>
      <c r="Q1038" s="41"/>
      <c r="R1038" s="111"/>
      <c r="S1038" s="110"/>
    </row>
    <row r="1039" spans="1:19">
      <c r="A1039" s="105"/>
      <c r="J1039" s="108"/>
      <c r="O1039" s="111"/>
      <c r="P1039" s="109"/>
      <c r="Q1039" s="41"/>
      <c r="R1039" s="111"/>
      <c r="S1039" s="110"/>
    </row>
    <row r="1040" spans="1:19">
      <c r="A1040" s="105"/>
      <c r="J1040" s="108"/>
      <c r="O1040" s="111"/>
      <c r="P1040" s="109"/>
      <c r="Q1040" s="41"/>
      <c r="R1040" s="111"/>
      <c r="S1040" s="110"/>
    </row>
    <row r="1041" spans="1:19">
      <c r="A1041" s="105"/>
      <c r="J1041" s="108"/>
      <c r="O1041" s="111"/>
      <c r="P1041" s="109"/>
      <c r="Q1041" s="41"/>
      <c r="R1041" s="111"/>
      <c r="S1041" s="110"/>
    </row>
    <row r="1042" spans="1:19">
      <c r="A1042" s="105"/>
      <c r="J1042" s="108"/>
      <c r="O1042" s="111"/>
      <c r="P1042" s="109"/>
      <c r="Q1042" s="41"/>
      <c r="R1042" s="111"/>
      <c r="S1042" s="110"/>
    </row>
    <row r="1043" spans="1:19">
      <c r="A1043" s="105"/>
      <c r="J1043" s="108"/>
      <c r="O1043" s="111"/>
      <c r="P1043" s="109"/>
      <c r="Q1043" s="41"/>
      <c r="R1043" s="111"/>
      <c r="S1043" s="110"/>
    </row>
    <row r="1044" spans="1:19">
      <c r="A1044" s="105"/>
      <c r="J1044" s="108"/>
      <c r="O1044" s="111"/>
      <c r="P1044" s="109"/>
      <c r="Q1044" s="41"/>
      <c r="R1044" s="111"/>
      <c r="S1044" s="110"/>
    </row>
    <row r="1045" spans="1:19">
      <c r="A1045" s="105"/>
      <c r="J1045" s="108"/>
      <c r="O1045" s="111"/>
      <c r="P1045" s="109"/>
      <c r="Q1045" s="41"/>
      <c r="R1045" s="111"/>
      <c r="S1045" s="110"/>
    </row>
    <row r="1046" spans="1:19">
      <c r="A1046" s="105"/>
      <c r="J1046" s="108"/>
      <c r="O1046" s="111"/>
      <c r="P1046" s="109"/>
      <c r="Q1046" s="41"/>
      <c r="R1046" s="111"/>
      <c r="S1046" s="110"/>
    </row>
    <row r="1047" spans="1:19">
      <c r="A1047" s="105"/>
      <c r="J1047" s="108"/>
      <c r="O1047" s="111"/>
      <c r="P1047" s="109"/>
      <c r="Q1047" s="41"/>
      <c r="R1047" s="111"/>
      <c r="S1047" s="110"/>
    </row>
    <row r="1048" spans="1:19">
      <c r="A1048" s="105"/>
      <c r="J1048" s="108"/>
      <c r="O1048" s="111"/>
      <c r="P1048" s="109"/>
      <c r="Q1048" s="41"/>
      <c r="R1048" s="111"/>
      <c r="S1048" s="110"/>
    </row>
    <row r="1049" spans="1:19">
      <c r="A1049" s="105"/>
      <c r="J1049" s="108"/>
      <c r="O1049" s="111"/>
      <c r="P1049" s="109"/>
      <c r="Q1049" s="41"/>
      <c r="R1049" s="111"/>
      <c r="S1049" s="110"/>
    </row>
    <row r="1050" spans="1:19">
      <c r="A1050" s="105"/>
      <c r="J1050" s="108"/>
      <c r="O1050" s="111"/>
      <c r="P1050" s="109"/>
      <c r="Q1050" s="41"/>
      <c r="R1050" s="111"/>
      <c r="S1050" s="110"/>
    </row>
    <row r="1051" spans="1:19">
      <c r="A1051" s="105"/>
      <c r="J1051" s="108"/>
      <c r="O1051" s="111"/>
      <c r="P1051" s="109"/>
      <c r="Q1051" s="41"/>
      <c r="R1051" s="111"/>
      <c r="S1051" s="110"/>
    </row>
    <row r="1052" spans="1:19">
      <c r="A1052" s="105"/>
      <c r="J1052" s="108"/>
      <c r="O1052" s="111"/>
      <c r="P1052" s="109"/>
      <c r="Q1052" s="41"/>
      <c r="R1052" s="111"/>
      <c r="S1052" s="110"/>
    </row>
    <row r="1053" spans="1:19">
      <c r="A1053" s="105"/>
      <c r="J1053" s="108"/>
      <c r="O1053" s="111"/>
      <c r="P1053" s="109"/>
      <c r="Q1053" s="41"/>
      <c r="R1053" s="111"/>
      <c r="S1053" s="110"/>
    </row>
    <row r="1054" spans="1:19">
      <c r="A1054" s="105"/>
      <c r="J1054" s="108"/>
      <c r="O1054" s="111"/>
      <c r="P1054" s="109"/>
      <c r="Q1054" s="41"/>
      <c r="R1054" s="111"/>
      <c r="S1054" s="110"/>
    </row>
    <row r="1055" spans="1:19">
      <c r="A1055" s="105"/>
      <c r="J1055" s="108"/>
      <c r="O1055" s="111"/>
      <c r="P1055" s="109"/>
      <c r="Q1055" s="41"/>
      <c r="R1055" s="111"/>
      <c r="S1055" s="110"/>
    </row>
    <row r="1056" spans="1:19">
      <c r="A1056" s="105"/>
      <c r="J1056" s="108"/>
      <c r="O1056" s="111"/>
      <c r="P1056" s="109"/>
      <c r="Q1056" s="41"/>
      <c r="R1056" s="111"/>
      <c r="S1056" s="110"/>
    </row>
    <row r="1057" spans="1:19">
      <c r="A1057" s="105"/>
      <c r="J1057" s="108"/>
      <c r="O1057" s="111"/>
      <c r="P1057" s="109"/>
      <c r="Q1057" s="41"/>
      <c r="R1057" s="111"/>
      <c r="S1057" s="110"/>
    </row>
    <row r="1058" spans="1:19">
      <c r="A1058" s="105"/>
      <c r="J1058" s="108"/>
      <c r="O1058" s="111"/>
      <c r="P1058" s="109"/>
      <c r="Q1058" s="41"/>
      <c r="R1058" s="111"/>
      <c r="S1058" s="110"/>
    </row>
    <row r="1059" spans="1:19">
      <c r="A1059" s="105"/>
      <c r="J1059" s="108"/>
      <c r="O1059" s="111"/>
      <c r="P1059" s="109"/>
      <c r="Q1059" s="41"/>
      <c r="R1059" s="111"/>
      <c r="S1059" s="110"/>
    </row>
    <row r="1060" spans="1:19">
      <c r="A1060" s="105"/>
      <c r="J1060" s="108"/>
      <c r="O1060" s="111"/>
      <c r="P1060" s="109"/>
      <c r="Q1060" s="41"/>
      <c r="R1060" s="111"/>
      <c r="S1060" s="110"/>
    </row>
    <row r="1061" spans="1:19">
      <c r="A1061" s="105"/>
      <c r="J1061" s="108"/>
      <c r="O1061" s="111"/>
      <c r="P1061" s="109"/>
      <c r="Q1061" s="41"/>
      <c r="R1061" s="111"/>
      <c r="S1061" s="110"/>
    </row>
    <row r="1062" spans="1:19">
      <c r="A1062" s="105"/>
      <c r="J1062" s="108"/>
      <c r="O1062" s="111"/>
      <c r="P1062" s="109"/>
      <c r="Q1062" s="41"/>
      <c r="R1062" s="111"/>
      <c r="S1062" s="110"/>
    </row>
    <row r="1063" spans="1:19">
      <c r="A1063" s="105"/>
      <c r="J1063" s="108"/>
      <c r="O1063" s="111"/>
      <c r="P1063" s="109"/>
      <c r="Q1063" s="41"/>
      <c r="R1063" s="111"/>
      <c r="S1063" s="110"/>
    </row>
    <row r="1064" spans="1:19">
      <c r="A1064" s="105"/>
      <c r="J1064" s="108"/>
      <c r="O1064" s="111"/>
      <c r="P1064" s="109"/>
      <c r="Q1064" s="41"/>
      <c r="R1064" s="111"/>
      <c r="S1064" s="110"/>
    </row>
    <row r="1065" spans="1:19">
      <c r="A1065" s="105"/>
      <c r="J1065" s="108"/>
      <c r="O1065" s="111"/>
      <c r="P1065" s="109"/>
      <c r="Q1065" s="41"/>
      <c r="R1065" s="111"/>
      <c r="S1065" s="110"/>
    </row>
    <row r="1066" spans="1:19">
      <c r="A1066" s="105"/>
      <c r="J1066" s="108"/>
      <c r="O1066" s="111"/>
      <c r="P1066" s="109"/>
      <c r="Q1066" s="41"/>
      <c r="R1066" s="111"/>
      <c r="S1066" s="110"/>
    </row>
    <row r="1067" spans="1:19">
      <c r="A1067" s="105"/>
      <c r="J1067" s="108"/>
      <c r="O1067" s="111"/>
      <c r="P1067" s="109"/>
      <c r="Q1067" s="41"/>
      <c r="R1067" s="111"/>
      <c r="S1067" s="110"/>
    </row>
    <row r="1068" spans="1:19">
      <c r="A1068" s="105"/>
      <c r="J1068" s="108"/>
      <c r="O1068" s="111"/>
      <c r="P1068" s="109"/>
      <c r="Q1068" s="41"/>
      <c r="R1068" s="111"/>
      <c r="S1068" s="110"/>
    </row>
    <row r="1069" spans="1:19">
      <c r="A1069" s="105"/>
      <c r="J1069" s="108"/>
      <c r="O1069" s="111"/>
      <c r="P1069" s="109"/>
      <c r="Q1069" s="41"/>
      <c r="R1069" s="111"/>
      <c r="S1069" s="110"/>
    </row>
    <row r="1070" spans="1:19">
      <c r="A1070" s="105"/>
      <c r="J1070" s="108"/>
      <c r="O1070" s="111"/>
      <c r="P1070" s="109"/>
      <c r="Q1070" s="41"/>
      <c r="R1070" s="111"/>
      <c r="S1070" s="110"/>
    </row>
    <row r="1071" spans="1:19">
      <c r="A1071" s="105"/>
      <c r="J1071" s="108"/>
      <c r="O1071" s="111"/>
      <c r="P1071" s="109"/>
      <c r="Q1071" s="41"/>
      <c r="R1071" s="111"/>
      <c r="S1071" s="110"/>
    </row>
    <row r="1072" spans="1:19">
      <c r="A1072" s="105"/>
      <c r="J1072" s="108"/>
      <c r="O1072" s="111"/>
      <c r="P1072" s="109"/>
      <c r="Q1072" s="41"/>
      <c r="R1072" s="111"/>
      <c r="S1072" s="110"/>
    </row>
    <row r="1073" spans="1:19">
      <c r="A1073" s="105"/>
      <c r="J1073" s="108"/>
      <c r="O1073" s="111"/>
      <c r="P1073" s="109"/>
      <c r="Q1073" s="41"/>
      <c r="R1073" s="111"/>
      <c r="S1073" s="110"/>
    </row>
    <row r="1074" spans="1:19">
      <c r="A1074" s="105"/>
      <c r="J1074" s="108"/>
      <c r="O1074" s="111"/>
      <c r="P1074" s="109"/>
      <c r="Q1074" s="41"/>
      <c r="R1074" s="111"/>
      <c r="S1074" s="110"/>
    </row>
    <row r="1075" spans="1:19">
      <c r="A1075" s="105"/>
      <c r="J1075" s="108"/>
      <c r="O1075" s="111"/>
      <c r="P1075" s="109"/>
      <c r="Q1075" s="41"/>
      <c r="R1075" s="111"/>
      <c r="S1075" s="110"/>
    </row>
    <row r="1076" spans="1:19">
      <c r="A1076" s="105"/>
      <c r="J1076" s="108"/>
      <c r="O1076" s="111"/>
      <c r="P1076" s="109"/>
      <c r="Q1076" s="41"/>
      <c r="R1076" s="111"/>
      <c r="S1076" s="110"/>
    </row>
    <row r="1077" spans="1:19">
      <c r="A1077" s="105"/>
      <c r="J1077" s="108"/>
      <c r="O1077" s="111"/>
      <c r="P1077" s="109"/>
      <c r="Q1077" s="41"/>
      <c r="R1077" s="111"/>
      <c r="S1077" s="110"/>
    </row>
    <row r="1078" spans="1:19">
      <c r="A1078" s="105"/>
      <c r="J1078" s="108"/>
      <c r="O1078" s="111"/>
      <c r="P1078" s="109"/>
      <c r="Q1078" s="41"/>
      <c r="R1078" s="111"/>
      <c r="S1078" s="110"/>
    </row>
    <row r="1079" spans="1:19">
      <c r="A1079" s="105"/>
      <c r="J1079" s="108"/>
      <c r="O1079" s="111"/>
      <c r="P1079" s="109"/>
      <c r="Q1079" s="41"/>
      <c r="R1079" s="111"/>
      <c r="S1079" s="110"/>
    </row>
    <row r="1080" spans="1:19">
      <c r="A1080" s="105"/>
      <c r="J1080" s="108"/>
      <c r="O1080" s="111"/>
      <c r="P1080" s="109"/>
      <c r="Q1080" s="41"/>
      <c r="R1080" s="111"/>
      <c r="S1080" s="110"/>
    </row>
    <row r="1081" spans="1:19">
      <c r="A1081" s="105"/>
      <c r="J1081" s="108"/>
      <c r="O1081" s="111"/>
      <c r="P1081" s="109"/>
      <c r="Q1081" s="41"/>
      <c r="R1081" s="111"/>
      <c r="S1081" s="110"/>
    </row>
    <row r="1082" spans="1:19">
      <c r="A1082" s="105"/>
      <c r="J1082" s="108"/>
      <c r="O1082" s="111"/>
      <c r="P1082" s="109"/>
      <c r="Q1082" s="41"/>
      <c r="R1082" s="111"/>
      <c r="S1082" s="110"/>
    </row>
    <row r="1083" spans="1:19">
      <c r="A1083" s="105"/>
      <c r="J1083" s="108"/>
      <c r="O1083" s="111"/>
      <c r="P1083" s="109"/>
      <c r="Q1083" s="41"/>
      <c r="R1083" s="111"/>
      <c r="S1083" s="110"/>
    </row>
    <row r="1084" spans="1:19">
      <c r="A1084" s="105"/>
      <c r="J1084" s="108"/>
      <c r="O1084" s="111"/>
      <c r="P1084" s="109"/>
      <c r="Q1084" s="41"/>
      <c r="R1084" s="111"/>
      <c r="S1084" s="110"/>
    </row>
    <row r="1085" spans="1:19">
      <c r="A1085" s="105"/>
      <c r="J1085" s="108"/>
      <c r="O1085" s="111"/>
      <c r="P1085" s="109"/>
      <c r="Q1085" s="41"/>
      <c r="R1085" s="111"/>
      <c r="S1085" s="110"/>
    </row>
    <row r="1086" spans="1:19">
      <c r="A1086" s="105"/>
      <c r="J1086" s="108"/>
      <c r="O1086" s="111"/>
      <c r="P1086" s="109"/>
      <c r="Q1086" s="41"/>
      <c r="R1086" s="111"/>
      <c r="S1086" s="110"/>
    </row>
    <row r="1087" spans="1:19">
      <c r="A1087" s="105"/>
      <c r="J1087" s="108"/>
      <c r="O1087" s="111"/>
      <c r="P1087" s="109"/>
      <c r="Q1087" s="41"/>
      <c r="R1087" s="111"/>
      <c r="S1087" s="110"/>
    </row>
    <row r="1088" spans="1:19">
      <c r="A1088" s="105"/>
      <c r="J1088" s="108"/>
      <c r="O1088" s="111"/>
      <c r="P1088" s="109"/>
      <c r="Q1088" s="41"/>
      <c r="R1088" s="111"/>
      <c r="S1088" s="110"/>
    </row>
    <row r="1089" spans="1:19">
      <c r="A1089" s="105"/>
      <c r="J1089" s="108"/>
      <c r="O1089" s="111"/>
      <c r="P1089" s="109"/>
      <c r="Q1089" s="41"/>
      <c r="R1089" s="111"/>
      <c r="S1089" s="110"/>
    </row>
    <row r="1090" spans="1:19">
      <c r="A1090" s="105"/>
      <c r="J1090" s="108"/>
      <c r="O1090" s="111"/>
      <c r="P1090" s="109"/>
      <c r="Q1090" s="41"/>
      <c r="R1090" s="111"/>
      <c r="S1090" s="110"/>
    </row>
    <row r="1091" spans="1:19">
      <c r="A1091" s="105"/>
      <c r="J1091" s="108"/>
      <c r="O1091" s="111"/>
      <c r="P1091" s="109"/>
      <c r="Q1091" s="41"/>
      <c r="R1091" s="111"/>
      <c r="S1091" s="110"/>
    </row>
    <row r="1092" spans="1:19">
      <c r="A1092" s="105"/>
      <c r="J1092" s="108"/>
      <c r="O1092" s="111"/>
      <c r="P1092" s="109"/>
      <c r="Q1092" s="41"/>
      <c r="R1092" s="111"/>
      <c r="S1092" s="110"/>
    </row>
    <row r="1093" spans="1:19">
      <c r="A1093" s="105"/>
      <c r="J1093" s="108"/>
      <c r="O1093" s="111"/>
      <c r="P1093" s="109"/>
      <c r="Q1093" s="41"/>
      <c r="R1093" s="111"/>
      <c r="S1093" s="110"/>
    </row>
    <row r="1094" spans="1:19">
      <c r="A1094" s="105"/>
      <c r="J1094" s="108"/>
      <c r="O1094" s="111"/>
      <c r="P1094" s="109"/>
      <c r="Q1094" s="41"/>
      <c r="R1094" s="111"/>
      <c r="S1094" s="110"/>
    </row>
    <row r="1095" spans="1:19">
      <c r="A1095" s="105"/>
      <c r="J1095" s="108"/>
      <c r="O1095" s="111"/>
      <c r="P1095" s="109"/>
      <c r="Q1095" s="41"/>
      <c r="R1095" s="111"/>
      <c r="S1095" s="110"/>
    </row>
    <row r="1096" spans="1:19">
      <c r="A1096" s="105"/>
      <c r="J1096" s="108"/>
      <c r="O1096" s="111"/>
      <c r="P1096" s="109"/>
      <c r="Q1096" s="41"/>
      <c r="R1096" s="111"/>
      <c r="S1096" s="110"/>
    </row>
    <row r="1097" spans="1:19">
      <c r="A1097" s="105"/>
      <c r="J1097" s="108"/>
      <c r="O1097" s="111"/>
      <c r="P1097" s="109"/>
      <c r="Q1097" s="41"/>
      <c r="R1097" s="111"/>
      <c r="S1097" s="110"/>
    </row>
    <row r="1098" spans="1:19">
      <c r="A1098" s="105"/>
      <c r="J1098" s="108"/>
      <c r="O1098" s="111"/>
      <c r="P1098" s="109"/>
      <c r="Q1098" s="41"/>
      <c r="R1098" s="111"/>
      <c r="S1098" s="110"/>
    </row>
    <row r="1099" spans="1:19">
      <c r="A1099" s="105"/>
      <c r="J1099" s="108"/>
      <c r="O1099" s="111"/>
      <c r="P1099" s="109"/>
      <c r="Q1099" s="41"/>
      <c r="R1099" s="111"/>
      <c r="S1099" s="110"/>
    </row>
    <row r="1100" spans="1:19">
      <c r="A1100" s="105"/>
      <c r="J1100" s="108"/>
      <c r="O1100" s="111"/>
      <c r="P1100" s="109"/>
      <c r="Q1100" s="41"/>
      <c r="R1100" s="111"/>
      <c r="S1100" s="110"/>
    </row>
    <row r="1101" spans="1:19">
      <c r="A1101" s="105"/>
      <c r="J1101" s="108"/>
      <c r="O1101" s="111"/>
      <c r="P1101" s="109"/>
      <c r="Q1101" s="41"/>
      <c r="R1101" s="111"/>
      <c r="S1101" s="110"/>
    </row>
    <row r="1102" spans="1:19">
      <c r="A1102" s="105"/>
      <c r="J1102" s="108"/>
      <c r="O1102" s="111"/>
      <c r="P1102" s="109"/>
      <c r="Q1102" s="41"/>
      <c r="R1102" s="111"/>
      <c r="S1102" s="110"/>
    </row>
    <row r="1103" spans="1:19">
      <c r="A1103" s="105"/>
      <c r="J1103" s="108"/>
      <c r="O1103" s="111"/>
      <c r="P1103" s="109"/>
      <c r="Q1103" s="41"/>
      <c r="R1103" s="111"/>
      <c r="S1103" s="110"/>
    </row>
    <row r="1104" spans="1:19">
      <c r="A1104" s="105"/>
      <c r="J1104" s="108"/>
      <c r="O1104" s="111"/>
      <c r="P1104" s="109"/>
      <c r="Q1104" s="41"/>
      <c r="R1104" s="111"/>
      <c r="S1104" s="110"/>
    </row>
    <row r="1105" spans="1:19">
      <c r="A1105" s="105"/>
      <c r="J1105" s="108"/>
      <c r="O1105" s="111"/>
      <c r="P1105" s="109"/>
      <c r="Q1105" s="41"/>
      <c r="R1105" s="111"/>
      <c r="S1105" s="110"/>
    </row>
    <row r="1106" spans="1:19">
      <c r="A1106" s="105"/>
      <c r="J1106" s="108"/>
      <c r="O1106" s="111"/>
      <c r="P1106" s="109"/>
      <c r="Q1106" s="41"/>
      <c r="R1106" s="111"/>
      <c r="S1106" s="110"/>
    </row>
    <row r="1107" spans="1:19">
      <c r="A1107" s="105"/>
      <c r="J1107" s="108"/>
      <c r="O1107" s="111"/>
      <c r="P1107" s="109"/>
      <c r="Q1107" s="41"/>
      <c r="R1107" s="111"/>
      <c r="S1107" s="110"/>
    </row>
    <row r="1108" spans="1:19">
      <c r="A1108" s="105"/>
      <c r="J1108" s="108"/>
      <c r="O1108" s="111"/>
      <c r="P1108" s="109"/>
      <c r="Q1108" s="41"/>
      <c r="R1108" s="111"/>
      <c r="S1108" s="110"/>
    </row>
    <row r="1109" spans="1:19">
      <c r="A1109" s="105"/>
      <c r="J1109" s="108"/>
      <c r="O1109" s="111"/>
      <c r="P1109" s="109"/>
      <c r="Q1109" s="41"/>
      <c r="R1109" s="111"/>
      <c r="S1109" s="110"/>
    </row>
    <row r="1110" spans="1:19">
      <c r="A1110" s="105"/>
      <c r="J1110" s="108"/>
      <c r="O1110" s="111"/>
      <c r="P1110" s="109"/>
      <c r="Q1110" s="41"/>
      <c r="R1110" s="111"/>
      <c r="S1110" s="110"/>
    </row>
    <row r="1111" spans="1:19">
      <c r="A1111" s="105"/>
      <c r="J1111" s="108"/>
      <c r="O1111" s="111"/>
      <c r="P1111" s="109"/>
      <c r="Q1111" s="41"/>
      <c r="R1111" s="111"/>
      <c r="S1111" s="110"/>
    </row>
    <row r="1112" spans="1:19">
      <c r="A1112" s="105"/>
      <c r="J1112" s="108"/>
      <c r="O1112" s="111"/>
      <c r="P1112" s="109"/>
      <c r="Q1112" s="41"/>
      <c r="R1112" s="111"/>
      <c r="S1112" s="110"/>
    </row>
    <row r="1113" spans="1:19">
      <c r="A1113" s="105"/>
      <c r="J1113" s="108"/>
      <c r="O1113" s="111"/>
      <c r="P1113" s="109"/>
      <c r="Q1113" s="41"/>
      <c r="R1113" s="111"/>
      <c r="S1113" s="110"/>
    </row>
    <row r="1114" spans="1:19">
      <c r="A1114" s="105"/>
      <c r="J1114" s="108"/>
      <c r="O1114" s="111"/>
      <c r="P1114" s="109"/>
      <c r="Q1114" s="41"/>
      <c r="R1114" s="111"/>
      <c r="S1114" s="110"/>
    </row>
    <row r="1115" spans="1:19">
      <c r="A1115" s="105"/>
      <c r="J1115" s="108"/>
      <c r="O1115" s="111"/>
      <c r="P1115" s="109"/>
      <c r="Q1115" s="41"/>
      <c r="R1115" s="111"/>
      <c r="S1115" s="110"/>
    </row>
    <row r="1116" spans="1:19">
      <c r="A1116" s="105"/>
      <c r="J1116" s="108"/>
      <c r="O1116" s="111"/>
      <c r="P1116" s="109"/>
      <c r="Q1116" s="41"/>
      <c r="R1116" s="111"/>
      <c r="S1116" s="110"/>
    </row>
    <row r="1117" spans="1:19">
      <c r="A1117" s="105"/>
      <c r="J1117" s="108"/>
      <c r="O1117" s="111"/>
      <c r="P1117" s="109"/>
      <c r="Q1117" s="41"/>
      <c r="R1117" s="111"/>
      <c r="S1117" s="110"/>
    </row>
    <row r="1118" spans="1:19">
      <c r="A1118" s="105"/>
      <c r="J1118" s="108"/>
      <c r="O1118" s="111"/>
      <c r="P1118" s="109"/>
      <c r="Q1118" s="41"/>
      <c r="R1118" s="111"/>
      <c r="S1118" s="110"/>
    </row>
    <row r="1119" spans="1:19">
      <c r="A1119" s="105"/>
      <c r="J1119" s="108"/>
      <c r="O1119" s="111"/>
      <c r="P1119" s="109"/>
      <c r="Q1119" s="41"/>
      <c r="R1119" s="111"/>
      <c r="S1119" s="110"/>
    </row>
    <row r="1120" spans="1:19">
      <c r="A1120" s="105"/>
      <c r="J1120" s="108"/>
      <c r="O1120" s="111"/>
      <c r="P1120" s="109"/>
      <c r="Q1120" s="41"/>
      <c r="R1120" s="111"/>
      <c r="S1120" s="110"/>
    </row>
    <row r="1121" spans="1:19">
      <c r="A1121" s="105"/>
      <c r="J1121" s="108"/>
      <c r="O1121" s="111"/>
      <c r="P1121" s="109"/>
      <c r="Q1121" s="41"/>
      <c r="R1121" s="111"/>
      <c r="S1121" s="110"/>
    </row>
    <row r="1122" spans="1:19">
      <c r="A1122" s="105"/>
      <c r="J1122" s="108"/>
      <c r="O1122" s="111"/>
      <c r="P1122" s="109"/>
      <c r="Q1122" s="41"/>
      <c r="R1122" s="111"/>
      <c r="S1122" s="110"/>
    </row>
    <row r="1123" spans="1:19">
      <c r="A1123" s="105"/>
      <c r="J1123" s="108"/>
      <c r="O1123" s="111"/>
      <c r="P1123" s="109"/>
      <c r="Q1123" s="41"/>
      <c r="R1123" s="111"/>
      <c r="S1123" s="110"/>
    </row>
    <row r="1124" spans="1:19">
      <c r="A1124" s="105"/>
      <c r="J1124" s="108"/>
      <c r="O1124" s="111"/>
      <c r="P1124" s="109"/>
      <c r="Q1124" s="41"/>
      <c r="R1124" s="111"/>
      <c r="S1124" s="110"/>
    </row>
    <row r="1125" spans="1:19">
      <c r="A1125" s="105"/>
      <c r="J1125" s="108"/>
      <c r="O1125" s="111"/>
      <c r="P1125" s="109"/>
      <c r="Q1125" s="41"/>
      <c r="R1125" s="111"/>
      <c r="S1125" s="110"/>
    </row>
    <row r="1126" spans="1:19">
      <c r="A1126" s="105"/>
      <c r="J1126" s="108"/>
      <c r="O1126" s="111"/>
      <c r="P1126" s="109"/>
      <c r="Q1126" s="41"/>
      <c r="R1126" s="111"/>
      <c r="S1126" s="110"/>
    </row>
    <row r="1127" spans="1:19">
      <c r="A1127" s="105"/>
      <c r="J1127" s="108"/>
      <c r="O1127" s="111"/>
      <c r="P1127" s="109"/>
      <c r="Q1127" s="41"/>
      <c r="R1127" s="111"/>
      <c r="S1127" s="110"/>
    </row>
    <row r="1128" spans="1:19">
      <c r="A1128" s="105"/>
      <c r="J1128" s="108"/>
      <c r="O1128" s="111"/>
      <c r="P1128" s="109"/>
      <c r="Q1128" s="41"/>
      <c r="R1128" s="111"/>
      <c r="S1128" s="110"/>
    </row>
    <row r="1129" spans="1:19">
      <c r="A1129" s="105"/>
      <c r="J1129" s="108"/>
      <c r="O1129" s="111"/>
      <c r="P1129" s="109"/>
      <c r="Q1129" s="41"/>
      <c r="R1129" s="111"/>
      <c r="S1129" s="110"/>
    </row>
    <row r="1130" spans="1:19">
      <c r="A1130" s="105"/>
      <c r="J1130" s="108"/>
      <c r="O1130" s="111"/>
      <c r="P1130" s="109"/>
      <c r="Q1130" s="41"/>
      <c r="R1130" s="111"/>
      <c r="S1130" s="110"/>
    </row>
    <row r="1131" spans="1:19">
      <c r="A1131" s="105"/>
      <c r="J1131" s="108"/>
      <c r="O1131" s="111"/>
      <c r="P1131" s="109"/>
      <c r="Q1131" s="41"/>
      <c r="R1131" s="111"/>
      <c r="S1131" s="110"/>
    </row>
    <row r="1132" spans="1:19">
      <c r="A1132" s="105"/>
      <c r="J1132" s="108"/>
      <c r="O1132" s="111"/>
      <c r="P1132" s="109"/>
      <c r="Q1132" s="41"/>
      <c r="R1132" s="111"/>
      <c r="S1132" s="110"/>
    </row>
    <row r="1133" spans="1:19">
      <c r="A1133" s="105"/>
      <c r="J1133" s="108"/>
      <c r="O1133" s="111"/>
      <c r="P1133" s="109"/>
      <c r="Q1133" s="41"/>
      <c r="R1133" s="111"/>
      <c r="S1133" s="110"/>
    </row>
    <row r="1134" spans="1:19">
      <c r="A1134" s="105"/>
      <c r="J1134" s="108"/>
      <c r="O1134" s="111"/>
      <c r="P1134" s="109"/>
      <c r="Q1134" s="41"/>
      <c r="R1134" s="111"/>
      <c r="S1134" s="110"/>
    </row>
    <row r="1135" spans="1:19">
      <c r="A1135" s="105"/>
      <c r="J1135" s="108"/>
      <c r="O1135" s="111"/>
      <c r="P1135" s="109"/>
      <c r="Q1135" s="41"/>
      <c r="R1135" s="111"/>
      <c r="S1135" s="110"/>
    </row>
    <row r="1136" spans="1:19">
      <c r="A1136" s="105"/>
      <c r="J1136" s="108"/>
      <c r="O1136" s="111"/>
      <c r="P1136" s="109"/>
      <c r="Q1136" s="41"/>
      <c r="R1136" s="111"/>
      <c r="S1136" s="110"/>
    </row>
    <row r="1137" spans="1:19">
      <c r="A1137" s="105"/>
      <c r="J1137" s="108"/>
      <c r="O1137" s="111"/>
      <c r="P1137" s="109"/>
      <c r="Q1137" s="41"/>
      <c r="R1137" s="111"/>
      <c r="S1137" s="110"/>
    </row>
    <row r="1138" spans="1:19">
      <c r="A1138" s="105"/>
      <c r="J1138" s="108"/>
      <c r="O1138" s="111"/>
      <c r="P1138" s="109"/>
      <c r="Q1138" s="41"/>
      <c r="R1138" s="111"/>
      <c r="S1138" s="110"/>
    </row>
    <row r="1139" spans="1:19">
      <c r="A1139" s="105"/>
      <c r="J1139" s="108"/>
      <c r="O1139" s="111"/>
      <c r="P1139" s="109"/>
      <c r="Q1139" s="41"/>
      <c r="R1139" s="111"/>
      <c r="S1139" s="110"/>
    </row>
    <row r="1140" spans="1:19">
      <c r="A1140" s="105"/>
      <c r="J1140" s="108"/>
      <c r="O1140" s="111"/>
      <c r="P1140" s="109"/>
      <c r="Q1140" s="41"/>
      <c r="R1140" s="111"/>
      <c r="S1140" s="110"/>
    </row>
    <row r="1141" spans="1:19">
      <c r="A1141" s="105"/>
      <c r="J1141" s="108"/>
      <c r="O1141" s="111"/>
      <c r="P1141" s="109"/>
      <c r="Q1141" s="41"/>
      <c r="R1141" s="111"/>
      <c r="S1141" s="110"/>
    </row>
    <row r="1142" spans="1:19">
      <c r="A1142" s="105"/>
      <c r="J1142" s="108"/>
      <c r="O1142" s="111"/>
      <c r="P1142" s="109"/>
      <c r="Q1142" s="41"/>
      <c r="R1142" s="111"/>
      <c r="S1142" s="110"/>
    </row>
    <row r="1143" spans="1:19">
      <c r="A1143" s="105"/>
      <c r="J1143" s="108"/>
      <c r="O1143" s="111"/>
      <c r="P1143" s="109"/>
      <c r="Q1143" s="41"/>
      <c r="R1143" s="111"/>
      <c r="S1143" s="110"/>
    </row>
    <row r="1144" spans="1:19">
      <c r="A1144" s="105"/>
      <c r="J1144" s="108"/>
      <c r="O1144" s="111"/>
      <c r="P1144" s="109"/>
      <c r="Q1144" s="41"/>
      <c r="R1144" s="111"/>
      <c r="S1144" s="110"/>
    </row>
    <row r="1145" spans="1:19">
      <c r="A1145" s="105"/>
      <c r="J1145" s="108"/>
      <c r="O1145" s="111"/>
      <c r="P1145" s="109"/>
      <c r="Q1145" s="41"/>
      <c r="R1145" s="111"/>
      <c r="S1145" s="110"/>
    </row>
    <row r="1146" spans="1:19">
      <c r="A1146" s="105"/>
      <c r="J1146" s="108"/>
      <c r="O1146" s="111"/>
      <c r="P1146" s="109"/>
      <c r="Q1146" s="41"/>
      <c r="R1146" s="111"/>
      <c r="S1146" s="110"/>
    </row>
    <row r="1147" spans="1:19">
      <c r="A1147" s="105"/>
      <c r="J1147" s="108"/>
      <c r="O1147" s="111"/>
      <c r="P1147" s="109"/>
      <c r="Q1147" s="41"/>
      <c r="R1147" s="111"/>
      <c r="S1147" s="110"/>
    </row>
    <row r="1148" spans="1:19">
      <c r="A1148" s="105"/>
      <c r="J1148" s="108"/>
      <c r="O1148" s="111"/>
      <c r="P1148" s="109"/>
      <c r="Q1148" s="41"/>
      <c r="R1148" s="111"/>
      <c r="S1148" s="110"/>
    </row>
    <row r="1149" spans="1:19">
      <c r="A1149" s="105"/>
      <c r="J1149" s="108"/>
      <c r="O1149" s="111"/>
      <c r="P1149" s="109"/>
      <c r="Q1149" s="41"/>
      <c r="R1149" s="111"/>
      <c r="S1149" s="110"/>
    </row>
    <row r="1150" spans="1:19">
      <c r="A1150" s="105"/>
      <c r="J1150" s="108"/>
      <c r="O1150" s="111"/>
      <c r="P1150" s="109"/>
      <c r="Q1150" s="41"/>
      <c r="R1150" s="111"/>
      <c r="S1150" s="110"/>
    </row>
    <row r="1151" spans="1:19">
      <c r="A1151" s="105"/>
      <c r="J1151" s="108"/>
      <c r="O1151" s="111"/>
      <c r="P1151" s="109"/>
      <c r="Q1151" s="41"/>
      <c r="R1151" s="111"/>
      <c r="S1151" s="110"/>
    </row>
    <row r="1152" spans="1:19">
      <c r="A1152" s="105"/>
      <c r="J1152" s="108"/>
      <c r="O1152" s="111"/>
      <c r="P1152" s="109"/>
      <c r="Q1152" s="41"/>
      <c r="R1152" s="111"/>
      <c r="S1152" s="110"/>
    </row>
    <row r="1153" spans="1:19">
      <c r="A1153" s="105"/>
      <c r="J1153" s="108"/>
      <c r="O1153" s="111"/>
      <c r="P1153" s="109"/>
      <c r="Q1153" s="41"/>
      <c r="R1153" s="111"/>
      <c r="S1153" s="110"/>
    </row>
    <row r="1154" spans="1:19">
      <c r="A1154" s="105"/>
      <c r="J1154" s="108"/>
      <c r="O1154" s="111"/>
      <c r="P1154" s="109"/>
      <c r="Q1154" s="41"/>
      <c r="R1154" s="111"/>
      <c r="S1154" s="110"/>
    </row>
    <row r="1155" spans="1:19">
      <c r="A1155" s="105"/>
      <c r="J1155" s="108"/>
      <c r="O1155" s="111"/>
      <c r="P1155" s="109"/>
      <c r="Q1155" s="41"/>
      <c r="R1155" s="111"/>
      <c r="S1155" s="110"/>
    </row>
    <row r="1156" spans="1:19">
      <c r="A1156" s="105"/>
      <c r="J1156" s="108"/>
      <c r="O1156" s="111"/>
      <c r="P1156" s="109"/>
      <c r="Q1156" s="41"/>
      <c r="R1156" s="111"/>
      <c r="S1156" s="110"/>
    </row>
    <row r="1157" spans="1:19">
      <c r="A1157" s="105"/>
      <c r="J1157" s="108"/>
      <c r="O1157" s="111"/>
      <c r="P1157" s="109"/>
      <c r="Q1157" s="41"/>
      <c r="R1157" s="111"/>
      <c r="S1157" s="110"/>
    </row>
    <row r="1158" spans="1:19">
      <c r="A1158" s="105"/>
      <c r="J1158" s="108"/>
      <c r="O1158" s="111"/>
      <c r="P1158" s="109"/>
      <c r="Q1158" s="41"/>
      <c r="R1158" s="111"/>
      <c r="S1158" s="110"/>
    </row>
    <row r="1159" spans="1:19">
      <c r="A1159" s="105"/>
      <c r="J1159" s="108"/>
      <c r="O1159" s="111"/>
      <c r="P1159" s="109"/>
      <c r="Q1159" s="41"/>
      <c r="R1159" s="111"/>
      <c r="S1159" s="110"/>
    </row>
    <row r="1160" spans="1:19">
      <c r="A1160" s="105"/>
      <c r="J1160" s="108"/>
      <c r="O1160" s="111"/>
      <c r="P1160" s="109"/>
      <c r="Q1160" s="41"/>
      <c r="R1160" s="111"/>
      <c r="S1160" s="110"/>
    </row>
    <row r="1161" spans="1:19">
      <c r="A1161" s="105"/>
      <c r="J1161" s="108"/>
      <c r="O1161" s="111"/>
      <c r="P1161" s="109"/>
      <c r="Q1161" s="41"/>
      <c r="R1161" s="111"/>
      <c r="S1161" s="110"/>
    </row>
    <row r="1162" spans="1:19">
      <c r="A1162" s="105"/>
      <c r="J1162" s="108"/>
      <c r="O1162" s="111"/>
      <c r="P1162" s="109"/>
      <c r="Q1162" s="41"/>
      <c r="R1162" s="111"/>
      <c r="S1162" s="110"/>
    </row>
    <row r="1163" spans="1:19">
      <c r="A1163" s="105"/>
      <c r="J1163" s="108"/>
      <c r="O1163" s="111"/>
      <c r="P1163" s="109"/>
      <c r="Q1163" s="41"/>
      <c r="R1163" s="111"/>
      <c r="S1163" s="110"/>
    </row>
    <row r="1164" spans="1:19">
      <c r="A1164" s="105"/>
      <c r="J1164" s="108"/>
      <c r="O1164" s="111"/>
      <c r="P1164" s="109"/>
      <c r="Q1164" s="41"/>
      <c r="R1164" s="111"/>
      <c r="S1164" s="110"/>
    </row>
    <row r="1165" spans="1:19">
      <c r="A1165" s="105"/>
      <c r="J1165" s="108"/>
      <c r="O1165" s="111"/>
      <c r="P1165" s="109"/>
      <c r="Q1165" s="41"/>
      <c r="R1165" s="111"/>
      <c r="S1165" s="110"/>
    </row>
    <row r="1166" spans="1:19">
      <c r="A1166" s="105"/>
      <c r="J1166" s="108"/>
      <c r="O1166" s="111"/>
      <c r="P1166" s="109"/>
      <c r="Q1166" s="41"/>
      <c r="R1166" s="111"/>
      <c r="S1166" s="110"/>
    </row>
    <row r="1167" spans="1:19">
      <c r="A1167" s="105"/>
      <c r="J1167" s="108"/>
      <c r="O1167" s="111"/>
      <c r="P1167" s="109"/>
      <c r="Q1167" s="41"/>
      <c r="R1167" s="111"/>
      <c r="S1167" s="110"/>
    </row>
    <row r="1168" spans="1:19">
      <c r="A1168" s="105"/>
      <c r="J1168" s="108"/>
      <c r="O1168" s="111"/>
      <c r="P1168" s="109"/>
      <c r="Q1168" s="41"/>
      <c r="R1168" s="111"/>
      <c r="S1168" s="110"/>
    </row>
    <row r="1169" spans="1:19">
      <c r="A1169" s="105"/>
      <c r="J1169" s="108"/>
      <c r="O1169" s="111"/>
      <c r="P1169" s="109"/>
      <c r="Q1169" s="41"/>
      <c r="R1169" s="111"/>
      <c r="S1169" s="110"/>
    </row>
    <row r="1170" spans="1:19">
      <c r="A1170" s="105"/>
      <c r="J1170" s="108"/>
      <c r="O1170" s="111"/>
      <c r="P1170" s="109"/>
      <c r="Q1170" s="41"/>
      <c r="R1170" s="111"/>
      <c r="S1170" s="110"/>
    </row>
    <row r="1171" spans="1:19">
      <c r="A1171" s="105"/>
      <c r="J1171" s="108"/>
      <c r="O1171" s="111"/>
      <c r="P1171" s="109"/>
      <c r="Q1171" s="41"/>
      <c r="R1171" s="111"/>
      <c r="S1171" s="110"/>
    </row>
    <row r="1172" spans="1:19">
      <c r="A1172" s="105"/>
      <c r="J1172" s="108"/>
      <c r="O1172" s="111"/>
      <c r="P1172" s="109"/>
      <c r="Q1172" s="41"/>
      <c r="R1172" s="111"/>
      <c r="S1172" s="110"/>
    </row>
    <row r="1173" spans="1:19">
      <c r="A1173" s="105"/>
      <c r="J1173" s="108"/>
      <c r="O1173" s="111"/>
      <c r="P1173" s="109"/>
      <c r="Q1173" s="41"/>
      <c r="R1173" s="111"/>
      <c r="S1173" s="110"/>
    </row>
    <row r="1174" spans="1:19">
      <c r="A1174" s="105"/>
      <c r="J1174" s="108"/>
      <c r="O1174" s="111"/>
      <c r="P1174" s="109"/>
      <c r="Q1174" s="41"/>
      <c r="R1174" s="111"/>
      <c r="S1174" s="110"/>
    </row>
    <row r="1175" spans="1:19">
      <c r="A1175" s="105"/>
      <c r="J1175" s="108"/>
      <c r="O1175" s="111"/>
      <c r="P1175" s="109"/>
      <c r="Q1175" s="41"/>
      <c r="R1175" s="111"/>
      <c r="S1175" s="110"/>
    </row>
    <row r="1176" spans="1:19">
      <c r="A1176" s="105"/>
      <c r="J1176" s="108"/>
      <c r="O1176" s="111"/>
      <c r="P1176" s="109"/>
      <c r="Q1176" s="41"/>
      <c r="R1176" s="111"/>
      <c r="S1176" s="110"/>
    </row>
    <row r="1177" spans="1:19">
      <c r="A1177" s="105"/>
      <c r="J1177" s="108"/>
      <c r="O1177" s="111"/>
      <c r="P1177" s="109"/>
      <c r="Q1177" s="41"/>
      <c r="R1177" s="111"/>
      <c r="S1177" s="110"/>
    </row>
    <row r="1178" spans="1:19">
      <c r="A1178" s="105"/>
      <c r="J1178" s="108"/>
      <c r="O1178" s="111"/>
      <c r="P1178" s="109"/>
      <c r="Q1178" s="41"/>
      <c r="R1178" s="111"/>
      <c r="S1178" s="110"/>
    </row>
    <row r="1179" spans="1:19">
      <c r="A1179" s="105"/>
      <c r="J1179" s="108"/>
      <c r="O1179" s="111"/>
      <c r="P1179" s="109"/>
      <c r="Q1179" s="41"/>
      <c r="R1179" s="111"/>
      <c r="S1179" s="110"/>
    </row>
    <row r="1180" spans="1:19">
      <c r="A1180" s="105"/>
      <c r="J1180" s="108"/>
      <c r="O1180" s="111"/>
      <c r="P1180" s="109"/>
      <c r="Q1180" s="41"/>
      <c r="R1180" s="111"/>
      <c r="S1180" s="110"/>
    </row>
    <row r="1181" spans="1:19">
      <c r="A1181" s="105"/>
      <c r="J1181" s="108"/>
      <c r="O1181" s="111"/>
      <c r="P1181" s="109"/>
      <c r="Q1181" s="41"/>
      <c r="R1181" s="111"/>
      <c r="S1181" s="110"/>
    </row>
    <row r="1182" spans="1:19">
      <c r="A1182" s="105"/>
      <c r="J1182" s="108"/>
      <c r="O1182" s="111"/>
      <c r="P1182" s="109"/>
      <c r="Q1182" s="41"/>
      <c r="R1182" s="111"/>
      <c r="S1182" s="110"/>
    </row>
    <row r="1183" spans="1:19">
      <c r="A1183" s="105"/>
      <c r="J1183" s="108"/>
      <c r="O1183" s="111"/>
      <c r="P1183" s="109"/>
      <c r="Q1183" s="41"/>
      <c r="R1183" s="111"/>
      <c r="S1183" s="110"/>
    </row>
    <row r="1184" spans="1:19">
      <c r="A1184" s="105"/>
      <c r="J1184" s="108"/>
      <c r="O1184" s="111"/>
      <c r="P1184" s="109"/>
      <c r="Q1184" s="41"/>
      <c r="R1184" s="111"/>
      <c r="S1184" s="110"/>
    </row>
    <row r="1185" spans="1:19">
      <c r="A1185" s="105"/>
      <c r="J1185" s="108"/>
      <c r="O1185" s="111"/>
      <c r="P1185" s="109"/>
      <c r="Q1185" s="41"/>
      <c r="R1185" s="111"/>
      <c r="S1185" s="110"/>
    </row>
    <row r="1186" spans="1:19">
      <c r="A1186" s="105"/>
      <c r="J1186" s="108"/>
      <c r="O1186" s="111"/>
      <c r="P1186" s="109"/>
      <c r="Q1186" s="41"/>
      <c r="R1186" s="111"/>
      <c r="S1186" s="110"/>
    </row>
    <row r="1187" spans="1:19">
      <c r="A1187" s="105"/>
      <c r="J1187" s="108"/>
      <c r="O1187" s="111"/>
      <c r="P1187" s="109"/>
      <c r="Q1187" s="41"/>
      <c r="R1187" s="111"/>
      <c r="S1187" s="110"/>
    </row>
    <row r="1188" spans="1:19">
      <c r="A1188" s="105"/>
      <c r="J1188" s="108"/>
      <c r="O1188" s="111"/>
      <c r="P1188" s="109"/>
      <c r="Q1188" s="41"/>
      <c r="R1188" s="111"/>
      <c r="S1188" s="110"/>
    </row>
    <row r="1189" spans="1:19">
      <c r="A1189" s="105"/>
      <c r="J1189" s="108"/>
      <c r="O1189" s="111"/>
      <c r="P1189" s="109"/>
      <c r="Q1189" s="41"/>
      <c r="R1189" s="111"/>
      <c r="S1189" s="110"/>
    </row>
    <row r="1190" spans="1:19">
      <c r="A1190" s="105"/>
      <c r="J1190" s="108"/>
      <c r="O1190" s="111"/>
      <c r="P1190" s="109"/>
      <c r="Q1190" s="41"/>
      <c r="R1190" s="111"/>
      <c r="S1190" s="110"/>
    </row>
    <row r="1191" spans="1:19">
      <c r="A1191" s="105"/>
      <c r="J1191" s="108"/>
      <c r="O1191" s="111"/>
      <c r="P1191" s="109"/>
      <c r="Q1191" s="41"/>
      <c r="R1191" s="111"/>
      <c r="S1191" s="110"/>
    </row>
    <row r="1192" spans="1:19">
      <c r="A1192" s="105"/>
      <c r="J1192" s="108"/>
      <c r="O1192" s="111"/>
      <c r="P1192" s="109"/>
      <c r="Q1192" s="41"/>
      <c r="R1192" s="111"/>
      <c r="S1192" s="110"/>
    </row>
    <row r="1193" spans="1:19">
      <c r="A1193" s="105"/>
      <c r="J1193" s="108"/>
      <c r="O1193" s="111"/>
      <c r="P1193" s="109"/>
      <c r="Q1193" s="41"/>
      <c r="R1193" s="111"/>
      <c r="S1193" s="110"/>
    </row>
    <row r="1194" spans="1:19">
      <c r="A1194" s="105"/>
      <c r="J1194" s="108"/>
      <c r="O1194" s="111"/>
      <c r="P1194" s="109"/>
      <c r="Q1194" s="41"/>
      <c r="R1194" s="111"/>
      <c r="S1194" s="110"/>
    </row>
    <row r="1195" spans="1:19">
      <c r="A1195" s="105"/>
      <c r="J1195" s="108"/>
      <c r="O1195" s="111"/>
      <c r="P1195" s="109"/>
      <c r="Q1195" s="41"/>
      <c r="R1195" s="111"/>
      <c r="S1195" s="110"/>
    </row>
    <row r="1196" spans="1:19">
      <c r="A1196" s="105"/>
      <c r="J1196" s="108"/>
      <c r="O1196" s="111"/>
      <c r="P1196" s="109"/>
      <c r="Q1196" s="41"/>
      <c r="R1196" s="111"/>
      <c r="S1196" s="110"/>
    </row>
    <row r="1197" spans="1:19">
      <c r="A1197" s="105"/>
      <c r="J1197" s="108"/>
      <c r="O1197" s="111"/>
      <c r="P1197" s="109"/>
      <c r="Q1197" s="41"/>
      <c r="R1197" s="111"/>
      <c r="S1197" s="110"/>
    </row>
    <row r="1198" spans="1:19">
      <c r="A1198" s="105"/>
      <c r="J1198" s="108"/>
      <c r="O1198" s="111"/>
      <c r="P1198" s="109"/>
      <c r="Q1198" s="41"/>
      <c r="R1198" s="111"/>
      <c r="S1198" s="110"/>
    </row>
    <row r="1199" spans="1:19">
      <c r="A1199" s="105"/>
      <c r="J1199" s="108"/>
      <c r="O1199" s="111"/>
      <c r="P1199" s="109"/>
      <c r="Q1199" s="41"/>
      <c r="R1199" s="111"/>
      <c r="S1199" s="110"/>
    </row>
    <row r="1200" spans="1:19">
      <c r="A1200" s="105"/>
      <c r="J1200" s="108"/>
      <c r="O1200" s="111"/>
      <c r="P1200" s="109"/>
      <c r="Q1200" s="41"/>
      <c r="R1200" s="111"/>
      <c r="S1200" s="110"/>
    </row>
    <row r="1201" spans="1:19">
      <c r="A1201" s="105"/>
      <c r="J1201" s="108"/>
      <c r="O1201" s="111"/>
      <c r="P1201" s="109"/>
      <c r="Q1201" s="41"/>
      <c r="R1201" s="111"/>
      <c r="S1201" s="110"/>
    </row>
    <row r="1202" spans="1:19">
      <c r="A1202" s="105"/>
      <c r="J1202" s="108"/>
      <c r="O1202" s="111"/>
      <c r="P1202" s="109"/>
      <c r="Q1202" s="41"/>
      <c r="R1202" s="111"/>
      <c r="S1202" s="110"/>
    </row>
    <row r="1203" spans="1:19">
      <c r="A1203" s="105"/>
      <c r="J1203" s="108"/>
      <c r="O1203" s="111"/>
      <c r="P1203" s="109"/>
      <c r="Q1203" s="41"/>
      <c r="R1203" s="111"/>
      <c r="S1203" s="110"/>
    </row>
    <row r="1204" spans="1:19">
      <c r="A1204" s="105"/>
      <c r="J1204" s="108"/>
      <c r="O1204" s="111"/>
      <c r="P1204" s="109"/>
      <c r="Q1204" s="41"/>
      <c r="R1204" s="111"/>
      <c r="S1204" s="110"/>
    </row>
    <row r="1205" spans="1:19">
      <c r="A1205" s="105"/>
      <c r="J1205" s="108"/>
      <c r="O1205" s="111"/>
      <c r="P1205" s="109"/>
      <c r="Q1205" s="41"/>
      <c r="R1205" s="111"/>
      <c r="S1205" s="110"/>
    </row>
    <row r="1206" spans="1:19">
      <c r="A1206" s="105"/>
      <c r="J1206" s="108"/>
      <c r="O1206" s="111"/>
      <c r="P1206" s="109"/>
      <c r="Q1206" s="41"/>
      <c r="R1206" s="111"/>
      <c r="S1206" s="110"/>
    </row>
    <row r="1207" spans="1:19">
      <c r="A1207" s="105"/>
      <c r="J1207" s="108"/>
      <c r="O1207" s="111"/>
      <c r="P1207" s="109"/>
      <c r="Q1207" s="41"/>
      <c r="R1207" s="111"/>
      <c r="S1207" s="110"/>
    </row>
    <row r="1208" spans="1:19">
      <c r="A1208" s="105"/>
      <c r="J1208" s="108"/>
      <c r="O1208" s="111"/>
      <c r="P1208" s="109"/>
      <c r="Q1208" s="41"/>
      <c r="R1208" s="111"/>
      <c r="S1208" s="110"/>
    </row>
    <row r="1209" spans="1:19">
      <c r="A1209" s="105"/>
      <c r="J1209" s="108"/>
      <c r="O1209" s="111"/>
      <c r="P1209" s="109"/>
      <c r="Q1209" s="41"/>
      <c r="R1209" s="111"/>
      <c r="S1209" s="110"/>
    </row>
    <row r="1210" spans="1:19">
      <c r="A1210" s="105"/>
      <c r="J1210" s="108"/>
      <c r="O1210" s="111"/>
      <c r="P1210" s="109"/>
      <c r="Q1210" s="41"/>
      <c r="R1210" s="111"/>
      <c r="S1210" s="110"/>
    </row>
    <row r="1211" spans="1:19">
      <c r="A1211" s="105"/>
      <c r="J1211" s="108"/>
      <c r="O1211" s="111"/>
      <c r="P1211" s="109"/>
      <c r="Q1211" s="41"/>
      <c r="R1211" s="111"/>
      <c r="S1211" s="110"/>
    </row>
    <row r="1212" spans="1:19">
      <c r="A1212" s="105"/>
      <c r="J1212" s="108"/>
      <c r="O1212" s="111"/>
      <c r="P1212" s="109"/>
      <c r="Q1212" s="41"/>
      <c r="R1212" s="111"/>
      <c r="S1212" s="110"/>
    </row>
    <row r="1213" spans="1:19">
      <c r="A1213" s="105"/>
      <c r="J1213" s="108"/>
      <c r="O1213" s="111"/>
      <c r="P1213" s="109"/>
      <c r="Q1213" s="41"/>
      <c r="R1213" s="111"/>
      <c r="S1213" s="110"/>
    </row>
    <row r="1214" spans="1:19">
      <c r="A1214" s="105"/>
      <c r="J1214" s="108"/>
      <c r="O1214" s="111"/>
      <c r="P1214" s="109"/>
      <c r="Q1214" s="41"/>
      <c r="R1214" s="111"/>
      <c r="S1214" s="110"/>
    </row>
    <row r="1215" spans="1:19">
      <c r="A1215" s="105"/>
      <c r="J1215" s="108"/>
      <c r="O1215" s="111"/>
      <c r="P1215" s="109"/>
      <c r="Q1215" s="41"/>
      <c r="R1215" s="111"/>
      <c r="S1215" s="110"/>
    </row>
    <row r="1216" spans="1:19">
      <c r="A1216" s="105"/>
      <c r="J1216" s="108"/>
      <c r="O1216" s="111"/>
      <c r="P1216" s="109"/>
      <c r="Q1216" s="41"/>
      <c r="R1216" s="111"/>
      <c r="S1216" s="110"/>
    </row>
    <row r="1217" spans="1:19">
      <c r="A1217" s="105"/>
      <c r="J1217" s="108"/>
      <c r="O1217" s="111"/>
      <c r="P1217" s="109"/>
      <c r="Q1217" s="41"/>
      <c r="R1217" s="111"/>
      <c r="S1217" s="110"/>
    </row>
    <row r="1218" spans="1:19">
      <c r="A1218" s="105"/>
      <c r="J1218" s="108"/>
      <c r="O1218" s="111"/>
      <c r="P1218" s="109"/>
      <c r="Q1218" s="41"/>
      <c r="R1218" s="111"/>
      <c r="S1218" s="110"/>
    </row>
    <row r="1219" spans="1:19">
      <c r="A1219" s="105"/>
      <c r="J1219" s="108"/>
      <c r="O1219" s="111"/>
      <c r="P1219" s="109"/>
      <c r="Q1219" s="41"/>
      <c r="R1219" s="111"/>
      <c r="S1219" s="110"/>
    </row>
    <row r="1220" spans="1:19">
      <c r="A1220" s="105"/>
      <c r="J1220" s="108"/>
      <c r="O1220" s="111"/>
      <c r="P1220" s="109"/>
      <c r="Q1220" s="41"/>
      <c r="R1220" s="111"/>
      <c r="S1220" s="110"/>
    </row>
    <row r="1221" spans="1:19">
      <c r="A1221" s="105"/>
      <c r="J1221" s="108"/>
      <c r="O1221" s="111"/>
      <c r="P1221" s="109"/>
      <c r="Q1221" s="41"/>
      <c r="R1221" s="111"/>
      <c r="S1221" s="110"/>
    </row>
    <row r="1222" spans="1:19">
      <c r="A1222" s="105"/>
      <c r="J1222" s="108"/>
      <c r="O1222" s="111"/>
      <c r="P1222" s="109"/>
      <c r="Q1222" s="41"/>
      <c r="R1222" s="111"/>
      <c r="S1222" s="110"/>
    </row>
    <row r="1223" spans="1:19">
      <c r="A1223" s="105"/>
      <c r="J1223" s="108"/>
      <c r="O1223" s="111"/>
      <c r="P1223" s="109"/>
      <c r="Q1223" s="41"/>
      <c r="R1223" s="111"/>
      <c r="S1223" s="110"/>
    </row>
    <row r="1224" spans="1:19">
      <c r="A1224" s="105"/>
      <c r="J1224" s="108"/>
      <c r="O1224" s="111"/>
      <c r="P1224" s="109"/>
      <c r="Q1224" s="41"/>
      <c r="R1224" s="111"/>
      <c r="S1224" s="110"/>
    </row>
    <row r="1225" spans="1:19">
      <c r="A1225" s="105"/>
      <c r="J1225" s="108"/>
      <c r="O1225" s="111"/>
      <c r="P1225" s="109"/>
      <c r="Q1225" s="41"/>
      <c r="R1225" s="111"/>
      <c r="S1225" s="110"/>
    </row>
    <row r="1226" spans="1:19">
      <c r="A1226" s="105"/>
      <c r="J1226" s="108"/>
      <c r="O1226" s="111"/>
      <c r="P1226" s="109"/>
      <c r="Q1226" s="41"/>
      <c r="R1226" s="111"/>
      <c r="S1226" s="110"/>
    </row>
    <row r="1227" spans="1:19">
      <c r="A1227" s="105"/>
      <c r="J1227" s="108"/>
      <c r="O1227" s="111"/>
      <c r="P1227" s="109"/>
      <c r="Q1227" s="41"/>
      <c r="R1227" s="111"/>
      <c r="S1227" s="110"/>
    </row>
    <row r="1228" spans="1:19">
      <c r="A1228" s="105"/>
      <c r="J1228" s="108"/>
      <c r="O1228" s="111"/>
      <c r="P1228" s="109"/>
      <c r="Q1228" s="41"/>
      <c r="R1228" s="111"/>
      <c r="S1228" s="110"/>
    </row>
    <row r="1229" spans="1:19">
      <c r="A1229" s="105"/>
      <c r="J1229" s="108"/>
      <c r="O1229" s="111"/>
      <c r="P1229" s="109"/>
      <c r="Q1229" s="41"/>
      <c r="R1229" s="111"/>
      <c r="S1229" s="110"/>
    </row>
    <row r="1230" spans="1:19">
      <c r="A1230" s="105"/>
      <c r="J1230" s="108"/>
      <c r="O1230" s="111"/>
      <c r="P1230" s="109"/>
      <c r="Q1230" s="41"/>
      <c r="R1230" s="111"/>
      <c r="S1230" s="110"/>
    </row>
    <row r="1231" spans="1:19">
      <c r="A1231" s="105"/>
      <c r="J1231" s="108"/>
      <c r="O1231" s="111"/>
      <c r="P1231" s="109"/>
      <c r="Q1231" s="41"/>
      <c r="R1231" s="111"/>
      <c r="S1231" s="110"/>
    </row>
    <row r="1232" spans="1:19">
      <c r="A1232" s="105"/>
      <c r="J1232" s="108"/>
      <c r="O1232" s="111"/>
      <c r="P1232" s="109"/>
      <c r="Q1232" s="41"/>
      <c r="R1232" s="111"/>
      <c r="S1232" s="110"/>
    </row>
    <row r="1233" spans="1:19">
      <c r="A1233" s="105"/>
      <c r="J1233" s="108"/>
      <c r="O1233" s="111"/>
      <c r="P1233" s="109"/>
      <c r="Q1233" s="41"/>
      <c r="R1233" s="111"/>
      <c r="S1233" s="110"/>
    </row>
    <row r="1234" spans="1:19">
      <c r="A1234" s="105"/>
      <c r="J1234" s="108"/>
      <c r="O1234" s="111"/>
      <c r="P1234" s="109"/>
      <c r="Q1234" s="41"/>
      <c r="R1234" s="111"/>
      <c r="S1234" s="110"/>
    </row>
    <row r="1235" spans="1:19">
      <c r="A1235" s="105"/>
      <c r="J1235" s="108"/>
      <c r="O1235" s="111"/>
      <c r="P1235" s="109"/>
      <c r="Q1235" s="41"/>
      <c r="R1235" s="111"/>
      <c r="S1235" s="110"/>
    </row>
    <row r="1236" spans="1:19">
      <c r="A1236" s="105"/>
      <c r="J1236" s="108"/>
      <c r="O1236" s="111"/>
      <c r="P1236" s="109"/>
      <c r="Q1236" s="41"/>
      <c r="R1236" s="111"/>
      <c r="S1236" s="110"/>
    </row>
    <row r="1237" spans="1:19">
      <c r="A1237" s="105"/>
      <c r="J1237" s="108"/>
      <c r="O1237" s="111"/>
      <c r="P1237" s="109"/>
      <c r="Q1237" s="41"/>
      <c r="R1237" s="111"/>
      <c r="S1237" s="110"/>
    </row>
    <row r="1238" spans="1:19">
      <c r="A1238" s="105"/>
      <c r="J1238" s="108"/>
      <c r="O1238" s="111"/>
      <c r="P1238" s="109"/>
      <c r="Q1238" s="41"/>
      <c r="R1238" s="111"/>
      <c r="S1238" s="110"/>
    </row>
    <row r="1239" spans="1:19">
      <c r="A1239" s="105"/>
      <c r="J1239" s="108"/>
      <c r="O1239" s="111"/>
      <c r="P1239" s="109"/>
      <c r="Q1239" s="41"/>
      <c r="R1239" s="111"/>
      <c r="S1239" s="110"/>
    </row>
    <row r="1240" spans="1:19">
      <c r="A1240" s="105"/>
      <c r="J1240" s="108"/>
      <c r="O1240" s="111"/>
      <c r="P1240" s="109"/>
      <c r="Q1240" s="41"/>
      <c r="R1240" s="111"/>
      <c r="S1240" s="110"/>
    </row>
    <row r="1241" spans="1:19">
      <c r="A1241" s="105"/>
      <c r="J1241" s="108"/>
      <c r="O1241" s="111"/>
      <c r="P1241" s="109"/>
      <c r="Q1241" s="41"/>
      <c r="R1241" s="111"/>
      <c r="S1241" s="110"/>
    </row>
    <row r="1242" spans="1:19">
      <c r="A1242" s="105"/>
      <c r="J1242" s="108"/>
      <c r="O1242" s="111"/>
      <c r="P1242" s="109"/>
      <c r="Q1242" s="41"/>
      <c r="R1242" s="111"/>
      <c r="S1242" s="110"/>
    </row>
    <row r="1243" spans="1:19">
      <c r="A1243" s="105"/>
      <c r="J1243" s="108"/>
      <c r="O1243" s="111"/>
      <c r="P1243" s="109"/>
      <c r="Q1243" s="41"/>
      <c r="R1243" s="111"/>
      <c r="S1243" s="110"/>
    </row>
    <row r="1244" spans="1:19">
      <c r="A1244" s="105"/>
      <c r="J1244" s="108"/>
      <c r="O1244" s="111"/>
      <c r="P1244" s="109"/>
      <c r="Q1244" s="41"/>
      <c r="R1244" s="111"/>
      <c r="S1244" s="110"/>
    </row>
    <row r="1245" spans="1:19">
      <c r="A1245" s="105"/>
      <c r="J1245" s="108"/>
      <c r="O1245" s="111"/>
      <c r="P1245" s="109"/>
      <c r="Q1245" s="41"/>
      <c r="R1245" s="111"/>
      <c r="S1245" s="110"/>
    </row>
    <row r="1246" spans="1:19">
      <c r="A1246" s="105"/>
      <c r="J1246" s="108"/>
      <c r="O1246" s="111"/>
      <c r="P1246" s="109"/>
      <c r="Q1246" s="41"/>
      <c r="R1246" s="111"/>
      <c r="S1246" s="110"/>
    </row>
    <row r="1247" spans="1:19">
      <c r="A1247" s="105"/>
      <c r="J1247" s="108"/>
      <c r="O1247" s="111"/>
      <c r="P1247" s="109"/>
      <c r="Q1247" s="41"/>
      <c r="R1247" s="111"/>
      <c r="S1247" s="110"/>
    </row>
    <row r="1248" spans="1:19">
      <c r="A1248" s="105"/>
      <c r="J1248" s="108"/>
      <c r="O1248" s="111"/>
      <c r="P1248" s="109"/>
      <c r="Q1248" s="41"/>
      <c r="R1248" s="111"/>
      <c r="S1248" s="110"/>
    </row>
    <row r="1249" spans="1:19">
      <c r="A1249" s="105"/>
      <c r="J1249" s="108"/>
      <c r="O1249" s="111"/>
      <c r="P1249" s="109"/>
      <c r="Q1249" s="41"/>
      <c r="R1249" s="111"/>
      <c r="S1249" s="110"/>
    </row>
    <row r="1250" spans="1:19">
      <c r="A1250" s="105"/>
      <c r="J1250" s="108"/>
      <c r="O1250" s="111"/>
      <c r="P1250" s="109"/>
      <c r="Q1250" s="41"/>
      <c r="R1250" s="111"/>
      <c r="S1250" s="110"/>
    </row>
    <row r="1251" spans="1:19">
      <c r="A1251" s="105"/>
      <c r="J1251" s="108"/>
      <c r="O1251" s="111"/>
      <c r="P1251" s="109"/>
      <c r="Q1251" s="41"/>
      <c r="R1251" s="111"/>
      <c r="S1251" s="110"/>
    </row>
    <row r="1252" spans="1:19">
      <c r="A1252" s="105"/>
      <c r="J1252" s="108"/>
      <c r="O1252" s="111"/>
      <c r="P1252" s="109"/>
      <c r="Q1252" s="41"/>
      <c r="R1252" s="111"/>
      <c r="S1252" s="110"/>
    </row>
    <row r="1253" spans="1:19">
      <c r="A1253" s="105"/>
      <c r="J1253" s="108"/>
      <c r="O1253" s="111"/>
      <c r="P1253" s="109"/>
      <c r="Q1253" s="41"/>
      <c r="R1253" s="111"/>
      <c r="S1253" s="110"/>
    </row>
    <row r="1254" spans="1:19">
      <c r="A1254" s="105"/>
      <c r="J1254" s="108"/>
      <c r="O1254" s="111"/>
      <c r="P1254" s="109"/>
      <c r="Q1254" s="41"/>
      <c r="R1254" s="111"/>
      <c r="S1254" s="110"/>
    </row>
    <row r="1255" spans="1:19">
      <c r="A1255" s="105"/>
      <c r="J1255" s="108"/>
      <c r="O1255" s="111"/>
      <c r="P1255" s="109"/>
      <c r="Q1255" s="41"/>
      <c r="R1255" s="111"/>
      <c r="S1255" s="110"/>
    </row>
    <row r="1256" spans="1:19">
      <c r="A1256" s="105"/>
      <c r="J1256" s="108"/>
      <c r="O1256" s="111"/>
      <c r="P1256" s="109"/>
      <c r="Q1256" s="41"/>
      <c r="R1256" s="111"/>
      <c r="S1256" s="110"/>
    </row>
    <row r="1257" spans="1:19">
      <c r="A1257" s="105"/>
      <c r="J1257" s="108"/>
      <c r="O1257" s="111"/>
      <c r="P1257" s="109"/>
      <c r="Q1257" s="41"/>
      <c r="R1257" s="111"/>
      <c r="S1257" s="110"/>
    </row>
    <row r="1258" spans="1:19">
      <c r="A1258" s="105"/>
      <c r="J1258" s="108"/>
      <c r="O1258" s="111"/>
      <c r="P1258" s="109"/>
      <c r="Q1258" s="41"/>
      <c r="R1258" s="111"/>
      <c r="S1258" s="110"/>
    </row>
    <row r="1259" spans="1:19">
      <c r="A1259" s="105"/>
      <c r="J1259" s="108"/>
      <c r="O1259" s="111"/>
      <c r="P1259" s="109"/>
      <c r="Q1259" s="41"/>
      <c r="R1259" s="111"/>
      <c r="S1259" s="110"/>
    </row>
    <row r="1260" spans="1:19">
      <c r="A1260" s="105"/>
      <c r="J1260" s="108"/>
      <c r="O1260" s="111"/>
      <c r="P1260" s="109"/>
      <c r="Q1260" s="41"/>
      <c r="R1260" s="111"/>
      <c r="S1260" s="110"/>
    </row>
    <row r="1261" spans="1:19">
      <c r="A1261" s="105"/>
      <c r="J1261" s="108"/>
      <c r="O1261" s="111"/>
      <c r="P1261" s="109"/>
      <c r="Q1261" s="41"/>
      <c r="R1261" s="111"/>
      <c r="S1261" s="110"/>
    </row>
    <row r="1262" spans="1:19">
      <c r="A1262" s="105"/>
      <c r="J1262" s="108"/>
      <c r="O1262" s="111"/>
      <c r="P1262" s="109"/>
      <c r="Q1262" s="41"/>
      <c r="R1262" s="111"/>
      <c r="S1262" s="110"/>
    </row>
    <row r="1263" spans="1:19">
      <c r="A1263" s="105"/>
      <c r="J1263" s="108"/>
      <c r="O1263" s="111"/>
      <c r="P1263" s="109"/>
      <c r="Q1263" s="41"/>
      <c r="R1263" s="111"/>
      <c r="S1263" s="110"/>
    </row>
    <row r="1264" spans="1:19">
      <c r="A1264" s="105"/>
      <c r="J1264" s="108"/>
      <c r="O1264" s="111"/>
      <c r="P1264" s="109"/>
      <c r="Q1264" s="41"/>
      <c r="R1264" s="111"/>
      <c r="S1264" s="110"/>
    </row>
    <row r="1265" spans="1:19">
      <c r="A1265" s="105"/>
      <c r="J1265" s="108"/>
      <c r="O1265" s="111"/>
      <c r="P1265" s="109"/>
      <c r="Q1265" s="41"/>
      <c r="R1265" s="111"/>
      <c r="S1265" s="110"/>
    </row>
    <row r="1266" spans="1:19">
      <c r="A1266" s="105"/>
      <c r="J1266" s="108"/>
      <c r="O1266" s="111"/>
      <c r="P1266" s="109"/>
      <c r="Q1266" s="41"/>
      <c r="R1266" s="111"/>
      <c r="S1266" s="110"/>
    </row>
    <row r="1267" spans="1:19">
      <c r="A1267" s="105"/>
      <c r="J1267" s="108"/>
      <c r="O1267" s="111"/>
      <c r="P1267" s="109"/>
      <c r="Q1267" s="41"/>
      <c r="R1267" s="111"/>
      <c r="S1267" s="110"/>
    </row>
    <row r="1268" spans="1:19">
      <c r="A1268" s="105"/>
      <c r="J1268" s="108"/>
      <c r="O1268" s="111"/>
      <c r="P1268" s="109"/>
      <c r="Q1268" s="41"/>
      <c r="R1268" s="111"/>
      <c r="S1268" s="110"/>
    </row>
    <row r="1269" spans="1:19">
      <c r="A1269" s="105"/>
      <c r="J1269" s="108"/>
      <c r="O1269" s="111"/>
      <c r="P1269" s="109"/>
      <c r="Q1269" s="41"/>
      <c r="R1269" s="111"/>
      <c r="S1269" s="110"/>
    </row>
    <row r="1270" spans="1:19">
      <c r="A1270" s="105"/>
      <c r="J1270" s="108"/>
      <c r="O1270" s="111"/>
      <c r="P1270" s="109"/>
      <c r="Q1270" s="41"/>
      <c r="R1270" s="111"/>
      <c r="S1270" s="110"/>
    </row>
    <row r="1271" spans="1:19">
      <c r="A1271" s="105"/>
      <c r="J1271" s="108"/>
      <c r="O1271" s="111"/>
      <c r="P1271" s="109"/>
      <c r="Q1271" s="41"/>
      <c r="R1271" s="111"/>
      <c r="S1271" s="110"/>
    </row>
    <row r="1272" spans="1:19">
      <c r="A1272" s="105"/>
      <c r="J1272" s="108"/>
      <c r="O1272" s="111"/>
      <c r="P1272" s="109"/>
      <c r="Q1272" s="41"/>
      <c r="R1272" s="111"/>
      <c r="S1272" s="110"/>
    </row>
    <row r="1273" spans="1:19">
      <c r="A1273" s="105"/>
      <c r="J1273" s="108"/>
      <c r="O1273" s="111"/>
      <c r="P1273" s="109"/>
      <c r="Q1273" s="41"/>
      <c r="R1273" s="111"/>
      <c r="S1273" s="110"/>
    </row>
    <row r="1274" spans="1:19">
      <c r="A1274" s="105"/>
      <c r="J1274" s="108"/>
      <c r="O1274" s="111"/>
      <c r="P1274" s="109"/>
      <c r="Q1274" s="41"/>
      <c r="R1274" s="111"/>
      <c r="S1274" s="110"/>
    </row>
    <row r="1275" spans="1:19">
      <c r="A1275" s="105"/>
      <c r="J1275" s="108"/>
      <c r="O1275" s="111"/>
      <c r="P1275" s="109"/>
      <c r="Q1275" s="41"/>
      <c r="R1275" s="111"/>
      <c r="S1275" s="110"/>
    </row>
    <row r="1276" spans="1:19">
      <c r="A1276" s="105"/>
      <c r="J1276" s="108"/>
      <c r="O1276" s="111"/>
      <c r="P1276" s="109"/>
      <c r="Q1276" s="41"/>
      <c r="R1276" s="111"/>
      <c r="S1276" s="110"/>
    </row>
    <row r="1277" spans="1:19">
      <c r="A1277" s="105"/>
      <c r="J1277" s="108"/>
      <c r="O1277" s="111"/>
      <c r="P1277" s="109"/>
      <c r="Q1277" s="41"/>
      <c r="R1277" s="111"/>
      <c r="S1277" s="110"/>
    </row>
    <row r="1278" spans="1:19">
      <c r="A1278" s="105"/>
      <c r="J1278" s="108"/>
      <c r="O1278" s="111"/>
      <c r="P1278" s="109"/>
      <c r="Q1278" s="41"/>
      <c r="R1278" s="111"/>
      <c r="S1278" s="110"/>
    </row>
    <row r="1279" spans="1:19">
      <c r="A1279" s="105"/>
      <c r="J1279" s="108"/>
      <c r="O1279" s="111"/>
      <c r="P1279" s="109"/>
      <c r="Q1279" s="41"/>
      <c r="R1279" s="111"/>
      <c r="S1279" s="110"/>
    </row>
    <row r="1280" spans="1:19">
      <c r="A1280" s="105"/>
      <c r="J1280" s="108"/>
      <c r="O1280" s="111"/>
      <c r="P1280" s="109"/>
      <c r="Q1280" s="41"/>
      <c r="R1280" s="111"/>
      <c r="S1280" s="110"/>
    </row>
    <row r="1281" spans="1:19">
      <c r="A1281" s="105"/>
      <c r="J1281" s="108"/>
      <c r="O1281" s="111"/>
      <c r="P1281" s="109"/>
      <c r="Q1281" s="41"/>
      <c r="R1281" s="111"/>
      <c r="S1281" s="110"/>
    </row>
    <row r="1282" spans="1:19">
      <c r="A1282" s="105"/>
      <c r="J1282" s="108"/>
      <c r="O1282" s="111"/>
      <c r="P1282" s="109"/>
      <c r="Q1282" s="41"/>
      <c r="R1282" s="111"/>
      <c r="S1282" s="110"/>
    </row>
    <row r="1283" spans="1:19">
      <c r="A1283" s="105"/>
      <c r="J1283" s="108"/>
      <c r="O1283" s="111"/>
      <c r="P1283" s="109"/>
      <c r="Q1283" s="41"/>
      <c r="R1283" s="111"/>
      <c r="S1283" s="110"/>
    </row>
    <row r="1284" spans="1:19">
      <c r="A1284" s="105"/>
      <c r="J1284" s="108"/>
      <c r="O1284" s="111"/>
      <c r="P1284" s="109"/>
      <c r="Q1284" s="41"/>
      <c r="R1284" s="111"/>
      <c r="S1284" s="110"/>
    </row>
    <row r="1285" spans="1:19">
      <c r="A1285" s="105"/>
      <c r="J1285" s="108"/>
      <c r="O1285" s="111"/>
      <c r="P1285" s="109"/>
      <c r="Q1285" s="41"/>
      <c r="R1285" s="111"/>
      <c r="S1285" s="110"/>
    </row>
    <row r="1286" spans="1:19">
      <c r="A1286" s="105"/>
      <c r="J1286" s="108"/>
      <c r="O1286" s="111"/>
      <c r="P1286" s="109"/>
      <c r="Q1286" s="41"/>
      <c r="R1286" s="111"/>
      <c r="S1286" s="110"/>
    </row>
    <row r="1287" spans="1:19">
      <c r="A1287" s="105"/>
      <c r="J1287" s="108"/>
      <c r="O1287" s="111"/>
      <c r="P1287" s="109"/>
      <c r="Q1287" s="41"/>
      <c r="R1287" s="111"/>
      <c r="S1287" s="110"/>
    </row>
    <row r="1288" spans="1:19">
      <c r="A1288" s="105"/>
      <c r="J1288" s="108"/>
      <c r="O1288" s="111"/>
      <c r="P1288" s="109"/>
      <c r="Q1288" s="41"/>
      <c r="R1288" s="111"/>
      <c r="S1288" s="110"/>
    </row>
    <row r="1289" spans="1:19">
      <c r="A1289" s="105"/>
      <c r="J1289" s="108"/>
      <c r="O1289" s="111"/>
      <c r="P1289" s="109"/>
      <c r="Q1289" s="41"/>
      <c r="R1289" s="111"/>
      <c r="S1289" s="110"/>
    </row>
    <row r="1290" spans="1:19">
      <c r="A1290" s="105"/>
      <c r="J1290" s="108"/>
      <c r="O1290" s="111"/>
      <c r="P1290" s="109"/>
      <c r="Q1290" s="41"/>
      <c r="R1290" s="111"/>
      <c r="S1290" s="110"/>
    </row>
    <row r="1291" spans="1:19">
      <c r="A1291" s="105"/>
      <c r="J1291" s="108"/>
      <c r="O1291" s="111"/>
      <c r="P1291" s="109"/>
      <c r="Q1291" s="41"/>
      <c r="R1291" s="111"/>
      <c r="S1291" s="110"/>
    </row>
    <row r="1292" spans="1:19">
      <c r="A1292" s="105"/>
      <c r="J1292" s="108"/>
      <c r="O1292" s="111"/>
      <c r="P1292" s="109"/>
      <c r="Q1292" s="41"/>
      <c r="R1292" s="111"/>
      <c r="S1292" s="110"/>
    </row>
    <row r="1293" spans="1:19">
      <c r="A1293" s="105"/>
      <c r="J1293" s="108"/>
      <c r="O1293" s="111"/>
      <c r="P1293" s="109"/>
      <c r="Q1293" s="41"/>
      <c r="R1293" s="111"/>
      <c r="S1293" s="110"/>
    </row>
    <row r="1294" spans="1:19">
      <c r="A1294" s="105"/>
      <c r="J1294" s="108"/>
      <c r="O1294" s="111"/>
      <c r="P1294" s="109"/>
      <c r="Q1294" s="41"/>
      <c r="R1294" s="111"/>
      <c r="S1294" s="110"/>
    </row>
    <row r="1295" spans="1:19">
      <c r="A1295" s="105"/>
      <c r="J1295" s="108"/>
      <c r="O1295" s="111"/>
      <c r="P1295" s="109"/>
      <c r="Q1295" s="41"/>
      <c r="R1295" s="111"/>
      <c r="S1295" s="110"/>
    </row>
    <row r="1296" spans="1:19">
      <c r="A1296" s="105"/>
      <c r="J1296" s="108"/>
      <c r="O1296" s="111"/>
      <c r="P1296" s="109"/>
      <c r="Q1296" s="41"/>
      <c r="R1296" s="111"/>
      <c r="S1296" s="110"/>
    </row>
    <row r="1297" spans="1:19">
      <c r="A1297" s="105"/>
      <c r="J1297" s="108"/>
      <c r="O1297" s="111"/>
      <c r="P1297" s="109"/>
      <c r="Q1297" s="41"/>
      <c r="R1297" s="111"/>
      <c r="S1297" s="110"/>
    </row>
    <row r="1298" spans="1:19">
      <c r="A1298" s="105"/>
      <c r="J1298" s="108"/>
      <c r="O1298" s="111"/>
      <c r="P1298" s="109"/>
      <c r="Q1298" s="41"/>
      <c r="R1298" s="111"/>
      <c r="S1298" s="110"/>
    </row>
    <row r="1299" spans="1:19">
      <c r="A1299" s="105"/>
      <c r="J1299" s="108"/>
      <c r="O1299" s="111"/>
      <c r="P1299" s="109"/>
      <c r="Q1299" s="41"/>
      <c r="R1299" s="111"/>
      <c r="S1299" s="110"/>
    </row>
    <row r="1300" spans="1:19">
      <c r="A1300" s="105"/>
      <c r="J1300" s="108"/>
      <c r="O1300" s="111"/>
      <c r="P1300" s="109"/>
      <c r="Q1300" s="41"/>
      <c r="R1300" s="111"/>
      <c r="S1300" s="110"/>
    </row>
    <row r="1301" spans="1:19">
      <c r="A1301" s="105"/>
      <c r="J1301" s="108"/>
      <c r="O1301" s="111"/>
      <c r="P1301" s="109"/>
      <c r="Q1301" s="41"/>
      <c r="R1301" s="111"/>
      <c r="S1301" s="110"/>
    </row>
    <row r="1302" spans="1:19">
      <c r="A1302" s="105"/>
      <c r="J1302" s="108"/>
      <c r="O1302" s="111"/>
      <c r="P1302" s="109"/>
      <c r="Q1302" s="41"/>
      <c r="R1302" s="111"/>
      <c r="S1302" s="110"/>
    </row>
    <row r="1303" spans="1:19">
      <c r="A1303" s="105"/>
      <c r="J1303" s="108"/>
      <c r="O1303" s="111"/>
      <c r="P1303" s="109"/>
      <c r="Q1303" s="41"/>
      <c r="R1303" s="111"/>
      <c r="S1303" s="110"/>
    </row>
    <row r="1304" spans="1:19">
      <c r="A1304" s="105"/>
      <c r="J1304" s="108"/>
      <c r="O1304" s="111"/>
      <c r="P1304" s="109"/>
      <c r="Q1304" s="41"/>
      <c r="R1304" s="111"/>
      <c r="S1304" s="110"/>
    </row>
    <row r="1305" spans="1:19">
      <c r="A1305" s="105"/>
      <c r="J1305" s="108"/>
      <c r="O1305" s="111"/>
      <c r="P1305" s="109"/>
      <c r="Q1305" s="41"/>
      <c r="R1305" s="111"/>
      <c r="S1305" s="110"/>
    </row>
    <row r="1306" spans="1:19">
      <c r="A1306" s="105"/>
      <c r="J1306" s="108"/>
      <c r="O1306" s="111"/>
      <c r="P1306" s="109"/>
      <c r="Q1306" s="41"/>
      <c r="R1306" s="111"/>
      <c r="S1306" s="110"/>
    </row>
    <row r="1307" spans="1:19">
      <c r="A1307" s="105"/>
      <c r="J1307" s="108"/>
      <c r="O1307" s="111"/>
      <c r="P1307" s="109"/>
      <c r="Q1307" s="41"/>
      <c r="R1307" s="111"/>
      <c r="S1307" s="110"/>
    </row>
    <row r="1308" spans="1:19">
      <c r="A1308" s="105"/>
      <c r="J1308" s="108"/>
      <c r="O1308" s="111"/>
      <c r="P1308" s="109"/>
      <c r="Q1308" s="41"/>
      <c r="R1308" s="111"/>
      <c r="S1308" s="110"/>
    </row>
    <row r="1309" spans="1:19">
      <c r="A1309" s="105"/>
      <c r="J1309" s="108"/>
      <c r="O1309" s="111"/>
      <c r="P1309" s="109"/>
      <c r="Q1309" s="41"/>
      <c r="R1309" s="111"/>
      <c r="S1309" s="110"/>
    </row>
    <row r="1310" spans="1:19">
      <c r="A1310" s="105"/>
      <c r="J1310" s="108"/>
      <c r="O1310" s="111"/>
      <c r="P1310" s="109"/>
      <c r="Q1310" s="41"/>
      <c r="R1310" s="111"/>
      <c r="S1310" s="110"/>
    </row>
    <row r="1311" spans="1:19">
      <c r="A1311" s="105"/>
      <c r="J1311" s="108"/>
      <c r="O1311" s="111"/>
      <c r="P1311" s="109"/>
      <c r="Q1311" s="41"/>
      <c r="R1311" s="111"/>
      <c r="S1311" s="110"/>
    </row>
    <row r="1312" spans="1:19">
      <c r="A1312" s="105"/>
      <c r="J1312" s="108"/>
      <c r="O1312" s="111"/>
      <c r="P1312" s="109"/>
      <c r="Q1312" s="41"/>
      <c r="R1312" s="111"/>
      <c r="S1312" s="110"/>
    </row>
    <row r="1313" spans="1:19">
      <c r="A1313" s="105"/>
      <c r="J1313" s="108"/>
      <c r="O1313" s="111"/>
      <c r="P1313" s="109"/>
      <c r="Q1313" s="41"/>
      <c r="R1313" s="111"/>
      <c r="S1313" s="110"/>
    </row>
    <row r="1314" spans="1:19">
      <c r="A1314" s="105"/>
      <c r="J1314" s="108"/>
      <c r="O1314" s="111"/>
      <c r="P1314" s="109"/>
      <c r="Q1314" s="41"/>
      <c r="R1314" s="111"/>
      <c r="S1314" s="110"/>
    </row>
    <row r="1315" spans="1:19">
      <c r="A1315" s="105"/>
      <c r="J1315" s="108"/>
      <c r="O1315" s="111"/>
      <c r="P1315" s="109"/>
      <c r="Q1315" s="41"/>
      <c r="R1315" s="111"/>
      <c r="S1315" s="110"/>
    </row>
    <row r="1316" spans="1:19">
      <c r="A1316" s="105"/>
      <c r="J1316" s="108"/>
      <c r="O1316" s="111"/>
      <c r="P1316" s="109"/>
      <c r="Q1316" s="41"/>
      <c r="R1316" s="111"/>
      <c r="S1316" s="110"/>
    </row>
    <row r="1317" spans="1:19">
      <c r="A1317" s="105"/>
      <c r="J1317" s="108"/>
      <c r="O1317" s="111"/>
      <c r="P1317" s="109"/>
      <c r="Q1317" s="41"/>
      <c r="R1317" s="111"/>
      <c r="S1317" s="110"/>
    </row>
    <row r="1318" spans="1:19">
      <c r="A1318" s="105"/>
      <c r="J1318" s="108"/>
      <c r="O1318" s="111"/>
      <c r="P1318" s="109"/>
      <c r="Q1318" s="41"/>
      <c r="R1318" s="111"/>
      <c r="S1318" s="110"/>
    </row>
    <row r="1319" spans="1:19">
      <c r="A1319" s="105"/>
      <c r="J1319" s="108"/>
      <c r="O1319" s="111"/>
      <c r="P1319" s="109"/>
      <c r="Q1319" s="41"/>
      <c r="R1319" s="111"/>
      <c r="S1319" s="110"/>
    </row>
    <row r="1320" spans="1:19">
      <c r="A1320" s="105"/>
      <c r="J1320" s="108"/>
      <c r="O1320" s="111"/>
      <c r="P1320" s="109"/>
      <c r="Q1320" s="41"/>
      <c r="R1320" s="111"/>
      <c r="S1320" s="110"/>
    </row>
    <row r="1321" spans="1:19">
      <c r="A1321" s="105"/>
      <c r="J1321" s="108"/>
      <c r="O1321" s="111"/>
      <c r="P1321" s="109"/>
      <c r="Q1321" s="41"/>
      <c r="R1321" s="111"/>
      <c r="S1321" s="110"/>
    </row>
    <row r="1322" spans="1:19">
      <c r="A1322" s="105"/>
      <c r="J1322" s="108"/>
      <c r="O1322" s="111"/>
      <c r="P1322" s="109"/>
      <c r="Q1322" s="41"/>
      <c r="R1322" s="111"/>
      <c r="S1322" s="110"/>
    </row>
    <row r="1323" spans="1:19">
      <c r="A1323" s="105"/>
      <c r="J1323" s="108"/>
      <c r="O1323" s="111"/>
      <c r="P1323" s="109"/>
      <c r="Q1323" s="41"/>
      <c r="R1323" s="111"/>
      <c r="S1323" s="110"/>
    </row>
    <row r="1324" spans="1:19">
      <c r="A1324" s="105"/>
      <c r="J1324" s="108"/>
      <c r="O1324" s="111"/>
      <c r="P1324" s="109"/>
      <c r="Q1324" s="41"/>
      <c r="R1324" s="111"/>
      <c r="S1324" s="110"/>
    </row>
    <row r="1325" spans="1:19">
      <c r="A1325" s="105"/>
      <c r="J1325" s="108"/>
      <c r="O1325" s="111"/>
      <c r="P1325" s="109"/>
      <c r="Q1325" s="41"/>
      <c r="R1325" s="111"/>
      <c r="S1325" s="110"/>
    </row>
    <row r="1326" spans="1:19">
      <c r="A1326" s="105"/>
      <c r="J1326" s="108"/>
      <c r="O1326" s="111"/>
      <c r="P1326" s="109"/>
      <c r="Q1326" s="41"/>
      <c r="R1326" s="111"/>
      <c r="S1326" s="110"/>
    </row>
    <row r="1327" spans="1:19">
      <c r="A1327" s="105"/>
      <c r="J1327" s="108"/>
      <c r="O1327" s="111"/>
      <c r="P1327" s="109"/>
      <c r="Q1327" s="41"/>
      <c r="R1327" s="111"/>
      <c r="S1327" s="110"/>
    </row>
    <row r="1328" spans="1:19">
      <c r="A1328" s="105"/>
      <c r="J1328" s="108"/>
      <c r="O1328" s="111"/>
      <c r="P1328" s="109"/>
      <c r="Q1328" s="41"/>
      <c r="R1328" s="111"/>
      <c r="S1328" s="110"/>
    </row>
    <row r="1329" spans="1:19">
      <c r="A1329" s="105"/>
      <c r="J1329" s="108"/>
      <c r="O1329" s="111"/>
      <c r="P1329" s="109"/>
      <c r="Q1329" s="41"/>
      <c r="R1329" s="111"/>
      <c r="S1329" s="110"/>
    </row>
    <row r="1330" spans="1:19">
      <c r="A1330" s="105"/>
      <c r="J1330" s="108"/>
      <c r="O1330" s="111"/>
      <c r="P1330" s="109"/>
      <c r="Q1330" s="41"/>
      <c r="R1330" s="111"/>
      <c r="S1330" s="110"/>
    </row>
    <row r="1331" spans="1:19">
      <c r="A1331" s="105"/>
      <c r="J1331" s="108"/>
      <c r="O1331" s="111"/>
      <c r="P1331" s="109"/>
      <c r="Q1331" s="41"/>
      <c r="R1331" s="111"/>
      <c r="S1331" s="110"/>
    </row>
    <row r="1332" spans="1:19">
      <c r="A1332" s="105"/>
      <c r="J1332" s="108"/>
      <c r="O1332" s="111"/>
      <c r="P1332" s="109"/>
      <c r="Q1332" s="41"/>
      <c r="R1332" s="111"/>
      <c r="S1332" s="110"/>
    </row>
    <row r="1333" spans="1:19">
      <c r="A1333" s="105"/>
      <c r="J1333" s="108"/>
      <c r="O1333" s="111"/>
      <c r="P1333" s="109"/>
      <c r="Q1333" s="41"/>
      <c r="R1333" s="111"/>
      <c r="S1333" s="110"/>
    </row>
    <row r="1334" spans="1:19">
      <c r="A1334" s="105"/>
      <c r="J1334" s="108"/>
      <c r="O1334" s="111"/>
      <c r="P1334" s="109"/>
      <c r="Q1334" s="41"/>
      <c r="R1334" s="111"/>
      <c r="S1334" s="110"/>
    </row>
    <row r="1335" spans="1:19">
      <c r="A1335" s="105"/>
      <c r="J1335" s="108"/>
      <c r="O1335" s="111"/>
      <c r="P1335" s="109"/>
      <c r="Q1335" s="41"/>
      <c r="R1335" s="111"/>
      <c r="S1335" s="110"/>
    </row>
    <row r="1336" spans="1:19">
      <c r="A1336" s="105"/>
      <c r="J1336" s="108"/>
      <c r="O1336" s="111"/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334" zoomScale="85" zoomScaleNormal="85" workbookViewId="0">
      <selection activeCell="J354" sqref="J354"/>
    </sheetView>
  </sheetViews>
  <sheetFormatPr defaultColWidth="0" defaultRowHeight="14.6"/>
  <cols>
    <col min="1" max="1" width="5.85546875" style="41" customWidth="1"/>
    <col min="2" max="2" width="10.140625" style="41" customWidth="1"/>
    <col min="3" max="4" width="8.140625" style="41" customWidth="1"/>
    <col min="5" max="9" width="4.78515625" style="41" customWidth="1"/>
    <col min="10" max="10" width="11" style="41" customWidth="1"/>
    <col min="11" max="14" width="4.78515625" style="41" customWidth="1"/>
    <col min="15" max="15" width="24.640625" customWidth="1"/>
    <col min="16" max="16" width="8.140625" customWidth="1"/>
    <col min="17" max="17" width="8.140625" hidden="1" customWidth="1"/>
    <col min="18" max="18" width="8.42578125" hidden="1" customWidth="1"/>
    <col min="19" max="19" width="8.85546875" customWidth="1"/>
    <col min="20" max="20" width="11" style="41" hidden="1" customWidth="1"/>
    <col min="21" max="22" width="11.140625" style="41" hidden="1" customWidth="1"/>
    <col min="23" max="16384" width="8.85546875" hidden="1"/>
  </cols>
  <sheetData>
    <row r="1" spans="1:22" ht="92.6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zoomScaleNormal="100" workbookViewId="0">
      <selection activeCell="C24" sqref="C24"/>
    </sheetView>
  </sheetViews>
  <sheetFormatPr defaultColWidth="0" defaultRowHeight="14.6" zeroHeight="1"/>
  <cols>
    <col min="1" max="1" width="11.78515625" customWidth="1"/>
    <col min="2" max="2" width="18.85546875" customWidth="1"/>
    <col min="3" max="3" width="26.35546875" customWidth="1"/>
    <col min="4" max="4" width="11" customWidth="1"/>
    <col min="6" max="6" width="12.640625" hidden="1" customWidth="1"/>
    <col min="7" max="7" width="94.85546875" customWidth="1"/>
    <col min="8" max="8" width="59.78515625" hidden="1" customWidth="1"/>
    <col min="9" max="16384" width="8.85546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 ht="14.6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 ht="14.6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 ht="14.6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 ht="14.6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 ht="14.6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 ht="14.6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 ht="14.6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 ht="14.6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 ht="14.6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 ht="14.6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 ht="14.6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 ht="14.6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 ht="14.6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 ht="14.6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 ht="14.6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 ht="14.6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 ht="14.6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 ht="14.6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 ht="14.6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 ht="14.6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 ht="14.6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 ht="14.6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 ht="14.6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 ht="14.6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 ht="14.6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 ht="14.6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 ht="14.6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 ht="14.6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 ht="14.6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 ht="14.6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 ht="14.6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 ht="14.6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 ht="14.6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 ht="14.6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 ht="14.6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 ht="14.6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 ht="14.6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 ht="14.6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 ht="14.6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 ht="14.6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 ht="14.6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 ht="14.6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 ht="14.6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 ht="14.6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 ht="14.6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 ht="14.6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 ht="14.6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 ht="14.6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 ht="14.6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 ht="14.6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 ht="14.6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 ht="14.6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 ht="14.6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 ht="14.6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 ht="14.6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 ht="14.6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 ht="14.6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 ht="14.6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 ht="14.6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 ht="14.6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 ht="14.6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 ht="14.6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 ht="14.6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 ht="14.6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 ht="14.6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 ht="14.6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 ht="14.6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 ht="14.6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 ht="14.6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 ht="14.6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 ht="14.6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 ht="14.6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 ht="14.6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 ht="14.6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 ht="14.6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 ht="14.6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 ht="14.6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 ht="14.6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 ht="14.6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 ht="14.6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 ht="14.6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 ht="14.6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 ht="14.6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 ht="14.6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 ht="14.6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t="14.6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 ht="14.6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t="14.6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 ht="14.6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 ht="14.6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 ht="14.6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 ht="14.6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t="14.6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t="14.6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t="14.6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t="14.6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t="14.6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t="14.6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t="14.6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t="14.6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t="14.6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t="14.6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t="14.6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t="14.6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t="14.6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t="14.6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t="14.6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t="14.6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 ht="14.6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t="14.6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t="14.6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 ht="14.6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 ht="14.6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 ht="14.6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 ht="14.6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 ht="14.6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 ht="14.6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 ht="14.6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 ht="14.6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 ht="14.6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 ht="14.6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 ht="14.6">
      <c r="A38" s="98"/>
      <c r="B38" s="99"/>
      <c r="C38" s="100"/>
      <c r="D38" s="97"/>
      <c r="E38" s="99"/>
    </row>
    <row r="39" spans="1:5" ht="14.6">
      <c r="A39" s="98"/>
      <c r="B39" s="99"/>
      <c r="C39" s="100"/>
      <c r="D39" s="97"/>
      <c r="E39" s="99"/>
    </row>
    <row r="40" spans="1:5" ht="14.6">
      <c r="A40" s="98"/>
      <c r="B40" s="99"/>
      <c r="C40" s="100"/>
      <c r="D40" s="97"/>
      <c r="E40" s="99"/>
    </row>
    <row r="41" spans="1:5" ht="14.6">
      <c r="A41" s="98"/>
      <c r="B41" s="99"/>
      <c r="C41" s="100"/>
      <c r="D41" s="97"/>
      <c r="E41" s="99"/>
    </row>
    <row r="42" spans="1:5" ht="14.6">
      <c r="A42" s="98"/>
      <c r="B42" s="99"/>
      <c r="C42" s="100"/>
      <c r="D42" s="97"/>
      <c r="E42" s="99"/>
    </row>
    <row r="43" spans="1:5" ht="14.6">
      <c r="A43" s="98"/>
      <c r="B43" s="99"/>
      <c r="C43" s="100"/>
      <c r="D43" s="97"/>
      <c r="E43" s="99"/>
    </row>
    <row r="44" spans="1:5" ht="14.6">
      <c r="A44" s="98"/>
      <c r="B44" s="99"/>
      <c r="C44" s="100"/>
      <c r="D44" s="97"/>
      <c r="E44" s="99"/>
    </row>
    <row r="45" spans="1:5" ht="14.6">
      <c r="A45" s="98"/>
      <c r="B45" s="99"/>
      <c r="C45" s="100"/>
      <c r="D45" s="97"/>
      <c r="E45" s="99"/>
    </row>
    <row r="46" spans="1:5" ht="14.6">
      <c r="A46" s="98"/>
      <c r="B46" s="99"/>
      <c r="C46" s="100"/>
      <c r="D46" s="97"/>
      <c r="E46" s="99"/>
    </row>
    <row r="47" spans="1:5" ht="14.6">
      <c r="A47" s="98"/>
      <c r="B47" s="99"/>
      <c r="C47" s="100"/>
      <c r="D47" s="97"/>
      <c r="E47" s="99"/>
    </row>
    <row r="48" spans="1:5" ht="14.6">
      <c r="A48" s="98"/>
      <c r="B48" s="99"/>
      <c r="C48" s="100"/>
      <c r="D48" s="97"/>
      <c r="E48" s="99"/>
    </row>
    <row r="49" spans="1:5" ht="14.6">
      <c r="A49" s="98"/>
      <c r="B49" s="99"/>
      <c r="C49" s="100"/>
      <c r="D49" s="97"/>
      <c r="E49" s="99"/>
    </row>
    <row r="50" spans="1:5" ht="14.6">
      <c r="A50" s="98"/>
      <c r="B50" s="99"/>
      <c r="C50" s="100"/>
      <c r="D50" s="97"/>
      <c r="E50" s="99"/>
    </row>
    <row r="51" spans="1:5" ht="14.6">
      <c r="A51" s="98"/>
      <c r="B51" s="99"/>
      <c r="C51" s="100"/>
      <c r="D51" s="97"/>
      <c r="E51" s="99"/>
    </row>
    <row r="52" spans="1:5" ht="14.6">
      <c r="A52" s="98"/>
      <c r="B52" s="99"/>
      <c r="C52" s="100"/>
      <c r="D52" s="97"/>
      <c r="E52" s="99"/>
    </row>
    <row r="53" spans="1:5" ht="14.6">
      <c r="A53" s="98"/>
      <c r="B53" s="99"/>
      <c r="C53" s="100"/>
      <c r="D53" s="97"/>
      <c r="E53" s="99"/>
    </row>
    <row r="54" spans="1:5" ht="14.6">
      <c r="A54" s="98"/>
      <c r="B54" s="99"/>
      <c r="C54" s="98"/>
      <c r="D54" s="97"/>
      <c r="E54" s="99"/>
    </row>
    <row r="55" spans="1:5" ht="14.6">
      <c r="A55" s="98"/>
      <c r="B55" s="99"/>
      <c r="C55" s="98"/>
      <c r="D55" s="97"/>
      <c r="E55" s="99"/>
    </row>
    <row r="56" spans="1:5" ht="14.6">
      <c r="A56" s="98"/>
      <c r="B56" s="99"/>
      <c r="C56" s="98"/>
      <c r="D56" s="97"/>
      <c r="E56" s="99"/>
    </row>
    <row r="57" spans="1:5" ht="14.6">
      <c r="A57" s="98"/>
      <c r="B57" s="99"/>
      <c r="C57" s="98"/>
      <c r="D57" s="97"/>
      <c r="E57" s="99"/>
    </row>
    <row r="58" spans="1:5" ht="14.6">
      <c r="A58" s="98"/>
      <c r="B58" s="99"/>
      <c r="C58" s="98"/>
      <c r="D58" s="97"/>
      <c r="E58" s="99"/>
    </row>
    <row r="59" spans="1:5" ht="14.6">
      <c r="A59" s="98"/>
      <c r="B59" s="99"/>
      <c r="C59" s="98"/>
      <c r="D59" s="97"/>
      <c r="E59" s="99"/>
    </row>
    <row r="60" spans="1:5" ht="14.6">
      <c r="A60" s="98"/>
      <c r="B60" s="99"/>
      <c r="C60" s="98"/>
      <c r="D60" s="97"/>
      <c r="E60" s="99"/>
    </row>
    <row r="61" spans="1:5" ht="14.6">
      <c r="A61" s="98"/>
      <c r="B61" s="99"/>
      <c r="C61" s="98"/>
      <c r="D61" s="97"/>
      <c r="E61" s="99"/>
    </row>
    <row r="62" spans="1:5" ht="14.6">
      <c r="A62" s="98"/>
      <c r="B62" s="99"/>
      <c r="C62" s="98"/>
      <c r="D62" s="97"/>
      <c r="E62" s="99"/>
    </row>
    <row r="63" spans="1:5" ht="14.6">
      <c r="A63" s="98"/>
      <c r="B63" s="99"/>
      <c r="C63" s="98"/>
      <c r="D63" s="97"/>
      <c r="E63" s="99"/>
    </row>
    <row r="64" spans="1:5" ht="14.6">
      <c r="A64" s="98"/>
      <c r="B64" s="99"/>
      <c r="C64" s="98"/>
      <c r="D64" s="97"/>
      <c r="E64" s="99"/>
    </row>
    <row r="65" spans="1:5" ht="14.6">
      <c r="A65" s="98"/>
      <c r="B65" s="99"/>
      <c r="C65" s="98"/>
      <c r="D65" s="97"/>
      <c r="E65" s="99"/>
    </row>
    <row r="66" spans="1:5" ht="14.6">
      <c r="A66" s="98"/>
      <c r="B66" s="99"/>
      <c r="C66" s="98"/>
      <c r="D66" s="97"/>
      <c r="E66" s="99"/>
    </row>
    <row r="67" spans="1:5" ht="14.6">
      <c r="A67" s="98"/>
      <c r="B67" s="99"/>
      <c r="C67" s="98"/>
      <c r="D67" s="97"/>
      <c r="E67" s="99"/>
    </row>
    <row r="68" spans="1:5" ht="14.6">
      <c r="A68" s="98"/>
      <c r="B68" s="99"/>
      <c r="C68" s="98"/>
      <c r="D68" s="97"/>
      <c r="E68" s="99"/>
    </row>
    <row r="69" spans="1:5" ht="14.6">
      <c r="A69" s="98"/>
      <c r="B69" s="99"/>
      <c r="C69" s="98"/>
      <c r="D69" s="97"/>
      <c r="E69" s="99"/>
    </row>
    <row r="70" spans="1:5" ht="14.6">
      <c r="A70" s="98"/>
      <c r="B70" s="99"/>
      <c r="C70" s="98"/>
      <c r="D70" s="97"/>
      <c r="E70" s="99"/>
    </row>
    <row r="71" spans="1:5" ht="14.6">
      <c r="A71" s="98"/>
      <c r="B71" s="99"/>
      <c r="C71" s="98"/>
      <c r="D71" s="97"/>
      <c r="E71" s="99"/>
    </row>
    <row r="72" spans="1:5" ht="14.6">
      <c r="A72" s="98"/>
      <c r="B72" s="99"/>
      <c r="C72" s="98"/>
      <c r="D72" s="97"/>
      <c r="E72" s="99"/>
    </row>
    <row r="73" spans="1:5" ht="14.6">
      <c r="A73" s="98"/>
      <c r="B73" s="99"/>
      <c r="C73" s="98"/>
      <c r="D73" s="97"/>
      <c r="E73" s="99"/>
    </row>
    <row r="74" spans="1:5" ht="14.6">
      <c r="A74" s="98"/>
      <c r="B74" s="99"/>
      <c r="C74" s="98"/>
      <c r="D74" s="97"/>
      <c r="E74" s="99"/>
    </row>
    <row r="75" spans="1:5" ht="14.6">
      <c r="A75" s="98"/>
      <c r="B75" s="99"/>
      <c r="C75" s="98"/>
      <c r="D75" s="97"/>
      <c r="E75" s="99"/>
    </row>
    <row r="76" spans="1:5" ht="14.6">
      <c r="A76" s="98"/>
      <c r="B76" s="99"/>
      <c r="C76" s="98"/>
      <c r="D76" s="97"/>
      <c r="E76" s="99"/>
    </row>
    <row r="77" spans="1:5" ht="14.6">
      <c r="A77" s="98"/>
      <c r="B77" s="99"/>
      <c r="C77" s="98"/>
      <c r="D77" s="97"/>
      <c r="E77" s="99"/>
    </row>
    <row r="78" spans="1:5" ht="14.6">
      <c r="A78" s="98"/>
      <c r="B78" s="99"/>
      <c r="C78" s="98"/>
      <c r="D78" s="97"/>
      <c r="E78" s="99"/>
    </row>
    <row r="79" spans="1:5" ht="14.6">
      <c r="A79" s="98"/>
      <c r="B79" s="99"/>
      <c r="C79" s="98"/>
      <c r="D79" s="97"/>
      <c r="E79" s="99"/>
    </row>
    <row r="80" spans="1:5" ht="14.6">
      <c r="A80" s="98"/>
      <c r="B80" s="99"/>
      <c r="C80" s="98"/>
      <c r="D80" s="97"/>
      <c r="E80" s="99"/>
    </row>
    <row r="81" spans="1:5" ht="14.6">
      <c r="A81" s="98"/>
      <c r="B81" s="99"/>
      <c r="C81" s="100"/>
      <c r="D81" s="97"/>
      <c r="E81" s="99"/>
    </row>
    <row r="82" spans="1:5" ht="14.6">
      <c r="A82" s="98"/>
      <c r="B82" s="99"/>
      <c r="C82" s="100"/>
      <c r="D82" s="97"/>
      <c r="E82" s="99"/>
    </row>
    <row r="83" spans="1:5" ht="14.6">
      <c r="A83" s="98"/>
      <c r="B83" s="99"/>
      <c r="C83" s="100"/>
      <c r="D83" s="97"/>
      <c r="E83" s="99"/>
    </row>
    <row r="84" spans="1:5" ht="14.6">
      <c r="A84" s="98"/>
      <c r="B84" s="99"/>
      <c r="C84" s="100"/>
      <c r="D84" s="97"/>
      <c r="E84" s="99"/>
    </row>
    <row r="85" spans="1:5" ht="14.6">
      <c r="A85" s="98"/>
      <c r="B85" s="99"/>
      <c r="C85" s="100"/>
      <c r="D85" s="97"/>
      <c r="E85" s="99"/>
    </row>
    <row r="86" spans="1:5" ht="14.6">
      <c r="A86" s="98"/>
      <c r="B86" s="99"/>
      <c r="C86" s="100"/>
      <c r="D86" s="97"/>
      <c r="E86" s="99"/>
    </row>
    <row r="87" spans="1:5" ht="14.6">
      <c r="A87" s="98"/>
      <c r="B87" s="99"/>
      <c r="C87" s="100"/>
      <c r="D87" s="97"/>
      <c r="E87" s="99"/>
    </row>
    <row r="88" spans="1:5" ht="14.6">
      <c r="A88" s="98"/>
      <c r="B88" s="99"/>
      <c r="C88" s="98"/>
      <c r="D88" s="97"/>
      <c r="E88" s="99"/>
    </row>
    <row r="89" spans="1:5" ht="14.6">
      <c r="A89" s="98"/>
      <c r="B89" s="99"/>
      <c r="C89" s="98"/>
      <c r="D89" s="97"/>
      <c r="E89" s="99"/>
    </row>
    <row r="90" spans="1:5" ht="14.6">
      <c r="A90" s="98"/>
      <c r="B90" s="99"/>
      <c r="C90" s="98"/>
      <c r="D90" s="97"/>
      <c r="E90" s="99"/>
    </row>
    <row r="91" spans="1:5" ht="14.6">
      <c r="A91" s="98"/>
      <c r="B91" s="99"/>
      <c r="C91" s="98"/>
      <c r="D91" s="97"/>
      <c r="E91" s="99"/>
    </row>
    <row r="92" spans="1:5" ht="14.6">
      <c r="A92" s="98"/>
      <c r="B92" s="99"/>
      <c r="C92" s="100"/>
      <c r="D92" s="97"/>
      <c r="E92" s="99"/>
    </row>
    <row r="93" spans="1:5" ht="14.6">
      <c r="A93" s="98"/>
      <c r="B93" s="99"/>
      <c r="C93" s="100"/>
      <c r="D93" s="97"/>
      <c r="E93" s="99"/>
    </row>
    <row r="94" spans="1:5" ht="14.6">
      <c r="A94" s="98"/>
      <c r="B94" s="99"/>
      <c r="C94" s="100"/>
      <c r="D94" s="97"/>
      <c r="E94" s="99"/>
    </row>
    <row r="95" spans="1:5" ht="14.6">
      <c r="A95" s="98"/>
      <c r="B95" s="99"/>
      <c r="C95" s="100"/>
      <c r="D95" s="97"/>
      <c r="E95" s="99"/>
    </row>
    <row r="96" spans="1:5" ht="14.6">
      <c r="A96" s="98"/>
      <c r="B96" s="99"/>
      <c r="C96" s="100"/>
      <c r="D96" s="97"/>
      <c r="E96" s="99"/>
    </row>
    <row r="97" spans="1:5" ht="14.6">
      <c r="A97" s="98"/>
      <c r="B97" s="99"/>
      <c r="C97" s="100"/>
      <c r="D97" s="97"/>
      <c r="E97" s="99"/>
    </row>
    <row r="98" spans="1:5" ht="14.6">
      <c r="A98" s="98"/>
      <c r="B98" s="99"/>
      <c r="C98" s="100"/>
      <c r="D98" s="97"/>
      <c r="E98" s="99"/>
    </row>
    <row r="99" spans="1:5" ht="14.6">
      <c r="A99" s="98"/>
      <c r="B99" s="99"/>
      <c r="C99" s="100"/>
      <c r="D99" s="97"/>
      <c r="E99" s="99"/>
    </row>
    <row r="100" spans="1:5" ht="14.6">
      <c r="A100" s="98"/>
      <c r="B100" s="99"/>
      <c r="C100" s="100"/>
      <c r="D100" s="97"/>
      <c r="E100" s="99"/>
    </row>
    <row r="101" spans="1:5" ht="14.6">
      <c r="A101" s="98"/>
      <c r="B101" s="99"/>
      <c r="C101" s="100"/>
      <c r="D101" s="97"/>
      <c r="E101" s="99"/>
    </row>
    <row r="102" spans="1:5" ht="14.6">
      <c r="A102" s="98"/>
      <c r="B102" s="99"/>
      <c r="C102" s="100"/>
      <c r="D102" s="97"/>
      <c r="E102" s="99"/>
    </row>
    <row r="103" spans="1:5" ht="14.6">
      <c r="A103" s="98"/>
      <c r="B103" s="99"/>
      <c r="C103" s="100"/>
      <c r="D103" s="97"/>
      <c r="E103" s="99"/>
    </row>
    <row r="104" spans="1:5" ht="14.6">
      <c r="A104" s="98"/>
      <c r="B104" s="99"/>
      <c r="C104" s="100"/>
      <c r="D104" s="97"/>
      <c r="E104" s="99"/>
    </row>
    <row r="105" spans="1:5" ht="14.6">
      <c r="A105" s="98"/>
      <c r="B105" s="99"/>
      <c r="C105" s="100"/>
      <c r="D105" s="97"/>
      <c r="E105" s="99"/>
    </row>
    <row r="106" spans="1:5" ht="14.6">
      <c r="A106" s="98"/>
      <c r="B106" s="99"/>
      <c r="C106" s="100"/>
      <c r="D106" s="97"/>
      <c r="E106" s="99"/>
    </row>
    <row r="107" spans="1:5" ht="14.6">
      <c r="A107" s="98"/>
      <c r="B107" s="99"/>
      <c r="C107" s="100"/>
      <c r="D107" s="97"/>
      <c r="E107" s="99"/>
    </row>
    <row r="108" spans="1:5" ht="14.6">
      <c r="A108" s="98"/>
      <c r="B108" s="99"/>
      <c r="C108" s="100"/>
      <c r="D108" s="97"/>
      <c r="E108" s="99"/>
    </row>
    <row r="109" spans="1:5" ht="14.6">
      <c r="A109" s="98"/>
      <c r="B109" s="99"/>
      <c r="C109" s="100"/>
      <c r="D109" s="97"/>
      <c r="E109" s="99"/>
    </row>
    <row r="110" spans="1:5" ht="14.6">
      <c r="A110" s="98"/>
      <c r="B110" s="99"/>
      <c r="C110" s="100"/>
      <c r="D110" s="97"/>
      <c r="E110" s="99"/>
    </row>
    <row r="111" spans="1:5" ht="14.6">
      <c r="A111" s="98"/>
      <c r="B111" s="99"/>
      <c r="C111" s="100"/>
      <c r="D111" s="97"/>
      <c r="E111" s="99"/>
    </row>
    <row r="112" spans="1:5" ht="14.6">
      <c r="A112" s="98"/>
      <c r="B112" s="99"/>
      <c r="C112" s="100"/>
      <c r="D112" s="97"/>
      <c r="E112" s="99"/>
    </row>
    <row r="113" spans="1:5" ht="14.6">
      <c r="A113" s="98"/>
      <c r="B113" s="99"/>
      <c r="C113" s="100"/>
      <c r="D113" s="97"/>
      <c r="E113" s="99"/>
    </row>
    <row r="114" spans="1:5" ht="14.6">
      <c r="A114" s="98"/>
      <c r="B114" s="99"/>
      <c r="C114" s="100"/>
      <c r="D114" s="97"/>
      <c r="E114" s="99"/>
    </row>
    <row r="115" spans="1:5" ht="14.6">
      <c r="A115" s="98"/>
      <c r="B115" s="99"/>
      <c r="C115" s="100"/>
      <c r="D115" s="97"/>
      <c r="E115" s="99"/>
    </row>
    <row r="116" spans="1:5" ht="14.6">
      <c r="A116" s="98"/>
      <c r="B116" s="99"/>
      <c r="C116" s="100"/>
      <c r="D116" s="97"/>
      <c r="E116" s="99"/>
    </row>
    <row r="117" spans="1:5" ht="14.6">
      <c r="A117" s="98"/>
      <c r="B117" s="99"/>
      <c r="C117" s="100"/>
      <c r="D117" s="97"/>
      <c r="E117" s="99"/>
    </row>
    <row r="118" spans="1:5" ht="14.6" hidden="1">
      <c r="E118" s="43"/>
    </row>
    <row r="119" spans="1:5" ht="14.6" hidden="1">
      <c r="E119" s="43"/>
    </row>
    <row r="120" spans="1:5" ht="14.6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6" zeroHeight="1"/>
  <cols>
    <col min="1" max="1" width="8.78515625" style="97" customWidth="1"/>
    <col min="2" max="2" width="63.5703125" customWidth="1"/>
    <col min="3" max="3" width="24.640625" customWidth="1"/>
    <col min="4" max="16384" width="8.85546875" hidden="1"/>
  </cols>
  <sheetData>
    <row r="1" spans="1:3">
      <c r="A1" t="s">
        <v>552</v>
      </c>
      <c r="B1" t="s">
        <v>108</v>
      </c>
      <c r="C1" t="s">
        <v>560</v>
      </c>
    </row>
    <row r="2" spans="1:3" ht="43.75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2018-08-06T03:48:31Z</dcterms:modified>
</cp:coreProperties>
</file>