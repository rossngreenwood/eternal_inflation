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xr:revisionPtr revIDLastSave="0" documentId="10_ncr:100000_{4539BE1C-E42A-43F7-868E-5B27755970DF}" xr6:coauthVersionLast="31" xr6:coauthVersionMax="31" xr10:uidLastSave="{00000000-0000-0000-0000-000000000000}"/>
  <bookViews>
    <workbookView xWindow="0" yWindow="0" windowWidth="8652" windowHeight="7644" activeTab="2" xr2:uid="{00000000-000D-0000-FFFF-FFFF00000000}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9017"/>
</workbook>
</file>

<file path=xl/calcChain.xml><?xml version="1.0" encoding="utf-8"?>
<calcChain xmlns="http://schemas.openxmlformats.org/spreadsheetml/2006/main">
  <c r="J1678" i="11" l="1"/>
  <c r="J1677" i="11"/>
  <c r="J1676" i="11"/>
  <c r="J1675" i="11"/>
  <c r="J1674" i="11"/>
  <c r="J1673" i="11"/>
  <c r="J1672" i="11"/>
  <c r="J1671" i="11"/>
  <c r="J1670" i="11"/>
  <c r="J1669" i="11"/>
  <c r="J1668" i="11"/>
  <c r="J1667" i="11"/>
  <c r="J1666" i="11"/>
  <c r="J1665" i="11"/>
  <c r="J1664" i="11"/>
  <c r="J1663" i="11"/>
  <c r="J1662" i="11"/>
  <c r="J1661" i="11"/>
  <c r="J1660" i="11"/>
  <c r="J1659" i="11"/>
  <c r="J1658" i="11"/>
  <c r="J1657" i="11"/>
  <c r="J1656" i="11"/>
  <c r="J1655" i="11"/>
  <c r="J1654" i="11"/>
  <c r="J1653" i="11"/>
  <c r="J1652" i="11"/>
  <c r="J1651" i="11"/>
  <c r="J1650" i="11"/>
  <c r="J1649" i="11"/>
  <c r="J1648" i="11"/>
  <c r="J1647" i="11"/>
  <c r="J1646" i="11"/>
  <c r="J1645" i="11"/>
  <c r="J1644" i="11"/>
  <c r="J1643" i="11"/>
  <c r="J1642" i="11"/>
  <c r="J1641" i="11"/>
  <c r="J1640" i="11"/>
  <c r="J1639" i="11"/>
  <c r="J1638" i="11"/>
  <c r="J1637" i="11"/>
  <c r="J1636" i="11"/>
  <c r="J1635" i="11"/>
  <c r="J1634" i="11"/>
  <c r="J1633" i="11"/>
  <c r="J1632" i="11"/>
  <c r="J1631" i="11"/>
  <c r="J1630" i="11"/>
  <c r="J1629" i="11"/>
  <c r="J1628" i="11"/>
  <c r="J1627" i="11"/>
  <c r="J1626" i="11"/>
  <c r="J1625" i="11"/>
  <c r="J1624" i="11"/>
  <c r="J1623" i="11"/>
  <c r="J1622" i="11"/>
  <c r="J1621" i="11"/>
  <c r="J1620" i="11"/>
  <c r="J1619" i="11"/>
  <c r="J1618" i="11"/>
  <c r="J1617" i="11"/>
  <c r="J1616" i="11"/>
  <c r="J1615" i="11"/>
  <c r="J1614" i="11"/>
  <c r="J1613" i="11"/>
  <c r="J1612" i="11"/>
  <c r="J1611" i="11"/>
  <c r="J1610" i="11"/>
  <c r="J1609" i="11"/>
  <c r="J1608" i="11"/>
  <c r="J1607" i="11"/>
  <c r="J1606" i="11"/>
  <c r="J1605" i="11"/>
  <c r="J1604" i="11"/>
  <c r="J1603" i="11"/>
  <c r="J1602" i="11"/>
  <c r="J1601" i="11"/>
  <c r="J1600" i="11"/>
  <c r="J1599" i="11"/>
  <c r="J1598" i="11"/>
  <c r="J1597" i="11"/>
  <c r="J1596" i="11"/>
  <c r="J1595" i="11"/>
  <c r="J1594" i="11"/>
  <c r="J1593" i="11"/>
  <c r="J1592" i="11"/>
  <c r="J1591" i="11"/>
  <c r="J1590" i="11"/>
  <c r="J1589" i="11"/>
  <c r="J1588" i="11"/>
  <c r="J1587" i="11"/>
  <c r="J1586" i="11"/>
  <c r="J1585" i="11"/>
  <c r="J1584" i="11"/>
  <c r="J1583" i="11"/>
  <c r="J1582" i="11"/>
  <c r="J1581" i="11"/>
  <c r="J1580" i="11"/>
  <c r="J1579" i="11"/>
  <c r="J1578" i="11"/>
  <c r="J1577" i="11"/>
  <c r="J1576" i="11"/>
  <c r="J1575" i="11"/>
  <c r="J1574" i="11"/>
  <c r="J1573" i="11"/>
  <c r="J1572" i="11"/>
  <c r="J1571" i="11"/>
  <c r="J1570" i="11"/>
  <c r="J1569" i="11"/>
  <c r="J1568" i="11"/>
  <c r="J1567" i="11"/>
  <c r="J1566" i="11"/>
  <c r="J1565" i="11"/>
  <c r="J1564" i="11"/>
  <c r="J1563" i="11"/>
  <c r="J1562" i="11"/>
  <c r="J1561" i="11"/>
  <c r="J1560" i="11"/>
  <c r="J1559" i="11"/>
  <c r="J1558" i="11"/>
  <c r="J1557" i="11"/>
  <c r="J1556" i="11"/>
  <c r="J1555" i="11"/>
  <c r="J1554" i="11"/>
  <c r="J1553" i="11"/>
  <c r="J1552" i="11"/>
  <c r="J1551" i="11"/>
  <c r="J1550" i="11"/>
  <c r="J1549" i="11"/>
  <c r="J1548" i="11"/>
  <c r="J1547" i="11"/>
  <c r="J1546" i="11"/>
  <c r="J1545" i="11"/>
  <c r="J1544" i="11"/>
  <c r="J1543" i="11"/>
  <c r="J1542" i="11"/>
  <c r="J1541" i="11"/>
  <c r="J1540" i="11"/>
  <c r="J1539" i="11"/>
  <c r="J1538" i="11"/>
  <c r="J1537" i="11"/>
  <c r="J1536" i="11"/>
  <c r="J1535" i="11"/>
  <c r="J1534" i="11"/>
  <c r="J1533" i="11"/>
  <c r="J1532" i="11"/>
  <c r="J1531" i="11"/>
  <c r="J1530" i="11"/>
  <c r="J1529" i="11"/>
  <c r="J1528" i="11"/>
  <c r="J1527" i="11"/>
  <c r="J1526" i="11"/>
  <c r="J1525" i="11"/>
  <c r="J1524" i="11"/>
  <c r="J1523" i="11"/>
  <c r="J1522" i="11"/>
  <c r="J1521" i="11"/>
  <c r="J1520" i="11"/>
  <c r="J1519" i="11"/>
  <c r="J1518" i="11"/>
  <c r="J1517" i="11"/>
  <c r="J1516" i="11"/>
  <c r="J1515" i="11"/>
  <c r="J1514" i="11"/>
  <c r="J1513" i="11"/>
  <c r="J1512" i="11"/>
  <c r="J1511" i="11"/>
  <c r="J1510" i="11"/>
  <c r="J1509" i="11"/>
  <c r="J1508" i="11"/>
  <c r="J1507" i="11"/>
  <c r="J1506" i="11"/>
  <c r="J1505" i="11"/>
  <c r="J1504" i="11"/>
  <c r="J1503" i="11"/>
  <c r="J1502" i="11"/>
  <c r="J1501" i="11"/>
  <c r="J1500" i="11"/>
  <c r="J1419" i="11" l="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18" i="11"/>
  <c r="J1417" i="11" l="1"/>
  <c r="J1416" i="11"/>
  <c r="J1415" i="11"/>
  <c r="J1414" i="11"/>
  <c r="J1413" i="11"/>
  <c r="J1412" i="11"/>
  <c r="J1411" i="11"/>
  <c r="J1410" i="11"/>
  <c r="J1409" i="11"/>
  <c r="J1408" i="11"/>
  <c r="J1407" i="11"/>
  <c r="J1406" i="11"/>
  <c r="J1405" i="11"/>
  <c r="J1404" i="11"/>
  <c r="J1403" i="11"/>
  <c r="J1402" i="11"/>
  <c r="J1401" i="11"/>
  <c r="J1400" i="11"/>
  <c r="J1399" i="11"/>
  <c r="J1398" i="11"/>
  <c r="J1397" i="11"/>
  <c r="J1396" i="11"/>
  <c r="J1395" i="11"/>
  <c r="J1394" i="11"/>
  <c r="J1393" i="11"/>
  <c r="J1392" i="11"/>
  <c r="J1391" i="11"/>
  <c r="J1390" i="11"/>
  <c r="J1389" i="11"/>
  <c r="J1388" i="11"/>
  <c r="J1387" i="11"/>
  <c r="J1386" i="11"/>
  <c r="J1385" i="11"/>
  <c r="J1384" i="11"/>
  <c r="J1383" i="11"/>
  <c r="J1382" i="11"/>
  <c r="J1381" i="11"/>
  <c r="J1380" i="11"/>
  <c r="J1379" i="11"/>
  <c r="J1378" i="11"/>
  <c r="J1377" i="11"/>
  <c r="J1376" i="11"/>
  <c r="J1375" i="11"/>
  <c r="J1374" i="11"/>
  <c r="J1373" i="11"/>
  <c r="J1372" i="11"/>
  <c r="J1371" i="11"/>
  <c r="J1370" i="11"/>
  <c r="J1369" i="11"/>
  <c r="J1368" i="11"/>
  <c r="J1367" i="11"/>
  <c r="J1366" i="11"/>
  <c r="J1365" i="11"/>
  <c r="J1364" i="11"/>
  <c r="J1363" i="11"/>
  <c r="J1362" i="11"/>
  <c r="J1361" i="11"/>
  <c r="J1360" i="11"/>
  <c r="J1359" i="11"/>
  <c r="J1358" i="11"/>
  <c r="J1357" i="11"/>
  <c r="J1356" i="11"/>
  <c r="J1355" i="11"/>
  <c r="J1354" i="11"/>
  <c r="J1353" i="11"/>
  <c r="J1352" i="11"/>
  <c r="J1351" i="11"/>
  <c r="J1350" i="11"/>
  <c r="J1349" i="11"/>
  <c r="J1348" i="11"/>
  <c r="J1347" i="11"/>
  <c r="J1346" i="11"/>
  <c r="J1345" i="11"/>
  <c r="J1344" i="11"/>
  <c r="J1343" i="11"/>
  <c r="J1342" i="11"/>
  <c r="J1341" i="11"/>
  <c r="J1340" i="11"/>
  <c r="J1339" i="11"/>
  <c r="J1338" i="11"/>
  <c r="J1337" i="11"/>
  <c r="J1256" i="11" l="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078" i="11" l="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077" i="11"/>
  <c r="J1065" i="11" l="1"/>
  <c r="J1066" i="11"/>
  <c r="J1067" i="11"/>
  <c r="J1068" i="11"/>
  <c r="J1069" i="11"/>
  <c r="J1064" i="11"/>
  <c r="J181" i="11" l="1"/>
  <c r="J93" i="11" l="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92" i="11"/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<sst xmlns="http://schemas.openxmlformats.org/spreadsheetml/2006/main" count="8217" uniqueCount="3807">
  <si>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</si>
  <si>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</si>
  <si>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</si>
  <si>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</si>
  <si>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</si>
  <si>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</si>
  <si>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</si>
  <si>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</si>
  <si>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</si>
  <si>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</si>
  <si>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</si>
  <si>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</si>
  <si>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</si>
  <si>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</si>
  <si>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</si>
  <si>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</si>
  <si>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</si>
  <si>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</si>
  <si>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</si>
  <si>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</si>
  <si>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</si>
  <si>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</si>
  <si>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</si>
  <si>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</si>
  <si>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</si>
  <si>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</si>
  <si>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</si>
  <si>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</si>
  <si>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</si>
  <si>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</si>
  <si>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</si>
  <si>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</si>
  <si>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</si>
  <si>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</si>
  <si>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</si>
  <si>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</si>
  <si>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</si>
  <si>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</si>
  <si>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</si>
  <si>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</si>
  <si>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</si>
  <si>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</si>
  <si>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</si>
  <si>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</si>
  <si>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</si>
  <si>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</si>
  <si>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</si>
  <si>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</si>
  <si>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</si>
  <si>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</si>
  <si>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</si>
  <si>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</si>
  <si>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</si>
  <si>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</si>
  <si>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</si>
  <si>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</si>
  <si>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</si>
  <si>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</si>
  <si>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</si>
  <si>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</si>
  <si>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</si>
  <si>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</si>
  <si>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</si>
  <si>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</si>
  <si>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</si>
  <si>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</si>
  <si>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</si>
  <si>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</si>
  <si>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</si>
  <si>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</si>
  <si>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</si>
  <si>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</si>
  <si>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</si>
  <si>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</si>
  <si>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</si>
  <si>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</si>
  <si>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</si>
  <si>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</si>
  <si>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</si>
  <si>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</si>
  <si>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</si>
  <si>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</si>
  <si>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</si>
  <si>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</si>
  <si>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</si>
  <si>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</si>
  <si>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</si>
  <si>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</si>
  <si>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</si>
  <si>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</si>
  <si>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</si>
  <si>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</si>
  <si>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</si>
  <si>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</si>
  <si>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</si>
  <si>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</si>
  <si>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</si>
  <si>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</si>
  <si>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</si>
  <si>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</si>
  <si>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</si>
  <si>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</si>
  <si>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</si>
  <si>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</si>
  <si>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</si>
  <si>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</si>
  <si>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</si>
  <si>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</si>
  <si>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</si>
  <si>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</si>
  <si>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</si>
  <si>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</si>
  <si>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</si>
  <si>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</si>
  <si>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</si>
  <si>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</si>
  <si>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</si>
  <si>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</si>
  <si>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</si>
  <si>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</si>
  <si>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</si>
  <si>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</si>
  <si>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</si>
  <si>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</si>
  <si>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</si>
  <si>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</si>
  <si>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</si>
  <si>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</si>
  <si>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</si>
  <si>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</si>
  <si>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</si>
  <si>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</si>
  <si>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</si>
  <si>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</si>
  <si>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</si>
  <si>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</si>
  <si>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</si>
  <si>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</si>
  <si>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</si>
  <si>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</si>
  <si>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</si>
  <si>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</si>
  <si>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</si>
  <si>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</si>
  <si>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</si>
  <si>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</si>
  <si>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</si>
  <si>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</si>
  <si>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</si>
  <si>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</si>
  <si>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</si>
  <si>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</si>
  <si>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</si>
  <si>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</si>
  <si>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</si>
  <si>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</si>
  <si>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</si>
  <si>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</si>
  <si>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</si>
  <si>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</si>
  <si>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</si>
  <si>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</si>
  <si>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</si>
  <si>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</si>
  <si>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</si>
  <si>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</si>
  <si>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</si>
  <si>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</si>
  <si>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</si>
  <si>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</si>
  <si>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</si>
  <si>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</si>
  <si>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</si>
  <si>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</si>
  <si>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</si>
  <si>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</si>
  <si>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</si>
  <si>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</si>
  <si>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</si>
  <si>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</si>
  <si>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</si>
  <si>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</si>
  <si>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</si>
  <si>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</si>
  <si>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</si>
  <si>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</si>
  <si>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</si>
  <si>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</si>
  <si>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</si>
  <si>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</si>
  <si>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</si>
  <si>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</si>
  <si>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</si>
  <si>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</si>
  <si>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</si>
  <si>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</si>
  <si>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</si>
  <si>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</si>
  <si>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</si>
  <si>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</si>
  <si>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</si>
  <si>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</si>
  <si>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</si>
  <si>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</si>
  <si>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</si>
  <si>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</si>
  <si>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</si>
  <si>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</si>
  <si>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</si>
  <si>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</si>
  <si>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</si>
  <si>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</si>
  <si>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</si>
  <si>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</si>
  <si>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</si>
  <si>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</si>
  <si>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</si>
  <si>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</si>
  <si>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</si>
  <si>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</si>
  <si>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</si>
  <si>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</si>
  <si>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</si>
  <si>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</si>
  <si>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</si>
  <si>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</si>
  <si>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</si>
  <si>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</si>
  <si>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</si>
  <si>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</si>
  <si>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</si>
  <si>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</si>
  <si>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</si>
  <si>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</si>
  <si>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</si>
  <si>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</si>
  <si>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</si>
  <si>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</si>
  <si>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</si>
  <si>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</si>
  <si>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</si>
  <si>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</si>
  <si>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</si>
  <si>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</si>
  <si>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</si>
  <si>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</si>
  <si>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</si>
  <si>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</si>
  <si>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</si>
  <si>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</si>
  <si>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</si>
  <si>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</si>
  <si>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</si>
  <si>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</si>
  <si>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</si>
  <si>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</si>
  <si>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</si>
  <si>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</si>
  <si>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</si>
  <si>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</si>
  <si>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</si>
  <si>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</si>
  <si>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</si>
  <si>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</si>
  <si>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</si>
  <si>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</si>
  <si>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</si>
  <si>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</si>
  <si>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</si>
  <si>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</si>
  <si>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</si>
  <si>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</si>
  <si>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</si>
  <si>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</si>
  <si>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</si>
  <si>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</si>
  <si>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</si>
  <si>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</si>
  <si>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</si>
  <si>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</si>
  <si>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</si>
  <si>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</si>
  <si>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</si>
  <si>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</si>
  <si>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</si>
  <si>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</si>
  <si>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</si>
  <si>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</si>
  <si>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</si>
  <si>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</si>
  <si>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</si>
  <si>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</si>
  <si>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</si>
  <si>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</si>
  <si>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</si>
  <si>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</si>
  <si>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</si>
  <si>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</si>
  <si>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</si>
  <si>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</si>
  <si>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</si>
  <si>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</si>
  <si>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</si>
  <si>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</si>
  <si>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</si>
  <si>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</si>
  <si>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</si>
  <si>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</si>
  <si>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</si>
  <si>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</si>
  <si>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</si>
  <si>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</si>
  <si>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</si>
  <si>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</si>
  <si>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</si>
  <si>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</si>
  <si>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</si>
  <si>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</si>
  <si>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</si>
  <si>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</si>
  <si>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</si>
  <si>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</si>
  <si>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</si>
  <si>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</si>
  <si>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</si>
  <si>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</si>
  <si>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</si>
  <si>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</si>
  <si>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</si>
  <si>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</si>
  <si>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</si>
  <si>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</si>
  <si>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</si>
  <si>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</si>
  <si>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</si>
  <si>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</si>
  <si>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</si>
  <si>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</si>
  <si>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</si>
  <si>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</si>
  <si>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</si>
  <si>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</si>
  <si>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</si>
  <si>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</si>
  <si>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</si>
  <si>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</si>
  <si>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</si>
  <si>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</si>
  <si>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</si>
  <si>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</si>
  <si>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</si>
  <si>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</si>
  <si>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</si>
  <si>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</si>
  <si>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</si>
  <si>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</si>
  <si>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</si>
  <si>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</si>
  <si>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</si>
  <si>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</si>
  <si>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</si>
  <si>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</si>
  <si>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</si>
  <si>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</si>
  <si>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</si>
  <si>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</si>
  <si>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</si>
  <si>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</si>
  <si>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</si>
  <si>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</si>
  <si>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</si>
  <si>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</si>
  <si>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</si>
  <si>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</si>
  <si>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</si>
  <si>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</si>
  <si>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</si>
  <si>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</si>
  <si>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</si>
  <si>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</si>
  <si>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</si>
  <si>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</si>
  <si>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</si>
  <si>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</si>
  <si>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</si>
  <si>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</si>
  <si>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</si>
  <si>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</si>
  <si>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</si>
  <si>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</si>
  <si>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</si>
  <si>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</si>
  <si>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</si>
  <si>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</si>
  <si>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</si>
  <si>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</si>
  <si>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</si>
  <si>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</si>
  <si>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</si>
  <si>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</si>
  <si>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</si>
  <si>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</si>
  <si>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</si>
  <si>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</si>
  <si>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</si>
  <si>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</si>
  <si>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</si>
  <si>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</si>
  <si>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</si>
  <si>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</si>
  <si>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</si>
  <si>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</si>
  <si>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</si>
  <si>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</si>
  <si>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</si>
  <si>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</si>
  <si>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</si>
  <si>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</si>
  <si>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</si>
  <si>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</si>
  <si>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</si>
  <si>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</si>
  <si>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</si>
  <si>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</si>
  <si>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</si>
  <si>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</si>
  <si>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</si>
  <si>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</si>
  <si>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</si>
  <si>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</si>
  <si>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</si>
  <si>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</si>
  <si>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</si>
  <si>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</si>
  <si>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</si>
  <si>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</si>
  <si>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</si>
  <si>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</si>
  <si>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</si>
  <si>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</si>
  <si>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</si>
  <si>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</si>
  <si>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</si>
  <si>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</si>
  <si>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</si>
  <si>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</si>
  <si>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</si>
  <si>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</si>
  <si>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</si>
  <si>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</si>
  <si>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</si>
  <si>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</si>
  <si>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</si>
  <si>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</si>
  <si>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</si>
  <si>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</si>
  <si>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</si>
  <si>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</si>
  <si>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</si>
  <si>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</si>
  <si>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</si>
  <si>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</si>
  <si>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</si>
  <si>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</si>
  <si>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</si>
  <si>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</si>
  <si>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</si>
  <si>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</si>
  <si>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</si>
  <si>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</si>
  <si>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</si>
  <si>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</si>
  <si>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</si>
  <si>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</si>
  <si>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</si>
  <si>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</si>
  <si>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</si>
  <si>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</si>
  <si>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</si>
  <si>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</si>
  <si>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</si>
  <si>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</si>
  <si>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</si>
  <si>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</si>
  <si>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</si>
  <si>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</si>
  <si>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</si>
  <si>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</si>
  <si>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</si>
  <si>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</si>
  <si>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</si>
  <si>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</si>
  <si>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</si>
  <si>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</si>
  <si>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</si>
  <si>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</si>
  <si>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</si>
  <si>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</si>
  <si>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</si>
  <si>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</si>
  <si>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</si>
  <si>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</si>
  <si>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</si>
  <si>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</si>
  <si>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</si>
  <si>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</si>
  <si>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</si>
  <si>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</si>
  <si>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</si>
  <si>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</si>
  <si>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</si>
  <si>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</si>
  <si>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</si>
  <si>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</si>
  <si>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</si>
  <si>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</si>
  <si>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</si>
  <si>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</si>
  <si>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</si>
  <si>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</si>
  <si>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</si>
  <si>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</si>
  <si>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</si>
  <si>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</si>
  <si>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</si>
  <si>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</si>
  <si>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</si>
  <si>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</si>
  <si>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</si>
  <si>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</si>
  <si>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</si>
  <si>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</si>
  <si>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</si>
  <si>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</si>
  <si>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</si>
  <si>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</si>
  <si>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</si>
  <si>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</si>
  <si>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</si>
  <si>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</si>
  <si>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</si>
  <si>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</si>
  <si>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</si>
  <si>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</si>
  <si>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</si>
  <si>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</si>
  <si>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</si>
  <si>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</si>
  <si>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</si>
  <si>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</si>
  <si>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</si>
  <si>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</si>
  <si>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</si>
  <si>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</si>
  <si>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</si>
  <si>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</si>
  <si>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</si>
  <si>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</si>
  <si>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</si>
  <si>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</si>
  <si>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</si>
  <si>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</si>
  <si>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</si>
  <si>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</si>
  <si>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</si>
  <si>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</si>
  <si>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</si>
  <si>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</si>
  <si>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</si>
  <si>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</si>
  <si>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</si>
  <si>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</si>
  <si>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</si>
  <si>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</si>
  <si>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</si>
  <si>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</si>
  <si>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</si>
  <si>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</si>
  <si>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</si>
  <si>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</si>
  <si>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</si>
  <si>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</si>
  <si>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</si>
  <si>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</si>
  <si>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</si>
  <si>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</si>
  <si>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</si>
  <si>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</si>
  <si>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</si>
  <si>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</si>
  <si>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</si>
  <si>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</si>
  <si>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</si>
  <si>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</si>
  <si>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</si>
  <si>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</si>
  <si>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</si>
  <si>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</si>
  <si>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</si>
  <si>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</si>
  <si>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</si>
  <si>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</si>
  <si>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</si>
  <si>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</si>
  <si>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</si>
  <si>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</si>
  <si>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</si>
  <si>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</si>
  <si>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</si>
  <si>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</si>
  <si>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</si>
  <si>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</si>
  <si>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</si>
  <si>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</si>
  <si>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</si>
  <si>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</si>
  <si>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</si>
  <si>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</si>
  <si>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</si>
  <si>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</si>
  <si>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</si>
  <si>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</si>
  <si>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</si>
  <si>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</si>
  <si>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</si>
  <si>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</si>
  <si>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</si>
  <si>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</si>
  <si>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</si>
  <si>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</si>
  <si>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</si>
  <si>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</si>
  <si>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</si>
  <si>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</si>
  <si>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</si>
  <si>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</si>
  <si>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</si>
  <si>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</si>
  <si>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</si>
  <si>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</si>
  <si>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</si>
  <si>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</si>
  <si>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</si>
  <si>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</si>
  <si>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</si>
  <si>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</si>
  <si>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</si>
  <si>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</si>
  <si>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</si>
  <si>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</si>
  <si>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</si>
  <si>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</si>
  <si>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</si>
  <si>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</si>
  <si>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</si>
  <si>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</si>
  <si>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</si>
  <si>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</si>
  <si>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</si>
  <si>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</si>
  <si>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</si>
  <si>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</si>
  <si>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</si>
  <si>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</si>
  <si>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</si>
  <si>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</si>
  <si>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</si>
  <si>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</si>
  <si>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</si>
  <si>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</si>
  <si>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</si>
  <si>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</si>
  <si>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</si>
  <si>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</si>
  <si>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</si>
  <si>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</si>
  <si>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</si>
  <si>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</si>
  <si>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</si>
  <si>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</si>
  <si>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</si>
  <si>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</si>
  <si>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</si>
  <si>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</si>
  <si>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</si>
  <si>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</si>
  <si>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</si>
  <si>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</si>
  <si>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</si>
  <si>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</si>
  <si>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</si>
  <si>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</si>
  <si>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</si>
  <si>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</si>
  <si>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</si>
  <si>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</si>
  <si>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</si>
  <si>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</si>
  <si>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</si>
  <si>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</si>
  <si>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</si>
  <si>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</si>
  <si>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</si>
  <si>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</si>
  <si>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</si>
  <si>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</si>
  <si>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</si>
  <si>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</si>
  <si>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</si>
  <si>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</si>
  <si>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</si>
  <si>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</si>
  <si>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</si>
  <si>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</si>
  <si>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</si>
  <si>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</si>
  <si>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</si>
  <si>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</si>
  <si>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</si>
  <si>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</si>
  <si>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</si>
  <si>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</si>
  <si>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</si>
  <si>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</si>
  <si>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</si>
  <si>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</si>
  <si>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</si>
  <si>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</si>
  <si>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</si>
  <si>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</si>
  <si>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</si>
  <si>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</si>
  <si>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</si>
  <si>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</si>
  <si>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</si>
  <si>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</si>
  <si>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</si>
  <si>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</si>
  <si>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</si>
  <si>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</si>
  <si>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</si>
  <si>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</si>
  <si>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</si>
  <si>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</si>
  <si>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</si>
  <si>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</si>
  <si>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</si>
  <si>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</si>
  <si>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</si>
  <si>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</si>
  <si>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</si>
  <si>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</si>
  <si>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</si>
  <si>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</si>
  <si>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</si>
  <si>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</si>
  <si>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</si>
  <si>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</si>
  <si>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</si>
  <si>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</si>
  <si>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</si>
  <si>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</si>
  <si>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</si>
  <si>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</si>
  <si>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</si>
  <si>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</si>
  <si>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</si>
  <si>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</si>
  <si>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</si>
  <si>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</si>
  <si>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</si>
  <si>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</si>
  <si>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</si>
  <si>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</si>
  <si>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</si>
  <si>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</si>
  <si>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</si>
  <si>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</si>
  <si>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</si>
  <si>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</si>
  <si>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</si>
  <si>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</si>
  <si>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</si>
  <si>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</si>
  <si>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</si>
  <si>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</si>
  <si>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</si>
  <si>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</si>
  <si>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</si>
  <si>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</si>
  <si>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</si>
  <si>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</si>
  <si>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</si>
  <si>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</si>
  <si>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</si>
  <si>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</si>
  <si>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</si>
  <si>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</si>
  <si>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</si>
  <si>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</si>
  <si>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</si>
  <si>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</si>
  <si>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</si>
  <si>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</si>
  <si>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</si>
  <si>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</si>
  <si>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</si>
  <si>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</si>
  <si>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</si>
  <si>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</si>
  <si>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</si>
  <si>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</si>
  <si>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</si>
  <si>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</si>
  <si>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</si>
  <si>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</si>
  <si>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</si>
  <si>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</si>
  <si>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</si>
  <si>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</si>
  <si>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</si>
  <si>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</si>
  <si>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</si>
  <si>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</si>
  <si>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</si>
  <si>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</si>
  <si>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</si>
  <si>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</si>
  <si>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</si>
  <si>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</si>
  <si>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</si>
  <si>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</si>
  <si>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</si>
  <si>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</si>
  <si>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</si>
  <si>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</si>
  <si>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</si>
  <si>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</si>
  <si>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</si>
  <si>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</si>
  <si>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</si>
  <si>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</si>
  <si>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</si>
  <si>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</si>
  <si>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</si>
  <si>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</si>
  <si>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</si>
  <si>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</si>
  <si>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</si>
  <si>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</si>
  <si>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</si>
  <si>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</si>
  <si>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</si>
  <si>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</si>
  <si>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</si>
  <si>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</si>
  <si>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</si>
  <si>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</si>
  <si>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</si>
  <si>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</si>
  <si>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</si>
  <si>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</si>
  <si>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</si>
  <si>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</si>
  <si>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</si>
  <si>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</si>
  <si>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</si>
  <si>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</si>
  <si>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</si>
  <si>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</si>
  <si>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</si>
  <si>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</si>
  <si>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</si>
  <si>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</si>
  <si>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</si>
  <si>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</si>
  <si>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</si>
  <si>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</si>
  <si>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</si>
  <si>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</si>
  <si>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</si>
  <si>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</si>
  <si>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</si>
  <si>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</si>
  <si>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</si>
  <si>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</si>
  <si>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</si>
  <si>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</si>
  <si>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</si>
  <si>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</si>
  <si>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</si>
  <si>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</si>
  <si>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</si>
  <si>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</si>
  <si>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</si>
  <si>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</si>
  <si>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</si>
  <si>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</si>
  <si>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</si>
  <si>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</si>
  <si>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</si>
  <si>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</si>
  <si>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</si>
  <si>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</si>
  <si>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</si>
  <si>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</si>
  <si>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</si>
  <si>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</si>
  <si>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</si>
  <si>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</si>
  <si>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</si>
  <si>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</si>
  <si>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</si>
  <si>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</si>
  <si>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</si>
  <si>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</si>
  <si>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</si>
  <si>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</si>
  <si>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</si>
  <si>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</si>
  <si>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</si>
  <si>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</si>
  <si>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</si>
  <si>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</si>
  <si>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</si>
  <si>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</si>
  <si>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</si>
  <si>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</si>
  <si>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</si>
  <si>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</si>
  <si>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</si>
  <si>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</si>
  <si>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</si>
  <si>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</si>
  <si>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</si>
  <si>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</si>
  <si>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</si>
  <si>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</si>
  <si>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</si>
  <si>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</si>
  <si>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</si>
  <si>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</si>
  <si>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</si>
  <si>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</si>
  <si>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</si>
  <si>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</si>
  <si>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</si>
  <si>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</si>
  <si>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</si>
  <si>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</si>
  <si>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</si>
  <si>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</si>
  <si>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</si>
  <si>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</si>
  <si>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</si>
  <si>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</si>
  <si>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</si>
  <si>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</si>
  <si>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</si>
  <si>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</si>
  <si>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</si>
  <si>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</si>
  <si>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</si>
  <si>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</si>
  <si>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</si>
  <si>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</si>
  <si>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</si>
  <si>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</si>
  <si>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</si>
  <si>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</si>
  <si>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</si>
  <si>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</si>
  <si>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</si>
  <si>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</si>
  <si>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</si>
  <si>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</si>
  <si>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</si>
  <si>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</si>
  <si>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</si>
  <si>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</si>
  <si>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</si>
  <si>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</si>
  <si>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</si>
  <si>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</si>
  <si>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</si>
  <si>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</si>
  <si>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</si>
  <si>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</si>
  <si>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</si>
  <si>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</si>
  <si>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</si>
  <si>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</si>
  <si>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</si>
  <si>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</si>
  <si>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</si>
  <si>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</si>
  <si>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</si>
  <si>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</si>
  <si>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</si>
  <si>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</si>
  <si>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</si>
  <si>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</si>
  <si>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</si>
  <si>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</si>
  <si>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</si>
  <si>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</si>
  <si>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</si>
  <si>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</si>
  <si>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</si>
  <si>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</si>
  <si>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</si>
  <si>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</si>
  <si>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</si>
  <si>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</si>
  <si>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</si>
  <si>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</si>
  <si>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</si>
  <si>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</si>
  <si>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</si>
  <si>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</si>
  <si>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</si>
  <si>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</si>
  <si>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</si>
  <si>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</si>
  <si>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</si>
  <si>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</si>
  <si>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</si>
  <si>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</si>
  <si>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</si>
  <si>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</si>
  <si>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</si>
  <si>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</si>
  <si>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</si>
  <si>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</si>
  <si>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</si>
  <si>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</si>
  <si>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</si>
  <si>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</si>
  <si>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</si>
  <si>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</si>
  <si>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</si>
  <si>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</si>
  <si>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</si>
  <si>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</si>
  <si>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</si>
  <si>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</si>
  <si>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</si>
  <si>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</si>
  <si>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</si>
  <si>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</si>
  <si>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</si>
  <si>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</si>
  <si>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</si>
  <si>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</si>
  <si>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</si>
  <si>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</si>
  <si>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</si>
  <si>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</si>
  <si>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</si>
  <si>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</si>
  <si>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</si>
  <si>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</si>
  <si>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</si>
  <si>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</si>
  <si>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</si>
  <si>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</si>
  <si>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</si>
  <si>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</si>
  <si>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</si>
  <si>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</si>
  <si>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</si>
  <si>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</si>
  <si>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</si>
  <si>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</si>
  <si>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</si>
  <si>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</si>
  <si>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</si>
  <si>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</si>
  <si>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</si>
  <si>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</si>
  <si>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</si>
  <si>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</si>
  <si>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</si>
  <si>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</si>
  <si>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</si>
  <si>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</si>
  <si>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</si>
  <si>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</si>
  <si>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</si>
  <si>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</si>
  <si>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</si>
  <si>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</si>
  <si>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</si>
  <si>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</si>
  <si>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</si>
  <si>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</si>
  <si>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</si>
  <si>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</si>
  <si>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</si>
  <si>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</si>
  <si>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</si>
  <si>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</si>
  <si>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</si>
  <si>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</si>
  <si>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</si>
  <si>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</si>
  <si>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</si>
  <si>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</si>
  <si>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</si>
  <si>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</si>
  <si>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</si>
  <si>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</si>
  <si>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</si>
  <si>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</si>
  <si>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</si>
  <si>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</si>
  <si>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</si>
  <si>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</si>
  <si>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</si>
  <si>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</si>
  <si>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</si>
  <si>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</si>
  <si>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</si>
  <si>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</si>
  <si>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</si>
  <si>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</si>
  <si>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</si>
  <si>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</si>
  <si>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</si>
  <si>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</si>
  <si>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</si>
  <si>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</si>
  <si>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</si>
  <si>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</si>
  <si>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</si>
  <si>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</si>
  <si>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</si>
  <si>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</si>
  <si>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</si>
  <si>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</si>
  <si>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</si>
  <si>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</si>
  <si>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</si>
  <si>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</si>
  <si>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</si>
  <si>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</si>
  <si>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</si>
  <si>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</si>
  <si>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</si>
  <si>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</si>
  <si>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</si>
  <si>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</si>
  <si>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</si>
  <si>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</si>
  <si>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</si>
  <si>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</si>
  <si>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</si>
  <si>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</si>
  <si>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</si>
  <si>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</si>
  <si>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</si>
  <si>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</si>
  <si>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</si>
  <si>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</si>
  <si>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</si>
  <si>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</si>
  <si>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</si>
  <si>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</si>
  <si>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</si>
  <si>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</si>
  <si>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</si>
  <si>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</si>
  <si>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</si>
  <si>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</si>
  <si>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</si>
  <si>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</si>
  <si>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</si>
  <si>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</si>
  <si>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</si>
  <si>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</si>
  <si>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</si>
  <si>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</si>
  <si>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</si>
  <si>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</si>
  <si>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</si>
  <si>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</si>
  <si>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</si>
  <si>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</si>
  <si>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</si>
  <si>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</si>
  <si>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</si>
  <si>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</si>
  <si>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</si>
  <si>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</si>
  <si>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</si>
  <si>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</si>
  <si>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</si>
  <si>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</si>
  <si>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</si>
  <si>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</si>
  <si>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</si>
  <si>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</si>
  <si>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</si>
  <si>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</si>
  <si>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</si>
  <si>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</si>
  <si>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</si>
  <si>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</si>
  <si>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</si>
  <si>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</si>
  <si>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</si>
  <si>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</si>
  <si>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</si>
  <si>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</si>
  <si>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</si>
  <si>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</si>
  <si>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</si>
  <si>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</si>
  <si>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</si>
  <si>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</si>
  <si>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</si>
  <si>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</si>
  <si>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</si>
  <si>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</si>
  <si>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</si>
  <si>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</si>
  <si>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</si>
  <si>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</si>
  <si>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</si>
  <si>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</si>
  <si>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</si>
  <si>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</si>
  <si>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</si>
  <si>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</si>
  <si>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</si>
  <si>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</si>
  <si>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</si>
  <si>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</si>
  <si>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</si>
  <si>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</si>
  <si>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</si>
  <si>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</si>
  <si>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</si>
  <si>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</si>
  <si>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</si>
  <si>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</si>
  <si>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</si>
  <si>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</si>
  <si>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</si>
  <si>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</si>
  <si>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</si>
  <si>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</si>
  <si>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</si>
  <si>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</si>
  <si>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</si>
  <si>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</si>
  <si>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</si>
  <si>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</si>
  <si>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</si>
  <si>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</si>
  <si>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</si>
  <si>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</si>
  <si>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</si>
  <si>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</si>
  <si>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</si>
  <si>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</si>
  <si>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</si>
  <si>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</si>
  <si>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</si>
  <si>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</si>
  <si>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</si>
  <si>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</si>
  <si>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</si>
  <si>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</si>
  <si>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</si>
  <si>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</si>
  <si>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</si>
  <si>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</si>
  <si>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</si>
  <si>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</si>
  <si>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</si>
  <si>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</si>
  <si>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</si>
  <si>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</si>
  <si>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</si>
  <si>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</si>
  <si>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</si>
  <si>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</si>
  <si>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</si>
  <si>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</si>
  <si>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</si>
  <si>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</si>
  <si>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</si>
  <si>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</si>
  <si>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</si>
  <si>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</si>
  <si>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</si>
  <si>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</si>
  <si>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</si>
  <si>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</si>
  <si>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</si>
  <si>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</si>
  <si>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</si>
  <si>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</si>
  <si>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</si>
  <si>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</si>
  <si>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</si>
  <si>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</si>
  <si>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</si>
  <si>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</si>
  <si>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</si>
  <si>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</si>
  <si>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</si>
  <si>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</si>
  <si>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</si>
  <si>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</si>
  <si>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</si>
  <si>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</si>
  <si>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</si>
  <si>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</si>
  <si>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</si>
  <si>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</si>
  <si>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</si>
  <si>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</si>
  <si>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</si>
  <si>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</si>
  <si>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</si>
  <si>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</si>
  <si>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</si>
  <si>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</si>
  <si>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</si>
  <si>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</si>
  <si>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</si>
  <si>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</si>
  <si>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</si>
  <si>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</si>
  <si>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</si>
  <si>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</si>
  <si>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</si>
  <si>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</si>
  <si>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</si>
  <si>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</si>
  <si>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</si>
  <si>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</si>
  <si>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</si>
  <si>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</si>
  <si>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</si>
  <si>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</si>
  <si>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</si>
  <si>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</si>
  <si>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</si>
  <si>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</si>
  <si>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</si>
  <si>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</si>
  <si>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</si>
  <si>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</si>
  <si>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</si>
  <si>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</si>
  <si>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</si>
  <si>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</si>
  <si>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</si>
  <si>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</si>
  <si>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</si>
  <si>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</si>
  <si>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</si>
  <si>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</si>
  <si>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</si>
  <si>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</si>
  <si>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</si>
  <si>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</si>
  <si>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</si>
  <si>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</si>
  <si>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</si>
  <si>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</si>
  <si>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</si>
  <si>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</si>
  <si>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</si>
  <si>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</si>
  <si>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</si>
  <si>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</si>
  <si>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</si>
  <si>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</si>
  <si>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</si>
  <si>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</si>
  <si>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</si>
  <si>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</si>
  <si>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</si>
  <si>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</si>
  <si>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</si>
  <si>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</si>
  <si>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</si>
  <si>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</si>
  <si>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</si>
  <si>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</si>
  <si>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</si>
  <si>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</si>
  <si>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</si>
  <si>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</si>
  <si>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</si>
  <si>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</si>
  <si>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</si>
  <si>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</si>
  <si>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</si>
  <si>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</si>
  <si>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</si>
  <si>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</si>
  <si>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</si>
  <si>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</si>
  <si>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</si>
  <si>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</si>
  <si>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</si>
  <si>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</si>
  <si>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</si>
  <si>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</si>
  <si>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</si>
  <si>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</si>
  <si>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</si>
  <si>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</si>
  <si>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</si>
  <si>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</si>
  <si>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</si>
  <si>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</si>
  <si>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</si>
  <si>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</si>
  <si>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</si>
  <si>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</si>
  <si>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</si>
  <si>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</si>
  <si>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</si>
  <si>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</si>
  <si>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</si>
  <si>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</si>
  <si>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</si>
  <si>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</si>
  <si>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</si>
  <si>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</si>
  <si>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</si>
  <si>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</si>
  <si>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</si>
  <si>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</si>
  <si>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</si>
  <si>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</si>
  <si>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</si>
  <si>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</si>
  <si>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</si>
  <si>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</si>
  <si>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</si>
  <si>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</si>
  <si>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</si>
  <si>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</si>
  <si>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</si>
  <si>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</si>
  <si>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</si>
  <si>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</si>
  <si>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</si>
  <si>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</si>
  <si>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</si>
  <si>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</si>
  <si>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</si>
  <si>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</si>
  <si>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</si>
  <si>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</si>
  <si>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</si>
  <si>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</si>
  <si>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</si>
  <si>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</si>
  <si>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</si>
  <si>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</si>
  <si>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</si>
  <si>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</si>
  <si>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</si>
  <si>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</si>
  <si>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</si>
  <si>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</si>
  <si>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</si>
  <si>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</si>
  <si>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</si>
  <si>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</si>
  <si>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</si>
  <si>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</si>
  <si>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</si>
  <si>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</si>
  <si>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</si>
  <si>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</si>
  <si>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</si>
  <si>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</si>
  <si>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</si>
  <si>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</si>
  <si>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</si>
  <si>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</si>
  <si>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</si>
  <si>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</si>
  <si>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</si>
  <si>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</si>
  <si>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</si>
  <si>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</si>
  <si>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</si>
  <si>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</si>
  <si>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</si>
  <si>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</si>
  <si>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</si>
  <si>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</si>
  <si>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</si>
  <si>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</si>
  <si>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</si>
  <si>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</si>
  <si>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</si>
  <si>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</si>
  <si>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</si>
  <si>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</si>
  <si>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</si>
  <si>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</si>
  <si>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</si>
  <si>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</si>
  <si>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</si>
  <si>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</si>
  <si>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</si>
  <si>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</si>
  <si>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</si>
  <si>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</si>
  <si>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</si>
  <si>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</si>
  <si>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</si>
  <si>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</si>
  <si>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</si>
  <si>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</si>
  <si>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</si>
  <si>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</si>
  <si>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</si>
  <si>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</si>
  <si>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</si>
  <si>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</si>
  <si>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</si>
  <si>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</si>
  <si>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</si>
  <si>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</si>
  <si>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</si>
  <si>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</si>
  <si>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</si>
  <si>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</si>
  <si>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</si>
  <si>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</si>
  <si>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</si>
  <si>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</si>
  <si>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</si>
  <si>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</si>
  <si>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</si>
  <si>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</si>
  <si>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</si>
  <si>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</si>
  <si>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</si>
  <si>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</si>
  <si>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</si>
  <si>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</si>
  <si>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</si>
  <si>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</si>
  <si>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</si>
  <si>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</si>
  <si>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</si>
  <si>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</si>
  <si>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</si>
  <si>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</si>
  <si>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</si>
  <si>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</si>
  <si>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</si>
  <si>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</si>
  <si>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</si>
  <si>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</si>
  <si>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</si>
  <si>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</si>
  <si>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</si>
  <si>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</si>
  <si>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</si>
  <si>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</si>
  <si>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</si>
  <si>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</si>
  <si>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</si>
  <si>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</si>
  <si>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</si>
  <si>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</si>
  <si>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</si>
  <si>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</si>
  <si>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</si>
  <si>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</si>
  <si>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</si>
  <si>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</si>
  <si>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</si>
  <si>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</si>
  <si>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</si>
  <si>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</si>
  <si>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</si>
  <si>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</si>
  <si>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</si>
  <si>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</si>
  <si>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</si>
  <si>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</si>
  <si>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</si>
  <si>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</si>
  <si>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</si>
  <si>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</si>
  <si>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</si>
  <si>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</si>
  <si>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</si>
  <si>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</si>
  <si>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</si>
  <si>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</si>
  <si>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</si>
  <si>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</si>
  <si>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</si>
  <si>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</si>
  <si>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</si>
  <si>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</si>
  <si>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</si>
  <si>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</si>
  <si>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</si>
  <si>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</si>
  <si>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</si>
  <si>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</si>
  <si>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</si>
  <si>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</si>
  <si>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</si>
  <si>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</si>
  <si>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</si>
  <si>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</si>
  <si>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</si>
  <si>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</si>
  <si>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</si>
  <si>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</si>
  <si>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</si>
  <si>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</si>
  <si>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</si>
  <si>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</si>
  <si>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</si>
  <si>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</si>
  <si>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</si>
  <si>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</si>
  <si>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</si>
  <si>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</si>
  <si>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</si>
  <si>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</si>
  <si>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</si>
  <si>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</si>
  <si>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</si>
  <si>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</si>
  <si>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</si>
  <si>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</si>
  <si>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</si>
  <si>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</si>
  <si>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</si>
  <si>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</si>
  <si>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</si>
  <si>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</si>
  <si>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</si>
  <si>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</si>
  <si>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</si>
  <si>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</si>
  <si>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</si>
  <si>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</si>
  <si>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</si>
  <si>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</si>
  <si>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</si>
  <si>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</si>
  <si>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</si>
  <si>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</si>
  <si>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</si>
  <si>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</si>
  <si>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</si>
  <si>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</si>
  <si>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</si>
  <si>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</si>
  <si>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</si>
  <si>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</si>
  <si>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</si>
  <si>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</si>
  <si>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</si>
  <si>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</si>
  <si>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</si>
  <si>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</si>
  <si>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</si>
  <si>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</si>
  <si>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</si>
  <si>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</si>
  <si>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</si>
  <si>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</si>
  <si>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</si>
  <si>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</si>
  <si>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</si>
  <si>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</si>
  <si>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</si>
  <si>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</si>
  <si>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</si>
  <si>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</si>
  <si>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</si>
  <si>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</si>
  <si>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</si>
  <si>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</si>
  <si>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</si>
  <si>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</si>
  <si>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</si>
  <si>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</si>
  <si>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</si>
  <si>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</si>
  <si>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</si>
  <si>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</si>
  <si>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</si>
  <si>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</si>
  <si>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</si>
  <si>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</si>
  <si>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</si>
  <si>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</si>
  <si>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</si>
  <si>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</si>
  <si>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</si>
  <si>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</si>
  <si>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</si>
  <si>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</si>
  <si>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</si>
  <si>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</si>
  <si>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</si>
  <si>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</si>
  <si>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</si>
  <si>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</si>
  <si>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</si>
  <si>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</si>
  <si>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</si>
  <si>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</si>
  <si>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</si>
  <si>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</si>
  <si>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</si>
  <si>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</si>
  <si>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</si>
  <si>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</si>
  <si>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</si>
  <si>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</si>
  <si>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</si>
  <si>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</si>
  <si>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</si>
  <si>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</si>
  <si>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</si>
  <si>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</si>
  <si>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</si>
  <si>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</si>
  <si>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</si>
  <si>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</si>
  <si>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</si>
  <si>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</si>
  <si>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</si>
  <si>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</si>
  <si>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</si>
  <si>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</si>
  <si>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</si>
  <si>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</si>
  <si>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</si>
  <si>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</si>
  <si>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</si>
  <si>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</si>
  <si>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</si>
  <si>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</si>
  <si>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</si>
  <si>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</si>
  <si>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</si>
  <si>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</si>
  <si>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</si>
  <si>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</si>
  <si>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</si>
  <si>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</si>
  <si>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</si>
  <si>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</si>
  <si>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</si>
  <si>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</si>
  <si>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</si>
  <si>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</si>
  <si>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</si>
  <si>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</si>
  <si>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</si>
  <si>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</si>
  <si>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</si>
  <si>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</si>
  <si>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</si>
  <si>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</si>
  <si>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</si>
  <si>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</si>
  <si>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</si>
  <si>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</si>
  <si>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</si>
  <si>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</si>
  <si>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</si>
  <si>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</si>
  <si>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</si>
  <si>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</si>
  <si>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</si>
  <si>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</si>
  <si>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</si>
  <si>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</si>
  <si>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</si>
  <si>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</si>
  <si>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</si>
  <si>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</si>
  <si>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</si>
  <si>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</si>
  <si>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</si>
  <si>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</si>
  <si>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</si>
  <si>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</si>
  <si>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</si>
  <si>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</si>
  <si>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</si>
  <si>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</si>
  <si>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</si>
  <si>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</si>
  <si>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</si>
  <si>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</si>
  <si>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</si>
  <si>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</si>
  <si>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</si>
  <si>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</si>
  <si>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</si>
  <si>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</si>
  <si>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</si>
  <si>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</si>
  <si>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</si>
  <si>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</si>
  <si>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</si>
  <si>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</si>
  <si>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</si>
  <si>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</si>
  <si>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</si>
  <si>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</si>
  <si>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</si>
  <si>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</si>
  <si>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</si>
  <si>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</si>
  <si>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</si>
  <si>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</si>
  <si>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</si>
  <si>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</si>
  <si>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</si>
  <si>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</si>
  <si>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</si>
  <si>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</si>
  <si>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</si>
  <si>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</si>
  <si>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</si>
  <si>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</si>
  <si>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</si>
  <si>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</si>
  <si>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</si>
  <si>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</si>
  <si>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</si>
  <si>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</si>
  <si>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</si>
  <si>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</si>
  <si>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</si>
  <si>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</si>
  <si>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</si>
  <si>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</si>
  <si>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</si>
  <si>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</si>
  <si>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</si>
  <si>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</si>
  <si>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</si>
  <si>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</si>
  <si>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</si>
  <si>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</si>
  <si>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</si>
  <si>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</si>
  <si>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</si>
  <si>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</si>
  <si>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</si>
  <si>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</si>
  <si>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</si>
  <si>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</si>
  <si>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</si>
  <si>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</si>
  <si>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</si>
  <si>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</si>
  <si>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</si>
  <si>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</si>
  <si>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</si>
  <si>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</si>
  <si>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</si>
  <si>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</si>
  <si>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</si>
  <si>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</si>
  <si>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</si>
  <si>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</si>
  <si>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</si>
  <si>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</si>
  <si>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</si>
  <si>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</si>
  <si>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</si>
  <si>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</si>
  <si>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</si>
  <si>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</si>
  <si>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</si>
  <si>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</si>
  <si>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</si>
  <si>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</si>
  <si>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</si>
  <si>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</si>
  <si>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</si>
  <si>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</si>
  <si>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</si>
  <si>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</si>
  <si>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</si>
  <si>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</si>
  <si>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</si>
  <si>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</si>
  <si>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</si>
  <si>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</si>
  <si>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</si>
  <si>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</si>
  <si>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</si>
  <si>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</si>
  <si>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</si>
  <si>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</si>
  <si>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</si>
  <si>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</si>
  <si>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</si>
  <si>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</si>
  <si>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</si>
  <si>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</si>
  <si>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</si>
  <si>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</si>
  <si>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</si>
  <si>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</si>
  <si>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</si>
  <si>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</si>
  <si>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</si>
  <si>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</si>
  <si>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</si>
  <si>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</si>
  <si>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</si>
  <si>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</si>
  <si>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</si>
  <si>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</si>
  <si>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</si>
  <si>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</si>
  <si>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</si>
  <si>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</si>
  <si>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</si>
  <si>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</si>
  <si>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</si>
  <si>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</si>
  <si>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</si>
  <si>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</si>
  <si>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</si>
  <si>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</si>
  <si>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</si>
  <si>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</si>
  <si>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</si>
  <si>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</si>
  <si>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</si>
  <si>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</si>
  <si>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</si>
  <si>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</si>
  <si>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</si>
  <si>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</si>
  <si>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</si>
  <si>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</si>
  <si>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</si>
  <si>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</si>
  <si>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</si>
  <si>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</si>
  <si>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</si>
  <si>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</si>
  <si>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</si>
  <si>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</si>
  <si>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</si>
  <si>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</si>
  <si>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</si>
  <si>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</si>
  <si>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</si>
  <si>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</si>
  <si>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</si>
  <si>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</si>
  <si>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</si>
  <si>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</si>
  <si>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</si>
  <si>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</si>
  <si>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</si>
  <si>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</si>
  <si>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</si>
  <si>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</si>
  <si>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</si>
  <si>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</si>
  <si>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</si>
  <si>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</si>
  <si>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</si>
  <si>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</si>
  <si>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</si>
  <si>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</si>
  <si>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</si>
  <si>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</si>
  <si>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</si>
  <si>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</si>
  <si>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</si>
  <si>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</si>
  <si>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</si>
  <si>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</si>
  <si>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</si>
  <si>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</si>
  <si>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</si>
  <si>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</si>
  <si>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</si>
  <si>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</si>
  <si>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</si>
  <si>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</si>
  <si>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</si>
  <si>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</si>
  <si>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</si>
  <si>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</si>
  <si>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</si>
  <si>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</si>
  <si>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</si>
  <si>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</si>
  <si>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</si>
  <si>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</si>
  <si>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</si>
  <si>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</si>
  <si>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</si>
  <si>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</si>
  <si>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</si>
  <si>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</si>
  <si>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</si>
  <si>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</si>
  <si>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</si>
  <si>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</si>
  <si>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</si>
  <si>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</si>
  <si>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</si>
  <si>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</si>
  <si>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</si>
  <si>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</si>
  <si>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</si>
  <si>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</si>
  <si>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</si>
  <si>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</si>
  <si>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</si>
  <si>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</si>
  <si>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</si>
  <si>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</si>
  <si>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</si>
  <si>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</si>
  <si>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</si>
  <si>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</si>
  <si>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</si>
  <si>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</si>
  <si>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</si>
  <si>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</si>
  <si>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</si>
  <si>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</si>
  <si>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</si>
  <si>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</si>
  <si>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</si>
  <si>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</si>
  <si>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</si>
  <si>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</si>
  <si>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</si>
  <si>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</si>
  <si>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</si>
  <si>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</si>
  <si>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</si>
  <si>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</si>
  <si>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</si>
  <si>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</si>
  <si>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</si>
  <si>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</si>
  <si>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</si>
  <si>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</si>
  <si>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</si>
  <si>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</si>
  <si>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</si>
  <si>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</si>
  <si>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</si>
  <si>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</si>
  <si>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</si>
  <si>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</si>
  <si>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</si>
  <si>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</si>
  <si>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</si>
  <si>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</si>
  <si>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</si>
  <si>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</si>
  <si>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</si>
  <si>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</si>
  <si>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</si>
  <si>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</si>
  <si>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</si>
  <si>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</si>
  <si>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</si>
  <si>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</si>
  <si>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</si>
  <si>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</si>
  <si>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</si>
  <si>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</si>
  <si>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</si>
  <si>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</si>
  <si>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</si>
  <si>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</si>
  <si>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</si>
  <si>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</si>
  <si>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</si>
  <si>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</si>
  <si>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</si>
  <si>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</si>
  <si>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</si>
  <si>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</si>
  <si>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</si>
  <si>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</si>
  <si>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</si>
  <si>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</si>
  <si>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</si>
  <si>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</si>
  <si>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</si>
  <si>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</si>
  <si>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</si>
  <si>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</si>
  <si>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</si>
  <si>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</si>
  <si>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</si>
  <si>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</si>
  <si>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</si>
  <si>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</si>
  <si>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</si>
  <si>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</si>
  <si>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</si>
  <si>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</si>
  <si>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</si>
  <si>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</si>
  <si>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</si>
  <si>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</si>
  <si>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</si>
  <si>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</si>
  <si>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</si>
  <si>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</si>
  <si>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</si>
  <si>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</si>
  <si>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</si>
  <si>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</si>
  <si>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</si>
  <si>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</si>
  <si>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</si>
  <si>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</si>
  <si>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</si>
  <si>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</si>
  <si>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</si>
  <si>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</si>
  <si>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</si>
  <si>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</si>
  <si>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</si>
  <si>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</si>
  <si>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</si>
  <si>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</si>
  <si>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</si>
  <si>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</si>
  <si>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</si>
  <si>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</si>
  <si>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</si>
  <si>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</si>
  <si>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</si>
  <si>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</si>
  <si>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</si>
  <si>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</si>
  <si>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</si>
  <si>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</si>
  <si>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</si>
  <si>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</si>
  <si>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</si>
  <si>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</si>
  <si>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</si>
  <si>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</si>
  <si>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</si>
  <si>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</si>
  <si>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</si>
  <si>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</si>
  <si>
    <t>Handle cases where find_phiend doesn't catch minimum</t>
  </si>
  <si>
    <t>\data\input\infile_1474.txt</t>
  </si>
  <si>
    <t>\data\input\infile_1475.txt</t>
  </si>
  <si>
    <t>\data\input\infile_1476.txt</t>
  </si>
  <si>
    <t>\data\input\infile_1477.txt</t>
  </si>
  <si>
    <t>\data\input\infile_1478.txt</t>
  </si>
  <si>
    <t>\data\input\infile_1479.txt</t>
  </si>
  <si>
    <t>\data\input\infile_1480.txt</t>
  </si>
  <si>
    <t>\data\input\infile_1481.txt</t>
  </si>
  <si>
    <t>\data\input\infile_1482.txt</t>
  </si>
  <si>
    <t>\data\input\infile_1483.txt</t>
  </si>
  <si>
    <t>\data\input\infile_1484.txt</t>
  </si>
  <si>
    <t>\data\input\infile_1485.txt</t>
  </si>
  <si>
    <t>\data\input\infile_1486.txt</t>
  </si>
  <si>
    <t>\data\input\infile_1487.txt</t>
  </si>
  <si>
    <t>\data\input\infile_1488.txt</t>
  </si>
  <si>
    <t>\data\input\infile_1489.txt</t>
  </si>
  <si>
    <t>\data\input\infile_1490.txt</t>
  </si>
  <si>
    <t>\data\input\infile_1491.txt</t>
  </si>
  <si>
    <t>\data\input\infile_1492.txt</t>
  </si>
  <si>
    <t>\data\input\infile_1493.txt</t>
  </si>
  <si>
    <t>\data\input\infile_1494.txt</t>
  </si>
  <si>
    <t>\data\input\infile_1495.txt</t>
  </si>
  <si>
    <t>\data\input\infile_1496.txt</t>
  </si>
  <si>
    <t>\data\input\infile_1497.txt</t>
  </si>
  <si>
    <t>\data\input\infile_1498.txt</t>
  </si>
  <si>
    <t>\data\input\infile_1499.txt</t>
  </si>
  <si>
    <t>\data\input\infile_1500.txt</t>
  </si>
  <si>
    <t>\data\input\infile_1501.txt</t>
  </si>
  <si>
    <t>\data\input\infile_1502.txt</t>
  </si>
  <si>
    <t>\data\input\infile_1503.txt</t>
  </si>
  <si>
    <t>\data\input\infile_1504.txt</t>
  </si>
  <si>
    <t>\data\input\infile_1505.txt</t>
  </si>
  <si>
    <t>\data\input\infile_1506.txt</t>
  </si>
  <si>
    <t>\data\input\infile_1507.txt</t>
  </si>
  <si>
    <t>\data\input\infile_1508.txt</t>
  </si>
  <si>
    <t>\data\input\infile_1509.txt</t>
  </si>
  <si>
    <t>\data\input\infile_1510.txt</t>
  </si>
  <si>
    <t>\data\input\infile_1511.txt</t>
  </si>
  <si>
    <t>\data\input\infile_1512.txt</t>
  </si>
  <si>
    <t>\data\input\infile_1513.txt</t>
  </si>
  <si>
    <t>\data\input\infile_1514.txt</t>
  </si>
  <si>
    <t>\data\input\infile_1515.txt</t>
  </si>
  <si>
    <t>\data\input\infile_1516.txt</t>
  </si>
  <si>
    <t>\data\input\infile_1517.txt</t>
  </si>
  <si>
    <t>\data\input\infile_1518.txt</t>
  </si>
  <si>
    <t>\data\input\infile_1519.txt</t>
  </si>
  <si>
    <t>\data\input\infile_1520.txt</t>
  </si>
  <si>
    <t>\data\input\infile_1521.txt</t>
  </si>
  <si>
    <t>\data\input\infile_1522.txt</t>
  </si>
  <si>
    <t>\data\input\infile_1523.txt</t>
  </si>
  <si>
    <t>\data\input\infile_1524.txt</t>
  </si>
  <si>
    <t>\data\input\infile_1525.txt</t>
  </si>
  <si>
    <t>\data\input\infile_1526.txt</t>
  </si>
  <si>
    <t>\data\input\infile_1527.txt</t>
  </si>
  <si>
    <t>\data\input\infile_1528.txt</t>
  </si>
  <si>
    <t>\data\input\infile_1529.txt</t>
  </si>
  <si>
    <t>\data\input\infile_1530.txt</t>
  </si>
  <si>
    <t>\data\input\infile_1531.txt</t>
  </si>
  <si>
    <t>\data\input\infile_1532.txt</t>
  </si>
  <si>
    <t>\data\input\infile_1533.txt</t>
  </si>
  <si>
    <t>\data\input\infile_1534.txt</t>
  </si>
  <si>
    <t>\data\input\infile_1535.txt</t>
  </si>
  <si>
    <t>\data\input\infile_1536.txt</t>
  </si>
  <si>
    <t>\data\input\infile_1537.txt</t>
  </si>
  <si>
    <t>\data\input\infile_1538.txt</t>
  </si>
  <si>
    <t>\data\input\infile_1539.txt</t>
  </si>
  <si>
    <t>\data\input\infile_1540.txt</t>
  </si>
  <si>
    <t>\data\input\infile_1541.txt</t>
  </si>
  <si>
    <t>\data\input\infile_1542.txt</t>
  </si>
  <si>
    <t>\data\input\infile_1543.txt</t>
  </si>
  <si>
    <t>\data\input\infile_1544.txt</t>
  </si>
  <si>
    <t>\data\input\infile_1545.txt</t>
  </si>
  <si>
    <t>\data\input\infile_1546.txt</t>
  </si>
  <si>
    <t>\data\input\infile_1547.txt</t>
  </si>
  <si>
    <t>\data\input\infile_1548.txt</t>
  </si>
  <si>
    <t>\data\input\infile_1549.txt</t>
  </si>
  <si>
    <t>\data\input\infile_1550.txt</t>
  </si>
  <si>
    <t>\data\input\infile_1551.txt</t>
  </si>
  <si>
    <t>\data\input\infile_1552.txt</t>
  </si>
  <si>
    <t>\data\input\infile_1553.txt</t>
  </si>
  <si>
    <t>\data\input\infile_1554.txt</t>
  </si>
  <si>
    <t>\data\input\infile_1555.txt</t>
  </si>
  <si>
    <t>\data\input\infile_1556.txt</t>
  </si>
  <si>
    <t>\data\input\infile_1557.txt</t>
  </si>
  <si>
    <t>\data\input\infile_1558.txt</t>
  </si>
  <si>
    <t>\data\input\infile_1559.txt</t>
  </si>
  <si>
    <t>\data\input\infile_1560.txt</t>
  </si>
  <si>
    <t>\data\input\infile_1561.txt</t>
  </si>
  <si>
    <t>\data\input\infile_1562.txt</t>
  </si>
  <si>
    <t>\data\input\infile_1563.txt</t>
  </si>
  <si>
    <t>0b5bbae</t>
  </si>
  <si>
    <t>\data\input\infile_1564.txt</t>
  </si>
  <si>
    <t>\data\input\infile_1565.txt</t>
  </si>
  <si>
    <t>\data\input\infile_1566.txt</t>
  </si>
  <si>
    <t>\data\input\infile_1567.txt</t>
  </si>
  <si>
    <t>\data\input\infile_1568.txt</t>
  </si>
  <si>
    <t>\data\input\infile_1569.txt</t>
  </si>
  <si>
    <t>\data\input\infile_1570.txt</t>
  </si>
  <si>
    <t>\data\input\infile_1571.txt</t>
  </si>
  <si>
    <t>\data\input\infile_1572.txt</t>
  </si>
  <si>
    <t>\data\input\infile_1573.txt</t>
  </si>
  <si>
    <t>\data\input\infile_1574.txt</t>
  </si>
  <si>
    <t>\data\input\infile_1575.txt</t>
  </si>
  <si>
    <t>\data\input\infile_1576.txt</t>
  </si>
  <si>
    <t>\data\input\infile_1577.txt</t>
  </si>
  <si>
    <t>\data\input\infile_1578.txt</t>
  </si>
  <si>
    <t>\data\input\infile_1579.txt</t>
  </si>
  <si>
    <t>\data\input\infile_1580.txt</t>
  </si>
  <si>
    <t>\data\input\infile_1581.txt</t>
  </si>
  <si>
    <t>\data\input\infile_1582.txt</t>
  </si>
  <si>
    <t>\data\input\infile_1583.txt</t>
  </si>
  <si>
    <t>\data\input\infile_1584.txt</t>
  </si>
  <si>
    <t>\data\input\infile_1585.txt</t>
  </si>
  <si>
    <t>\data\input\infile_1586.txt</t>
  </si>
  <si>
    <t>\data\input\infile_1587.txt</t>
  </si>
  <si>
    <t>\data\input\infile_1588.txt</t>
  </si>
  <si>
    <t>\data\input\infile_1589.txt</t>
  </si>
  <si>
    <t>\data\input\infile_1590.txt</t>
  </si>
  <si>
    <t>\data\input\infile_1591.txt</t>
  </si>
  <si>
    <t>\data\input\infile_1592.txt</t>
  </si>
  <si>
    <t>\data\input\infile_1593.txt</t>
  </si>
  <si>
    <t>\data\input\infile_1594.txt</t>
  </si>
  <si>
    <t>\data\input\infile_1595.txt</t>
  </si>
  <si>
    <t>\data\input\infile_1596.txt</t>
  </si>
  <si>
    <t>\data\input\infile_1597.txt</t>
  </si>
  <si>
    <t>\data\input\infile_1598.txt</t>
  </si>
  <si>
    <t>\data\input\infile_1599.txt</t>
  </si>
  <si>
    <t>\data\input\infile_1600.txt</t>
  </si>
  <si>
    <t>\data\input\infile_1601.txt</t>
  </si>
  <si>
    <t>\data\input\infile_1602.txt</t>
  </si>
  <si>
    <t>\data\input\infile_1603.txt</t>
  </si>
  <si>
    <t>\data\input\infile_1604.txt</t>
  </si>
  <si>
    <t>\data\input\infile_1605.txt</t>
  </si>
  <si>
    <t>\data\input\infile_1606.txt</t>
  </si>
  <si>
    <t>\data\input\infile_1607.txt</t>
  </si>
  <si>
    <t>\data\input\infile_1608.txt</t>
  </si>
  <si>
    <t>\data\input\infile_1609.txt</t>
  </si>
  <si>
    <t>\data\input\infile_1610.txt</t>
  </si>
  <si>
    <t>\data\input\infile_1611.txt</t>
  </si>
  <si>
    <t>\data\input\infile_1612.txt</t>
  </si>
  <si>
    <t>\data\input\infile_1613.txt</t>
  </si>
  <si>
    <t>\data\input\infile_1614.txt</t>
  </si>
  <si>
    <t>\data\input\infile_1615.txt</t>
  </si>
  <si>
    <t>\data\input\infile_1616.txt</t>
  </si>
  <si>
    <t>\data\input\infile_1617.txt</t>
  </si>
  <si>
    <t>\data\input\infile_1618.txt</t>
  </si>
  <si>
    <t>\data\input\infile_1619.txt</t>
  </si>
  <si>
    <t>\data\input\infile_1620.txt</t>
  </si>
  <si>
    <t>\data\input\infile_1621.txt</t>
  </si>
  <si>
    <t>\data\input\infile_1622.txt</t>
  </si>
  <si>
    <t>\data\input\infile_1623.txt</t>
  </si>
  <si>
    <t>\data\input\infile_1624.txt</t>
  </si>
  <si>
    <t>\data\input\infile_1625.txt</t>
  </si>
  <si>
    <t>\data\input\infile_1626.txt</t>
  </si>
  <si>
    <t>\data\input\infile_1627.txt</t>
  </si>
  <si>
    <t>\data\input\infile_1628.txt</t>
  </si>
  <si>
    <t>\data\input\infile_1629.txt</t>
  </si>
  <si>
    <t>\data\input\infile_1630.txt</t>
  </si>
  <si>
    <t>\data\input\infile_1631.txt</t>
  </si>
  <si>
    <t>\data\input\infile_1632.txt</t>
  </si>
  <si>
    <t>\data\input\infile_1633.txt</t>
  </si>
  <si>
    <t>\data\input\infile_1634.txt</t>
  </si>
  <si>
    <t>\data\input\infile_1635.txt</t>
  </si>
  <si>
    <t>\data\input\infile_1636.txt</t>
  </si>
  <si>
    <t>\data\input\infile_1637.txt</t>
  </si>
  <si>
    <t>\data\input\infile_1638.txt</t>
  </si>
  <si>
    <t>\data\input\infile_1639.txt</t>
  </si>
  <si>
    <t>\data\input\infile_1640.txt</t>
  </si>
  <si>
    <t>\data\input\infile_1641.txt</t>
  </si>
  <si>
    <t>\data\input\infile_1642.txt</t>
  </si>
  <si>
    <t>\data\input\infile_1643.txt</t>
  </si>
  <si>
    <t>\data\input\infile_1644.txt</t>
  </si>
  <si>
    <t>\data\input\infile_1645.txt</t>
  </si>
  <si>
    <t>\data\input\infile_1646.txt</t>
  </si>
  <si>
    <t>\data\input\infile_1647.txt</t>
  </si>
  <si>
    <t>\data\input\infile_1648.txt</t>
  </si>
  <si>
    <t>\data\input\infile_1649.txt</t>
  </si>
  <si>
    <t>\data\input\infile_1650.txt</t>
  </si>
  <si>
    <t>\data\input\infile_1651.txt</t>
  </si>
  <si>
    <t>\data\input\infile_1652.txt</t>
  </si>
  <si>
    <t>\data\input\infile_1653.txt</t>
  </si>
  <si>
    <t>\data\input\infile_1654.txt</t>
  </si>
  <si>
    <t>\data\input\infile_1655.txt</t>
  </si>
  <si>
    <t>\data\input\infile_1656.txt</t>
  </si>
  <si>
    <t>\data\input\infile_1657.txt</t>
  </si>
  <si>
    <t>\data\input\infile_1658.txt</t>
  </si>
  <si>
    <t>\data\input\infile_1659.txt</t>
  </si>
  <si>
    <t>\data\input\infile_1660.txt</t>
  </si>
  <si>
    <t>\data\input\infile_1661.txt</t>
  </si>
  <si>
    <t>\data\input\infile_1662.txt</t>
  </si>
  <si>
    <t>\data\input\infile_1663.txt</t>
  </si>
  <si>
    <t>\data\input\infile_1664.txt</t>
  </si>
  <si>
    <t>\data\input\infile_1665.txt</t>
  </si>
  <si>
    <t>\data\input\infile_1666.txt</t>
  </si>
  <si>
    <t>\data\input\infile_1667.txt</t>
  </si>
  <si>
    <t>\data\input\infile_1668.txt</t>
  </si>
  <si>
    <t>\data\input\infile_1669.txt</t>
  </si>
  <si>
    <t>\data\input\infile_1670.txt</t>
  </si>
  <si>
    <t>\data\input\infile_1671.txt</t>
  </si>
  <si>
    <t>\data\input\infile_1672.txt</t>
  </si>
  <si>
    <t>\data\input\infile_1673.txt</t>
  </si>
  <si>
    <t>\data\input\infile_1674.txt</t>
  </si>
  <si>
    <t>\data\input\infile_1675.txt</t>
  </si>
  <si>
    <t>\data\input\infile_1676.txt</t>
  </si>
  <si>
    <t>\data\input\infile_1677.txt</t>
  </si>
  <si>
    <t>\data\input\infile_1678.txt</t>
  </si>
  <si>
    <t>\data\input\infile_1679.txt</t>
  </si>
  <si>
    <t>\data\input\infile_1680.txt</t>
  </si>
  <si>
    <t>\data\input\infile_1681.txt</t>
  </si>
  <si>
    <t>\data\input\infile_1682.txt</t>
  </si>
  <si>
    <t>\data\input\infile_1683.txt</t>
  </si>
  <si>
    <t>\data\input\infile_1684.txt</t>
  </si>
  <si>
    <t>\data\input\infile_1685.txt</t>
  </si>
  <si>
    <t>\data\input\infile_1686.txt</t>
  </si>
  <si>
    <t>\data\input\infile_1687.txt</t>
  </si>
  <si>
    <t>\data\input\infile_1688.txt</t>
  </si>
  <si>
    <t>\data\input\infile_1689.txt</t>
  </si>
  <si>
    <t>\data\input\infile_1690.txt</t>
  </si>
  <si>
    <t>\data\input\infile_1691.txt</t>
  </si>
  <si>
    <t>\data\input\infile_1692.txt</t>
  </si>
  <si>
    <t>\data\input\infile_1693.txt</t>
  </si>
  <si>
    <t>\data\input\infile_1694.txt</t>
  </si>
  <si>
    <t>\data\input\infile_1695.txt</t>
  </si>
  <si>
    <t>\data\input\infile_1696.txt</t>
  </si>
  <si>
    <t>\data\input\infile_1697.txt</t>
  </si>
  <si>
    <t>\data\input\infile_1698.txt</t>
  </si>
  <si>
    <t>\data\input\infile_1699.txt</t>
  </si>
  <si>
    <t>\data\input\infile_1700.txt</t>
  </si>
  <si>
    <t>\data\input\infile_1701.txt</t>
  </si>
  <si>
    <t>\data\input\infile_1702.txt</t>
  </si>
  <si>
    <t>\data\input\infile_1703.txt</t>
  </si>
  <si>
    <t>\data\input\infile_1704.txt</t>
  </si>
  <si>
    <t>\data\input\infile_1705.txt</t>
  </si>
  <si>
    <t>\data\input\infile_1706.txt</t>
  </si>
  <si>
    <t>\data\input\infile_1707.txt</t>
  </si>
  <si>
    <t>\data\input\infile_1708.txt</t>
  </si>
  <si>
    <t>\data\input\infile_1709.txt</t>
  </si>
  <si>
    <t>\data\input\infile_1710.txt</t>
  </si>
  <si>
    <t>\data\input\infile_1711.txt</t>
  </si>
  <si>
    <t>\data\input\infile_1712.txt</t>
  </si>
  <si>
    <t>\data\input\infile_1713.txt</t>
  </si>
  <si>
    <t>\data\input\infile_1714.txt</t>
  </si>
  <si>
    <t>\data\input\infile_1715.txt</t>
  </si>
  <si>
    <t>\data\input\infile_1716.txt</t>
  </si>
  <si>
    <t>\data\input\infile_1717.txt</t>
  </si>
  <si>
    <t>\data\input\infile_1718.txt</t>
  </si>
  <si>
    <t>\data\input\infile_1719.txt</t>
  </si>
  <si>
    <t>\data\input\infile_1720.txt</t>
  </si>
  <si>
    <t>\data\input\infile_1721.txt</t>
  </si>
  <si>
    <t>\data\input\infile_1722.txt</t>
  </si>
  <si>
    <t>\data\input\infile_1723.txt</t>
  </si>
  <si>
    <t>\data\input\infile_1724.txt</t>
  </si>
  <si>
    <t>\data\input\infile_1725.txt</t>
  </si>
  <si>
    <t>\data\input\infile_1726.txt</t>
  </si>
  <si>
    <t>\data\input\infile_1727.txt</t>
  </si>
  <si>
    <t>\data\input\infile_1728.txt</t>
  </si>
  <si>
    <t>\data\input\infile_1729.txt</t>
  </si>
  <si>
    <t>\data\input\infile_1730.txt</t>
  </si>
  <si>
    <t>\data\input\infile_1731.txt</t>
  </si>
  <si>
    <t>\data\input\infile_1732.txt</t>
  </si>
  <si>
    <t>\data\input\infile_1733.txt</t>
  </si>
  <si>
    <t>\data\input\infile_1734.txt</t>
  </si>
  <si>
    <t>\data\input\infile_1735.txt</t>
  </si>
  <si>
    <t>\data\input\infile_1736.txt</t>
  </si>
  <si>
    <t>\data\input\infile_1737.txt</t>
  </si>
  <si>
    <t>\data\input\infile_1738.txt</t>
  </si>
  <si>
    <t>\data\input\infile_1739.txt</t>
  </si>
  <si>
    <t>\data\input\infile_1740.txt</t>
  </si>
  <si>
    <t>\data\input\infile_1741.txt</t>
  </si>
  <si>
    <t>\data\input\infile_1742.txt</t>
  </si>
  <si>
    <t>\data\input\infile_1743.txt</t>
  </si>
  <si>
    <t>C</t>
  </si>
  <si>
    <t>\data\input\infile_1744.txt</t>
  </si>
  <si>
    <t>\data\input\infile_1745.txt</t>
  </si>
  <si>
    <t>\data\input\infile_1746.txt</t>
  </si>
  <si>
    <t>\data\input\infile_1747.txt</t>
  </si>
  <si>
    <t>\data\input\infile_1748.txt</t>
  </si>
  <si>
    <t>\data\input\infile_1749.txt</t>
  </si>
  <si>
    <t>\data\input\infile_1750.txt</t>
  </si>
  <si>
    <t>\data\input\infile_1751.txt</t>
  </si>
  <si>
    <t>\data\input\infile_1752.txt</t>
  </si>
  <si>
    <t>\data\input\infile_1753.txt</t>
  </si>
  <si>
    <t>\data\input\infile_1754.txt</t>
  </si>
  <si>
    <t>\data\input\infile_1755.txt</t>
  </si>
  <si>
    <t>\data\input\infile_1756.txt</t>
  </si>
  <si>
    <t>\data\input\infile_1757.txt</t>
  </si>
  <si>
    <t>\data\input\infile_1758.txt</t>
  </si>
  <si>
    <t>\data\input\infile_1759.txt</t>
  </si>
  <si>
    <t>\data\input\infile_1760.txt</t>
  </si>
  <si>
    <t>\data\input\infile_1761.txt</t>
  </si>
  <si>
    <t>\data\input\infile_1762.txt</t>
  </si>
  <si>
    <t>\data\input\infile_1763.txt</t>
  </si>
  <si>
    <t>\data\input\infile_1764.txt</t>
  </si>
  <si>
    <t>\data\input\infile_1765.txt</t>
  </si>
  <si>
    <t>\data\input\infile_1766.txt</t>
  </si>
  <si>
    <t>\data\input\infile_1767.txt</t>
  </si>
  <si>
    <t>\data\input\infile_1768.txt</t>
  </si>
  <si>
    <t>\data\input\infile_1769.txt</t>
  </si>
  <si>
    <t>\data\input\infile_1770.txt</t>
  </si>
  <si>
    <t>\data\input\infile_1771.txt</t>
  </si>
  <si>
    <t>\data\input\infile_1772.txt</t>
  </si>
  <si>
    <t>\data\input\infile_1773.txt</t>
  </si>
  <si>
    <t>\data\input\infile_1774.txt</t>
  </si>
  <si>
    <t>\data\input\infile_1775.txt</t>
  </si>
  <si>
    <t>\data\input\infile_1776.txt</t>
  </si>
  <si>
    <t>\data\input\infile_1777.txt</t>
  </si>
  <si>
    <t>\data\input\infile_1778.txt</t>
  </si>
  <si>
    <t>\data\input\infile_1779.txt</t>
  </si>
  <si>
    <t>\data\input\infile_1780.txt</t>
  </si>
  <si>
    <t>\data\input\infile_1781.txt</t>
  </si>
  <si>
    <t>\data\input\infile_1782.txt</t>
  </si>
  <si>
    <t>\data\input\infile_1783.txt</t>
  </si>
  <si>
    <t>\data\input\infile_1784.txt</t>
  </si>
  <si>
    <t>\data\input\infile_1785.txt</t>
  </si>
  <si>
    <t>\data\input\infile_1786.txt</t>
  </si>
  <si>
    <t>\data\input\infile_1787.txt</t>
  </si>
  <si>
    <t>\data\input\infile_1788.txt</t>
  </si>
  <si>
    <t>\data\input\infile_1789.txt</t>
  </si>
  <si>
    <t>\data\input\infile_1790.txt</t>
  </si>
  <si>
    <t>\data\input\infile_1791.txt</t>
  </si>
  <si>
    <t>\data\input\infile_1792.txt</t>
  </si>
  <si>
    <t>\data\input\infile_1793.txt</t>
  </si>
  <si>
    <t>\data\input\infile_1794.txt</t>
  </si>
  <si>
    <t>\data\input\infile_1795.txt</t>
  </si>
  <si>
    <t>\data\input\infile_1796.txt</t>
  </si>
  <si>
    <t>\data\input\infile_1797.txt</t>
  </si>
  <si>
    <t>\data\input\infile_1798.txt</t>
  </si>
  <si>
    <t>\data\input\infile_1799.txt</t>
  </si>
  <si>
    <t>\data\input\infile_1800.txt</t>
  </si>
  <si>
    <t>\data\input\infile_1801.txt</t>
  </si>
  <si>
    <t>\data\input\infile_1802.txt</t>
  </si>
  <si>
    <t>\data\input\infile_1803.txt</t>
  </si>
  <si>
    <t>\data\input\infile_1804.txt</t>
  </si>
  <si>
    <t>\data\input\infile_1805.txt</t>
  </si>
  <si>
    <t>\data\input\infile_1806.txt</t>
  </si>
  <si>
    <t>\data\input\infile_1807.txt</t>
  </si>
  <si>
    <t>\data\input\infile_1808.txt</t>
  </si>
  <si>
    <t>\data\input\infile_1809.txt</t>
  </si>
  <si>
    <t>\data\input\infile_1810.txt</t>
  </si>
  <si>
    <t>\data\input\infile_1811.txt</t>
  </si>
  <si>
    <t>\data\input\infile_1812.txt</t>
  </si>
  <si>
    <t>\data\input\infile_1813.txt</t>
  </si>
  <si>
    <t>\data\input\infile_1814.txt</t>
  </si>
  <si>
    <t>\data\input\infile_1815.txt</t>
  </si>
  <si>
    <t>\data\input\infile_1816.txt</t>
  </si>
  <si>
    <t>\data\input\infile_1817.txt</t>
  </si>
  <si>
    <t>\data\input\infile_1818.txt</t>
  </si>
  <si>
    <t>\data\input\infile_1819.txt</t>
  </si>
  <si>
    <t>\data\input\infile_1820.txt</t>
  </si>
  <si>
    <t>\data\input\infile_1821.txt</t>
  </si>
  <si>
    <t>\data\input\infile_1822.txt</t>
  </si>
  <si>
    <t>\data\input\infile_1823.txt</t>
  </si>
  <si>
    <t>\data\input\infile_1824.txt</t>
  </si>
  <si>
    <t>\data\input\infile_1825.txt</t>
  </si>
  <si>
    <t>\data\input\infile_1826.txt</t>
  </si>
  <si>
    <t>\data\input\infile_1827.txt</t>
  </si>
  <si>
    <t>\data\input\infile_1828.txt</t>
  </si>
  <si>
    <t>\data\input\infile_1829.txt</t>
  </si>
  <si>
    <t>\data\input\infile_1830.txt</t>
  </si>
  <si>
    <t>\data\input\infile_1831.txt</t>
  </si>
  <si>
    <t>\data\input\infile_1832.txt</t>
  </si>
  <si>
    <t>\data\input\infile_1833.txt</t>
  </si>
  <si>
    <t>\data\input\infile_1834.txt</t>
  </si>
  <si>
    <t>\data\input\infile_1835.txt</t>
  </si>
  <si>
    <t>\data\input\infile_1836.txt</t>
  </si>
  <si>
    <t>\data\input\infile_1837.txt</t>
  </si>
  <si>
    <t>\data\input\infile_1838.txt</t>
  </si>
  <si>
    <t>\data\input\infile_1839.txt</t>
  </si>
  <si>
    <t>\data\input\infile_1840.txt</t>
  </si>
  <si>
    <t>\data\input\infile_1841.txt</t>
  </si>
  <si>
    <t>\data\input\infile_1842.txt</t>
  </si>
  <si>
    <t>\data\input\infile_1843.txt</t>
  </si>
  <si>
    <t>\data\input\infile_1844.txt</t>
  </si>
  <si>
    <t>\data\input\infile_1845.txt</t>
  </si>
  <si>
    <t>\data\input\infile_1846.txt</t>
  </si>
  <si>
    <t>\data\input\infile_1847.txt</t>
  </si>
  <si>
    <t>\data\input\infile_1848.txt</t>
  </si>
  <si>
    <t>\data\input\infile_1849.txt</t>
  </si>
  <si>
    <t>\data\input\infile_1850.txt</t>
  </si>
  <si>
    <t>\data\input\infile_1851.txt</t>
  </si>
  <si>
    <t>\data\input\infile_1852.txt</t>
  </si>
  <si>
    <t>\data\input\infile_1853.txt</t>
  </si>
  <si>
    <t>\data\input\infile_1854.txt</t>
  </si>
  <si>
    <t>\data\input\infile_1855.txt</t>
  </si>
  <si>
    <t>\data\input\infile_1856.txt</t>
  </si>
  <si>
    <t>\data\input\infile_1857.txt</t>
  </si>
  <si>
    <t>\data\input\infile_1858.txt</t>
  </si>
  <si>
    <t>\data\input\infile_1859.txt</t>
  </si>
  <si>
    <t>\data\input\infile_1860.txt</t>
  </si>
  <si>
    <t>\data\input\infile_1861.txt</t>
  </si>
  <si>
    <t>\data\input\infile_1862.txt</t>
  </si>
  <si>
    <t>\data\input\infile_1863.txt</t>
  </si>
  <si>
    <t>\data\input\infile_1864.txt</t>
  </si>
  <si>
    <t>\data\input\infile_1865.txt</t>
  </si>
  <si>
    <t>\data\input\infile_1866.txt</t>
  </si>
  <si>
    <t>\data\input\infile_1867.txt</t>
  </si>
  <si>
    <t>\data\input\infile_1868.txt</t>
  </si>
  <si>
    <t>\data\input\infile_1869.txt</t>
  </si>
  <si>
    <t>\data\input\infile_1870.txt</t>
  </si>
  <si>
    <t>\data\input\infile_1871.txt</t>
  </si>
  <si>
    <t>\data\input\infile_1872.txt</t>
  </si>
  <si>
    <t>\data\input\infile_1873.txt</t>
  </si>
  <si>
    <t>\data\input\infile_1874.txt</t>
  </si>
  <si>
    <t>\data\input\infile_1875.txt</t>
  </si>
  <si>
    <t>\data\input\infile_1876.txt</t>
  </si>
  <si>
    <t>\data\input\infile_1877.txt</t>
  </si>
  <si>
    <t>\data\input\infile_1878.txt</t>
  </si>
  <si>
    <t>\data\input\infile_1879.txt</t>
  </si>
  <si>
    <t>\data\input\infile_1880.txt</t>
  </si>
  <si>
    <t>\data\input\infile_1881.txt</t>
  </si>
  <si>
    <t>\data\input\infile_1882.txt</t>
  </si>
  <si>
    <t>\data\input\infile_1883.txt</t>
  </si>
  <si>
    <t>\data\input\infile_1884.txt</t>
  </si>
  <si>
    <t>\data\input\infile_1885.txt</t>
  </si>
  <si>
    <t>\data\input\infile_1886.txt</t>
  </si>
  <si>
    <t>\data\input\infile_1887.txt</t>
  </si>
  <si>
    <t>\data\input\infile_1888.txt</t>
  </si>
  <si>
    <t>\data\input\infile_1889.txt</t>
  </si>
  <si>
    <t>\data\input\infile_1890.txt</t>
  </si>
  <si>
    <t>\data\input\infile_1891.txt</t>
  </si>
  <si>
    <t>\data\input\infile_1892.txt</t>
  </si>
  <si>
    <t>\data\input\infile_1893.txt</t>
  </si>
  <si>
    <t>\data\input\infile_1894.txt</t>
  </si>
  <si>
    <t>\data\input\infile_1895.txt</t>
  </si>
  <si>
    <t>\data\input\infile_1896.txt</t>
  </si>
  <si>
    <t>\data\input\infile_1897.txt</t>
  </si>
  <si>
    <t>\data\input\infile_1898.txt</t>
  </si>
  <si>
    <t>\data\input\infile_1899.txt</t>
  </si>
  <si>
    <t>\data\input\infile_1900.txt</t>
  </si>
  <si>
    <t>\data\input\infile_1901.txt</t>
  </si>
  <si>
    <t>\data\input\infile_1902.txt</t>
  </si>
  <si>
    <t>\data\input\infile_1903.txt</t>
  </si>
  <si>
    <t>\data\input\infile_1904.txt</t>
  </si>
  <si>
    <t>\data\input\infile_1905.txt</t>
  </si>
  <si>
    <t>\data\input\infile_1906.txt</t>
  </si>
  <si>
    <t>\data\input\infile_1907.txt</t>
  </si>
  <si>
    <t>\data\input\infile_1908.txt</t>
  </si>
  <si>
    <t>\data\input\infile_1909.txt</t>
  </si>
  <si>
    <t>\data\input\infile_1910.txt</t>
  </si>
  <si>
    <t>\data\input\infile_1911.txt</t>
  </si>
  <si>
    <t>\data\input\infile_1912.txt</t>
  </si>
  <si>
    <t>\data\input\infile_1913.txt</t>
  </si>
  <si>
    <t>\data\input\infile_1914.txt</t>
  </si>
  <si>
    <t>\data\input\infile_1915.txt</t>
  </si>
  <si>
    <t>\data\input\infile_1916.txt</t>
  </si>
  <si>
    <t>\data\input\infile_1917.txt</t>
  </si>
  <si>
    <t>\data\input\infile_1918.txt</t>
  </si>
  <si>
    <t>\data\input\infile_1919.txt</t>
  </si>
  <si>
    <t>\data\input\infile_1920.txt</t>
  </si>
  <si>
    <t>\data\input\infile_1921.txt</t>
  </si>
  <si>
    <t>\data\input\infile_1922.txt</t>
  </si>
  <si>
    <t>\data\input\infile_1923.txt</t>
  </si>
  <si>
    <t>\data\input\infile_1924.txt</t>
  </si>
  <si>
    <t>\data\input\infile_1925.txt</t>
  </si>
  <si>
    <t>\data\input\infile_1926.txt</t>
  </si>
  <si>
    <t>\data\input\infile_1927.txt</t>
  </si>
  <si>
    <t>\data\input\infile_1928.txt</t>
  </si>
  <si>
    <t>\data\input\infile_1929.txt</t>
  </si>
  <si>
    <t>\data\input\infile_1930.txt</t>
  </si>
  <si>
    <t>\data\input\infile_1931.txt</t>
  </si>
  <si>
    <t>\data\input\infile_1932.txt</t>
  </si>
  <si>
    <t>\data\input\infile_1933.txt</t>
  </si>
  <si>
    <t>\data\input\infile_1934.txt</t>
  </si>
  <si>
    <t>\data\input\infile_1935.txt</t>
  </si>
  <si>
    <t>\data\input\infile_1936.txt</t>
  </si>
  <si>
    <t>\data\input\infile_1937.txt</t>
  </si>
  <si>
    <t>\data\input\infile_1938.txt</t>
  </si>
  <si>
    <t>\data\input\infile_1939.txt</t>
  </si>
  <si>
    <t>\data\input\infile_1940.txt</t>
  </si>
  <si>
    <t>\data\input\infile_1941.txt</t>
  </si>
  <si>
    <t>\data\input\infile_1942.txt</t>
  </si>
  <si>
    <t>\data\input\infile_1943.txt</t>
  </si>
  <si>
    <t>\data\input\infile_1944.txt</t>
  </si>
  <si>
    <t>\data\input\infile_1945.txt</t>
  </si>
  <si>
    <t>\data\input\infile_1946.txt</t>
  </si>
  <si>
    <t>\data\input\infile_1947.txt</t>
  </si>
  <si>
    <t>\data\input\infile_1948.txt</t>
  </si>
  <si>
    <t>\data\input\infile_1949.txt</t>
  </si>
  <si>
    <t>\data\input\infile_1950.txt</t>
  </si>
  <si>
    <t>\data\input\infile_1951.txt</t>
  </si>
  <si>
    <t>\data\input\infile_1952.txt</t>
  </si>
  <si>
    <t>\data\input\infile_1953.txt</t>
  </si>
  <si>
    <t>\data\input\infile_1954.txt</t>
  </si>
  <si>
    <t>\data\input\infile_1955.txt</t>
  </si>
  <si>
    <t>\data\input\infile_1956.txt</t>
  </si>
  <si>
    <t>\data\input\infile_1957.txt</t>
  </si>
  <si>
    <t>\data\input\infile_1958.txt</t>
  </si>
  <si>
    <t>\data\input\infile_1959.txt</t>
  </si>
  <si>
    <t>\data\input\infile_1960.txt</t>
  </si>
  <si>
    <t>\data\input\infile_1961.txt</t>
  </si>
  <si>
    <t>\data\input\infile_1962.txt</t>
  </si>
  <si>
    <t>\data\input\infile_1963.txt</t>
  </si>
  <si>
    <t>\data\input\infile_1964.txt</t>
  </si>
  <si>
    <t>\data\input\infile_1965.txt</t>
  </si>
  <si>
    <t>\data\input\infile_1966.txt</t>
  </si>
  <si>
    <t>\data\input\infile_1967.txt</t>
  </si>
  <si>
    <t>\data\input\infile_1968.txt</t>
  </si>
  <si>
    <t>\data\input\infile_1969.txt</t>
  </si>
  <si>
    <t>\data\input\infile_1970.txt</t>
  </si>
  <si>
    <t>\data\input\infile_1971.txt</t>
  </si>
  <si>
    <t>\data\input\infile_1972.txt</t>
  </si>
  <si>
    <t>\data\input\infile_1973.txt</t>
  </si>
  <si>
    <t>\data\input\infile_1974.txt</t>
  </si>
  <si>
    <t>\data\input\infile_1975.txt</t>
  </si>
  <si>
    <t>\data\input\infile_1976.txt</t>
  </si>
  <si>
    <t>\data\input\infile_1977.txt</t>
  </si>
  <si>
    <t>\data\input\infile_1978.txt</t>
  </si>
  <si>
    <t>\data\input\infile_1979.txt</t>
  </si>
  <si>
    <t>\data\input\infile_1980.txt</t>
  </si>
  <si>
    <t>\data\input\infile_1981.txt</t>
  </si>
  <si>
    <t>\data\input\infile_1982.txt</t>
  </si>
  <si>
    <t>\data\input\infile_1983.txt</t>
  </si>
  <si>
    <t>\data\input\infile_1984.txt</t>
  </si>
  <si>
    <t>\data\input\infile_1985.txt</t>
  </si>
  <si>
    <t>\data\input\infile_1986.txt</t>
  </si>
  <si>
    <t>\data\input\infile_1987.txt</t>
  </si>
  <si>
    <t>\data\input\infile_1988.txt</t>
  </si>
  <si>
    <t>\data\input\infile_1989.txt</t>
  </si>
  <si>
    <t>\data\input\infile_1990.txt</t>
  </si>
  <si>
    <t>\data\input\infile_1991.txt</t>
  </si>
  <si>
    <t>\data\input\infile_1992.txt</t>
  </si>
  <si>
    <t>\data\input\infile_1993.txt</t>
  </si>
  <si>
    <t>\data\input\infile_1994.txt</t>
  </si>
  <si>
    <t>\data\input\infile_1995.txt</t>
  </si>
  <si>
    <t>\data\input\infile_1996.txt</t>
  </si>
  <si>
    <t>\data\input\infile_1997.txt</t>
  </si>
  <si>
    <t>\data\input\infile_1998.txt</t>
  </si>
  <si>
    <t>\data\input\infile_1999.txt</t>
  </si>
  <si>
    <t>\data\input\infile_2000.txt</t>
  </si>
  <si>
    <t>\data\input\infile_2001.txt</t>
  </si>
  <si>
    <t>\data\input\infile_2002.txt</t>
  </si>
  <si>
    <t>\data\input\infile_2003.txt</t>
  </si>
  <si>
    <t>\data\input\infile_2004.txt</t>
  </si>
  <si>
    <t>\data\input\infile_2005.txt</t>
  </si>
  <si>
    <t>\data\input\infile_2006.txt</t>
  </si>
  <si>
    <t>\data\input\infile_2007.txt</t>
  </si>
  <si>
    <t>\data\input\infile_2008.txt</t>
  </si>
  <si>
    <t>\data\input\infile_2009.txt</t>
  </si>
  <si>
    <t>\data\input\infile_2010.txt</t>
  </si>
  <si>
    <t>\data\input\infile_2011.txt</t>
  </si>
  <si>
    <t>\data\input\infile_2012.txt</t>
  </si>
  <si>
    <t>\data\input\infile_2013.txt</t>
  </si>
  <si>
    <t>\data\input\infile_2014.txt</t>
  </si>
  <si>
    <t>\data\input\infile_2015.txt</t>
  </si>
  <si>
    <t>\data\input\infile_2016.txt</t>
  </si>
  <si>
    <t>\data\input\infile_2017.txt</t>
  </si>
  <si>
    <t>\data\input\infile_2018.txt</t>
  </si>
  <si>
    <t>\data\input\infile_2019.txt</t>
  </si>
  <si>
    <t>\data\input\infile_2020.txt</t>
  </si>
  <si>
    <t>\data\input\infile_2021.txt</t>
  </si>
  <si>
    <t>\data\input\infile_2022.txt</t>
  </si>
  <si>
    <t>\data\input\infile_2023.txt</t>
  </si>
  <si>
    <t>\data\input\infile_2024.txt</t>
  </si>
  <si>
    <t>\data\input\infile_2025.txt</t>
  </si>
  <si>
    <t>\data\input\infile_2026.txt</t>
  </si>
  <si>
    <t>\data\input\infile_2027.txt</t>
  </si>
  <si>
    <t>\data\input\infile_2028.txt</t>
  </si>
  <si>
    <t>\data\input\infile_2029.txt</t>
  </si>
  <si>
    <t>\data\input\infile_2030.txt</t>
  </si>
  <si>
    <t>\data\input\infile_2031.txt</t>
  </si>
  <si>
    <t>\data\input\infile_2032.txt</t>
  </si>
  <si>
    <t>\data\input\infile_2033.txt</t>
  </si>
  <si>
    <t>\data\input\infile_2034.txt</t>
  </si>
  <si>
    <t>\data\input\infile_2035.txt</t>
  </si>
  <si>
    <t>\data\input\infile_2036.txt</t>
  </si>
  <si>
    <t>\data\input\infile_2037.txt</t>
  </si>
  <si>
    <t>\data\input\infile_2038.txt</t>
  </si>
  <si>
    <t>\data\input\infile_2039.txt</t>
  </si>
  <si>
    <t>\data\input\infile_2040.txt</t>
  </si>
  <si>
    <t>\data\input\infile_2041.txt</t>
  </si>
  <si>
    <t>\data\input\infile_2042.txt</t>
  </si>
  <si>
    <t>\data\input\infile_2043.txt</t>
  </si>
  <si>
    <t>\data\input\infile_2044.txt</t>
  </si>
  <si>
    <t>\data\input\infile_2045.txt</t>
  </si>
  <si>
    <t>\data\input\infile_2046.txt</t>
  </si>
  <si>
    <t>\data\input\infile_2047.txt</t>
  </si>
  <si>
    <t>\data\input\infile_2048.txt</t>
  </si>
  <si>
    <t>\data\input\infile_2049.txt</t>
  </si>
  <si>
    <t>\data\input\infile_2050.txt</t>
  </si>
  <si>
    <t>\data\input\infile_2051.txt</t>
  </si>
  <si>
    <t>\data\input\infile_2052.txt</t>
  </si>
  <si>
    <t>\data\input\infile_2053.txt</t>
  </si>
  <si>
    <t>\data\input\infile_2054.txt</t>
  </si>
  <si>
    <t>\data\input\infile_2055.txt</t>
  </si>
  <si>
    <t>\data\input\infile_2056.txt</t>
  </si>
  <si>
    <t>\data\input\infile_2057.txt</t>
  </si>
  <si>
    <t>\data\input\infile_2058.txt</t>
  </si>
  <si>
    <t>\data\input\infile_2059.txt</t>
  </si>
  <si>
    <t>\data\input\infile_2060.txt</t>
  </si>
  <si>
    <t>\data\input\infile_2061.txt</t>
  </si>
  <si>
    <t>\data\input\infile_2062.txt</t>
  </si>
  <si>
    <t>\data\input\infile_2063.txt</t>
  </si>
  <si>
    <t>\data\input\infile_2064.txt</t>
  </si>
  <si>
    <t>\data\input\infile_2065.txt</t>
  </si>
  <si>
    <t>\data\input\infile_2066.txt</t>
  </si>
  <si>
    <t>\data\input\infile_2067.txt</t>
  </si>
  <si>
    <t>\data\input\infile_2068.txt</t>
  </si>
  <si>
    <t>\data\input\infile_2069.txt</t>
  </si>
  <si>
    <t>\data\input\infile_2070.txt</t>
  </si>
  <si>
    <t>\data\input\infile_2071.txt</t>
  </si>
  <si>
    <t>\data\input\infile_2072.txt</t>
  </si>
  <si>
    <t>\data\input\infile_2073.txt</t>
  </si>
  <si>
    <t>\data\input\infile_2074.txt</t>
  </si>
  <si>
    <t>\data\input\infile_2075.txt</t>
  </si>
  <si>
    <t>\data\input\infile_2076.txt</t>
  </si>
  <si>
    <t>\data\input\infile_2077.txt</t>
  </si>
  <si>
    <t>\data\input\infile_2078.txt</t>
  </si>
  <si>
    <t>\data\input\infile_2079.txt</t>
  </si>
  <si>
    <t>\data\input\infile_2080.txt</t>
  </si>
  <si>
    <t>\data\input\infile_2081.txt</t>
  </si>
  <si>
    <t>\data\input\infile_2082.txt</t>
  </si>
  <si>
    <t>\data\input\infile_2083.txt</t>
  </si>
  <si>
    <t>\data\input\infile_2084.txt</t>
  </si>
  <si>
    <t>\data\input\infile_2085.txt</t>
  </si>
  <si>
    <t>\data\input\infile_2086.txt</t>
  </si>
  <si>
    <t>\data\input\infile_2087.txt</t>
  </si>
  <si>
    <t>\data\input\infile_2088.txt</t>
  </si>
  <si>
    <t>\data\input\infile_2089.txt</t>
  </si>
  <si>
    <t>\data\input\infile_2090.txt</t>
  </si>
  <si>
    <t>\data\input\infile_2091.txt</t>
  </si>
  <si>
    <t>\data\input\infile_2092.txt</t>
  </si>
  <si>
    <t>\data\input\infile_2093.txt</t>
  </si>
  <si>
    <t>\data\input\infile_2094.txt</t>
  </si>
  <si>
    <t>\data\input\infile_2095.txt</t>
  </si>
  <si>
    <t>\data\input\infile_2096.txt</t>
  </si>
  <si>
    <t>\data\input\infile_2097.txt</t>
  </si>
  <si>
    <t>\data\input\infile_2098.txt</t>
  </si>
  <si>
    <t>\data\input\infile_2099.txt</t>
  </si>
  <si>
    <t>\data\input\infile_2100.txt</t>
  </si>
  <si>
    <t>\data\input\infile_2101.txt</t>
  </si>
  <si>
    <t>\data\input\infile_2102.txt</t>
  </si>
  <si>
    <t>\data\input\infile_2103.txt</t>
  </si>
  <si>
    <t>Do Q,n_s,r screening in truncation step</t>
  </si>
  <si>
    <t>\data\input\infile_2104.txt</t>
  </si>
  <si>
    <t>\data\input\infile_2105.txt</t>
  </si>
  <si>
    <t>\data\input\infile_2106.txt</t>
  </si>
  <si>
    <t>\data\input\infile_2107.txt</t>
  </si>
  <si>
    <t>\data\input\infile_2108.txt</t>
  </si>
  <si>
    <t>\data\input\infile_2109.txt</t>
  </si>
  <si>
    <t>\data\input\infile_2110.txt</t>
  </si>
  <si>
    <t>\data\input\infile_2111.txt</t>
  </si>
  <si>
    <t>\data\input\infile_2112.txt</t>
  </si>
  <si>
    <t>\data\input\infile_2113.txt</t>
  </si>
  <si>
    <t>\data\input\infile_2114.txt</t>
  </si>
  <si>
    <t>\data\input\infile_2115.txt</t>
  </si>
  <si>
    <t>\data\input\infile_2116.txt</t>
  </si>
  <si>
    <t>\data\input\infile_2117.txt</t>
  </si>
  <si>
    <t>\data\input\infile_2118.txt</t>
  </si>
  <si>
    <t>\data\input\infile_2119.txt</t>
  </si>
  <si>
    <t>\data\input\infile_2120.txt</t>
  </si>
  <si>
    <t>\data\input\infile_2121.txt</t>
  </si>
  <si>
    <t>\data\input\infile_2122.txt</t>
  </si>
  <si>
    <t>\data\input\infile_2123.txt</t>
  </si>
  <si>
    <t>\data\input\infile_2124.txt</t>
  </si>
  <si>
    <t>\data\input\infile_2125.txt</t>
  </si>
  <si>
    <t>\data\input\infile_2126.txt</t>
  </si>
  <si>
    <t>\data\input\infile_2127.txt</t>
  </si>
  <si>
    <t>\data\input\infile_2128.txt</t>
  </si>
  <si>
    <t>\data\input\infile_2129.txt</t>
  </si>
  <si>
    <t>\data\input\infile_2130.txt</t>
  </si>
  <si>
    <t>\data\input\infile_2131.txt</t>
  </si>
  <si>
    <t>\data\input\infile_2132.txt</t>
  </si>
  <si>
    <t>\data\input\infile_2133.txt</t>
  </si>
  <si>
    <t>\data\input\infile_2134.txt</t>
  </si>
  <si>
    <t>\data\input\infile_2135.txt</t>
  </si>
  <si>
    <t>\data\input\infile_2136.txt</t>
  </si>
  <si>
    <t>\data\input\infile_2137.txt</t>
  </si>
  <si>
    <t>\data\input\infile_2138.txt</t>
  </si>
  <si>
    <t>\data\input\infile_2139.txt</t>
  </si>
  <si>
    <t>\data\input\infile_2140.txt</t>
  </si>
  <si>
    <t>\data\input\infile_2141.txt</t>
  </si>
  <si>
    <t>\data\input\infile_2142.txt</t>
  </si>
  <si>
    <t>\data\input\infile_2143.txt</t>
  </si>
  <si>
    <t>\data\input\infile_2144.txt</t>
  </si>
  <si>
    <t>\data\input\infile_2145.txt</t>
  </si>
  <si>
    <t>\data\input\infile_2146.txt</t>
  </si>
  <si>
    <t>\data\input\infile_2147.txt</t>
  </si>
  <si>
    <t>\data\input\infile_2148.txt</t>
  </si>
  <si>
    <t>\data\input\infile_2149.txt</t>
  </si>
  <si>
    <t>\data\input\infile_2150.txt</t>
  </si>
  <si>
    <t>\data\input\infile_2151.txt</t>
  </si>
  <si>
    <t>\data\input\infile_2152.txt</t>
  </si>
  <si>
    <t>\data\input\infile_2153.txt</t>
  </si>
  <si>
    <t>\data\input\infile_2154.txt</t>
  </si>
  <si>
    <t>\data\input\infile_2155.txt</t>
  </si>
  <si>
    <t>\data\input\infile_2156.txt</t>
  </si>
  <si>
    <t>\data\input\infile_2157.txt</t>
  </si>
  <si>
    <t>\data\input\infile_2158.txt</t>
  </si>
  <si>
    <t>\data\input\infile_2159.txt</t>
  </si>
  <si>
    <t>\data\input\infile_2160.txt</t>
  </si>
  <si>
    <t>\data\input\infile_2161.txt</t>
  </si>
  <si>
    <t>\data\input\infile_2162.txt</t>
  </si>
  <si>
    <t>\data\input\infile_2163.txt</t>
  </si>
  <si>
    <t>\data\input\infile_2164.txt</t>
  </si>
  <si>
    <t>\data\input\infile_2165.txt</t>
  </si>
  <si>
    <t>\data\input\infile_2166.txt</t>
  </si>
  <si>
    <t>\data\input\infile_2167.txt</t>
  </si>
  <si>
    <t>\data\input\infile_2168.txt</t>
  </si>
  <si>
    <t>\data\input\infile_2169.txt</t>
  </si>
  <si>
    <t>\data\input\infile_2170.txt</t>
  </si>
  <si>
    <t>\data\input\infile_2171.txt</t>
  </si>
  <si>
    <t>\data\input\infile_2172.txt</t>
  </si>
  <si>
    <t>\data\input\infile_2173.txt</t>
  </si>
  <si>
    <t>\data\input\infile_2174.txt</t>
  </si>
  <si>
    <t>\data\input\infile_2175.txt</t>
  </si>
  <si>
    <t>\data\input\infile_2176.txt</t>
  </si>
  <si>
    <t>\data\input\infile_2177.txt</t>
  </si>
  <si>
    <t>\data\input\infile_2178.txt</t>
  </si>
  <si>
    <t>\data\input\infile_2179.txt</t>
  </si>
  <si>
    <t>\data\input\infile_2180.txt</t>
  </si>
  <si>
    <t>\data\input\infile_2181.txt</t>
  </si>
  <si>
    <t>\data\input\infile_2182.txt</t>
  </si>
  <si>
    <t>\data\input\infile_2183.txt</t>
  </si>
  <si>
    <t>\data\input\infile_2184.txt</t>
  </si>
  <si>
    <t>Start simulations to fill out eternal inflation plot for MB</t>
  </si>
  <si>
    <t>Change fractions code to combine multiple output files with same mass scales</t>
  </si>
  <si>
    <t>Write up explanation of topological criterion</t>
  </si>
  <si>
    <t>Create stand-in figures explaning behavior of different measures</t>
  </si>
  <si>
    <t>Meas B with more samples in mass region with eternal inflation</t>
  </si>
  <si>
    <t>Meas A</t>
  </si>
  <si>
    <t>Meas C</t>
  </si>
  <si>
    <t>Meas B</t>
  </si>
  <si>
    <t>\data\input\infile_2185.txt</t>
  </si>
  <si>
    <t>\data\input\infile_2186.txt</t>
  </si>
  <si>
    <t>\data\input\infile_2187.txt</t>
  </si>
  <si>
    <t>\data\input\infile_2188.txt</t>
  </si>
  <si>
    <t>\data\input\infile_2189.txt</t>
  </si>
  <si>
    <t>\data\input\infile_2190.txt</t>
  </si>
  <si>
    <t>\data\input\infile_2191.txt</t>
  </si>
  <si>
    <t>\data\input\infile_2192.txt</t>
  </si>
  <si>
    <t>\data\input\infile_2193.txt</t>
  </si>
  <si>
    <t>\data\input\infile_2194.txt</t>
  </si>
  <si>
    <t>\data\input\infile_2195.txt</t>
  </si>
  <si>
    <t>\data\input\infile_2196.txt</t>
  </si>
  <si>
    <t>\data\input\infile_2197.txt</t>
  </si>
  <si>
    <t>\data\input\infile_2198.txt</t>
  </si>
  <si>
    <t>\data\input\infile_2199.txt</t>
  </si>
  <si>
    <t>\data\input\infile_2200.txt</t>
  </si>
  <si>
    <t>\data\input\infile_2201.txt</t>
  </si>
  <si>
    <t>\data\input\infile_2202.txt</t>
  </si>
  <si>
    <t>\data\input\infile_2203.txt</t>
  </si>
  <si>
    <t>\data\input\infile_2204.txt</t>
  </si>
  <si>
    <t>\data\input\infile_2205.txt</t>
  </si>
  <si>
    <t>\data\input\infile_2206.txt</t>
  </si>
  <si>
    <t>\data\input\infile_2207.txt</t>
  </si>
  <si>
    <t>\data\input\infile_2208.txt</t>
  </si>
  <si>
    <t>\data\input\infile_2209.txt</t>
  </si>
  <si>
    <t>\data\input\infile_2210.txt</t>
  </si>
  <si>
    <t>\data\input\infile_2211.txt</t>
  </si>
  <si>
    <t>\data\input\infile_2212.txt</t>
  </si>
  <si>
    <t>\data\input\infile_2213.txt</t>
  </si>
  <si>
    <t>\data\input\infile_2214.txt</t>
  </si>
  <si>
    <t>\data\input\infile_2215.txt</t>
  </si>
  <si>
    <t>\data\input\infile_2216.txt</t>
  </si>
  <si>
    <t>\data\input\infile_2217.txt</t>
  </si>
  <si>
    <t>\data\input\infile_2218.txt</t>
  </si>
  <si>
    <t>\data\input\infile_2219.txt</t>
  </si>
  <si>
    <t>\data\input\infile_2220.txt</t>
  </si>
  <si>
    <t>\data\input\infile_2221.txt</t>
  </si>
  <si>
    <t>\data\input\infile_2222.txt</t>
  </si>
  <si>
    <t>\data\input\infile_2223.txt</t>
  </si>
  <si>
    <t>\data\input\infile_2224.txt</t>
  </si>
  <si>
    <t>\data\input\infile_2225.txt</t>
  </si>
  <si>
    <t>\data\input\infile_2226.txt</t>
  </si>
  <si>
    <t>\data\input\infile_2227.txt</t>
  </si>
  <si>
    <t>\data\input\infile_2228.txt</t>
  </si>
  <si>
    <t>\data\input\infile_2229.txt</t>
  </si>
  <si>
    <t>\data\input\infile_2230.txt</t>
  </si>
  <si>
    <t>\data\input\infile_2231.txt</t>
  </si>
  <si>
    <t>\data\input\infile_2232.txt</t>
  </si>
  <si>
    <t>\data\input\infile_2233.txt</t>
  </si>
  <si>
    <t>\data\input\infile_2234.txt</t>
  </si>
  <si>
    <t>\data\input\infile_2235.txt</t>
  </si>
  <si>
    <t>\data\input\infile_2236.txt</t>
  </si>
  <si>
    <t>\data\input\infile_2237.txt</t>
  </si>
  <si>
    <t>\data\input\infile_2238.txt</t>
  </si>
  <si>
    <t>\data\input\infile_2239.txt</t>
  </si>
  <si>
    <t>\data\input\infile_2240.txt</t>
  </si>
  <si>
    <t>\data\input\infile_2241.txt</t>
  </si>
  <si>
    <t>\data\input\infile_2242.txt</t>
  </si>
  <si>
    <t>\data\input\infile_2243.txt</t>
  </si>
  <si>
    <t>\data\input\infile_2244.txt</t>
  </si>
  <si>
    <t>\data\input\infile_2245.txt</t>
  </si>
  <si>
    <t>\data\input\infile_2246.txt</t>
  </si>
  <si>
    <t>\data\input\infile_2247.txt</t>
  </si>
  <si>
    <t>\data\input\infile_2248.txt</t>
  </si>
  <si>
    <t>\data\input\infile_2249.txt</t>
  </si>
  <si>
    <t>\data\input\infile_2250.txt</t>
  </si>
  <si>
    <t>\data\input\infile_2251.txt</t>
  </si>
  <si>
    <t>\data\input\infile_2252.txt</t>
  </si>
  <si>
    <t>\data\input\infile_2253.txt</t>
  </si>
  <si>
    <t>\data\input\infile_2254.txt</t>
  </si>
  <si>
    <t>\data\input\infile_2255.txt</t>
  </si>
  <si>
    <t>\data\input\infile_2256.txt</t>
  </si>
  <si>
    <t>\data\input\infile_2257.txt</t>
  </si>
  <si>
    <t>\data\input\infile_2258.txt</t>
  </si>
  <si>
    <t>\data\input\infile_2259.txt</t>
  </si>
  <si>
    <t>\data\input\infile_2260.txt</t>
  </si>
  <si>
    <t>\data\input\infile_2261.txt</t>
  </si>
  <si>
    <t>\data\input\infile_2262.txt</t>
  </si>
  <si>
    <t>\data\input\infile_2263.txt</t>
  </si>
  <si>
    <t>\data\input\infile_2264.txt</t>
  </si>
  <si>
    <t>\data\input\infile_2265.txt</t>
  </si>
  <si>
    <t>Write about Measure B with and without tunneling</t>
  </si>
  <si>
    <t>Formalize data truncation from full output to downloadable chunks</t>
  </si>
  <si>
    <t>\data\input\infile_2266.txt</t>
  </si>
  <si>
    <t>\data\input\infile_2267.txt</t>
  </si>
  <si>
    <t>\data\input\infile_2268.txt</t>
  </si>
  <si>
    <t>\data\input\infile_2269.txt</t>
  </si>
  <si>
    <t>\data\input\infile_2270.txt</t>
  </si>
  <si>
    <t>\data\input\infile_2271.txt</t>
  </si>
  <si>
    <t>\data\input\infile_2272.txt</t>
  </si>
  <si>
    <t>\data\input\infile_2273.txt</t>
  </si>
  <si>
    <t>\data\input\infile_2274.txt</t>
  </si>
  <si>
    <t>\data\input\infile_2275.txt</t>
  </si>
  <si>
    <t>\data\input\infile_2276.txt</t>
  </si>
  <si>
    <t>\data\input\infile_2277.txt</t>
  </si>
  <si>
    <t>\data\input\infile_2278.txt</t>
  </si>
  <si>
    <t>\data\input\infile_2279.txt</t>
  </si>
  <si>
    <t>\data\input\infile_2280.txt</t>
  </si>
  <si>
    <t>\data\input\infile_2281.txt</t>
  </si>
  <si>
    <t>\data\input\infile_2282.txt</t>
  </si>
  <si>
    <t>\data\input\infile_2283.txt</t>
  </si>
  <si>
    <t>\data\input\infile_2284.txt</t>
  </si>
  <si>
    <t>\data\input\infile_2285.txt</t>
  </si>
  <si>
    <t>\data\input\infile_2286.txt</t>
  </si>
  <si>
    <t>\data\input\infile_2287.txt</t>
  </si>
  <si>
    <t>\data\input\infile_2288.txt</t>
  </si>
  <si>
    <t>\data\input\infile_2289.txt</t>
  </si>
  <si>
    <t>\data\input\infile_2290.txt</t>
  </si>
  <si>
    <t>\data\input\infile_2291.txt</t>
  </si>
  <si>
    <t>\data\input\infile_2292.txt</t>
  </si>
  <si>
    <t>\data\input\infile_2293.txt</t>
  </si>
  <si>
    <t>\data\input\infile_2294.txt</t>
  </si>
  <si>
    <t>\data\input\infile_2295.txt</t>
  </si>
  <si>
    <t>\data\input\infile_2296.txt</t>
  </si>
  <si>
    <t>\data\input\infile_2297.txt</t>
  </si>
  <si>
    <t>\data\input\infile_2298.txt</t>
  </si>
  <si>
    <t>\data\input\infile_2299.txt</t>
  </si>
  <si>
    <t>\data\input\infile_2300.txt</t>
  </si>
  <si>
    <t>\data\input\infile_2301.txt</t>
  </si>
  <si>
    <t>\data\input\infile_2302.txt</t>
  </si>
  <si>
    <t>\data\input\infile_2303.txt</t>
  </si>
  <si>
    <t>\data\input\infile_2304.txt</t>
  </si>
  <si>
    <t>\data\input\infile_2305.txt</t>
  </si>
  <si>
    <t>\data\input\infile_2306.txt</t>
  </si>
  <si>
    <t>\data\input\infile_2307.txt</t>
  </si>
  <si>
    <t>\data\input\infile_2308.txt</t>
  </si>
  <si>
    <t>\data\input\infile_2309.txt</t>
  </si>
  <si>
    <t>\data\input\infile_2310.txt</t>
  </si>
  <si>
    <t>\data\input\infile_2311.txt</t>
  </si>
  <si>
    <t>\data\input\infile_2312.txt</t>
  </si>
  <si>
    <t>\data\input\infile_2313.txt</t>
  </si>
  <si>
    <t>\data\input\infile_2314.txt</t>
  </si>
  <si>
    <t>\data\input\infile_2315.txt</t>
  </si>
  <si>
    <t>\data\input\infile_2316.txt</t>
  </si>
  <si>
    <t>\data\input\infile_2317.txt</t>
  </si>
  <si>
    <t>\data\input\infile_2318.txt</t>
  </si>
  <si>
    <t>\data\input\infile_2319.txt</t>
  </si>
  <si>
    <t>\data\input\infile_2320.txt</t>
  </si>
  <si>
    <t>\data\input\infile_2321.txt</t>
  </si>
  <si>
    <t>\data\input\infile_2322.txt</t>
  </si>
  <si>
    <t>\data\input\infile_2323.txt</t>
  </si>
  <si>
    <t>\data\input\infile_2324.txt</t>
  </si>
  <si>
    <t>\data\input\infile_2325.txt</t>
  </si>
  <si>
    <t>\data\input\infile_2326.txt</t>
  </si>
  <si>
    <t>\data\input\infile_2327.txt</t>
  </si>
  <si>
    <t>\data\input\infile_2328.txt</t>
  </si>
  <si>
    <t>\data\input\infile_2329.txt</t>
  </si>
  <si>
    <t>\data\input\infile_2330.txt</t>
  </si>
  <si>
    <t>\data\input\infile_2331.txt</t>
  </si>
  <si>
    <t>\data\input\infile_2332.txt</t>
  </si>
  <si>
    <t>\data\input\infile_2333.txt</t>
  </si>
  <si>
    <t>\data\input\infile_2334.txt</t>
  </si>
  <si>
    <t>\data\input\infile_2335.txt</t>
  </si>
  <si>
    <t>\data\input\infile_2336.txt</t>
  </si>
  <si>
    <t>\data\input\infile_2337.txt</t>
  </si>
  <si>
    <t>\data\input\infile_2338.txt</t>
  </si>
  <si>
    <t>\data\input\infile_2339.txt</t>
  </si>
  <si>
    <t>\data\input\infile_2340.txt</t>
  </si>
  <si>
    <t>\data\input\infile_2341.txt</t>
  </si>
  <si>
    <t>\data\input\infile_2342.txt</t>
  </si>
  <si>
    <t>\data\input\infile_2343.txt</t>
  </si>
  <si>
    <t>\data\input\infile_2344.txt</t>
  </si>
  <si>
    <t>\data\input\infile_2345.txt</t>
  </si>
  <si>
    <t>\data\input\infile_2346.txt</t>
  </si>
  <si>
    <t>\data\input\infile_2347.txt</t>
  </si>
  <si>
    <t>\data\input\infile_2348.txt</t>
  </si>
  <si>
    <t>\data\input\infile_2349.txt</t>
  </si>
  <si>
    <t>\data\input\infile_2350.txt</t>
  </si>
  <si>
    <t>\data\input\infile_2351.txt</t>
  </si>
  <si>
    <t>\data\input\infile_2352.txt</t>
  </si>
  <si>
    <t>\data\input\infile_2353.txt</t>
  </si>
  <si>
    <t>\data\input\infile_2354.txt</t>
  </si>
  <si>
    <t>\data\input\infile_2355.txt</t>
  </si>
  <si>
    <t>\data\input\infile_2356.txt</t>
  </si>
  <si>
    <t>\data\input\infile_2357.txt</t>
  </si>
  <si>
    <t>\data\input\infile_2358.txt</t>
  </si>
  <si>
    <t>\data\input\infile_2359.txt</t>
  </si>
  <si>
    <t>\data\input\infile_2360.txt</t>
  </si>
  <si>
    <t>\data\input\infile_2361.txt</t>
  </si>
  <si>
    <t>\data\input\infile_2362.txt</t>
  </si>
  <si>
    <t>\data\input\infile_2363.txt</t>
  </si>
  <si>
    <t>\data\input\infile_2364.txt</t>
  </si>
  <si>
    <t>\data\input\infile_2365.txt</t>
  </si>
  <si>
    <t>\data\input\infile_2366.txt</t>
  </si>
  <si>
    <t>\data\input\infile_2367.txt</t>
  </si>
  <si>
    <t>\data\input\infile_2368.txt</t>
  </si>
  <si>
    <t>\data\input\infile_2369.txt</t>
  </si>
  <si>
    <t>\data\input\infile_2370.txt</t>
  </si>
  <si>
    <t>\data\input\infile_2371.txt</t>
  </si>
  <si>
    <t>\data\input\infile_2372.txt</t>
  </si>
  <si>
    <t>\data\input\infile_2373.txt</t>
  </si>
  <si>
    <t>\data\input\infile_2374.txt</t>
  </si>
  <si>
    <t>\data\input\infile_2375.txt</t>
  </si>
  <si>
    <t>\data\input\infile_2376.txt</t>
  </si>
  <si>
    <t>\data\input\infile_2377.txt</t>
  </si>
  <si>
    <t>\data\input\infile_2378.txt</t>
  </si>
  <si>
    <t>\data\input\infile_2379.txt</t>
  </si>
  <si>
    <t>\data\input\infile_2380.txt</t>
  </si>
  <si>
    <t>\data\input\infile_2381.txt</t>
  </si>
  <si>
    <t>\data\input\infile_2382.txt</t>
  </si>
  <si>
    <t>\data\input\infile_2383.txt</t>
  </si>
  <si>
    <t>\data\input\infile_2384.txt</t>
  </si>
  <si>
    <t>\data\input\infile_2385.txt</t>
  </si>
  <si>
    <t>\data\input\infile_2386.txt</t>
  </si>
  <si>
    <t>\data\input\infile_2387.txt</t>
  </si>
  <si>
    <t>\data\input\infile_2388.txt</t>
  </si>
  <si>
    <t>\data\input\infile_2389.txt</t>
  </si>
  <si>
    <t>\data\input\infile_2390.txt</t>
  </si>
  <si>
    <t>\data\input\infile_2391.txt</t>
  </si>
  <si>
    <t>\data\input\infile_2392.txt</t>
  </si>
  <si>
    <t>\data\input\infile_2393.txt</t>
  </si>
  <si>
    <t>\data\input\infile_2394.txt</t>
  </si>
  <si>
    <t>\data\input\infile_2395.txt</t>
  </si>
  <si>
    <t>\data\input\infile_2396.txt</t>
  </si>
  <si>
    <t>\data\input\infile_2397.txt</t>
  </si>
  <si>
    <t>\data\input\infile_2398.txt</t>
  </si>
  <si>
    <t>\data\input\infile_2399.txt</t>
  </si>
  <si>
    <t>\data\input\infile_2400.txt</t>
  </si>
  <si>
    <t>\data\input\infile_2401.txt</t>
  </si>
  <si>
    <t>\data\input\infile_2402.txt</t>
  </si>
  <si>
    <t>\data\input\infile_2403.txt</t>
  </si>
  <si>
    <t>\data\input\infile_2404.txt</t>
  </si>
  <si>
    <t>\data\input\infile_2405.txt</t>
  </si>
  <si>
    <t>\data\input\infile_2406.txt</t>
  </si>
  <si>
    <t>\data\input\infile_2407.txt</t>
  </si>
  <si>
    <t>\data\input\infile_2408.txt</t>
  </si>
  <si>
    <t>\data\input\infile_2409.txt</t>
  </si>
  <si>
    <t>\data\input\infile_2410.txt</t>
  </si>
  <si>
    <t>\data\input\infile_2411.txt</t>
  </si>
  <si>
    <t>\data\input\infile_2412.txt</t>
  </si>
  <si>
    <t>\data\input\infile_2413.txt</t>
  </si>
  <si>
    <t>\data\input\infile_2414.txt</t>
  </si>
  <si>
    <t>\data\input\infile_2415.txt</t>
  </si>
  <si>
    <t>\data\input\infile_2416.txt</t>
  </si>
  <si>
    <t>\data\input\infile_2417.txt</t>
  </si>
  <si>
    <t>\data\input\infile_2418.txt</t>
  </si>
  <si>
    <t>\data\input\infile_2419.txt</t>
  </si>
  <si>
    <t>\data\input\infile_2420.txt</t>
  </si>
  <si>
    <t>\data\input\infile_2421.txt</t>
  </si>
  <si>
    <t>\data\input\infile_2422.txt</t>
  </si>
  <si>
    <t>\data\input\infile_2423.txt</t>
  </si>
  <si>
    <t>\data\input\infile_2424.txt</t>
  </si>
  <si>
    <t>\data\input\infile_2425.txt</t>
  </si>
  <si>
    <t>\data\input\infile_2426.txt</t>
  </si>
  <si>
    <t>\data\input\infile_2427.txt</t>
  </si>
  <si>
    <t>\data\input\infile_2428.txt</t>
  </si>
  <si>
    <t>\data\input\infile_2429.txt</t>
  </si>
  <si>
    <t>\data\input\infile_2430.txt</t>
  </si>
  <si>
    <t>\data\input\infile_2431.txt</t>
  </si>
  <si>
    <t>\data\input\infile_2432.txt</t>
  </si>
  <si>
    <t>\data\input\infile_2433.txt</t>
  </si>
  <si>
    <t>\data\input\infile_2434.txt</t>
  </si>
  <si>
    <t>\data\input\infile_2435.txt</t>
  </si>
  <si>
    <t>\data\input\infile_2436.txt</t>
  </si>
  <si>
    <t>\data\input\infile_2437.txt</t>
  </si>
  <si>
    <t>\data\input\infile_2438.txt</t>
  </si>
  <si>
    <t>\data\input\infile_2439.txt</t>
  </si>
  <si>
    <t>\data\input\infile_2440.txt</t>
  </si>
  <si>
    <t>\data\input\infile_2441.txt</t>
  </si>
  <si>
    <t>\data\input\infile_2442.txt</t>
  </si>
  <si>
    <t>\data\input\infile_2443.txt</t>
  </si>
  <si>
    <t>\data\input\infile_2444.txt</t>
  </si>
  <si>
    <t>\data\input\infile_2445.txt</t>
  </si>
  <si>
    <t>2ac84a3</t>
  </si>
  <si>
    <t>Meas A with mods to topological code</t>
  </si>
  <si>
    <t>Does mv with potential shift of 0.1 have same stats as 0.9*mv without shifting?</t>
  </si>
  <si>
    <t>\data\input\infile_2446.txt</t>
  </si>
  <si>
    <t>\data\input\infile_2447.txt</t>
  </si>
  <si>
    <t>\data\input\infile_2448.txt</t>
  </si>
  <si>
    <t>\data\input\infile_2449.txt</t>
  </si>
  <si>
    <t>\data\input\infile_2450.txt</t>
  </si>
  <si>
    <t>\data\input\infile_2451.txt</t>
  </si>
  <si>
    <t>\data\input\infile_2452.txt</t>
  </si>
  <si>
    <t>\data\input\infile_2453.txt</t>
  </si>
  <si>
    <t>\data\input\infile_2454.txt</t>
  </si>
  <si>
    <t>\data\input\infile_2455.txt</t>
  </si>
  <si>
    <t>\data\input\infile_2456.txt</t>
  </si>
  <si>
    <t>\data\input\infile_2457.txt</t>
  </si>
  <si>
    <t>\data\input\infile_2458.txt</t>
  </si>
  <si>
    <t>\data\input\infile_2459.txt</t>
  </si>
  <si>
    <t>\data\input\infile_2460.txt</t>
  </si>
  <si>
    <t>\data\input\infile_2461.txt</t>
  </si>
  <si>
    <t>\data\input\infile_2462.txt</t>
  </si>
  <si>
    <t>\data\input\infile_2463.txt</t>
  </si>
  <si>
    <t>\data\input\infile_2464.txt</t>
  </si>
  <si>
    <t>\data\input\infile_2465.txt</t>
  </si>
  <si>
    <t>\data\input\infile_2466.txt</t>
  </si>
  <si>
    <t>\data\input\infile_2467.txt</t>
  </si>
  <si>
    <t>\data\input\infile_2468.txt</t>
  </si>
  <si>
    <t>\data\input\infile_2469.txt</t>
  </si>
  <si>
    <t>\data\input\infile_2470.txt</t>
  </si>
  <si>
    <t>\data\input\infile_2471.txt</t>
  </si>
  <si>
    <t>\data\input\infile_2472.txt</t>
  </si>
  <si>
    <t>\data\input\infile_2473.txt</t>
  </si>
  <si>
    <t>\data\input\infile_2474.txt</t>
  </si>
  <si>
    <t>\data\input\infile_2475.txt</t>
  </si>
  <si>
    <t>\data\input\infile_2476.txt</t>
  </si>
  <si>
    <t>\data\input\infile_2477.txt</t>
  </si>
  <si>
    <t>\data\input\infile_2478.txt</t>
  </si>
  <si>
    <t>\data\input\infile_2479.txt</t>
  </si>
  <si>
    <t>\data\input\infile_2480.txt</t>
  </si>
  <si>
    <t>\data\input\infile_2481.txt</t>
  </si>
  <si>
    <t>\data\input\infile_2482.txt</t>
  </si>
  <si>
    <t>\data\input\infile_2483.txt</t>
  </si>
  <si>
    <t>\data\input\infile_2484.txt</t>
  </si>
  <si>
    <t>\data\input\infile_2485.txt</t>
  </si>
  <si>
    <t>\data\input\infile_2486.txt</t>
  </si>
  <si>
    <t>\data\input\infile_2487.txt</t>
  </si>
  <si>
    <t>\data\input\infile_2488.txt</t>
  </si>
  <si>
    <t>\data\input\infile_2489.txt</t>
  </si>
  <si>
    <t>\data\input\infile_2490.txt</t>
  </si>
  <si>
    <t>\data\input\infile_2491.txt</t>
  </si>
  <si>
    <t>\data\input\infile_2492.txt</t>
  </si>
  <si>
    <t>\data\input\infile_2493.txt</t>
  </si>
  <si>
    <t>\data\input\infile_2494.txt</t>
  </si>
  <si>
    <t>\data\input\infile_2495.txt</t>
  </si>
  <si>
    <t>\data\input\infile_2496.txt</t>
  </si>
  <si>
    <t>\data\input\infile_2497.txt</t>
  </si>
  <si>
    <t>\data\input\infile_2498.txt</t>
  </si>
  <si>
    <t>\data\input\infile_2499.txt</t>
  </si>
  <si>
    <t>\data\input\infile_2500.txt</t>
  </si>
  <si>
    <t>\data\input\infile_2501.txt</t>
  </si>
  <si>
    <t>\data\input\infile_2502.txt</t>
  </si>
  <si>
    <t>\data\input\infile_2503.txt</t>
  </si>
  <si>
    <t>\data\input\infile_2504.txt</t>
  </si>
  <si>
    <t>\data\input\infile_2505.txt</t>
  </si>
  <si>
    <t>\data\input\infile_2506.txt</t>
  </si>
  <si>
    <t>\data\input\infile_2507.txt</t>
  </si>
  <si>
    <t>\data\input\infile_2508.txt</t>
  </si>
  <si>
    <t>\data\input\infile_2509.txt</t>
  </si>
  <si>
    <t>\data\input\infile_2510.txt</t>
  </si>
  <si>
    <t>\data\input\infile_2511.txt</t>
  </si>
  <si>
    <t>\data\input\infile_2512.txt</t>
  </si>
  <si>
    <t>\data\input\infile_2513.txt</t>
  </si>
  <si>
    <t>\data\input\infile_2514.txt</t>
  </si>
  <si>
    <t>\data\input\infile_2515.txt</t>
  </si>
  <si>
    <t>\data\input\infile_2516.txt</t>
  </si>
  <si>
    <t>\data\input\infile_2517.txt</t>
  </si>
  <si>
    <t>\data\input\infile_2518.txt</t>
  </si>
  <si>
    <t>\data\input\infile_2519.txt</t>
  </si>
  <si>
    <t>\data\input\infile_2520.txt</t>
  </si>
  <si>
    <t>\data\input\infile_2521.txt</t>
  </si>
  <si>
    <t>\data\input\infile_2522.txt</t>
  </si>
  <si>
    <t>\data\input\infile_2523.txt</t>
  </si>
  <si>
    <t>\data\input\infile_2524.txt</t>
  </si>
  <si>
    <t>\data\input\infile_2525.txt</t>
  </si>
  <si>
    <t>\data\input\infile_2526.txt</t>
  </si>
  <si>
    <t>\data\input\infile_2527.txt</t>
  </si>
  <si>
    <t>\data\input\infile_2528.txt</t>
  </si>
  <si>
    <t>\data\input\infile_2529.txt</t>
  </si>
  <si>
    <t>\data\input\infile_2530.txt</t>
  </si>
  <si>
    <t>\data\input\infile_2531.txt</t>
  </si>
  <si>
    <t>\data\input\infile_2532.txt</t>
  </si>
  <si>
    <t>\data\input\infile_2533.txt</t>
  </si>
  <si>
    <t>\data\input\infile_2534.txt</t>
  </si>
  <si>
    <t>\data\input\infile_2535.txt</t>
  </si>
  <si>
    <t>\data\input\infile_2536.txt</t>
  </si>
  <si>
    <t>\data\input\infile_2537.txt</t>
  </si>
  <si>
    <t>\data\input\infile_2538.txt</t>
  </si>
  <si>
    <t>\data\input\infile_2539.txt</t>
  </si>
  <si>
    <t>\data\input\infile_2540.txt</t>
  </si>
  <si>
    <t>\data\input\infile_2541.txt</t>
  </si>
  <si>
    <t>\data\input\infile_2542.txt</t>
  </si>
  <si>
    <t>\data\input\infile_2543.txt</t>
  </si>
  <si>
    <t>\data\input\infile_2544.txt</t>
  </si>
  <si>
    <t>\data\input\infile_2545.txt</t>
  </si>
  <si>
    <t>\data\input\infile_2546.txt</t>
  </si>
  <si>
    <t>\data\input\infile_2547.txt</t>
  </si>
  <si>
    <t>\data\input\infile_2548.txt</t>
  </si>
  <si>
    <t>\data\input\infile_2549.txt</t>
  </si>
  <si>
    <t>\data\input\infile_2550.txt</t>
  </si>
  <si>
    <t>\data\input\infile_2551.txt</t>
  </si>
  <si>
    <t>\data\input\infile_2552.txt</t>
  </si>
  <si>
    <t>\data\input\infile_2553.txt</t>
  </si>
  <si>
    <t>\data\input\infile_2554.txt</t>
  </si>
  <si>
    <t>\data\input\infile_2555.txt</t>
  </si>
  <si>
    <t>\data\input\infile_2556.txt</t>
  </si>
  <si>
    <t>\data\input\infile_2557.txt</t>
  </si>
  <si>
    <t>\data\input\infile_2558.txt</t>
  </si>
  <si>
    <t>\data\input\infile_2559.txt</t>
  </si>
  <si>
    <t>\data\input\infile_2560.txt</t>
  </si>
  <si>
    <t>\data\input\infile_2561.txt</t>
  </si>
  <si>
    <t>\data\input\infile_2562.txt</t>
  </si>
  <si>
    <t>\data\input\infile_2563.txt</t>
  </si>
  <si>
    <t>\data\input\infile_2564.txt</t>
  </si>
  <si>
    <t>\data\input\infile_2565.txt</t>
  </si>
  <si>
    <t>\data\input\infile_2566.txt</t>
  </si>
  <si>
    <t>\data\input\infile_2567.txt</t>
  </si>
  <si>
    <t>\data\input\infile_2568.txt</t>
  </si>
  <si>
    <t>\data\input\infile_2569.txt</t>
  </si>
  <si>
    <t>\data\input\infile_2570.txt</t>
  </si>
  <si>
    <t>\data\input\infile_2571.txt</t>
  </si>
  <si>
    <t>\data\input\infile_2572.txt</t>
  </si>
  <si>
    <t>\data\input\infile_2573.txt</t>
  </si>
  <si>
    <t>\data\input\infile_2574.txt</t>
  </si>
  <si>
    <t>\data\input\infile_2575.txt</t>
  </si>
  <si>
    <t>\data\input\infile_2576.txt</t>
  </si>
  <si>
    <t>\data\input\infile_2577.txt</t>
  </si>
  <si>
    <t>\data\input\infile_2578.txt</t>
  </si>
  <si>
    <t>\data\input\infile_2579.txt</t>
  </si>
  <si>
    <t>\data\input\infile_2580.txt</t>
  </si>
  <si>
    <t>\data\input\infile_2581.txt</t>
  </si>
  <si>
    <t>\data\input\infile_2582.txt</t>
  </si>
  <si>
    <t>\data\input\infile_2583.txt</t>
  </si>
  <si>
    <t>\data\input\infile_2584.txt</t>
  </si>
  <si>
    <t>\data\input\infile_2585.txt</t>
  </si>
  <si>
    <t>\data\input\infile_2586.txt</t>
  </si>
  <si>
    <t>\data\input\infile_2587.txt</t>
  </si>
  <si>
    <t>\data\input\infile_2588.txt</t>
  </si>
  <si>
    <t>\data\input\infile_2589.txt</t>
  </si>
  <si>
    <t>\data\input\infile_2590.txt</t>
  </si>
  <si>
    <t>\data\input\infile_2591.txt</t>
  </si>
  <si>
    <t>\data\input\infile_2592.txt</t>
  </si>
  <si>
    <t>\data\input\infile_2593.txt</t>
  </si>
  <si>
    <t>\data\input\infile_2594.txt</t>
  </si>
  <si>
    <t>\data\input\infile_2595.txt</t>
  </si>
  <si>
    <t>\data\input\infile_2596.txt</t>
  </si>
  <si>
    <t>\data\input\infile_2597.txt</t>
  </si>
  <si>
    <t>\data\input\infile_2598.txt</t>
  </si>
  <si>
    <t>\data\input\infile_2599.txt</t>
  </si>
  <si>
    <t>\data\input\infile_2600.txt</t>
  </si>
  <si>
    <t>\data\input\infile_2601.txt</t>
  </si>
  <si>
    <t>\data\input\infile_2602.txt</t>
  </si>
  <si>
    <t>\data\input\infile_2603.txt</t>
  </si>
  <si>
    <t>\data\input\infile_2604.txt</t>
  </si>
  <si>
    <t>\data\input\infile_2605.txt</t>
  </si>
  <si>
    <t>\data\input\infile_2606.txt</t>
  </si>
  <si>
    <t>\data\input\infile_2607.txt</t>
  </si>
  <si>
    <t>\data\input\infile_2608.txt</t>
  </si>
  <si>
    <t>\data\input\infile_2609.txt</t>
  </si>
  <si>
    <t>\data\input\infile_2610.txt</t>
  </si>
  <si>
    <t>\data\input\infile_2611.txt</t>
  </si>
  <si>
    <t>\data\input\infile_2612.txt</t>
  </si>
  <si>
    <t>\data\input\infile_2613.txt</t>
  </si>
  <si>
    <t>\data\input\infile_2614.txt</t>
  </si>
  <si>
    <t>\data\input\infile_2615.txt</t>
  </si>
  <si>
    <t>\data\input\infile_2616.txt</t>
  </si>
  <si>
    <t>\data\input\infile_2617.txt</t>
  </si>
  <si>
    <t>\data\input\infile_2618.txt</t>
  </si>
  <si>
    <t>\data\input\infile_2619.txt</t>
  </si>
  <si>
    <t>\data\input\infile_2620.txt</t>
  </si>
  <si>
    <t>\data\input\infile_2621.txt</t>
  </si>
  <si>
    <t>\data\input\infile_2622.txt</t>
  </si>
  <si>
    <t>\data\input\infile_2623.txt</t>
  </si>
  <si>
    <t>\data\input\infile_2624.txt</t>
  </si>
  <si>
    <t>\data\input\infile_2625.txt</t>
  </si>
  <si>
    <t>\data\input\infile_2626.txt</t>
  </si>
  <si>
    <t>\data\input\infile_2627.txt</t>
  </si>
  <si>
    <t>\data\input\infile_2628.txt</t>
  </si>
  <si>
    <t>\data\input\infile_2629.txt</t>
  </si>
  <si>
    <t>\data\input\infile_2630.txt</t>
  </si>
  <si>
    <t>\data\input\infile_2631.txt</t>
  </si>
  <si>
    <t>\data\input\infile_2632.txt</t>
  </si>
  <si>
    <t>\data\input\infile_2633.txt</t>
  </si>
  <si>
    <t>\data\input\infile_2634.txt</t>
  </si>
  <si>
    <t>\data\input\infile_2635.txt</t>
  </si>
  <si>
    <t>\data\input\infile_2636.txt</t>
  </si>
  <si>
    <t>\data\input\infile_2637.txt</t>
  </si>
  <si>
    <t>Check reference for claim about \dot\phi attractor behavior</t>
  </si>
  <si>
    <t>Cite Max Wainwright's paper on CosmoTransitions</t>
  </si>
  <si>
    <t>Finish instanton pre-selection appendix</t>
  </si>
  <si>
    <t>Finish vacuum energy shift appendix</t>
  </si>
  <si>
    <t>7e2c8bc</t>
  </si>
  <si>
    <t>9d4487d</t>
  </si>
  <si>
    <t>\data\input\infile_2638.txt</t>
  </si>
  <si>
    <t>\data\input\infile_2639.txt</t>
  </si>
  <si>
    <t>\data\input\infile_2640.txt</t>
  </si>
  <si>
    <t>\data\input\infile_2641.txt</t>
  </si>
  <si>
    <t>\data\input\infile_2642.txt</t>
  </si>
  <si>
    <t>\data\input\infile_2643.txt</t>
  </si>
  <si>
    <t>\data\input\infile_2644.txt</t>
  </si>
  <si>
    <t>\data\input\infile_2645.txt</t>
  </si>
  <si>
    <t>\data\input\infile_2646.txt</t>
  </si>
  <si>
    <t>\data\input\infile_2647.txt</t>
  </si>
  <si>
    <t>\data\input\infile_2648.txt</t>
  </si>
  <si>
    <t>\data\input\infile_2649.txt</t>
  </si>
  <si>
    <t>\data\input\infile_2650.txt</t>
  </si>
  <si>
    <t>\data\input\infile_2651.txt</t>
  </si>
  <si>
    <t>\data\input\infile_2652.txt</t>
  </si>
  <si>
    <t>\data\input\infile_2653.txt</t>
  </si>
  <si>
    <t>\data\input\infile_2654.txt</t>
  </si>
  <si>
    <t>\data\input\infile_2655.txt</t>
  </si>
  <si>
    <t>\data\input\infile_2656.txt</t>
  </si>
  <si>
    <t>\data\input\infile_2657.txt</t>
  </si>
  <si>
    <t>\data\input\infile_2658.txt</t>
  </si>
  <si>
    <t>\data\input\infile_2659.txt</t>
  </si>
  <si>
    <t>\data\input\infile_2660.txt</t>
  </si>
  <si>
    <t>\data\input\infile_2661.txt</t>
  </si>
  <si>
    <t>\data\input\infile_2662.txt</t>
  </si>
  <si>
    <t>\data\input\infile_2663.txt</t>
  </si>
  <si>
    <t>\data\input\infile_2664.txt</t>
  </si>
  <si>
    <t>\data\input\infile_2665.txt</t>
  </si>
  <si>
    <t>\data\input\infile_2666.txt</t>
  </si>
  <si>
    <t>\data\input\infile_2667.txt</t>
  </si>
  <si>
    <t>\data\input\infile_2668.txt</t>
  </si>
  <si>
    <t>\data\input\infile_2669.txt</t>
  </si>
  <si>
    <t>\data\input\infile_2670.txt</t>
  </si>
  <si>
    <t>\data\input\infile_2671.txt</t>
  </si>
  <si>
    <t>\data\input\infile_2672.txt</t>
  </si>
  <si>
    <t>\data\input\infile_2673.txt</t>
  </si>
  <si>
    <t>\data\input\infile_2674.txt</t>
  </si>
  <si>
    <t>\data\input\infile_2675.txt</t>
  </si>
  <si>
    <t>\data\input\infile_2676.txt</t>
  </si>
  <si>
    <t>\data\input\infile_2677.txt</t>
  </si>
  <si>
    <t>\data\input\infile_2678.txt</t>
  </si>
  <si>
    <t>\data\input\infile_2679.txt</t>
  </si>
  <si>
    <t>\data\input\infile_2680.txt</t>
  </si>
  <si>
    <t>\data\input\infile_2681.txt</t>
  </si>
  <si>
    <t>\data\input\infile_2682.txt</t>
  </si>
  <si>
    <t>\data\input\infile_2683.txt</t>
  </si>
  <si>
    <t>\data\input\infile_2684.txt</t>
  </si>
  <si>
    <t>\data\input\infile_2685.txt</t>
  </si>
  <si>
    <t>\data\input\infile_2686.txt</t>
  </si>
  <si>
    <t>\data\input\infile_2687.txt</t>
  </si>
  <si>
    <t>\data\input\infile_2688.txt</t>
  </si>
  <si>
    <t>\data\input\infile_2689.txt</t>
  </si>
  <si>
    <t>\data\input\infile_2690.txt</t>
  </si>
  <si>
    <t>\data\input\infile_2691.txt</t>
  </si>
  <si>
    <t>\data\input\infile_2692.txt</t>
  </si>
  <si>
    <t>\data\input\infile_2693.txt</t>
  </si>
  <si>
    <t>\data\input\infile_2694.txt</t>
  </si>
  <si>
    <t>\data\input\infile_2695.txt</t>
  </si>
  <si>
    <t>\data\input\infile_2696.txt</t>
  </si>
  <si>
    <t>\data\input\infile_2697.txt</t>
  </si>
  <si>
    <t>\data\input\infile_2698.txt</t>
  </si>
  <si>
    <t>\data\input\infile_2699.txt</t>
  </si>
  <si>
    <t>\data\input\infile_2700.txt</t>
  </si>
  <si>
    <t>\data\input\infile_2701.txt</t>
  </si>
  <si>
    <t>\data\input\infile_2702.txt</t>
  </si>
  <si>
    <t>\data\input\infile_2703.txt</t>
  </si>
  <si>
    <t>\data\input\infile_2704.txt</t>
  </si>
  <si>
    <t>\data\input\infile_2705.txt</t>
  </si>
  <si>
    <t>\data\input\infile_2706.txt</t>
  </si>
  <si>
    <t>\data\input\infile_2707.txt</t>
  </si>
  <si>
    <t>\data\input\infile_2708.txt</t>
  </si>
  <si>
    <t>\data\input\infile_2709.txt</t>
  </si>
  <si>
    <t>\data\input\infile_2710.txt</t>
  </si>
  <si>
    <t>\data\input\infile_2711.txt</t>
  </si>
  <si>
    <t>\data\input\infile_2712.txt</t>
  </si>
  <si>
    <t>\data\input\infile_2713.txt</t>
  </si>
  <si>
    <t>\data\input\infile_2714.txt</t>
  </si>
  <si>
    <t>\data\input\infile_2715.txt</t>
  </si>
  <si>
    <t>\data\input\infile_2716.txt</t>
  </si>
  <si>
    <t>\data\input\infile_2717.txt</t>
  </si>
  <si>
    <t>\data\input\infile_2718.txt</t>
  </si>
  <si>
    <t>d307fd7</t>
  </si>
  <si>
    <t>Re-bin vertical mass scale based on potential shift</t>
  </si>
  <si>
    <t>D</t>
  </si>
  <si>
    <t>\data\input\infile_2719.txt</t>
  </si>
  <si>
    <t>\data\input\infile_2720.txt</t>
  </si>
  <si>
    <t>\data\input\infile_2721.txt</t>
  </si>
  <si>
    <t>\data\input\infile_2722.txt</t>
  </si>
  <si>
    <t>\data\input\infile_2723.txt</t>
  </si>
  <si>
    <t>\data\input\infile_2724.txt</t>
  </si>
  <si>
    <t>\data\input\infile_2725.txt</t>
  </si>
  <si>
    <t>\data\input\infile_2726.txt</t>
  </si>
  <si>
    <t>\data\input\infile_2727.txt</t>
  </si>
  <si>
    <t>\data\input\infile_2728.txt</t>
  </si>
  <si>
    <t>\data\input\infile_2729.txt</t>
  </si>
  <si>
    <t>\data\input\infile_2730.txt</t>
  </si>
  <si>
    <t>\data\input\infile_2731.txt</t>
  </si>
  <si>
    <t>\data\input\infile_2732.txt</t>
  </si>
  <si>
    <t>\data\input\infile_2733.txt</t>
  </si>
  <si>
    <t>\data\input\infile_2734.txt</t>
  </si>
  <si>
    <t>\data\input\infile_2735.txt</t>
  </si>
  <si>
    <t>\data\input\infile_2736.txt</t>
  </si>
  <si>
    <t>\data\input\infile_2737.txt</t>
  </si>
  <si>
    <t>\data\input\infile_2738.txt</t>
  </si>
  <si>
    <t>\data\input\infile_2739.txt</t>
  </si>
  <si>
    <t>\data\input\infile_2740.txt</t>
  </si>
  <si>
    <t>\data\input\infile_2741.txt</t>
  </si>
  <si>
    <t>\data\input\infile_2742.txt</t>
  </si>
  <si>
    <t>\data\input\infile_2743.txt</t>
  </si>
  <si>
    <t>\data\input\infile_2744.txt</t>
  </si>
  <si>
    <t>\data\input\infile_2745.txt</t>
  </si>
  <si>
    <t>\data\input\infile_2746.txt</t>
  </si>
  <si>
    <t>\data\input\infile_2747.txt</t>
  </si>
  <si>
    <t>\data\input\infile_2748.txt</t>
  </si>
  <si>
    <t>\data\input\infile_2749.txt</t>
  </si>
  <si>
    <t>\data\input\infile_2750.txt</t>
  </si>
  <si>
    <t>\data\input\infile_2751.txt</t>
  </si>
  <si>
    <t>\data\input\infile_2752.txt</t>
  </si>
  <si>
    <t>\data\input\infile_2753.txt</t>
  </si>
  <si>
    <t>\data\input\infile_2754.txt</t>
  </si>
  <si>
    <t>\data\input\infile_2755.txt</t>
  </si>
  <si>
    <t>\data\input\infile_2756.txt</t>
  </si>
  <si>
    <t>\data\input\infile_2757.txt</t>
  </si>
  <si>
    <t>\data\input\infile_2758.txt</t>
  </si>
  <si>
    <t>\data\input\infile_2759.txt</t>
  </si>
  <si>
    <t>\data\input\infile_2760.txt</t>
  </si>
  <si>
    <t>\data\input\infile_2761.txt</t>
  </si>
  <si>
    <t>\data\input\infile_2762.txt</t>
  </si>
  <si>
    <t>\data\input\infile_2763.txt</t>
  </si>
  <si>
    <t>\data\input\infile_2764.txt</t>
  </si>
  <si>
    <t>\data\input\infile_2765.txt</t>
  </si>
  <si>
    <t>\data\input\infile_2766.txt</t>
  </si>
  <si>
    <t>\data\input\infile_2767.txt</t>
  </si>
  <si>
    <t>\data\input\infile_2768.txt</t>
  </si>
  <si>
    <t>\data\input\infile_2769.txt</t>
  </si>
  <si>
    <t>\data\input\infile_2770.txt</t>
  </si>
  <si>
    <t>\data\input\infile_2771.txt</t>
  </si>
  <si>
    <t>\data\input\infile_2772.txt</t>
  </si>
  <si>
    <t>\data\input\infile_2773.txt</t>
  </si>
  <si>
    <t>\data\input\infile_2774.txt</t>
  </si>
  <si>
    <t>\data\input\infile_2775.txt</t>
  </si>
  <si>
    <t>\data\input\infile_2776.txt</t>
  </si>
  <si>
    <t>\data\input\infile_2777.txt</t>
  </si>
  <si>
    <t>\data\input\infile_2778.txt</t>
  </si>
  <si>
    <t>\data\input\infile_2779.txt</t>
  </si>
  <si>
    <t>\data\input\infile_2780.txt</t>
  </si>
  <si>
    <t>\data\input\infile_2781.txt</t>
  </si>
  <si>
    <t>\data\input\infile_2782.txt</t>
  </si>
  <si>
    <t>\data\input\infile_2783.txt</t>
  </si>
  <si>
    <t>\data\input\infile_2784.txt</t>
  </si>
  <si>
    <t>\data\input\infile_2785.txt</t>
  </si>
  <si>
    <t>\data\input\infile_2786.txt</t>
  </si>
  <si>
    <t>\data\input\infile_2787.txt</t>
  </si>
  <si>
    <t>\data\input\infile_2788.txt</t>
  </si>
  <si>
    <t>\data\input\infile_2789.txt</t>
  </si>
  <si>
    <t>\data\input\infile_2790.txt</t>
  </si>
  <si>
    <t>\data\input\infile_2791.txt</t>
  </si>
  <si>
    <t>\data\input\infile_2792.txt</t>
  </si>
  <si>
    <t>\data\input\infile_2793.txt</t>
  </si>
  <si>
    <t>\data\input\infile_2794.txt</t>
  </si>
  <si>
    <t>\data\input\infile_2795.txt</t>
  </si>
  <si>
    <t>\data\input\infile_2796.txt</t>
  </si>
  <si>
    <t>\data\input\infile_2797.txt</t>
  </si>
  <si>
    <t>\data\input\infile_2798.txt</t>
  </si>
  <si>
    <t>\data\input\infile_2799.txt</t>
  </si>
  <si>
    <t>a150ce8</t>
  </si>
  <si>
    <t>Try out hexbin style plot</t>
  </si>
  <si>
    <t>Meas D</t>
  </si>
  <si>
    <t>Is Q evaluated at -55 efolds an upper or lower bound?</t>
  </si>
  <si>
    <t>probably a lower bound</t>
  </si>
  <si>
    <t>Build out pipeline for aggregating data on the cluster</t>
  </si>
  <si>
    <t>Be able to specify cuts on observables and easily download the results</t>
  </si>
  <si>
    <t>Determine if initially slowly varying phi near peak grows</t>
  </si>
  <si>
    <t>Finish full-page flowchart</t>
  </si>
  <si>
    <t>Write false vacuum appendix</t>
  </si>
  <si>
    <t>Write topological appendix</t>
  </si>
  <si>
    <t>Find a better format than hexbin for 2D fraction plots</t>
  </si>
  <si>
    <t>Write getBinnedParams</t>
  </si>
  <si>
    <t>Modify jup_funs to run on both surface and cluster</t>
  </si>
  <si>
    <t>\data\input\infile_2800.txt</t>
  </si>
  <si>
    <t>\data\input\infile_2801.txt</t>
  </si>
  <si>
    <t>\data\input\infile_2802.txt</t>
  </si>
  <si>
    <t>\data\input\infile_2803.txt</t>
  </si>
  <si>
    <t>\data\input\infile_2804.txt</t>
  </si>
  <si>
    <t>\data\input\infile_2805.txt</t>
  </si>
  <si>
    <t>\data\input\infile_2806.txt</t>
  </si>
  <si>
    <t>\data\input\infile_2807.txt</t>
  </si>
  <si>
    <t>\data\input\infile_2808.txt</t>
  </si>
  <si>
    <t>\data\input\infile_2809.txt</t>
  </si>
  <si>
    <t>\data\input\infile_2810.txt</t>
  </si>
  <si>
    <t>\data\input\infile_2811.txt</t>
  </si>
  <si>
    <t>\data\input\infile_2812.txt</t>
  </si>
  <si>
    <t>\data\input\infile_2813.txt</t>
  </si>
  <si>
    <t>\data\input\infile_2814.txt</t>
  </si>
  <si>
    <t>\data\input\infile_2815.txt</t>
  </si>
  <si>
    <t>\data\input\infile_2816.txt</t>
  </si>
  <si>
    <t>\data\input\infile_2817.txt</t>
  </si>
  <si>
    <t>\data\input\infile_2818.txt</t>
  </si>
  <si>
    <t>\data\input\infile_2819.txt</t>
  </si>
  <si>
    <t>\data\input\infile_2820.txt</t>
  </si>
  <si>
    <t>\data\input\infile_2821.txt</t>
  </si>
  <si>
    <t>\data\input\infile_2822.txt</t>
  </si>
  <si>
    <t>\data\input\infile_2823.txt</t>
  </si>
  <si>
    <t>\data\input\infile_2824.txt</t>
  </si>
  <si>
    <t>\data\input\infile_2825.txt</t>
  </si>
  <si>
    <t>\data\input\infile_2826.txt</t>
  </si>
  <si>
    <t>\data\input\infile_2827.txt</t>
  </si>
  <si>
    <t>\data\input\infile_2828.txt</t>
  </si>
  <si>
    <t>\data\input\infile_2829.txt</t>
  </si>
  <si>
    <t>\data\input\infile_2830.txt</t>
  </si>
  <si>
    <t>\data\input\infile_2831.txt</t>
  </si>
  <si>
    <t>\data\input\infile_2832.txt</t>
  </si>
  <si>
    <t>\data\input\infile_2833.txt</t>
  </si>
  <si>
    <t>\data\input\infile_2834.txt</t>
  </si>
  <si>
    <t>\data\input\infile_2835.txt</t>
  </si>
  <si>
    <t>\data\input\infile_2836.txt</t>
  </si>
  <si>
    <t>\data\input\infile_2837.txt</t>
  </si>
  <si>
    <t>\data\input\infile_2838.txt</t>
  </si>
  <si>
    <t>\data\input\infile_2839.txt</t>
  </si>
  <si>
    <t>\data\input\infile_2840.txt</t>
  </si>
  <si>
    <t>\data\input\infile_2841.txt</t>
  </si>
  <si>
    <t>\data\input\infile_2842.txt</t>
  </si>
  <si>
    <t>\data\input\infile_2843.txt</t>
  </si>
  <si>
    <t>\data\input\infile_2844.txt</t>
  </si>
  <si>
    <t>\data\input\infile_2845.txt</t>
  </si>
  <si>
    <t>\data\input\infile_2846.txt</t>
  </si>
  <si>
    <t>\data\input\infile_2847.txt</t>
  </si>
  <si>
    <t>\data\input\infile_2848.txt</t>
  </si>
  <si>
    <t>\data\input\infile_2849.txt</t>
  </si>
  <si>
    <t>\data\input\infile_2850.txt</t>
  </si>
  <si>
    <t>\data\input\infile_2851.txt</t>
  </si>
  <si>
    <t>\data\input\infile_2852.txt</t>
  </si>
  <si>
    <t>\data\input\infile_2853.txt</t>
  </si>
  <si>
    <t>\data\input\infile_2854.txt</t>
  </si>
  <si>
    <t>\data\input\infile_2855.txt</t>
  </si>
  <si>
    <t>\data\input\infile_2856.txt</t>
  </si>
  <si>
    <t>\data\input\infile_2857.txt</t>
  </si>
  <si>
    <t>\data\input\infile_2858.txt</t>
  </si>
  <si>
    <t>\data\input\infile_2859.txt</t>
  </si>
  <si>
    <t>\data\input\infile_2860.txt</t>
  </si>
  <si>
    <t>\data\input\infile_2861.txt</t>
  </si>
  <si>
    <t>\data\input\infile_2862.txt</t>
  </si>
  <si>
    <t>\data\input\infile_2863.txt</t>
  </si>
  <si>
    <t>\data\input\infile_2864.txt</t>
  </si>
  <si>
    <t>\data\input\infile_2865.txt</t>
  </si>
  <si>
    <t>\data\input\infile_2866.txt</t>
  </si>
  <si>
    <t>\data\input\infile_2867.txt</t>
  </si>
  <si>
    <t>\data\input\infile_2868.txt</t>
  </si>
  <si>
    <t>\data\input\infile_2869.txt</t>
  </si>
  <si>
    <t>\data\input\infile_2870.txt</t>
  </si>
  <si>
    <t>\data\input\infile_2871.txt</t>
  </si>
  <si>
    <t>\data\input\infile_2872.txt</t>
  </si>
  <si>
    <t>\data\input\infile_2873.txt</t>
  </si>
  <si>
    <t>\data\input\infile_2874.txt</t>
  </si>
  <si>
    <t>\data\input\infile_2875.txt</t>
  </si>
  <si>
    <t>\data\input\infile_2876.txt</t>
  </si>
  <si>
    <t>\data\input\infile_2877.txt</t>
  </si>
  <si>
    <t>\data\input\infile_2878.txt</t>
  </si>
  <si>
    <t>\data\input\infile_2879.txt</t>
  </si>
  <si>
    <t>\data\input\infile_2880.txt</t>
  </si>
  <si>
    <t>Figure out how to assign error bars to fraction plots</t>
  </si>
  <si>
    <t>\data\input\infile_2881.txt</t>
  </si>
  <si>
    <t>\data\input\infile_2882.txt</t>
  </si>
  <si>
    <t>\data\input\infile_2883.txt</t>
  </si>
  <si>
    <t>\data\input\infile_2884.txt</t>
  </si>
  <si>
    <t>\data\input\infile_2885.txt</t>
  </si>
  <si>
    <t>\data\input\infile_2886.txt</t>
  </si>
  <si>
    <t>\data\input\infile_2887.txt</t>
  </si>
  <si>
    <t>\data\input\infile_2888.txt</t>
  </si>
  <si>
    <t>\data\input\infile_2889.txt</t>
  </si>
  <si>
    <t>\data\input\infile_2890.txt</t>
  </si>
  <si>
    <t>\data\input\infile_2891.txt</t>
  </si>
  <si>
    <t>\data\input\infile_2892.txt</t>
  </si>
  <si>
    <t>\data\input\infile_2893.txt</t>
  </si>
  <si>
    <t>\data\input\infile_2894.txt</t>
  </si>
  <si>
    <t>\data\input\infile_2895.txt</t>
  </si>
  <si>
    <t>\data\input\infile_2896.txt</t>
  </si>
  <si>
    <t>\data\input\infile_2897.txt</t>
  </si>
  <si>
    <t>\data\input\infile_2898.txt</t>
  </si>
  <si>
    <t>\data\input\infile_2899.txt</t>
  </si>
  <si>
    <t>\data\input\infile_2900.txt</t>
  </si>
  <si>
    <t>\data\input\infile_2901.txt</t>
  </si>
  <si>
    <t>\data\input\infile_2902.txt</t>
  </si>
  <si>
    <t>\data\input\infile_2903.txt</t>
  </si>
  <si>
    <t>\data\input\infile_2904.txt</t>
  </si>
  <si>
    <t>\data\input\infile_2905.txt</t>
  </si>
  <si>
    <t>\data\input\infile_2906.txt</t>
  </si>
  <si>
    <t>\data\input\infile_2907.txt</t>
  </si>
  <si>
    <t>\data\input\infile_2908.txt</t>
  </si>
  <si>
    <t>\data\input\infile_2909.txt</t>
  </si>
  <si>
    <t>\data\input\infile_2910.txt</t>
  </si>
  <si>
    <t>\data\input\infile_2911.txt</t>
  </si>
  <si>
    <t>\data\input\infile_2912.txt</t>
  </si>
  <si>
    <t>\data\input\infile_2913.txt</t>
  </si>
  <si>
    <t>\data\input\infile_2914.txt</t>
  </si>
  <si>
    <t>\data\input\infile_2915.txt</t>
  </si>
  <si>
    <t>\data\input\infile_2916.txt</t>
  </si>
  <si>
    <t>\data\input\infile_2917.txt</t>
  </si>
  <si>
    <t>\data\input\infile_2918.txt</t>
  </si>
  <si>
    <t>\data\input\infile_2919.txt</t>
  </si>
  <si>
    <t>\data\input\infile_2920.txt</t>
  </si>
  <si>
    <t>\data\input\infile_2921.txt</t>
  </si>
  <si>
    <t>\data\input\infile_2922.txt</t>
  </si>
  <si>
    <t>\data\input\infile_2923.txt</t>
  </si>
  <si>
    <t>\data\input\infile_2924.txt</t>
  </si>
  <si>
    <t>\data\input\infile_2925.txt</t>
  </si>
  <si>
    <t>\data\input\infile_2926.txt</t>
  </si>
  <si>
    <t>\data\input\infile_2927.txt</t>
  </si>
  <si>
    <t>\data\input\infile_2928.txt</t>
  </si>
  <si>
    <t>\data\input\infile_2929.txt</t>
  </si>
  <si>
    <t>\data\input\infile_2930.txt</t>
  </si>
  <si>
    <t>\data\input\infile_2931.txt</t>
  </si>
  <si>
    <t>\data\input\infile_2932.txt</t>
  </si>
  <si>
    <t>\data\input\infile_2933.txt</t>
  </si>
  <si>
    <t>\data\input\infile_2934.txt</t>
  </si>
  <si>
    <t>\data\input\infile_2935.txt</t>
  </si>
  <si>
    <t>\data\input\infile_2936.txt</t>
  </si>
  <si>
    <t>\data\input\infile_2937.txt</t>
  </si>
  <si>
    <t>\data\input\infile_2938.txt</t>
  </si>
  <si>
    <t>\data\input\infile_2939.txt</t>
  </si>
  <si>
    <t>\data\input\infile_2940.txt</t>
  </si>
  <si>
    <t>\data\input\infile_2941.txt</t>
  </si>
  <si>
    <t>\data\input\infile_2942.txt</t>
  </si>
  <si>
    <t>\data\input\infile_2943.txt</t>
  </si>
  <si>
    <t>\data\input\infile_2944.txt</t>
  </si>
  <si>
    <t>\data\input\infile_2945.txt</t>
  </si>
  <si>
    <t>\data\input\infile_2946.txt</t>
  </si>
  <si>
    <t>\data\input\infile_2947.txt</t>
  </si>
  <si>
    <t>\data\input\infile_2948.txt</t>
  </si>
  <si>
    <t>\data\input\infile_2949.txt</t>
  </si>
  <si>
    <t>\data\input\infile_2950.txt</t>
  </si>
  <si>
    <t>\data\input\infile_2951.txt</t>
  </si>
  <si>
    <t>\data\input\infile_2952.txt</t>
  </si>
  <si>
    <t>\data\input\infile_2953.txt</t>
  </si>
  <si>
    <t>\data\input\infile_2954.txt</t>
  </si>
  <si>
    <t>\data\input\infile_2955.txt</t>
  </si>
  <si>
    <t>\data\input\infile_2956.txt</t>
  </si>
  <si>
    <t>\data\input\infile_2957.txt</t>
  </si>
  <si>
    <t>\data\input\infile_2958.txt</t>
  </si>
  <si>
    <t>\data\input\infile_2959.txt</t>
  </si>
  <si>
    <t>\data\input\infile_2960.txt</t>
  </si>
  <si>
    <t>\data\input\infile_2961.txt</t>
  </si>
  <si>
    <t>\data\input\infile_2962.txt</t>
  </si>
  <si>
    <t>\data\input\infile_2963.txt</t>
  </si>
  <si>
    <t>\data\input\infile_2964.txt</t>
  </si>
  <si>
    <t>\data\input\infile_2965.txt</t>
  </si>
  <si>
    <t>\data\input\infile_2966.txt</t>
  </si>
  <si>
    <t>\data\input\infile_2967.txt</t>
  </si>
  <si>
    <t>\data\input\infile_2968.txt</t>
  </si>
  <si>
    <t>\data\input\infile_2969.txt</t>
  </si>
  <si>
    <t>\data\input\infile_2970.txt</t>
  </si>
  <si>
    <t>\data\input\infile_2971.txt</t>
  </si>
  <si>
    <t>\data\input\infile_2972.txt</t>
  </si>
  <si>
    <t>\data\input\infile_2973.txt</t>
  </si>
  <si>
    <t>\data\input\infile_2974.txt</t>
  </si>
  <si>
    <t>\data\input\infile_2975.txt</t>
  </si>
  <si>
    <t>\data\input\infile_2976.txt</t>
  </si>
  <si>
    <t>\data\input\infile_2977.txt</t>
  </si>
  <si>
    <t>\data\input\infile_2978.txt</t>
  </si>
  <si>
    <t>\data\input\infile_2979.txt</t>
  </si>
  <si>
    <t>\data\input\infile_2980.txt</t>
  </si>
  <si>
    <t>\data\input\infile_2981.txt</t>
  </si>
  <si>
    <t>\data\input\infile_2982.txt</t>
  </si>
  <si>
    <t>\data\input\infile_2983.txt</t>
  </si>
  <si>
    <t>\data\input\infile_2984.txt</t>
  </si>
  <si>
    <t>\data\input\infile_2985.txt</t>
  </si>
  <si>
    <t>\data\input\infile_2986.txt</t>
  </si>
  <si>
    <t>\data\input\infile_2987.txt</t>
  </si>
  <si>
    <t>\data\input\infile_2988.txt</t>
  </si>
  <si>
    <t>\data\input\infile_2989.txt</t>
  </si>
  <si>
    <t>\data\input\infile_2990.txt</t>
  </si>
  <si>
    <t>\data\input\infile_2991.txt</t>
  </si>
  <si>
    <t>\data\input\infile_2992.txt</t>
  </si>
  <si>
    <t>\data\input\infile_2993.txt</t>
  </si>
  <si>
    <t>\data\input\infile_2994.txt</t>
  </si>
  <si>
    <t>\data\input\infile_2995.txt</t>
  </si>
  <si>
    <t>\data\input\infile_2996.txt</t>
  </si>
  <si>
    <t>\data\input\infile_2997.txt</t>
  </si>
  <si>
    <t>\data\input\infile_2998.txt</t>
  </si>
  <si>
    <t>\data\input\infile_2999.txt</t>
  </si>
  <si>
    <t>\data\input\infile_3000.txt</t>
  </si>
  <si>
    <t>\data\input\infile_3001.txt</t>
  </si>
  <si>
    <t>\data\input\infile_3002.txt</t>
  </si>
  <si>
    <t>\data\input\infile_3003.txt</t>
  </si>
  <si>
    <t>\data\input\infile_3004.txt</t>
  </si>
  <si>
    <t>\data\input\infile_3005.txt</t>
  </si>
  <si>
    <t>\data\input\infile_3006.txt</t>
  </si>
  <si>
    <t>\data\input\infile_3007.txt</t>
  </si>
  <si>
    <t>\data\input\infile_3008.txt</t>
  </si>
  <si>
    <t>\data\input\infile_3009.txt</t>
  </si>
  <si>
    <t>\data\input\infile_3010.txt</t>
  </si>
  <si>
    <t>\data\input\infile_3011.txt</t>
  </si>
  <si>
    <t>\data\input\infile_3012.txt</t>
  </si>
  <si>
    <t>\data\input\infile_3013.txt</t>
  </si>
  <si>
    <t>\data\input\infile_3014.txt</t>
  </si>
  <si>
    <t>\data\input\infile_3015.txt</t>
  </si>
  <si>
    <t>\data\input\infile_3016.txt</t>
  </si>
  <si>
    <t>\data\input\infile_3017.txt</t>
  </si>
  <si>
    <t>\data\input\infile_3018.txt</t>
  </si>
  <si>
    <t>\data\input\infile_3019.txt</t>
  </si>
  <si>
    <t>\data\input\infile_3020.txt</t>
  </si>
  <si>
    <t>\data\input\infile_3021.txt</t>
  </si>
  <si>
    <t>\data\input\infile_3022.txt</t>
  </si>
  <si>
    <t>\data\input\infile_3023.txt</t>
  </si>
  <si>
    <t>\data\input\infile_3024.txt</t>
  </si>
  <si>
    <t>\data\input\infile_3025.txt</t>
  </si>
  <si>
    <t>\data\input\infile_3026.txt</t>
  </si>
  <si>
    <t>\data\input\infile_3027.txt</t>
  </si>
  <si>
    <t>\data\input\infile_3028.txt</t>
  </si>
  <si>
    <t>\data\input\infile_3029.txt</t>
  </si>
  <si>
    <t>\data\input\infile_3030.txt</t>
  </si>
  <si>
    <t>\data\input\infile_3031.txt</t>
  </si>
  <si>
    <t>\data\input\infile_3032.txt</t>
  </si>
  <si>
    <t>\data\input\infile_3033.txt</t>
  </si>
  <si>
    <t>\data\input\infile_3034.txt</t>
  </si>
  <si>
    <t>\data\input\infile_3035.txt</t>
  </si>
  <si>
    <t>\data\input\infile_3036.txt</t>
  </si>
  <si>
    <t>\data\input\infile_3037.txt</t>
  </si>
  <si>
    <t>\data\input\infile_3038.txt</t>
  </si>
  <si>
    <t>\data\input\infile_3039.txt</t>
  </si>
  <si>
    <t>\data\input\infile_3040.txt</t>
  </si>
  <si>
    <t>\data\input\infile_3041.txt</t>
  </si>
  <si>
    <t>\data\input\infile_3042.txt</t>
  </si>
  <si>
    <t>\data\input\infile_3043.txt</t>
  </si>
  <si>
    <t>\data\input\infile_3044.txt</t>
  </si>
  <si>
    <t>\data\input\infile_3045.txt</t>
  </si>
  <si>
    <t>\data\input\infile_3046.txt</t>
  </si>
  <si>
    <t>\data\input\infile_3047.txt</t>
  </si>
  <si>
    <t>\data\input\infile_3048.txt</t>
  </si>
  <si>
    <t>\data\input\infile_3049.txt</t>
  </si>
  <si>
    <t>\data\input\infile_3050.txt</t>
  </si>
  <si>
    <t>\data\input\infile_3051.txt</t>
  </si>
  <si>
    <t>\data\input\infile_3052.txt</t>
  </si>
  <si>
    <t>\data\input\infile_3053.txt</t>
  </si>
  <si>
    <t>\data\input\infile_3054.txt</t>
  </si>
  <si>
    <t>\data\input\infile_3055.txt</t>
  </si>
  <si>
    <t>\data\input\infile_3056.txt</t>
  </si>
  <si>
    <t>\data\input\infile_3057.txt</t>
  </si>
  <si>
    <t>\data\input\infile_3058.txt</t>
  </si>
  <si>
    <t>\data\input\infile_3059.txt</t>
  </si>
  <si>
    <t>\data\input\infile_3060.txt</t>
  </si>
  <si>
    <t>4ff6635</t>
  </si>
  <si>
    <t>Compare stochastic fractions vs. Q and N for Measure B</t>
  </si>
  <si>
    <t>Compare stochastic fractions vs. Q and N for Measure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</si>
</sst>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20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107" fillId="0" borderId="0" applyNumberFormat="0" applyFill="0" applyBorder="0" applyAlignment="0" applyProtection="0"/>
    <xf numFmtId="0" fontId="101" fillId="0" borderId="0" applyFill="0" applyBorder="0" applyProtection="0">
      <alignment horizontal="left" wrapText="1"/>
    </xf>
    <xf numFmtId="3" fontId="109" fillId="0" borderId="2" applyFill="0" applyProtection="0">
      <alignment horizontal="center"/>
    </xf>
    <xf numFmtId="0" fontId="109" fillId="0" borderId="0" applyFill="0" applyBorder="0" applyProtection="0">
      <alignment horizontal="center" wrapText="1"/>
    </xf>
    <xf numFmtId="0" fontId="100" fillId="0" borderId="0" applyNumberFormat="0" applyFill="0" applyBorder="0" applyProtection="0">
      <alignment horizontal="left" vertical="center"/>
    </xf>
    <xf numFmtId="9" fontId="102" fillId="0" borderId="0" applyFill="0" applyBorder="0" applyProtection="0">
      <alignment horizontal="center" vertical="center"/>
    </xf>
    <xf numFmtId="0" fontId="108" fillId="6" borderId="1" applyNumberFormat="0" applyProtection="0">
      <alignment horizontal="left" vertical="center"/>
    </xf>
    <xf numFmtId="0" fontId="107" fillId="0" borderId="0" applyNumberFormat="0" applyFill="0" applyBorder="0" applyProtection="0">
      <alignment vertical="center"/>
    </xf>
    <xf numFmtId="0" fontId="109" fillId="0" borderId="0" applyFill="0" applyProtection="0">
      <alignment vertical="center"/>
    </xf>
    <xf numFmtId="0" fontId="109" fillId="0" borderId="0" applyFill="0" applyProtection="0">
      <alignment horizontal="center" vertical="center" wrapText="1"/>
    </xf>
    <xf numFmtId="0" fontId="109" fillId="0" borderId="0" applyFill="0" applyProtection="0">
      <alignment horizontal="left"/>
    </xf>
    <xf numFmtId="0" fontId="111" fillId="0" borderId="0" applyNumberFormat="0" applyFill="0" applyBorder="0" applyProtection="0">
      <alignment vertical="center"/>
    </xf>
    <xf numFmtId="1" fontId="112" fillId="6" borderId="1">
      <alignment horizontal="center" vertical="center"/>
    </xf>
    <xf numFmtId="0" fontId="110" fillId="2" borderId="4" applyNumberFormat="0" applyFont="0" applyAlignment="0">
      <alignment horizontal="center"/>
    </xf>
    <xf numFmtId="0" fontId="110" fillId="3" borderId="3" applyNumberFormat="0" applyFont="0" applyAlignment="0">
      <alignment horizontal="center"/>
    </xf>
    <xf numFmtId="0" fontId="110" fillId="4" borderId="3" applyNumberFormat="0" applyFont="0" applyAlignment="0">
      <alignment horizontal="center"/>
    </xf>
    <xf numFmtId="0" fontId="110" fillId="5" borderId="3" applyNumberFormat="0" applyFont="0" applyAlignment="0">
      <alignment horizontal="center"/>
    </xf>
    <xf numFmtId="0" fontId="110" fillId="7" borderId="3" applyNumberFormat="0" applyFont="0" applyAlignment="0">
      <alignment horizontal="center"/>
    </xf>
    <xf numFmtId="0" fontId="99" fillId="0" borderId="0"/>
  </cellStyleXfs>
  <cellXfs count="19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101" fillId="0" borderId="0" xfId="2">
      <alignment horizontal="left" wrapText="1"/>
    </xf>
    <xf numFmtId="3" fontId="109" fillId="0" borderId="2" xfId="3">
      <alignment horizontal="center"/>
    </xf>
    <xf numFmtId="9" fontId="102" fillId="0" borderId="0" xfId="6">
      <alignment horizontal="center" vertical="center"/>
    </xf>
    <xf numFmtId="0" fontId="108" fillId="6" borderId="1" xfId="7">
      <alignment horizontal="left" vertical="center"/>
    </xf>
    <xf numFmtId="0" fontId="103" fillId="0" borderId="0" xfId="2" applyFont="1">
      <alignment horizontal="left" wrapText="1"/>
    </xf>
    <xf numFmtId="0" fontId="104" fillId="0" borderId="0" xfId="0" applyFont="1" applyAlignment="1">
      <alignment horizontal="center"/>
    </xf>
    <xf numFmtId="9" fontId="105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107" fillId="0" borderId="0" xfId="1" applyAlignment="1">
      <alignment horizontal="center"/>
    </xf>
    <xf numFmtId="0" fontId="107" fillId="0" borderId="0" xfId="8">
      <alignment vertical="center"/>
    </xf>
    <xf numFmtId="1" fontId="112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109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99" fillId="0" borderId="0" xfId="19"/>
    <xf numFmtId="0" fontId="99" fillId="0" borderId="0" xfId="19" applyAlignment="1">
      <alignment horizontal="center"/>
    </xf>
    <xf numFmtId="165" fontId="99" fillId="0" borderId="0" xfId="19" applyNumberFormat="1" applyAlignment="1">
      <alignment horizontal="center"/>
    </xf>
    <xf numFmtId="0" fontId="99" fillId="0" borderId="0" xfId="19" applyNumberFormat="1" applyAlignment="1">
      <alignment horizontal="center"/>
    </xf>
    <xf numFmtId="0" fontId="98" fillId="0" borderId="0" xfId="19" applyFont="1"/>
    <xf numFmtId="0" fontId="97" fillId="0" borderId="0" xfId="19" applyFont="1"/>
    <xf numFmtId="0" fontId="96" fillId="0" borderId="0" xfId="19" applyFont="1"/>
    <xf numFmtId="0" fontId="95" fillId="0" borderId="0" xfId="19" applyFont="1"/>
    <xf numFmtId="0" fontId="94" fillId="0" borderId="0" xfId="19" applyFont="1"/>
    <xf numFmtId="0" fontId="93" fillId="0" borderId="0" xfId="19" applyFont="1"/>
    <xf numFmtId="0" fontId="92" fillId="0" borderId="0" xfId="19" applyFont="1"/>
    <xf numFmtId="0" fontId="91" fillId="0" borderId="0" xfId="19" applyFont="1"/>
    <xf numFmtId="0" fontId="90" fillId="0" borderId="0" xfId="19" applyFont="1"/>
    <xf numFmtId="0" fontId="89" fillId="0" borderId="0" xfId="19" applyFont="1"/>
    <xf numFmtId="0" fontId="88" fillId="0" borderId="0" xfId="19" applyFont="1"/>
    <xf numFmtId="0" fontId="87" fillId="0" borderId="0" xfId="19" applyFont="1"/>
    <xf numFmtId="0" fontId="86" fillId="0" borderId="0" xfId="19" applyFont="1"/>
    <xf numFmtId="0" fontId="85" fillId="0" borderId="0" xfId="19" applyFont="1"/>
    <xf numFmtId="0" fontId="84" fillId="0" borderId="0" xfId="19" applyFont="1"/>
    <xf numFmtId="0" fontId="83" fillId="0" borderId="0" xfId="19" applyFont="1"/>
    <xf numFmtId="0" fontId="113" fillId="0" borderId="0" xfId="0" applyFont="1" applyAlignment="1">
      <alignment horizontal="center" vertical="center" textRotation="90"/>
    </xf>
    <xf numFmtId="0" fontId="113" fillId="0" borderId="0" xfId="0" applyFont="1">
      <alignment horizontal="center" vertical="center"/>
    </xf>
    <xf numFmtId="0" fontId="113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82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75" fillId="0" borderId="0" xfId="19" applyFont="1"/>
    <xf numFmtId="0" fontId="74" fillId="0" borderId="0" xfId="19" applyFont="1"/>
    <xf numFmtId="0" fontId="73" fillId="0" borderId="0" xfId="19" applyFont="1"/>
    <xf numFmtId="0" fontId="72" fillId="0" borderId="0" xfId="19" applyFont="1"/>
    <xf numFmtId="0" fontId="81" fillId="0" borderId="0" xfId="19" applyFont="1" applyAlignment="1">
      <alignment horizontal="left"/>
    </xf>
    <xf numFmtId="0" fontId="82" fillId="0" borderId="0" xfId="19" applyFont="1" applyAlignment="1">
      <alignment horizontal="left"/>
    </xf>
    <xf numFmtId="0" fontId="94" fillId="0" borderId="0" xfId="19" applyFont="1" applyAlignment="1">
      <alignment horizontal="left"/>
    </xf>
    <xf numFmtId="0" fontId="99" fillId="0" borderId="0" xfId="19" applyAlignment="1">
      <alignment horizontal="left"/>
    </xf>
    <xf numFmtId="0" fontId="97" fillId="0" borderId="0" xfId="19" applyFont="1" applyAlignment="1">
      <alignment horizontal="left"/>
    </xf>
    <xf numFmtId="0" fontId="90" fillId="0" borderId="0" xfId="19" applyFont="1" applyAlignment="1">
      <alignment horizontal="left"/>
    </xf>
    <xf numFmtId="0" fontId="78" fillId="0" borderId="0" xfId="19" applyFont="1" applyAlignment="1">
      <alignment horizontal="left"/>
    </xf>
    <xf numFmtId="18" fontId="90" fillId="0" borderId="0" xfId="19" applyNumberFormat="1" applyFont="1" applyAlignment="1">
      <alignment horizontal="left"/>
    </xf>
    <xf numFmtId="0" fontId="72" fillId="0" borderId="0" xfId="19" applyFont="1" applyAlignment="1">
      <alignment horizontal="left"/>
    </xf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9" fillId="0" borderId="0" xfId="19" applyFont="1" applyAlignment="1">
      <alignment horizontal="left"/>
    </xf>
    <xf numFmtId="0" fontId="68" fillId="0" borderId="0" xfId="19" applyFont="1"/>
    <xf numFmtId="0" fontId="67" fillId="0" borderId="0" xfId="19" applyFont="1"/>
    <xf numFmtId="0" fontId="67" fillId="0" borderId="0" xfId="19" applyFont="1" applyAlignment="1">
      <alignment horizontal="left"/>
    </xf>
    <xf numFmtId="0" fontId="66" fillId="0" borderId="0" xfId="19" applyNumberFormat="1" applyFont="1" applyAlignment="1">
      <alignment horizontal="center"/>
    </xf>
    <xf numFmtId="0" fontId="66" fillId="0" borderId="0" xfId="19" applyFont="1"/>
    <xf numFmtId="0" fontId="66" fillId="0" borderId="0" xfId="19" applyFont="1" applyAlignment="1">
      <alignment horizontal="left"/>
    </xf>
    <xf numFmtId="0" fontId="65" fillId="0" borderId="0" xfId="19" applyFont="1"/>
    <xf numFmtId="0" fontId="65" fillId="0" borderId="0" xfId="19" applyFont="1" applyAlignment="1">
      <alignment horizontal="left"/>
    </xf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165" fontId="60" fillId="0" borderId="0" xfId="19" applyNumberFormat="1" applyFont="1" applyAlignment="1">
      <alignment horizontal="center"/>
    </xf>
    <xf numFmtId="0" fontId="60" fillId="0" borderId="0" xfId="19" applyFont="1" applyAlignment="1">
      <alignment horizontal="left"/>
    </xf>
    <xf numFmtId="0" fontId="59" fillId="0" borderId="0" xfId="19" applyFont="1"/>
    <xf numFmtId="0" fontId="59" fillId="0" borderId="0" xfId="19" applyFont="1" applyAlignment="1">
      <alignment horizontal="left"/>
    </xf>
    <xf numFmtId="0" fontId="58" fillId="0" borderId="0" xfId="19" applyFont="1"/>
    <xf numFmtId="0" fontId="57" fillId="0" borderId="0" xfId="19" applyFont="1"/>
    <xf numFmtId="0" fontId="57" fillId="0" borderId="0" xfId="19" applyFont="1" applyAlignment="1">
      <alignment horizontal="left"/>
    </xf>
    <xf numFmtId="0" fontId="56" fillId="0" borderId="0" xfId="19" applyFont="1"/>
    <xf numFmtId="0" fontId="56" fillId="0" borderId="0" xfId="19" applyFont="1" applyAlignment="1">
      <alignment horizontal="left"/>
    </xf>
    <xf numFmtId="0" fontId="55" fillId="0" borderId="0" xfId="19" applyFont="1"/>
    <xf numFmtId="165" fontId="55" fillId="0" borderId="0" xfId="19" applyNumberFormat="1" applyFont="1" applyAlignment="1">
      <alignment horizontal="center"/>
    </xf>
    <xf numFmtId="0" fontId="54" fillId="0" borderId="0" xfId="19" applyFont="1"/>
    <xf numFmtId="0" fontId="53" fillId="0" borderId="0" xfId="19" applyFont="1"/>
    <xf numFmtId="0" fontId="53" fillId="0" borderId="0" xfId="19" applyFont="1" applyAlignment="1">
      <alignment horizontal="left"/>
    </xf>
    <xf numFmtId="0" fontId="52" fillId="0" borderId="0" xfId="19" applyFont="1"/>
    <xf numFmtId="0" fontId="51" fillId="0" borderId="0" xfId="19" applyFont="1" applyAlignment="1">
      <alignment horizontal="left"/>
    </xf>
    <xf numFmtId="0" fontId="51" fillId="0" borderId="0" xfId="19" applyFont="1"/>
    <xf numFmtId="0" fontId="114" fillId="0" borderId="0" xfId="0" applyFont="1">
      <alignment horizontal="center" vertical="center"/>
    </xf>
    <xf numFmtId="0" fontId="115" fillId="0" borderId="0" xfId="0" applyFont="1">
      <alignment horizontal="center" vertical="center"/>
    </xf>
    <xf numFmtId="0" fontId="115" fillId="0" borderId="0" xfId="0" applyFont="1" applyAlignment="1">
      <alignment horizontal="left" vertical="center"/>
    </xf>
    <xf numFmtId="1" fontId="115" fillId="0" borderId="0" xfId="0" applyNumberFormat="1" applyFont="1">
      <alignment horizontal="center" vertical="center"/>
    </xf>
    <xf numFmtId="0" fontId="50" fillId="0" borderId="0" xfId="19" applyFont="1"/>
    <xf numFmtId="0" fontId="118" fillId="0" borderId="0" xfId="0" applyFont="1">
      <alignment horizontal="center" vertical="center"/>
    </xf>
    <xf numFmtId="0" fontId="118" fillId="0" borderId="0" xfId="0" applyFont="1" applyAlignment="1">
      <alignment horizontal="left" vertical="center"/>
    </xf>
    <xf numFmtId="0" fontId="118" fillId="0" borderId="0" xfId="0" quotePrefix="1" applyFont="1" applyAlignment="1">
      <alignment horizontal="left" vertical="center"/>
    </xf>
    <xf numFmtId="166" fontId="108" fillId="0" borderId="0" xfId="0" applyNumberFormat="1" applyFont="1">
      <alignment horizontal="center" vertical="center"/>
    </xf>
    <xf numFmtId="0" fontId="115" fillId="0" borderId="0" xfId="0" quotePrefix="1" applyFont="1" applyAlignment="1">
      <alignment horizontal="left" vertical="center"/>
    </xf>
    <xf numFmtId="16" fontId="113" fillId="0" borderId="0" xfId="0" applyNumberFormat="1" applyFont="1">
      <alignment horizontal="center" vertical="center"/>
    </xf>
    <xf numFmtId="167" fontId="113" fillId="0" borderId="0" xfId="0" applyNumberFormat="1" applyFont="1">
      <alignment horizontal="center" vertical="center"/>
    </xf>
    <xf numFmtId="1" fontId="113" fillId="0" borderId="0" xfId="0" applyNumberFormat="1" applyFont="1">
      <alignment horizontal="center" vertical="center"/>
    </xf>
    <xf numFmtId="0" fontId="113" fillId="0" borderId="0" xfId="0" applyFont="1" applyAlignment="1">
      <alignment horizontal="center" vertical="center"/>
    </xf>
    <xf numFmtId="168" fontId="113" fillId="0" borderId="0" xfId="0" applyNumberFormat="1" applyFont="1">
      <alignment horizontal="center" vertical="center"/>
    </xf>
    <xf numFmtId="0" fontId="49" fillId="0" borderId="0" xfId="19" applyFont="1"/>
    <xf numFmtId="0" fontId="48" fillId="0" borderId="0" xfId="19" applyFont="1"/>
    <xf numFmtId="165" fontId="48" fillId="0" borderId="0" xfId="19" applyNumberFormat="1" applyFont="1" applyAlignment="1">
      <alignment horizontal="center"/>
    </xf>
    <xf numFmtId="0" fontId="48" fillId="0" borderId="0" xfId="19" applyFont="1" applyAlignment="1">
      <alignment horizontal="left"/>
    </xf>
    <xf numFmtId="0" fontId="103" fillId="0" borderId="0" xfId="2" applyFont="1" applyAlignment="1">
      <alignment horizontal="left" vertical="center" wrapText="1"/>
    </xf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Font="1" applyAlignment="1">
      <alignment horizontal="left"/>
    </xf>
    <xf numFmtId="0" fontId="39" fillId="0" borderId="0" xfId="19" applyFont="1"/>
    <xf numFmtId="165" fontId="39" fillId="0" borderId="0" xfId="19" applyNumberFormat="1" applyFont="1" applyAlignment="1">
      <alignment horizontal="center"/>
    </xf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49" fontId="114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34" fillId="0" borderId="0" xfId="19" applyFont="1"/>
    <xf numFmtId="0" fontId="33" fillId="0" borderId="0" xfId="19" applyFont="1"/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9" fillId="0" borderId="0" xfId="19" applyFont="1" applyAlignment="1">
      <alignment horizontal="left"/>
    </xf>
    <xf numFmtId="0" fontId="115" fillId="0" borderId="0" xfId="0" applyFont="1" applyAlignment="1">
      <alignment horizontal="right" vertical="center"/>
    </xf>
    <xf numFmtId="0" fontId="28" fillId="0" borderId="0" xfId="19" applyFont="1"/>
    <xf numFmtId="2" fontId="0" fillId="0" borderId="0" xfId="0" applyNumberFormat="1">
      <alignment horizontal="center" vertical="center"/>
    </xf>
    <xf numFmtId="2" fontId="118" fillId="0" borderId="0" xfId="0" applyNumberFormat="1" applyFont="1">
      <alignment horizontal="center" vertical="center"/>
    </xf>
    <xf numFmtId="1" fontId="118" fillId="0" borderId="0" xfId="0" applyNumberFormat="1" applyFont="1" applyAlignment="1">
      <alignment horizontal="center" vertical="center"/>
    </xf>
    <xf numFmtId="0" fontId="27" fillId="0" borderId="0" xfId="19" applyFont="1"/>
    <xf numFmtId="0" fontId="27" fillId="0" borderId="0" xfId="19" applyFont="1" applyAlignment="1">
      <alignment horizontal="left"/>
    </xf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119" fillId="0" borderId="0" xfId="0" applyFont="1" applyAlignment="1">
      <alignment horizontal="left" vertical="center"/>
    </xf>
    <xf numFmtId="164" fontId="119" fillId="0" borderId="0" xfId="0" applyNumberFormat="1" applyFont="1">
      <alignment horizontal="center" vertical="center"/>
    </xf>
    <xf numFmtId="169" fontId="108" fillId="0" borderId="0" xfId="0" applyNumberFormat="1" applyFont="1">
      <alignment horizontal="center" vertical="center"/>
    </xf>
    <xf numFmtId="0" fontId="23" fillId="0" borderId="0" xfId="19" applyFont="1" applyAlignment="1">
      <alignment horizontal="left"/>
    </xf>
    <xf numFmtId="0" fontId="23" fillId="0" borderId="0" xfId="19" applyFont="1"/>
    <xf numFmtId="0" fontId="22" fillId="0" borderId="0" xfId="19" applyFont="1"/>
    <xf numFmtId="0" fontId="21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4" fillId="0" borderId="0" xfId="19" applyFont="1"/>
    <xf numFmtId="165" fontId="14" fillId="0" borderId="0" xfId="19" applyNumberFormat="1" applyFont="1" applyAlignment="1">
      <alignment horizontal="center"/>
    </xf>
    <xf numFmtId="0" fontId="13" fillId="0" borderId="0" xfId="19" applyFont="1"/>
    <xf numFmtId="165" fontId="12" fillId="0" borderId="0" xfId="19" applyNumberFormat="1" applyFont="1" applyAlignment="1">
      <alignment horizontal="center"/>
    </xf>
    <xf numFmtId="0" fontId="11" fillId="0" borderId="0" xfId="19" applyFont="1"/>
    <xf numFmtId="0" fontId="10" fillId="0" borderId="0" xfId="19" applyFont="1"/>
    <xf numFmtId="0" fontId="9" fillId="0" borderId="0" xfId="19" applyFont="1"/>
    <xf numFmtId="0" fontId="8" fillId="0" borderId="0" xfId="19" applyFont="1"/>
    <xf numFmtId="0" fontId="7" fillId="0" borderId="0" xfId="19" applyFont="1"/>
    <xf numFmtId="0" fontId="6" fillId="0" borderId="0" xfId="19" applyFont="1"/>
    <xf numFmtId="0" fontId="119" fillId="0" borderId="0" xfId="0" applyFont="1" applyAlignment="1">
      <alignment horizontal="center" vertical="center"/>
    </xf>
    <xf numFmtId="0" fontId="5" fillId="0" borderId="0" xfId="19" applyFont="1" applyAlignment="1">
      <alignment horizontal="left"/>
    </xf>
    <xf numFmtId="0" fontId="5" fillId="0" borderId="0" xfId="19" applyFont="1"/>
    <xf numFmtId="0" fontId="4" fillId="0" borderId="0" xfId="19" applyFont="1"/>
    <xf numFmtId="0" fontId="3" fillId="0" borderId="0" xfId="19" applyFont="1"/>
    <xf numFmtId="0" fontId="2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11" fillId="0" borderId="0" xfId="12">
      <alignment vertical="center"/>
    </xf>
    <xf numFmtId="0" fontId="109" fillId="0" borderId="0" xfId="9">
      <alignment vertical="center"/>
    </xf>
    <xf numFmtId="0" fontId="109" fillId="0" borderId="2" xfId="9" applyBorder="1">
      <alignment vertical="center"/>
    </xf>
    <xf numFmtId="0" fontId="109" fillId="0" borderId="0" xfId="10">
      <alignment horizontal="center" vertical="center" wrapText="1"/>
    </xf>
    <xf numFmtId="0" fontId="109" fillId="0" borderId="2" xfId="10" applyBorder="1">
      <alignment horizontal="center" vertical="center" wrapText="1"/>
    </xf>
    <xf numFmtId="0" fontId="109" fillId="0" borderId="5" xfId="10" applyBorder="1">
      <alignment horizontal="center" vertical="center" wrapText="1"/>
    </xf>
    <xf numFmtId="0" fontId="106" fillId="0" borderId="6" xfId="5" applyFont="1" applyBorder="1">
      <alignment horizontal="left" vertical="center"/>
    </xf>
    <xf numFmtId="0" fontId="106" fillId="0" borderId="0" xfId="5" applyFont="1">
      <alignment horizontal="left" vertical="center"/>
    </xf>
    <xf numFmtId="0" fontId="106" fillId="0" borderId="7" xfId="5" applyFont="1" applyBorder="1">
      <alignment horizontal="left" vertical="center"/>
    </xf>
    <xf numFmtId="0" fontId="106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Normal 2" xfId="19" xr:uid="{00000000-0005-0000-0000-00000C000000}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8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8" totalsRowShown="0">
  <autoFilter ref="A1:F198" xr:uid="{00000000-0009-0000-0100-000001000000}">
    <filterColumn colId="3">
      <filters blank="1">
        <filter val="0.75"/>
      </filters>
    </filterColumn>
    <filterColumn colId="4">
      <filters blank="1">
        <dateGroupItem year="2018" month="6" day="5" dateTimeGrouping="day"/>
      </filters>
    </filterColumn>
  </autoFilter>
  <sortState ref="A30:F198">
    <sortCondition descending="1" ref="C1:C198"/>
  </sortState>
  <tableColumns count="6">
    <tableColumn id="1" xr3:uid="{00000000-0010-0000-0000-000001000000}" name="Task"/>
    <tableColumn id="2" xr3:uid="{00000000-0010-0000-0000-000002000000}" name="Assigned"/>
    <tableColumn id="3" xr3:uid="{00000000-0010-0000-0000-000003000000}" name="Due"/>
    <tableColumn id="6" xr3:uid="{00000000-0010-0000-0000-000006000000}" name=" " dataDxfId="79"/>
    <tableColumn id="4" xr3:uid="{00000000-0010-0000-0000-000004000000}" name="Review"/>
    <tableColumn id="5" xr3:uid="{00000000-0010-0000-0000-000005000000}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19" displayName="Table19" ref="A1:F49" totalsRowShown="0">
  <autoFilter ref="A1:F49" xr:uid="{00000000-0009-0000-0100-000008000000}">
    <filterColumn colId="3">
      <filters blank="1">
        <filter val="0"/>
        <filter val="0.5"/>
        <filter val="0.75"/>
      </filters>
    </filterColumn>
  </autoFilter>
  <sortState ref="A2:F48">
    <sortCondition descending="1" ref="C1:C49"/>
  </sortState>
  <tableColumns count="6">
    <tableColumn id="1" xr3:uid="{00000000-0010-0000-0100-000001000000}" name="Task"/>
    <tableColumn id="2" xr3:uid="{00000000-0010-0000-0100-000002000000}" name="Assigned"/>
    <tableColumn id="3" xr3:uid="{00000000-0010-0000-0100-000003000000}" name="Due"/>
    <tableColumn id="6" xr3:uid="{00000000-0010-0000-0100-000006000000}" name=" " dataDxfId="78"/>
    <tableColumn id="4" xr3:uid="{00000000-0010-0000-0100-000004000000}" name="Review"/>
    <tableColumn id="5" xr3:uid="{00000000-0010-0000-0100-000005000000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F26" totalsRowShown="0">
  <autoFilter ref="A1:F26" xr:uid="{00000000-0009-0000-0100-000007000000}"/>
  <tableColumns count="6">
    <tableColumn id="1" xr3:uid="{00000000-0010-0000-0200-000001000000}" name="Start" dataDxfId="77"/>
    <tableColumn id="2" xr3:uid="{00000000-0010-0000-0200-000002000000}" name="End" dataDxfId="76"/>
    <tableColumn id="3" xr3:uid="{00000000-0010-0000-0200-000003000000}" name="Description" dataDxfId="75"/>
    <tableColumn id="6" xr3:uid="{00000000-0010-0000-0200-000006000000}" name="Git Hash" dataDxfId="74"/>
    <tableColumn id="4" xr3:uid="{00000000-0010-0000-0200-000004000000}" name="Start Date" dataDxfId="73"/>
    <tableColumn id="5" xr3:uid="{00000000-0010-0000-0200-000005000000}" name="End Date" dataDxfId="7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210" displayName="Table210" ref="A1:S1695" totalsRowShown="0" headerRowDxfId="71" dataDxfId="70">
  <autoFilter ref="A1:S1695" xr:uid="{00000000-0009-0000-0100-000009000000}"/>
  <sortState ref="A2:S771">
    <sortCondition ref="A1:A771"/>
  </sortState>
  <tableColumns count="19">
    <tableColumn id="1" xr3:uid="{00000000-0010-0000-0300-000001000000}" name="Run ID" dataDxfId="69"/>
    <tableColumn id="18" xr3:uid="{00000000-0010-0000-0300-000012000000}" name="n_iter" dataDxfId="68"/>
    <tableColumn id="2" xr3:uid="{00000000-0010-0000-0300-000002000000}" name="mv" dataDxfId="67"/>
    <tableColumn id="3" xr3:uid="{00000000-0010-0000-0300-000003000000}" name="mh" dataDxfId="66"/>
    <tableColumn id="4" xr3:uid="{00000000-0010-0000-0300-000004000000}" name="kmax" dataDxfId="65"/>
    <tableColumn id="19" xr3:uid="{00000000-0010-0000-0300-000013000000}" name="gamma" dataDxfId="64"/>
    <tableColumn id="8" xr3:uid="{00000000-0010-0000-0300-000008000000}" name="measure" dataDxfId="63"/>
    <tableColumn id="9" xr3:uid="{00000000-0010-0000-0300-000009000000}" name="n_tunnel_max" dataDxfId="62"/>
    <tableColumn id="5" xr3:uid="{00000000-0010-0000-0300-000005000000}" name="lambda_screen" dataDxfId="61"/>
    <tableColumn id="6" xr3:uid="{00000000-0010-0000-0300-000006000000}" name="mv_offset_max" dataDxfId="60"/>
    <tableColumn id="20" xr3:uid="{00000000-0010-0000-0300-000014000000}" name="fixQ" dataDxfId="59"/>
    <tableColumn id="21" xr3:uid="{00000000-0010-0000-0300-000015000000}" name="Nafter" dataDxfId="58"/>
    <tableColumn id="22" xr3:uid="{00000000-0010-0000-0300-000016000000}" name="seed" dataDxfId="57"/>
    <tableColumn id="7" xr3:uid="{00000000-0010-0000-0300-000007000000}" name="n_recycle" dataDxfId="56"/>
    <tableColumn id="14" xr3:uid="{00000000-0010-0000-0300-00000E000000}" name="Input File Path" dataDxfId="55"/>
    <tableColumn id="10" xr3:uid="{00000000-0010-0000-0300-00000A000000}" name="Job ID" dataDxfId="54"/>
    <tableColumn id="24" xr3:uid="{00000000-0010-0000-0300-000018000000}" name="End Date2" dataDxfId="53"/>
    <tableColumn id="11" xr3:uid="{00000000-0010-0000-0300-00000B000000}" name="Runtime" dataDxfId="52"/>
    <tableColumn id="12" xr3:uid="{00000000-0010-0000-0300-00000C000000}" name="Git Hash" dataDxfId="5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S1384" totalsRowShown="0" headerRowDxfId="50" dataDxfId="49">
  <autoFilter ref="A1:S1384" xr:uid="{00000000-0009-0000-0100-000002000000}"/>
  <sortState ref="A2:S771">
    <sortCondition ref="A1:A771"/>
  </sortState>
  <tableColumns count="19">
    <tableColumn id="1" xr3:uid="{00000000-0010-0000-0400-000001000000}" name="Run ID" dataDxfId="48"/>
    <tableColumn id="18" xr3:uid="{00000000-0010-0000-0400-000012000000}" name="n_iter" dataDxfId="47"/>
    <tableColumn id="2" xr3:uid="{00000000-0010-0000-0400-000002000000}" name="mv" dataDxfId="46"/>
    <tableColumn id="3" xr3:uid="{00000000-0010-0000-0400-000003000000}" name="mh" dataDxfId="45"/>
    <tableColumn id="4" xr3:uid="{00000000-0010-0000-0400-000004000000}" name="kmax" dataDxfId="44"/>
    <tableColumn id="19" xr3:uid="{00000000-0010-0000-0400-000013000000}" name="gamma" dataDxfId="43"/>
    <tableColumn id="8" xr3:uid="{00000000-0010-0000-0400-000008000000}" name="measure" dataDxfId="42"/>
    <tableColumn id="9" xr3:uid="{00000000-0010-0000-0400-000009000000}" name="n_tunnel_max" dataDxfId="41"/>
    <tableColumn id="5" xr3:uid="{00000000-0010-0000-0400-000005000000}" name="lambda_screen" dataDxfId="40"/>
    <tableColumn id="6" xr3:uid="{00000000-0010-0000-0400-000006000000}" name="rho_Lambda_thres" dataDxfId="39"/>
    <tableColumn id="20" xr3:uid="{00000000-0010-0000-0400-000014000000}" name="fixQ" dataDxfId="38"/>
    <tableColumn id="21" xr3:uid="{00000000-0010-0000-0400-000015000000}" name="Nafter" dataDxfId="37"/>
    <tableColumn id="22" xr3:uid="{00000000-0010-0000-0400-000016000000}" name="seed" dataDxfId="36"/>
    <tableColumn id="7" xr3:uid="{00000000-0010-0000-0400-000007000000}" name="n_recycle" dataDxfId="35"/>
    <tableColumn id="14" xr3:uid="{00000000-0010-0000-0400-00000E000000}" name="Input File Path" dataDxfId="34"/>
    <tableColumn id="10" xr3:uid="{00000000-0010-0000-0400-00000A000000}" name="Job ID" dataDxfId="33"/>
    <tableColumn id="24" xr3:uid="{00000000-0010-0000-0400-000018000000}" name="End Date2" dataDxfId="32"/>
    <tableColumn id="11" xr3:uid="{00000000-0010-0000-0400-00000B000000}" name="Runtime" dataDxfId="31"/>
    <tableColumn id="12" xr3:uid="{00000000-0010-0000-0400-00000C000000}" name="Git Hash" dataDxfId="3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G48" totalsRowShown="0">
  <autoFilter ref="A1:G48" xr:uid="{00000000-0009-0000-0100-000004000000}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xr3:uid="{00000000-0010-0000-0500-000001000000}" name="I/O"/>
    <tableColumn id="6" xr3:uid="{00000000-0010-0000-0500-000006000000}" name="Quantity" dataDxfId="29"/>
    <tableColumn id="5" xr3:uid="{00000000-0010-0000-0500-000005000000}" name="Position History" dataDxfId="28"/>
    <tableColumn id="7" xr3:uid="{00000000-0010-0000-0500-000007000000}" name="Position2" dataDxfId="27">
      <calculatedColumnFormula>VALUE(LEFT(RIGHT(Table4[[#This Row],[Position History]],5),FIND(CHAR(34),RIGHT(Table4[[#This Row],[Position History]],5))-1))</calculatedColumnFormula>
    </tableColumn>
    <tableColumn id="2" xr3:uid="{00000000-0010-0000-0500-000002000000}" name="Dimensions"/>
    <tableColumn id="3" xr3:uid="{00000000-0010-0000-0500-000003000000}" name="Units"/>
    <tableColumn id="4" xr3:uid="{00000000-0010-0000-0500-000004000000}" name="Description" dataDxfId="26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44" displayName="Table44" ref="A1:E117" totalsRowShown="0" dataDxfId="25">
  <autoFilter ref="A1:E117" xr:uid="{00000000-0009-0000-0100-000003000000}"/>
  <sortState ref="A2:E117">
    <sortCondition ref="A1:A117"/>
  </sortState>
  <tableColumns count="5">
    <tableColumn id="1" xr3:uid="{00000000-0010-0000-0600-000001000000}" name="Class" dataDxfId="24"/>
    <tableColumn id="2" xr3:uid="{00000000-0010-0000-0600-000002000000}" name="Function" dataDxfId="23"/>
    <tableColumn id="3" xr3:uid="{00000000-0010-0000-0600-000003000000}" name="Line" dataDxfId="22"/>
    <tableColumn id="5" xr3:uid="{00000000-0010-0000-0600-000005000000}" name="Checked" dataDxfId="21"/>
    <tableColumn id="4" xr3:uid="{00000000-0010-0000-0600-000004000000}" name="Description" dataDxfId="20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e446" displayName="Table446" ref="A1:E117" totalsRowShown="0" dataDxfId="19">
  <autoFilter ref="A1:E117" xr:uid="{00000000-0009-0000-0100-000005000000}">
    <filterColumn colId="3">
      <filters blank="1"/>
    </filterColumn>
  </autoFilter>
  <sortState ref="A2:E117">
    <sortCondition ref="A1:A117"/>
  </sortState>
  <tableColumns count="5">
    <tableColumn id="1" xr3:uid="{00000000-0010-0000-0700-000001000000}" name="Class" dataDxfId="18"/>
    <tableColumn id="2" xr3:uid="{00000000-0010-0000-0700-000002000000}" name="Function" dataDxfId="17"/>
    <tableColumn id="3" xr3:uid="{00000000-0010-0000-0700-000003000000}" name="Line" dataDxfId="16"/>
    <tableColumn id="5" xr3:uid="{00000000-0010-0000-0700-000005000000}" name="Checked" dataDxfId="15"/>
    <tableColumn id="4" xr3:uid="{00000000-0010-0000-0700-000004000000}" name="Description" dataDxfId="14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C28" totalsRowShown="0" dataDxfId="13">
  <autoFilter ref="A1:C28" xr:uid="{00000000-0009-0000-0100-000006000000}"/>
  <tableColumns count="3">
    <tableColumn id="1" xr3:uid="{00000000-0010-0000-0800-000001000000}" name="Code" dataDxfId="12"/>
    <tableColumn id="2" xr3:uid="{00000000-0010-0000-0800-000002000000}" name="Description" dataDxfId="11"/>
    <tableColumn id="3" xr3:uid="{00000000-0010-0000-0800-000003000000}" name="Generator Function" dataDxfId="1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32"/>
  <sheetViews>
    <sheetView showGridLines="0" zoomScale="85" zoomScaleNormal="85" zoomScaleSheetLayoutView="80" workbookViewId="0">
      <selection activeCell="H3" sqref="H3"/>
    </sheetView>
  </sheetViews>
  <sheetFormatPr defaultColWidth="0" defaultRowHeight="30" customHeight="1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82" t="s">
        <v>28</v>
      </c>
      <c r="C2" s="182"/>
      <c r="D2" s="182"/>
      <c r="E2" s="182"/>
      <c r="F2" s="182"/>
      <c r="G2" s="5" t="s">
        <v>20</v>
      </c>
      <c r="H2" s="12">
        <v>9</v>
      </c>
      <c r="J2" s="13"/>
      <c r="K2" s="188" t="s">
        <v>27</v>
      </c>
      <c r="L2" s="189"/>
      <c r="M2" s="189"/>
      <c r="N2" s="189"/>
      <c r="O2" s="190"/>
      <c r="P2" s="14"/>
      <c r="Q2" s="188" t="s">
        <v>26</v>
      </c>
      <c r="R2" s="191"/>
      <c r="S2" s="191"/>
      <c r="T2" s="190"/>
      <c r="U2" s="15"/>
      <c r="V2" s="180" t="s">
        <v>17</v>
      </c>
      <c r="W2" s="181"/>
      <c r="X2" s="181"/>
      <c r="Y2" s="192"/>
      <c r="Z2" s="16"/>
      <c r="AA2" s="193" t="s">
        <v>18</v>
      </c>
      <c r="AB2" s="194"/>
      <c r="AC2" s="194"/>
      <c r="AD2" s="194"/>
      <c r="AE2" s="194"/>
      <c r="AF2" s="194"/>
      <c r="AG2" s="195"/>
      <c r="AH2" s="17"/>
      <c r="AI2" s="180" t="s">
        <v>19</v>
      </c>
      <c r="AJ2" s="181"/>
      <c r="AK2" s="181"/>
      <c r="AL2" s="181"/>
      <c r="AM2" s="181"/>
      <c r="AN2" s="181"/>
      <c r="AO2" s="181"/>
      <c r="AP2" s="181"/>
    </row>
    <row r="3" spans="2:16384" s="9" customFormat="1" ht="39.9" customHeight="1" thickTop="1">
      <c r="B3" s="183" t="s">
        <v>0</v>
      </c>
      <c r="C3" s="185" t="s">
        <v>21</v>
      </c>
      <c r="D3" s="185" t="s">
        <v>22</v>
      </c>
      <c r="E3" s="185" t="s">
        <v>23</v>
      </c>
      <c r="F3" s="185" t="s">
        <v>24</v>
      </c>
      <c r="G3" s="187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84"/>
      <c r="C4" s="186"/>
      <c r="D4" s="186"/>
      <c r="E4" s="186"/>
      <c r="F4" s="186"/>
      <c r="G4" s="186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3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7</v>
      </c>
      <c r="E10" s="7">
        <v>7</v>
      </c>
      <c r="F10" s="7">
        <v>3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9</v>
      </c>
      <c r="E11" s="7">
        <v>7</v>
      </c>
      <c r="F11" s="7">
        <v>3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9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8</v>
      </c>
      <c r="F14" s="7">
        <v>2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3:BO33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:XFD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2"/>
  <sheetViews>
    <sheetView zoomScaleNormal="100" workbookViewId="0">
      <selection activeCell="F192" sqref="F192"/>
    </sheetView>
  </sheetViews>
  <sheetFormatPr defaultColWidth="0" defaultRowHeight="14.4" customHeight="1" zeroHeight="1"/>
  <cols>
    <col min="1" max="1" width="55.664062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>
      <c r="A42" s="46" t="s">
        <v>117</v>
      </c>
      <c r="B42" s="22">
        <f ca="1">TODAY()</f>
        <v>43373</v>
      </c>
      <c r="C42" s="22">
        <v>43118</v>
      </c>
      <c r="D42" s="23">
        <v>1</v>
      </c>
      <c r="E42" s="22">
        <v>43118</v>
      </c>
      <c r="F42" s="32"/>
    </row>
    <row r="43" spans="1: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idden="1">
      <c r="A44" s="47" t="s">
        <v>119</v>
      </c>
      <c r="B44" s="22">
        <f ca="1">TODAY()</f>
        <v>43373</v>
      </c>
      <c r="C44" s="22">
        <v>43118</v>
      </c>
      <c r="D44" s="23">
        <v>1</v>
      </c>
      <c r="E44" s="22">
        <v>43118</v>
      </c>
      <c r="F44" s="32"/>
    </row>
    <row r="45" spans="1:6" hidden="1">
      <c r="A45" s="47" t="s">
        <v>120</v>
      </c>
      <c r="B45" s="22">
        <f ca="1">TODAY()</f>
        <v>43373</v>
      </c>
      <c r="C45" s="22">
        <v>43118</v>
      </c>
      <c r="D45" s="23">
        <v>1</v>
      </c>
      <c r="E45" s="22">
        <v>43118</v>
      </c>
      <c r="F45" s="32"/>
    </row>
    <row r="46" spans="1: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>
      <c r="A47" s="48" t="s">
        <v>123</v>
      </c>
      <c r="B47" s="22">
        <f ca="1">TODAY()</f>
        <v>43373</v>
      </c>
      <c r="C47" s="22"/>
      <c r="D47" s="23">
        <v>1</v>
      </c>
      <c r="E47" s="22">
        <v>43118</v>
      </c>
      <c r="F47" s="32"/>
    </row>
    <row r="48" spans="1: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idden="1">
      <c r="A67" s="160" t="s">
        <v>2081</v>
      </c>
      <c r="B67" s="22">
        <v>43124</v>
      </c>
      <c r="C67" s="22">
        <v>43255</v>
      </c>
      <c r="D67" s="23">
        <v>1</v>
      </c>
      <c r="E67" s="22">
        <v>43256</v>
      </c>
      <c r="F67" s="59"/>
    </row>
    <row r="68" spans="1: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>
      <c r="A106" s="101" t="s">
        <v>314</v>
      </c>
      <c r="B106" s="22">
        <v>43144</v>
      </c>
      <c r="C106" s="80">
        <v>43255</v>
      </c>
      <c r="D106" s="23">
        <v>0.75</v>
      </c>
      <c r="E106" s="22">
        <v>43256</v>
      </c>
      <c r="F106" s="95"/>
    </row>
    <row r="107" spans="1: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>
      <c r="A139" s="137" t="s">
        <v>993</v>
      </c>
      <c r="B139" s="22">
        <f ca="1">IF(COUNTA($A139)=1,TODAY(),"")</f>
        <v>43373</v>
      </c>
      <c r="C139" s="80">
        <v>43242</v>
      </c>
      <c r="D139" s="23">
        <v>0.5</v>
      </c>
      <c r="E139" s="22">
        <v>43263</v>
      </c>
      <c r="F139" s="59"/>
    </row>
    <row r="140" spans="1: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idden="1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idden="1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idden="1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idden="1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idden="1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idden="1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idden="1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idden="1">
      <c r="A177" s="161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idden="1">
      <c r="A178" s="162" t="s">
        <v>2176</v>
      </c>
      <c r="B178" s="22">
        <v>43256</v>
      </c>
      <c r="C178" s="80">
        <v>43256</v>
      </c>
      <c r="D178" s="23">
        <v>1</v>
      </c>
      <c r="E178" s="22">
        <v>43256</v>
      </c>
      <c r="F178" s="59"/>
    </row>
    <row r="179" spans="1:6" hidden="1">
      <c r="A179" s="163" t="s">
        <v>2809</v>
      </c>
      <c r="B179" s="22">
        <v>43265</v>
      </c>
      <c r="C179" s="80">
        <v>43267</v>
      </c>
      <c r="D179" s="23">
        <v>1</v>
      </c>
      <c r="E179" s="22">
        <v>43271</v>
      </c>
      <c r="F179" s="59"/>
    </row>
    <row r="180" spans="1:6" hidden="1">
      <c r="A180" s="164" t="s">
        <v>2891</v>
      </c>
      <c r="B180" s="22">
        <v>43271</v>
      </c>
      <c r="C180" s="80">
        <v>43271</v>
      </c>
      <c r="D180" s="23">
        <v>1</v>
      </c>
      <c r="E180" s="22">
        <v>43278</v>
      </c>
      <c r="F180" s="59"/>
    </row>
    <row r="181" spans="1:6" hidden="1">
      <c r="A181" s="164" t="s">
        <v>2892</v>
      </c>
      <c r="B181" s="165">
        <v>43271</v>
      </c>
      <c r="C181" s="80">
        <v>43276</v>
      </c>
      <c r="D181" s="23">
        <v>1</v>
      </c>
      <c r="E181" s="22"/>
      <c r="F181" s="59"/>
    </row>
    <row r="182" spans="1:6" hidden="1">
      <c r="A182" s="168" t="s">
        <v>2981</v>
      </c>
      <c r="B182" s="165">
        <v>43338</v>
      </c>
      <c r="C182" s="80">
        <v>43342</v>
      </c>
      <c r="D182" s="23">
        <v>0</v>
      </c>
      <c r="E182" s="22"/>
      <c r="F182" s="59"/>
    </row>
    <row r="183" spans="1:6">
      <c r="A183" s="169" t="s">
        <v>3164</v>
      </c>
      <c r="B183" s="165">
        <v>43357</v>
      </c>
      <c r="C183" s="80">
        <v>43381</v>
      </c>
      <c r="D183" s="23">
        <v>0</v>
      </c>
      <c r="E183" s="22">
        <v>43382</v>
      </c>
      <c r="F183" s="59"/>
    </row>
    <row r="184" spans="1:6" hidden="1">
      <c r="A184" s="171" t="s">
        <v>3531</v>
      </c>
      <c r="B184" s="165">
        <v>43357</v>
      </c>
      <c r="C184" s="80"/>
      <c r="D184" s="23">
        <v>1</v>
      </c>
      <c r="E184" s="22"/>
      <c r="F184" s="175" t="s">
        <v>3532</v>
      </c>
    </row>
    <row r="185" spans="1:6">
      <c r="A185" s="172" t="s">
        <v>3445</v>
      </c>
      <c r="B185" s="165">
        <v>43357</v>
      </c>
      <c r="C185" s="80">
        <v>43381</v>
      </c>
      <c r="D185" s="23">
        <v>1.5</v>
      </c>
      <c r="E185" s="22">
        <v>43382</v>
      </c>
      <c r="F185" s="59"/>
    </row>
    <row r="186" spans="1:6">
      <c r="A186" s="176" t="s">
        <v>3533</v>
      </c>
      <c r="B186" s="165">
        <v>43367</v>
      </c>
      <c r="C186" s="80">
        <v>43373</v>
      </c>
      <c r="D186" s="23">
        <v>0.75</v>
      </c>
      <c r="E186" s="22">
        <v>43377</v>
      </c>
      <c r="F186" s="175" t="s">
        <v>3534</v>
      </c>
    </row>
    <row r="187" spans="1:6">
      <c r="A187" s="177" t="s">
        <v>3540</v>
      </c>
      <c r="B187" s="165">
        <v>43369</v>
      </c>
      <c r="C187" s="80">
        <v>43371</v>
      </c>
      <c r="D187" s="23">
        <v>1</v>
      </c>
      <c r="E187" s="22">
        <v>43377</v>
      </c>
      <c r="F187" s="59"/>
    </row>
    <row r="188" spans="1:6">
      <c r="A188" s="178" t="s">
        <v>3541</v>
      </c>
      <c r="B188" s="165">
        <v>43370</v>
      </c>
      <c r="C188" s="80">
        <v>43370</v>
      </c>
      <c r="D188" s="23">
        <v>1</v>
      </c>
      <c r="E188" s="22">
        <v>43377</v>
      </c>
      <c r="F188" s="59"/>
    </row>
    <row r="189" spans="1:6">
      <c r="A189" s="179" t="s">
        <v>3623</v>
      </c>
      <c r="B189" s="165">
        <v>43372</v>
      </c>
      <c r="C189" s="80">
        <v>43387</v>
      </c>
      <c r="D189" s="23">
        <v>0</v>
      </c>
      <c r="E189" s="22">
        <v>43391</v>
      </c>
      <c r="F189" s="59"/>
    </row>
    <row r="190" spans="1:6">
      <c r="A190" s="196" t="s">
        <v>3805</v>
      </c>
      <c r="B190" s="165">
        <v>43371</v>
      </c>
      <c r="C190" s="80">
        <v>43372</v>
      </c>
      <c r="D190" s="23">
        <v>1</v>
      </c>
      <c r="E190" s="22">
        <v>43377</v>
      </c>
      <c r="F190" s="59"/>
    </row>
    <row r="191" spans="1:6">
      <c r="A191" s="196" t="s">
        <v>3806</v>
      </c>
      <c r="B191" s="165">
        <v>43373</v>
      </c>
      <c r="C191" s="80">
        <v>43376</v>
      </c>
      <c r="D191" s="23">
        <v>0.25</v>
      </c>
      <c r="E191" s="22">
        <v>43377</v>
      </c>
      <c r="F191" s="59"/>
    </row>
    <row r="192" spans="1:6">
      <c r="A192" s="164"/>
      <c r="B192" s="165"/>
      <c r="C192" s="80"/>
      <c r="D192" s="23"/>
      <c r="E192" s="22"/>
      <c r="F192" s="59"/>
    </row>
    <row r="193" spans="1:6">
      <c r="A193" s="164"/>
      <c r="B193" s="165"/>
      <c r="C193" s="80"/>
      <c r="D193" s="23"/>
      <c r="E193" s="22"/>
      <c r="F193" s="59"/>
    </row>
    <row r="194" spans="1:6">
      <c r="A194" s="164"/>
      <c r="B194" s="165"/>
      <c r="C194" s="80"/>
      <c r="D194" s="23"/>
      <c r="E194" s="22"/>
      <c r="F194" s="59"/>
    </row>
    <row r="195" spans="1:6">
      <c r="A195" s="164"/>
      <c r="B195" s="165"/>
      <c r="C195" s="80"/>
      <c r="D195" s="23"/>
      <c r="E195" s="22"/>
      <c r="F195" s="59"/>
    </row>
    <row r="196" spans="1:6">
      <c r="A196" s="163"/>
      <c r="B196" s="22"/>
      <c r="C196" s="80"/>
      <c r="D196" s="23"/>
      <c r="E196" s="22"/>
      <c r="F196" s="59"/>
    </row>
    <row r="197" spans="1:6">
      <c r="A197" s="123"/>
      <c r="B197" s="22"/>
      <c r="C197" s="80"/>
      <c r="D197" s="23"/>
      <c r="E197" s="22"/>
      <c r="F197" s="59"/>
    </row>
    <row r="198" spans="1:6">
      <c r="B198" s="22"/>
      <c r="C198" s="22"/>
      <c r="D198" s="23"/>
      <c r="E198" s="22"/>
      <c r="F198" s="57"/>
    </row>
    <row r="199" spans="1:6" hidden="1"/>
    <row r="200" spans="1:6" ht="14.4" hidden="1" customHeight="1"/>
    <row r="201" spans="1:6" ht="14.4" hidden="1" customHeight="1"/>
    <row r="202" spans="1:6" ht="14.4" hidden="1" customHeight="1"/>
  </sheetData>
  <conditionalFormatting sqref="D2:D198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195"/>
  <sheetViews>
    <sheetView tabSelected="1" zoomScaleNormal="100" workbookViewId="0">
      <selection activeCell="E21" sqref="E21"/>
    </sheetView>
  </sheetViews>
  <sheetFormatPr defaultColWidth="0" defaultRowHeight="14.4" customHeight="1" zeroHeight="1"/>
  <cols>
    <col min="1" max="1" width="51.21875" style="20" customWidth="1"/>
    <col min="2" max="2" width="9.77734375" style="20" hidden="1" customWidth="1"/>
    <col min="3" max="3" width="10.5546875" style="20" hidden="1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155" t="s">
        <v>445</v>
      </c>
      <c r="B2" s="22">
        <v>43215</v>
      </c>
      <c r="C2" s="22">
        <v>43266</v>
      </c>
      <c r="D2" s="23">
        <v>1</v>
      </c>
      <c r="E2" s="22">
        <v>43272</v>
      </c>
      <c r="F2" s="32"/>
    </row>
    <row r="3" spans="1:6" hidden="1">
      <c r="A3" s="155" t="s">
        <v>2065</v>
      </c>
      <c r="B3" s="22">
        <v>43251</v>
      </c>
      <c r="C3" s="22">
        <v>43256</v>
      </c>
      <c r="D3" s="23">
        <v>1</v>
      </c>
      <c r="E3" s="22">
        <v>43256</v>
      </c>
      <c r="F3" s="32"/>
    </row>
    <row r="4" spans="1:6" hidden="1">
      <c r="A4" s="164" t="s">
        <v>2893</v>
      </c>
      <c r="B4" s="22">
        <v>43271</v>
      </c>
      <c r="C4" s="22">
        <v>43273</v>
      </c>
      <c r="D4" s="23">
        <v>1</v>
      </c>
      <c r="E4" s="22">
        <v>43278</v>
      </c>
    </row>
    <row r="5" spans="1:6" hidden="1">
      <c r="A5" s="164" t="s">
        <v>2894</v>
      </c>
      <c r="B5" s="22">
        <v>43271</v>
      </c>
      <c r="C5" s="22">
        <v>43280</v>
      </c>
      <c r="D5" s="23">
        <v>1.5</v>
      </c>
      <c r="E5" s="22">
        <v>43284</v>
      </c>
    </row>
    <row r="6" spans="1:6" hidden="1">
      <c r="A6" s="166" t="s">
        <v>2980</v>
      </c>
      <c r="B6" s="22">
        <v>43273</v>
      </c>
      <c r="C6" s="22">
        <v>43276</v>
      </c>
      <c r="D6" s="23">
        <v>1.5</v>
      </c>
      <c r="E6" s="167">
        <v>43284</v>
      </c>
    </row>
    <row r="7" spans="1:6" hidden="1">
      <c r="A7" s="170" t="s">
        <v>3357</v>
      </c>
      <c r="B7" s="22"/>
      <c r="C7" s="22"/>
      <c r="D7" s="23">
        <v>1</v>
      </c>
      <c r="E7" s="22"/>
      <c r="F7" s="24"/>
    </row>
    <row r="8" spans="1:6" hidden="1">
      <c r="A8" s="170" t="s">
        <v>3358</v>
      </c>
      <c r="B8" s="22"/>
      <c r="C8" s="22"/>
      <c r="D8" s="23">
        <v>1</v>
      </c>
      <c r="E8" s="22"/>
    </row>
    <row r="9" spans="1:6" hidden="1">
      <c r="A9" s="176" t="s">
        <v>3537</v>
      </c>
      <c r="B9" s="22"/>
      <c r="C9" s="22"/>
      <c r="D9" s="23">
        <v>1</v>
      </c>
      <c r="E9" s="22">
        <v>43377</v>
      </c>
      <c r="F9" s="26"/>
    </row>
    <row r="10" spans="1:6" hidden="1">
      <c r="A10" s="176" t="s">
        <v>3538</v>
      </c>
      <c r="B10" s="22"/>
      <c r="C10" s="22"/>
      <c r="D10" s="23">
        <v>1</v>
      </c>
      <c r="E10" s="22">
        <v>43381</v>
      </c>
      <c r="F10" s="31"/>
    </row>
    <row r="11" spans="1:6">
      <c r="A11" s="170" t="s">
        <v>3359</v>
      </c>
      <c r="B11" s="22"/>
      <c r="C11" s="22"/>
      <c r="D11" s="23">
        <v>0.75</v>
      </c>
      <c r="E11" s="22">
        <v>43377</v>
      </c>
      <c r="F11" s="25"/>
    </row>
    <row r="12" spans="1:6">
      <c r="A12" s="170" t="s">
        <v>3360</v>
      </c>
      <c r="B12" s="22"/>
      <c r="C12" s="22"/>
      <c r="D12" s="23">
        <v>0.5</v>
      </c>
      <c r="E12" s="22">
        <v>43381</v>
      </c>
    </row>
    <row r="13" spans="1:6" hidden="1">
      <c r="A13" s="173" t="s">
        <v>3529</v>
      </c>
      <c r="B13" s="22"/>
      <c r="C13" s="22"/>
      <c r="D13" s="23">
        <v>1</v>
      </c>
      <c r="E13" s="22"/>
    </row>
    <row r="14" spans="1:6">
      <c r="A14" s="176" t="s">
        <v>3536</v>
      </c>
      <c r="B14" s="22"/>
      <c r="C14" s="22"/>
      <c r="D14" s="23">
        <v>0</v>
      </c>
      <c r="E14" s="22">
        <v>43388</v>
      </c>
      <c r="F14" s="28"/>
    </row>
    <row r="15" spans="1:6">
      <c r="A15" s="176" t="s">
        <v>3535</v>
      </c>
      <c r="B15" s="22"/>
      <c r="C15" s="22"/>
      <c r="D15" s="23">
        <v>0</v>
      </c>
      <c r="E15" s="22">
        <v>43373</v>
      </c>
      <c r="F15" s="28"/>
    </row>
    <row r="16" spans="1:6">
      <c r="A16" s="176" t="s">
        <v>3539</v>
      </c>
      <c r="B16" s="22"/>
      <c r="C16" s="22"/>
      <c r="D16" s="23">
        <v>0</v>
      </c>
      <c r="E16" s="22">
        <v>43388</v>
      </c>
    </row>
    <row r="17" spans="1:5">
      <c r="A17" s="32"/>
      <c r="B17" s="22"/>
      <c r="C17" s="22"/>
      <c r="D17" s="23"/>
      <c r="E17" s="22"/>
    </row>
    <row r="18" spans="1:5">
      <c r="A18" s="32"/>
      <c r="B18" s="22"/>
      <c r="C18" s="22"/>
      <c r="D18" s="23"/>
      <c r="E18" s="22"/>
    </row>
    <row r="19" spans="1:5">
      <c r="A19" s="32"/>
      <c r="B19" s="22"/>
      <c r="C19" s="22"/>
      <c r="D19" s="23"/>
      <c r="E19" s="22"/>
    </row>
    <row r="20" spans="1:5">
      <c r="A20" s="32"/>
      <c r="B20" s="22"/>
      <c r="C20" s="22"/>
      <c r="D20" s="23"/>
      <c r="E20" s="22"/>
    </row>
    <row r="21" spans="1:5">
      <c r="A21" s="32"/>
      <c r="B21" s="22"/>
      <c r="C21" s="22"/>
      <c r="D21" s="23"/>
      <c r="E21" s="22"/>
    </row>
    <row r="22" spans="1:5">
      <c r="A22" s="32"/>
      <c r="B22" s="22"/>
      <c r="C22" s="22"/>
      <c r="D22" s="23"/>
      <c r="E22" s="22"/>
    </row>
    <row r="23" spans="1:5">
      <c r="A23" s="32"/>
      <c r="B23" s="22"/>
      <c r="C23" s="22"/>
      <c r="D23" s="23"/>
      <c r="E23" s="22"/>
    </row>
    <row r="24" spans="1:5">
      <c r="A24" s="32"/>
      <c r="B24" s="22"/>
      <c r="C24" s="22"/>
      <c r="D24" s="23"/>
      <c r="E24" s="22"/>
    </row>
    <row r="25" spans="1:5">
      <c r="A25" s="32"/>
      <c r="B25" s="22"/>
      <c r="C25" s="22"/>
      <c r="D25" s="23"/>
      <c r="E25" s="22"/>
    </row>
    <row r="26" spans="1:5">
      <c r="A26" s="32"/>
      <c r="B26" s="22"/>
      <c r="C26" s="22"/>
      <c r="D26" s="23"/>
      <c r="E26" s="22"/>
    </row>
    <row r="27" spans="1:5">
      <c r="A27" s="32"/>
      <c r="B27" s="22"/>
      <c r="C27" s="22"/>
      <c r="D27" s="23"/>
      <c r="E27" s="22"/>
    </row>
    <row r="28" spans="1:5">
      <c r="A28" s="32"/>
      <c r="B28" s="22"/>
      <c r="C28" s="22"/>
      <c r="D28" s="23"/>
      <c r="E28" s="22"/>
    </row>
    <row r="29" spans="1:5">
      <c r="A29" s="32"/>
      <c r="B29" s="22"/>
      <c r="C29" s="22"/>
      <c r="D29" s="23"/>
      <c r="E29" s="22"/>
    </row>
    <row r="30" spans="1:5">
      <c r="A30" s="32"/>
      <c r="B30" s="22"/>
      <c r="C30" s="22"/>
      <c r="D30" s="23"/>
      <c r="E30" s="22"/>
    </row>
    <row r="31" spans="1:5">
      <c r="A31" s="32"/>
      <c r="B31" s="22"/>
      <c r="C31" s="22"/>
      <c r="D31" s="23"/>
      <c r="E31" s="22"/>
    </row>
    <row r="32" spans="1:5">
      <c r="A32" s="32"/>
      <c r="B32" s="22"/>
      <c r="C32" s="22"/>
      <c r="D32" s="23"/>
      <c r="E32" s="22"/>
    </row>
    <row r="33" spans="1:6">
      <c r="A33" s="32"/>
      <c r="B33" s="22"/>
      <c r="C33" s="22"/>
      <c r="D33" s="23"/>
      <c r="E33" s="22"/>
      <c r="F33" s="32"/>
    </row>
    <row r="34" spans="1:6">
      <c r="A34" s="32"/>
      <c r="B34" s="22"/>
      <c r="C34" s="22"/>
      <c r="D34" s="23"/>
      <c r="E34" s="22"/>
      <c r="F34" s="32"/>
    </row>
    <row r="35" spans="1:6">
      <c r="A35" s="34"/>
      <c r="B35" s="22"/>
      <c r="C35" s="22"/>
      <c r="D35" s="23"/>
      <c r="E35" s="22"/>
      <c r="F35" s="32"/>
    </row>
    <row r="36" spans="1:6">
      <c r="A36" s="34"/>
      <c r="B36" s="22"/>
      <c r="C36" s="22"/>
      <c r="D36" s="23"/>
      <c r="E36" s="22"/>
      <c r="F36" s="32"/>
    </row>
    <row r="37" spans="1:6">
      <c r="A37" s="33"/>
      <c r="B37" s="22"/>
      <c r="C37" s="22"/>
      <c r="D37" s="23"/>
      <c r="E37" s="22"/>
      <c r="F37" s="33"/>
    </row>
    <row r="38" spans="1:6">
      <c r="A38" s="35"/>
      <c r="B38" s="22"/>
      <c r="C38" s="22"/>
      <c r="D38" s="23"/>
      <c r="E38" s="22"/>
      <c r="F38" s="36"/>
    </row>
    <row r="39" spans="1:6">
      <c r="A39" s="37"/>
      <c r="B39" s="22"/>
      <c r="C39" s="22"/>
      <c r="D39" s="23"/>
      <c r="E39" s="22"/>
      <c r="F39" s="38"/>
    </row>
    <row r="40" spans="1:6">
      <c r="A40" s="35"/>
      <c r="B40" s="22"/>
      <c r="C40" s="22"/>
      <c r="D40" s="23"/>
      <c r="E40" s="22"/>
      <c r="F40" s="32"/>
    </row>
    <row r="41" spans="1:6">
      <c r="A41" s="34"/>
      <c r="B41" s="22"/>
      <c r="C41" s="22"/>
      <c r="D41" s="23"/>
      <c r="E41" s="22"/>
      <c r="F41" s="32"/>
    </row>
    <row r="42" spans="1:6">
      <c r="A42" s="44"/>
      <c r="B42" s="22"/>
      <c r="C42" s="22"/>
      <c r="D42" s="23"/>
      <c r="E42" s="22"/>
      <c r="F42" s="32"/>
    </row>
    <row r="43" spans="1:6">
      <c r="A43" s="38"/>
      <c r="B43" s="22"/>
      <c r="C43" s="22"/>
      <c r="D43" s="23"/>
      <c r="E43" s="22"/>
      <c r="F43" s="32"/>
    </row>
    <row r="44" spans="1:6">
      <c r="A44" s="27"/>
      <c r="B44" s="22"/>
      <c r="C44" s="22"/>
      <c r="D44" s="23"/>
      <c r="E44" s="22"/>
      <c r="F44" s="54"/>
    </row>
    <row r="45" spans="1:6">
      <c r="A45" s="94"/>
      <c r="B45" s="22"/>
      <c r="C45" s="80"/>
      <c r="D45" s="23"/>
      <c r="E45" s="22"/>
      <c r="F45" s="88"/>
    </row>
    <row r="46" spans="1:6">
      <c r="A46" s="25"/>
      <c r="B46" s="22"/>
      <c r="C46" s="22"/>
      <c r="D46" s="23"/>
      <c r="E46" s="22"/>
      <c r="F46" s="25"/>
    </row>
    <row r="47" spans="1:6">
      <c r="A47" s="28"/>
      <c r="B47" s="22"/>
      <c r="C47" s="22"/>
      <c r="D47" s="23"/>
      <c r="E47" s="22"/>
      <c r="F47" s="56"/>
    </row>
    <row r="48" spans="1:6">
      <c r="A48" s="68"/>
      <c r="B48" s="22"/>
      <c r="C48" s="22"/>
      <c r="D48" s="23"/>
      <c r="E48" s="22"/>
      <c r="F48" s="69"/>
    </row>
    <row r="49" spans="2:6">
      <c r="B49" s="22"/>
      <c r="C49" s="22"/>
      <c r="D49" s="23"/>
      <c r="E49" s="22"/>
      <c r="F49" s="57"/>
    </row>
    <row r="50" spans="2:6" hidden="1"/>
    <row r="51" spans="2:6" ht="14.4" hidden="1" customHeight="1"/>
    <row r="52" spans="2:6" ht="14.4" hidden="1" customHeight="1"/>
    <row r="53" spans="2:6" ht="14.4" hidden="1" customHeight="1"/>
    <row r="54" spans="2:6" ht="14.4" hidden="1" customHeight="1"/>
    <row r="55" spans="2:6" ht="14.4" hidden="1" customHeight="1"/>
    <row r="56" spans="2:6" ht="14.4" hidden="1" customHeight="1"/>
    <row r="57" spans="2:6" ht="14.4" hidden="1" customHeight="1"/>
    <row r="58" spans="2:6" ht="14.4" hidden="1" customHeight="1"/>
    <row r="59" spans="2:6" ht="14.4" hidden="1" customHeight="1"/>
    <row r="60" spans="2:6" ht="14.4" hidden="1" customHeight="1"/>
    <row r="61" spans="2:6" ht="14.4" hidden="1" customHeight="1"/>
    <row r="62" spans="2:6" ht="14.4" hidden="1" customHeight="1"/>
    <row r="63" spans="2:6" ht="14.4" hidden="1" customHeight="1"/>
    <row r="64" spans="2:6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  <row r="180" ht="14.4" hidden="1" customHeight="1"/>
    <row r="181" ht="14.4" hidden="1" customHeight="1"/>
    <row r="182" ht="14.4" hidden="1" customHeight="1"/>
    <row r="183" ht="14.4" hidden="1" customHeight="1"/>
    <row r="184" ht="14.4" hidden="1" customHeight="1"/>
    <row r="185" ht="14.4" hidden="1" customHeight="1"/>
    <row r="186" ht="14.4" hidden="1" customHeight="1"/>
    <row r="187" ht="14.4" hidden="1" customHeight="1"/>
    <row r="188" ht="14.4" hidden="1" customHeight="1"/>
    <row r="189" ht="14.4" hidden="1" customHeight="1"/>
    <row r="190" ht="14.4" hidden="1" customHeight="1"/>
    <row r="191" ht="14.4" hidden="1" customHeight="1"/>
    <row r="192" ht="14.4" hidden="1" customHeight="1"/>
    <row r="193" ht="14.4" hidden="1" customHeight="1"/>
    <row r="194" ht="14.4" hidden="1" customHeight="1"/>
    <row r="195" ht="14.4" hidden="1" customHeight="1"/>
  </sheetData>
  <conditionalFormatting sqref="D2:D49">
    <cfRule type="iconSet" priority="18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6"/>
  <sheetViews>
    <sheetView zoomScale="85" zoomScaleNormal="85" workbookViewId="0">
      <selection activeCell="C24" sqref="C24"/>
    </sheetView>
  </sheetViews>
  <sheetFormatPr defaultRowHeight="14.4"/>
  <cols>
    <col min="1" max="1" width="6.77734375" customWidth="1"/>
    <col min="2" max="2" width="6.88671875" customWidth="1"/>
    <col min="3" max="3" width="54.5546875" customWidth="1"/>
    <col min="4" max="4" width="10.77734375" customWidth="1"/>
    <col min="5" max="5" width="11.44140625" customWidth="1"/>
    <col min="6" max="6" width="10.6640625" customWidth="1"/>
  </cols>
  <sheetData>
    <row r="1" spans="1:6">
      <c r="A1" t="s">
        <v>2056</v>
      </c>
      <c r="B1" t="s">
        <v>2057</v>
      </c>
      <c r="C1" t="s">
        <v>108</v>
      </c>
      <c r="D1" t="s">
        <v>420</v>
      </c>
      <c r="E1" t="s">
        <v>2058</v>
      </c>
      <c r="F1" t="s">
        <v>2059</v>
      </c>
    </row>
    <row r="2" spans="1:6">
      <c r="A2" s="153">
        <v>816</v>
      </c>
      <c r="B2" s="153">
        <v>957</v>
      </c>
      <c r="C2" s="151" t="s">
        <v>2061</v>
      </c>
      <c r="D2" s="151"/>
      <c r="E2" s="152"/>
      <c r="F2" s="152"/>
    </row>
    <row r="3" spans="1:6">
      <c r="A3" s="153">
        <v>958</v>
      </c>
      <c r="B3" s="153">
        <v>1099</v>
      </c>
      <c r="C3" s="151" t="s">
        <v>2060</v>
      </c>
      <c r="D3" s="151"/>
      <c r="E3" s="152"/>
      <c r="F3" s="152"/>
    </row>
    <row r="4" spans="1:6">
      <c r="A4" s="153">
        <v>1100</v>
      </c>
      <c r="B4" s="153">
        <v>1241</v>
      </c>
      <c r="C4" s="151" t="s">
        <v>2063</v>
      </c>
      <c r="D4" s="151"/>
      <c r="E4" s="152">
        <v>43248</v>
      </c>
      <c r="F4" s="152">
        <v>43249</v>
      </c>
    </row>
    <row r="5" spans="1:6">
      <c r="A5" s="153">
        <v>1242</v>
      </c>
      <c r="B5" s="153">
        <v>1383</v>
      </c>
      <c r="C5" s="151" t="s">
        <v>2062</v>
      </c>
      <c r="D5" s="151"/>
      <c r="E5" s="152">
        <v>43251</v>
      </c>
      <c r="F5" s="152"/>
    </row>
    <row r="6" spans="1:6">
      <c r="A6" s="153">
        <v>1384</v>
      </c>
      <c r="B6" s="153">
        <v>1473</v>
      </c>
      <c r="C6" s="151"/>
      <c r="D6" s="110" t="s">
        <v>2175</v>
      </c>
      <c r="E6" s="152">
        <v>43255</v>
      </c>
      <c r="F6" s="152">
        <v>43256</v>
      </c>
    </row>
    <row r="7" spans="1:6">
      <c r="A7" s="153">
        <v>1474</v>
      </c>
      <c r="B7" s="153">
        <v>1563</v>
      </c>
      <c r="C7" s="151"/>
      <c r="D7" s="110" t="s">
        <v>2267</v>
      </c>
      <c r="E7" s="152">
        <v>43256</v>
      </c>
      <c r="F7" s="152">
        <v>43256</v>
      </c>
    </row>
    <row r="8" spans="1:6">
      <c r="A8" s="153">
        <v>1564</v>
      </c>
      <c r="B8" s="153">
        <v>1743</v>
      </c>
      <c r="C8" s="151" t="s">
        <v>2898</v>
      </c>
      <c r="D8" s="110" t="s">
        <v>2267</v>
      </c>
      <c r="E8" s="152"/>
      <c r="F8" s="152"/>
    </row>
    <row r="9" spans="1:6">
      <c r="A9" s="153">
        <v>1744</v>
      </c>
      <c r="B9" s="153">
        <v>1923</v>
      </c>
      <c r="C9" s="151" t="s">
        <v>2897</v>
      </c>
      <c r="D9" s="110" t="s">
        <v>2267</v>
      </c>
      <c r="E9" s="152"/>
      <c r="F9" s="152"/>
    </row>
    <row r="10" spans="1:6">
      <c r="A10" s="153">
        <v>1924</v>
      </c>
      <c r="B10" s="153">
        <v>2103</v>
      </c>
      <c r="C10" s="151" t="s">
        <v>2896</v>
      </c>
      <c r="D10" s="110" t="s">
        <v>2267</v>
      </c>
      <c r="E10" s="152"/>
      <c r="F10" s="152"/>
    </row>
    <row r="11" spans="1:6">
      <c r="A11" s="153">
        <v>2104</v>
      </c>
      <c r="B11" s="153">
        <v>2184</v>
      </c>
      <c r="C11" s="151" t="s">
        <v>2895</v>
      </c>
      <c r="D11" s="110" t="s">
        <v>2267</v>
      </c>
      <c r="E11" s="152"/>
      <c r="F11" s="152"/>
    </row>
    <row r="12" spans="1:6">
      <c r="A12" s="153">
        <v>2266</v>
      </c>
      <c r="B12" s="153">
        <v>2445</v>
      </c>
      <c r="C12" s="151" t="s">
        <v>3163</v>
      </c>
      <c r="D12" s="110" t="s">
        <v>3162</v>
      </c>
      <c r="E12" s="152">
        <v>43340</v>
      </c>
      <c r="F12" s="152"/>
    </row>
    <row r="13" spans="1:6">
      <c r="A13" s="153">
        <v>2446</v>
      </c>
      <c r="B13" s="153">
        <v>2457</v>
      </c>
      <c r="C13" s="151"/>
      <c r="D13" s="174"/>
      <c r="E13" s="152"/>
      <c r="F13" s="152"/>
    </row>
    <row r="14" spans="1:6">
      <c r="A14" s="153">
        <v>2458</v>
      </c>
      <c r="B14" s="153">
        <v>2637</v>
      </c>
      <c r="C14" s="151" t="s">
        <v>2896</v>
      </c>
      <c r="D14" s="174"/>
      <c r="E14" s="152"/>
      <c r="F14" s="152"/>
    </row>
    <row r="15" spans="1:6">
      <c r="A15" s="153">
        <v>2638</v>
      </c>
      <c r="B15" s="153">
        <v>2718</v>
      </c>
      <c r="C15" s="151" t="s">
        <v>2898</v>
      </c>
      <c r="D15" s="174"/>
      <c r="E15" s="152"/>
      <c r="F15" s="152"/>
    </row>
    <row r="16" spans="1:6">
      <c r="A16" s="153">
        <v>2719</v>
      </c>
      <c r="B16" s="153">
        <v>2799</v>
      </c>
      <c r="C16" s="151" t="s">
        <v>3530</v>
      </c>
      <c r="D16" s="174" t="s">
        <v>3528</v>
      </c>
      <c r="E16" s="152"/>
      <c r="F16" s="152"/>
    </row>
    <row r="17" spans="1:6">
      <c r="A17" s="153">
        <v>2800</v>
      </c>
      <c r="B17" s="153">
        <v>2880</v>
      </c>
      <c r="C17" s="151"/>
      <c r="D17" s="151"/>
      <c r="E17" s="152"/>
      <c r="F17" s="152"/>
    </row>
    <row r="18" spans="1:6">
      <c r="A18" s="153">
        <v>2881</v>
      </c>
      <c r="B18" s="153">
        <v>3060</v>
      </c>
      <c r="C18" s="151"/>
      <c r="D18" s="151"/>
      <c r="E18" s="152"/>
      <c r="F18" s="152"/>
    </row>
    <row r="19" spans="1:6">
      <c r="A19" s="153"/>
      <c r="B19" s="153"/>
      <c r="C19" s="151"/>
      <c r="D19" s="151"/>
      <c r="E19" s="152"/>
      <c r="F19" s="152"/>
    </row>
    <row r="20" spans="1:6">
      <c r="A20" s="153"/>
      <c r="B20" s="153"/>
      <c r="C20" s="151"/>
      <c r="D20" s="151"/>
      <c r="E20" s="152"/>
      <c r="F20" s="152"/>
    </row>
    <row r="21" spans="1:6">
      <c r="A21" s="153"/>
      <c r="B21" s="153"/>
      <c r="C21" s="151"/>
      <c r="D21" s="151"/>
      <c r="E21" s="152"/>
      <c r="F21" s="152"/>
    </row>
    <row r="22" spans="1:6">
      <c r="A22" s="153"/>
      <c r="B22" s="153"/>
      <c r="C22" s="151"/>
      <c r="D22" s="151"/>
      <c r="E22" s="152"/>
      <c r="F22" s="152"/>
    </row>
    <row r="23" spans="1:6">
      <c r="A23" s="153"/>
      <c r="B23" s="153"/>
      <c r="C23" s="151"/>
      <c r="D23" s="151"/>
      <c r="E23" s="152"/>
      <c r="F23" s="152"/>
    </row>
    <row r="24" spans="1:6">
      <c r="A24" s="153"/>
      <c r="B24" s="153"/>
      <c r="C24" s="151"/>
      <c r="D24" s="151"/>
      <c r="E24" s="152"/>
      <c r="F24" s="152"/>
    </row>
    <row r="25" spans="1:6">
      <c r="A25" s="153"/>
      <c r="B25" s="153"/>
      <c r="C25" s="151"/>
      <c r="D25" s="151"/>
      <c r="E25" s="152"/>
      <c r="F25" s="152"/>
    </row>
    <row r="26" spans="1:6">
      <c r="A26" s="153"/>
      <c r="B26" s="153"/>
      <c r="C26" s="151"/>
      <c r="D26" s="151"/>
      <c r="E26" s="152"/>
      <c r="F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1695"/>
  <sheetViews>
    <sheetView topLeftCell="A1636" zoomScale="85" zoomScaleNormal="85" workbookViewId="0">
      <selection activeCell="J1655" sqref="J1655"/>
    </sheetView>
  </sheetViews>
  <sheetFormatPr defaultColWidth="0" defaultRowHeight="14.4" zeroHeight="1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>
        <v>193276</v>
      </c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>
        <v>193276</v>
      </c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>
        <v>193276</v>
      </c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>
        <v>193276</v>
      </c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>
        <v>193276</v>
      </c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>
        <v>193276</v>
      </c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>
        <v>193276</v>
      </c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>
        <v>193276</v>
      </c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>
        <v>193276</v>
      </c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>
        <v>193276</v>
      </c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>
        <v>193276</v>
      </c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>
        <v>193276</v>
      </c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>
        <v>193276</v>
      </c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>
        <v>193276</v>
      </c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>
        <v>193276</v>
      </c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>
        <v>193276</v>
      </c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>
        <v>193276</v>
      </c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>
        <v>193276</v>
      </c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>
        <v>193276</v>
      </c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>
        <v>193276</v>
      </c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>
        <v>193276</v>
      </c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>
        <v>193276</v>
      </c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>
        <v>193276</v>
      </c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>
        <v>193276</v>
      </c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>
        <v>193276</v>
      </c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>
        <v>193276</v>
      </c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>
        <v>193276</v>
      </c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>
        <v>193276</v>
      </c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>
        <v>193276</v>
      </c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 t="s">
        <v>2175</v>
      </c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>
        <v>193277</v>
      </c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>
        <v>193277</v>
      </c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>
        <v>193277</v>
      </c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>
        <v>193277</v>
      </c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>
        <v>193277</v>
      </c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>
        <v>193277</v>
      </c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>
        <v>193277</v>
      </c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>
        <v>193277</v>
      </c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>
        <v>193277</v>
      </c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>
        <v>193277</v>
      </c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>
        <v>193277</v>
      </c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>
        <v>193277</v>
      </c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>
        <v>193277</v>
      </c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>
        <v>193277</v>
      </c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>
        <v>193277</v>
      </c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>
        <v>193277</v>
      </c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>
        <v>193277</v>
      </c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>
        <v>193277</v>
      </c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>
        <v>193277</v>
      </c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>
        <v>193277</v>
      </c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>
        <v>193277</v>
      </c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>
        <v>193277</v>
      </c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>
        <v>193277</v>
      </c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>
        <v>193277</v>
      </c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>
        <v>193277</v>
      </c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>
        <v>193277</v>
      </c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>
        <v>193277</v>
      </c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>
        <v>193277</v>
      </c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>
        <v>193277</v>
      </c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 t="s">
        <v>2175</v>
      </c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>
        <v>193278</v>
      </c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>
        <v>193278</v>
      </c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>
        <v>193278</v>
      </c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>
        <v>193278</v>
      </c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>
        <v>193278</v>
      </c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>
        <v>193278</v>
      </c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>
        <v>193278</v>
      </c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>
        <v>193278</v>
      </c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>
        <v>193278</v>
      </c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>
        <v>193278</v>
      </c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>
        <v>193278</v>
      </c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>
        <v>193278</v>
      </c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>
        <v>193278</v>
      </c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>
        <v>193278</v>
      </c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>
        <v>193278</v>
      </c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>
        <v>193278</v>
      </c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>
        <v>193278</v>
      </c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>
        <v>193278</v>
      </c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>
        <v>193278</v>
      </c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>
        <v>193278</v>
      </c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>
        <v>193278</v>
      </c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>
        <v>193278</v>
      </c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>
        <v>193278</v>
      </c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>
        <v>193278</v>
      </c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>
        <v>193278</v>
      </c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>
        <v>193278</v>
      </c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>
        <v>193278</v>
      </c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>
        <v>193278</v>
      </c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>
        <v>193278</v>
      </c>
      <c r="Q91" s="107"/>
      <c r="R91" s="111"/>
      <c r="S91" s="110"/>
      <c r="T91"/>
      <c r="U91"/>
      <c r="V91"/>
    </row>
    <row r="92" spans="1:22">
      <c r="A92" s="105">
        <v>1474</v>
      </c>
      <c r="B92" s="41">
        <v>12000000</v>
      </c>
      <c r="C92" s="41">
        <v>1.1999999999999999E-3</v>
      </c>
      <c r="D92" s="41">
        <v>0.5</v>
      </c>
      <c r="E92" s="41">
        <v>30</v>
      </c>
      <c r="F92" s="41">
        <v>0</v>
      </c>
      <c r="G92" s="41" t="s">
        <v>103</v>
      </c>
      <c r="H92" s="41">
        <v>1</v>
      </c>
      <c r="I92" s="41">
        <v>1</v>
      </c>
      <c r="J92" s="108">
        <f>POWER(POWER(Table210[[#This Row],[mv]],4)/10,0.25)</f>
        <v>6.7480959022841905E-4</v>
      </c>
      <c r="K92" s="41">
        <v>0</v>
      </c>
      <c r="L92" s="41">
        <v>55</v>
      </c>
      <c r="M92" s="41">
        <v>-1</v>
      </c>
      <c r="N92" s="41">
        <v>4</v>
      </c>
      <c r="O92" s="110" t="s">
        <v>2177</v>
      </c>
      <c r="P92" s="109">
        <v>193305</v>
      </c>
      <c r="Q92" s="107"/>
      <c r="R92" s="111"/>
      <c r="S92" s="110" t="s">
        <v>2267</v>
      </c>
      <c r="T92"/>
      <c r="U92"/>
      <c r="V92"/>
    </row>
    <row r="93" spans="1:22">
      <c r="A93" s="105">
        <v>1475</v>
      </c>
      <c r="B93" s="41">
        <v>12000000</v>
      </c>
      <c r="C93" s="41">
        <v>1.1999999999999999E-3</v>
      </c>
      <c r="D93" s="41">
        <v>1</v>
      </c>
      <c r="E93" s="41">
        <v>30</v>
      </c>
      <c r="F93" s="41">
        <v>0</v>
      </c>
      <c r="G93" s="41" t="s">
        <v>103</v>
      </c>
      <c r="H93" s="41">
        <v>1</v>
      </c>
      <c r="I93" s="41">
        <v>1</v>
      </c>
      <c r="J93" s="108">
        <f>POWER(POWER(Table210[[#This Row],[mv]],4)/10,0.25)</f>
        <v>6.7480959022841905E-4</v>
      </c>
      <c r="K93" s="41">
        <v>0</v>
      </c>
      <c r="L93" s="41">
        <v>55</v>
      </c>
      <c r="M93" s="41">
        <v>-1</v>
      </c>
      <c r="N93" s="41">
        <v>4</v>
      </c>
      <c r="O93" s="110" t="s">
        <v>2178</v>
      </c>
      <c r="P93" s="109">
        <v>193305</v>
      </c>
      <c r="Q93" s="107"/>
      <c r="R93" s="111"/>
      <c r="S93" s="110"/>
      <c r="T93"/>
      <c r="U93"/>
      <c r="V93"/>
    </row>
    <row r="94" spans="1:22">
      <c r="A94" s="105">
        <v>1476</v>
      </c>
      <c r="B94" s="41">
        <v>12000000</v>
      </c>
      <c r="C94" s="41">
        <v>1.1999999999999999E-3</v>
      </c>
      <c r="D94" s="41">
        <v>2</v>
      </c>
      <c r="E94" s="41">
        <v>30</v>
      </c>
      <c r="F94" s="41">
        <v>0</v>
      </c>
      <c r="G94" s="41" t="s">
        <v>103</v>
      </c>
      <c r="H94" s="41">
        <v>1</v>
      </c>
      <c r="I94" s="41">
        <v>1</v>
      </c>
      <c r="J94" s="108">
        <f>POWER(POWER(Table210[[#This Row],[mv]],4)/10,0.25)</f>
        <v>6.7480959022841905E-4</v>
      </c>
      <c r="K94" s="41">
        <v>0</v>
      </c>
      <c r="L94" s="41">
        <v>55</v>
      </c>
      <c r="M94" s="41">
        <v>-1</v>
      </c>
      <c r="N94" s="41">
        <v>4</v>
      </c>
      <c r="O94" s="110" t="s">
        <v>2179</v>
      </c>
      <c r="P94" s="109">
        <v>193305</v>
      </c>
      <c r="Q94" s="107"/>
      <c r="R94" s="111"/>
      <c r="S94" s="110"/>
      <c r="T94"/>
      <c r="U94"/>
      <c r="V94"/>
    </row>
    <row r="95" spans="1:22">
      <c r="A95" s="105">
        <v>1477</v>
      </c>
      <c r="B95" s="41">
        <v>12000000</v>
      </c>
      <c r="C95" s="41">
        <v>1.1999999999999999E-3</v>
      </c>
      <c r="D95" s="41">
        <v>4</v>
      </c>
      <c r="E95" s="41">
        <v>30</v>
      </c>
      <c r="F95" s="41">
        <v>0</v>
      </c>
      <c r="G95" s="41" t="s">
        <v>103</v>
      </c>
      <c r="H95" s="41">
        <v>1</v>
      </c>
      <c r="I95" s="41">
        <v>1</v>
      </c>
      <c r="J95" s="108">
        <f>POWER(POWER(Table210[[#This Row],[mv]],4)/10,0.25)</f>
        <v>6.7480959022841905E-4</v>
      </c>
      <c r="K95" s="41">
        <v>0</v>
      </c>
      <c r="L95" s="41">
        <v>55</v>
      </c>
      <c r="M95" s="41">
        <v>-1</v>
      </c>
      <c r="N95" s="41">
        <v>4</v>
      </c>
      <c r="O95" s="110" t="s">
        <v>2180</v>
      </c>
      <c r="P95" s="109">
        <v>193305</v>
      </c>
      <c r="Q95" s="107"/>
      <c r="R95" s="111"/>
      <c r="S95" s="110"/>
      <c r="T95"/>
      <c r="U95"/>
      <c r="V95"/>
    </row>
    <row r="96" spans="1:22">
      <c r="A96" s="105">
        <v>1478</v>
      </c>
      <c r="B96" s="41">
        <v>12000000</v>
      </c>
      <c r="C96" s="41">
        <v>1.1999999999999999E-3</v>
      </c>
      <c r="D96" s="41">
        <v>8</v>
      </c>
      <c r="E96" s="41">
        <v>30</v>
      </c>
      <c r="F96" s="41">
        <v>0</v>
      </c>
      <c r="G96" s="41" t="s">
        <v>103</v>
      </c>
      <c r="H96" s="41">
        <v>1</v>
      </c>
      <c r="I96" s="41">
        <v>1</v>
      </c>
      <c r="J96" s="108">
        <f>POWER(POWER(Table210[[#This Row],[mv]],4)/10,0.25)</f>
        <v>6.7480959022841905E-4</v>
      </c>
      <c r="K96" s="41">
        <v>0</v>
      </c>
      <c r="L96" s="41">
        <v>55</v>
      </c>
      <c r="M96" s="41">
        <v>-1</v>
      </c>
      <c r="N96" s="41">
        <v>4</v>
      </c>
      <c r="O96" s="110" t="s">
        <v>2181</v>
      </c>
      <c r="P96" s="109">
        <v>193305</v>
      </c>
      <c r="Q96" s="107"/>
      <c r="R96" s="111"/>
      <c r="S96" s="110"/>
      <c r="T96"/>
      <c r="U96"/>
      <c r="V96"/>
    </row>
    <row r="97" spans="1:22">
      <c r="A97" s="105">
        <v>1479</v>
      </c>
      <c r="B97" s="41">
        <v>12000000</v>
      </c>
      <c r="C97" s="41">
        <v>1.2999999999999999E-3</v>
      </c>
      <c r="D97" s="41">
        <v>0.70709999999999995</v>
      </c>
      <c r="E97" s="41">
        <v>30</v>
      </c>
      <c r="F97" s="41">
        <v>0</v>
      </c>
      <c r="G97" s="41" t="s">
        <v>103</v>
      </c>
      <c r="H97" s="41">
        <v>1</v>
      </c>
      <c r="I97" s="41">
        <v>1</v>
      </c>
      <c r="J97" s="108">
        <f>POWER(POWER(Table210[[#This Row],[mv]],4)/10,0.25)</f>
        <v>7.3104372274745391E-4</v>
      </c>
      <c r="K97" s="41">
        <v>0</v>
      </c>
      <c r="L97" s="41">
        <v>55</v>
      </c>
      <c r="M97" s="41">
        <v>-1</v>
      </c>
      <c r="N97" s="41">
        <v>4</v>
      </c>
      <c r="O97" s="110" t="s">
        <v>2182</v>
      </c>
      <c r="P97" s="109">
        <v>193305</v>
      </c>
      <c r="Q97" s="107"/>
      <c r="R97" s="111"/>
      <c r="S97" s="110"/>
      <c r="T97"/>
      <c r="U97"/>
      <c r="V97"/>
    </row>
    <row r="98" spans="1:22">
      <c r="A98" s="105">
        <v>1480</v>
      </c>
      <c r="B98" s="41">
        <v>12000000</v>
      </c>
      <c r="C98" s="41">
        <v>1.2999999999999999E-3</v>
      </c>
      <c r="D98" s="41">
        <v>1.4141999999999999</v>
      </c>
      <c r="E98" s="41">
        <v>30</v>
      </c>
      <c r="F98" s="41">
        <v>0</v>
      </c>
      <c r="G98" s="41" t="s">
        <v>103</v>
      </c>
      <c r="H98" s="41">
        <v>1</v>
      </c>
      <c r="I98" s="41">
        <v>1</v>
      </c>
      <c r="J98" s="108">
        <f>POWER(POWER(Table210[[#This Row],[mv]],4)/10,0.25)</f>
        <v>7.3104372274745391E-4</v>
      </c>
      <c r="K98" s="41">
        <v>0</v>
      </c>
      <c r="L98" s="41">
        <v>55</v>
      </c>
      <c r="M98" s="41">
        <v>-1</v>
      </c>
      <c r="N98" s="41">
        <v>4</v>
      </c>
      <c r="O98" s="110" t="s">
        <v>2183</v>
      </c>
      <c r="P98" s="109">
        <v>193305</v>
      </c>
      <c r="Q98" s="107"/>
      <c r="R98" s="111"/>
      <c r="S98" s="110"/>
      <c r="T98"/>
      <c r="U98"/>
      <c r="V98"/>
    </row>
    <row r="99" spans="1:22">
      <c r="A99" s="105">
        <v>1481</v>
      </c>
      <c r="B99" s="41">
        <v>12000000</v>
      </c>
      <c r="C99" s="41">
        <v>1.2999999999999999E-3</v>
      </c>
      <c r="D99" s="41">
        <v>2.8283999999999998</v>
      </c>
      <c r="E99" s="41">
        <v>30</v>
      </c>
      <c r="F99" s="41">
        <v>0</v>
      </c>
      <c r="G99" s="41" t="s">
        <v>103</v>
      </c>
      <c r="H99" s="41">
        <v>1</v>
      </c>
      <c r="I99" s="41">
        <v>1</v>
      </c>
      <c r="J99" s="108">
        <f>POWER(POWER(Table210[[#This Row],[mv]],4)/10,0.25)</f>
        <v>7.3104372274745391E-4</v>
      </c>
      <c r="K99" s="41">
        <v>0</v>
      </c>
      <c r="L99" s="41">
        <v>55</v>
      </c>
      <c r="M99" s="41">
        <v>-1</v>
      </c>
      <c r="N99" s="41">
        <v>4</v>
      </c>
      <c r="O99" s="110" t="s">
        <v>2184</v>
      </c>
      <c r="P99" s="109">
        <v>193305</v>
      </c>
      <c r="Q99" s="107"/>
      <c r="R99" s="111"/>
      <c r="S99" s="110"/>
      <c r="T99"/>
      <c r="U99"/>
      <c r="V99"/>
    </row>
    <row r="100" spans="1:22">
      <c r="A100" s="105">
        <v>1482</v>
      </c>
      <c r="B100" s="41">
        <v>12000000</v>
      </c>
      <c r="C100" s="41">
        <v>1.2999999999999999E-3</v>
      </c>
      <c r="D100" s="41">
        <v>5.6569000000000003</v>
      </c>
      <c r="E100" s="41">
        <v>30</v>
      </c>
      <c r="F100" s="41">
        <v>0</v>
      </c>
      <c r="G100" s="41" t="s">
        <v>103</v>
      </c>
      <c r="H100" s="41">
        <v>1</v>
      </c>
      <c r="I100" s="41">
        <v>1</v>
      </c>
      <c r="J100" s="108">
        <f>POWER(POWER(Table210[[#This Row],[mv]],4)/10,0.25)</f>
        <v>7.3104372274745391E-4</v>
      </c>
      <c r="K100" s="41">
        <v>0</v>
      </c>
      <c r="L100" s="41">
        <v>55</v>
      </c>
      <c r="M100" s="41">
        <v>-1</v>
      </c>
      <c r="N100" s="41">
        <v>4</v>
      </c>
      <c r="O100" s="110" t="s">
        <v>2185</v>
      </c>
      <c r="P100" s="109">
        <v>193305</v>
      </c>
      <c r="Q100" s="107"/>
      <c r="R100" s="111"/>
      <c r="S100" s="110"/>
      <c r="T100"/>
      <c r="U100"/>
      <c r="V100"/>
    </row>
    <row r="101" spans="1:22">
      <c r="A101" s="105">
        <v>1483</v>
      </c>
      <c r="B101" s="41">
        <v>12000000</v>
      </c>
      <c r="C101" s="41">
        <v>1.2999999999999999E-3</v>
      </c>
      <c r="D101" s="41">
        <v>11.313700000000001</v>
      </c>
      <c r="E101" s="41">
        <v>30</v>
      </c>
      <c r="F101" s="41">
        <v>0</v>
      </c>
      <c r="G101" s="41" t="s">
        <v>103</v>
      </c>
      <c r="H101" s="41">
        <v>1</v>
      </c>
      <c r="I101" s="41">
        <v>1</v>
      </c>
      <c r="J101" s="108">
        <f>POWER(POWER(Table210[[#This Row],[mv]],4)/10,0.25)</f>
        <v>7.3104372274745391E-4</v>
      </c>
      <c r="K101" s="41">
        <v>0</v>
      </c>
      <c r="L101" s="41">
        <v>55</v>
      </c>
      <c r="M101" s="41">
        <v>-1</v>
      </c>
      <c r="N101" s="41">
        <v>4</v>
      </c>
      <c r="O101" s="110" t="s">
        <v>2186</v>
      </c>
      <c r="P101" s="109">
        <v>193305</v>
      </c>
      <c r="Q101" s="107"/>
      <c r="R101" s="111"/>
      <c r="S101" s="110"/>
      <c r="T101"/>
      <c r="U101"/>
      <c r="V101"/>
    </row>
    <row r="102" spans="1:22">
      <c r="A102" s="105">
        <v>1484</v>
      </c>
      <c r="B102" s="41">
        <v>12000000</v>
      </c>
      <c r="C102" s="41">
        <v>1.5E-3</v>
      </c>
      <c r="D102" s="41">
        <v>0.70709999999999995</v>
      </c>
      <c r="E102" s="41">
        <v>30</v>
      </c>
      <c r="F102" s="41">
        <v>0</v>
      </c>
      <c r="G102" s="41" t="s">
        <v>103</v>
      </c>
      <c r="H102" s="41">
        <v>1</v>
      </c>
      <c r="I102" s="41">
        <v>1</v>
      </c>
      <c r="J102" s="108">
        <f>POWER(POWER(Table210[[#This Row],[mv]],4)/10,0.25)</f>
        <v>8.4351198778552375E-4</v>
      </c>
      <c r="K102" s="41">
        <v>0</v>
      </c>
      <c r="L102" s="41">
        <v>55</v>
      </c>
      <c r="M102" s="41">
        <v>-1</v>
      </c>
      <c r="N102" s="41">
        <v>4</v>
      </c>
      <c r="O102" s="110" t="s">
        <v>2187</v>
      </c>
      <c r="P102" s="109">
        <v>193305</v>
      </c>
      <c r="Q102" s="107"/>
      <c r="R102" s="111"/>
      <c r="S102" s="110"/>
      <c r="T102"/>
      <c r="U102"/>
      <c r="V102"/>
    </row>
    <row r="103" spans="1:22">
      <c r="A103" s="105">
        <v>1485</v>
      </c>
      <c r="B103" s="41">
        <v>12000000</v>
      </c>
      <c r="C103" s="41">
        <v>1.5E-3</v>
      </c>
      <c r="D103" s="41">
        <v>1.4141999999999999</v>
      </c>
      <c r="E103" s="41">
        <v>30</v>
      </c>
      <c r="F103" s="41">
        <v>0</v>
      </c>
      <c r="G103" s="41" t="s">
        <v>103</v>
      </c>
      <c r="H103" s="41">
        <v>1</v>
      </c>
      <c r="I103" s="41">
        <v>1</v>
      </c>
      <c r="J103" s="108">
        <f>POWER(POWER(Table210[[#This Row],[mv]],4)/10,0.25)</f>
        <v>8.4351198778552375E-4</v>
      </c>
      <c r="K103" s="41">
        <v>0</v>
      </c>
      <c r="L103" s="41">
        <v>55</v>
      </c>
      <c r="M103" s="41">
        <v>-1</v>
      </c>
      <c r="N103" s="41">
        <v>4</v>
      </c>
      <c r="O103" s="110" t="s">
        <v>2188</v>
      </c>
      <c r="P103" s="109">
        <v>193305</v>
      </c>
      <c r="Q103" s="107"/>
      <c r="R103" s="111"/>
      <c r="S103" s="110"/>
      <c r="T103"/>
      <c r="U103"/>
      <c r="V103"/>
    </row>
    <row r="104" spans="1:22">
      <c r="A104" s="105">
        <v>1486</v>
      </c>
      <c r="B104" s="41">
        <v>12000000</v>
      </c>
      <c r="C104" s="41">
        <v>1.5E-3</v>
      </c>
      <c r="D104" s="41">
        <v>2.8283999999999998</v>
      </c>
      <c r="E104" s="41">
        <v>30</v>
      </c>
      <c r="F104" s="41">
        <v>0</v>
      </c>
      <c r="G104" s="41" t="s">
        <v>103</v>
      </c>
      <c r="H104" s="41">
        <v>1</v>
      </c>
      <c r="I104" s="41">
        <v>1</v>
      </c>
      <c r="J104" s="108">
        <f>POWER(POWER(Table210[[#This Row],[mv]],4)/10,0.25)</f>
        <v>8.4351198778552375E-4</v>
      </c>
      <c r="K104" s="41">
        <v>0</v>
      </c>
      <c r="L104" s="41">
        <v>55</v>
      </c>
      <c r="M104" s="41">
        <v>-1</v>
      </c>
      <c r="N104" s="41">
        <v>4</v>
      </c>
      <c r="O104" s="110" t="s">
        <v>2189</v>
      </c>
      <c r="P104" s="109">
        <v>193305</v>
      </c>
      <c r="Q104" s="107"/>
      <c r="R104" s="111"/>
      <c r="S104" s="110"/>
      <c r="T104"/>
      <c r="U104"/>
      <c r="V104"/>
    </row>
    <row r="105" spans="1:22">
      <c r="A105" s="105">
        <v>1487</v>
      </c>
      <c r="B105" s="41">
        <v>12000000</v>
      </c>
      <c r="C105" s="41">
        <v>1.5E-3</v>
      </c>
      <c r="D105" s="41">
        <v>5.6569000000000003</v>
      </c>
      <c r="E105" s="41">
        <v>30</v>
      </c>
      <c r="F105" s="41">
        <v>0</v>
      </c>
      <c r="G105" s="41" t="s">
        <v>103</v>
      </c>
      <c r="H105" s="41">
        <v>1</v>
      </c>
      <c r="I105" s="41">
        <v>1</v>
      </c>
      <c r="J105" s="108">
        <f>POWER(POWER(Table210[[#This Row],[mv]],4)/10,0.25)</f>
        <v>8.4351198778552375E-4</v>
      </c>
      <c r="K105" s="41">
        <v>0</v>
      </c>
      <c r="L105" s="41">
        <v>55</v>
      </c>
      <c r="M105" s="41">
        <v>-1</v>
      </c>
      <c r="N105" s="41">
        <v>4</v>
      </c>
      <c r="O105" s="110" t="s">
        <v>2190</v>
      </c>
      <c r="P105" s="109">
        <v>193305</v>
      </c>
      <c r="Q105" s="107"/>
      <c r="R105" s="111"/>
      <c r="S105" s="110"/>
      <c r="T105"/>
      <c r="U105"/>
      <c r="V105"/>
    </row>
    <row r="106" spans="1:22">
      <c r="A106" s="105">
        <v>1488</v>
      </c>
      <c r="B106" s="41">
        <v>12000000</v>
      </c>
      <c r="C106" s="41">
        <v>1.5E-3</v>
      </c>
      <c r="D106" s="41">
        <v>11.313700000000001</v>
      </c>
      <c r="E106" s="41">
        <v>30</v>
      </c>
      <c r="F106" s="41">
        <v>0</v>
      </c>
      <c r="G106" s="41" t="s">
        <v>103</v>
      </c>
      <c r="H106" s="41">
        <v>1</v>
      </c>
      <c r="I106" s="41">
        <v>1</v>
      </c>
      <c r="J106" s="108">
        <f>POWER(POWER(Table210[[#This Row],[mv]],4)/10,0.25)</f>
        <v>8.4351198778552375E-4</v>
      </c>
      <c r="K106" s="41">
        <v>0</v>
      </c>
      <c r="L106" s="41">
        <v>55</v>
      </c>
      <c r="M106" s="41">
        <v>-1</v>
      </c>
      <c r="N106" s="41">
        <v>4</v>
      </c>
      <c r="O106" s="110" t="s">
        <v>2191</v>
      </c>
      <c r="P106" s="109">
        <v>193305</v>
      </c>
      <c r="Q106" s="107"/>
      <c r="R106" s="111"/>
      <c r="S106" s="110"/>
      <c r="T106"/>
      <c r="U106"/>
      <c r="V106"/>
    </row>
    <row r="107" spans="1:22">
      <c r="A107" s="105">
        <v>1489</v>
      </c>
      <c r="B107" s="41">
        <v>12000000</v>
      </c>
      <c r="C107" s="41">
        <v>1.6000000000000001E-3</v>
      </c>
      <c r="D107" s="41">
        <v>1</v>
      </c>
      <c r="E107" s="41">
        <v>30</v>
      </c>
      <c r="F107" s="41">
        <v>0</v>
      </c>
      <c r="G107" s="41" t="s">
        <v>103</v>
      </c>
      <c r="H107" s="41">
        <v>1</v>
      </c>
      <c r="I107" s="41">
        <v>1</v>
      </c>
      <c r="J107" s="108">
        <f>POWER(POWER(Table210[[#This Row],[mv]],4)/10,0.25)</f>
        <v>8.9974612030455862E-4</v>
      </c>
      <c r="K107" s="41">
        <v>0</v>
      </c>
      <c r="L107" s="41">
        <v>55</v>
      </c>
      <c r="M107" s="41">
        <v>-1</v>
      </c>
      <c r="N107" s="41">
        <v>4</v>
      </c>
      <c r="O107" s="110" t="s">
        <v>2192</v>
      </c>
      <c r="P107" s="109">
        <v>193305</v>
      </c>
      <c r="Q107" s="107"/>
      <c r="R107" s="111"/>
      <c r="S107" s="110"/>
      <c r="T107"/>
      <c r="U107"/>
      <c r="V107"/>
    </row>
    <row r="108" spans="1:22">
      <c r="A108" s="105">
        <v>1490</v>
      </c>
      <c r="B108" s="41">
        <v>12000000</v>
      </c>
      <c r="C108" s="41">
        <v>1.6000000000000001E-3</v>
      </c>
      <c r="D108" s="41">
        <v>2</v>
      </c>
      <c r="E108" s="41">
        <v>30</v>
      </c>
      <c r="F108" s="41">
        <v>0</v>
      </c>
      <c r="G108" s="41" t="s">
        <v>103</v>
      </c>
      <c r="H108" s="41">
        <v>1</v>
      </c>
      <c r="I108" s="41">
        <v>1</v>
      </c>
      <c r="J108" s="108">
        <f>POWER(POWER(Table210[[#This Row],[mv]],4)/10,0.25)</f>
        <v>8.9974612030455862E-4</v>
      </c>
      <c r="K108" s="41">
        <v>0</v>
      </c>
      <c r="L108" s="41">
        <v>55</v>
      </c>
      <c r="M108" s="41">
        <v>-1</v>
      </c>
      <c r="N108" s="41">
        <v>4</v>
      </c>
      <c r="O108" s="110" t="s">
        <v>2193</v>
      </c>
      <c r="P108" s="109">
        <v>193305</v>
      </c>
      <c r="Q108" s="107"/>
      <c r="R108" s="111"/>
      <c r="S108" s="110"/>
      <c r="T108"/>
      <c r="U108"/>
      <c r="V108"/>
    </row>
    <row r="109" spans="1:22">
      <c r="A109" s="105">
        <v>1491</v>
      </c>
      <c r="B109" s="41">
        <v>12000000</v>
      </c>
      <c r="C109" s="41">
        <v>1.6000000000000001E-3</v>
      </c>
      <c r="D109" s="41">
        <v>4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POWER(POWER(Table210[[#This Row],[mv]],4)/10,0.25)</f>
        <v>8.9974612030455862E-4</v>
      </c>
      <c r="K109" s="41">
        <v>0</v>
      </c>
      <c r="L109" s="41">
        <v>55</v>
      </c>
      <c r="M109" s="41">
        <v>-1</v>
      </c>
      <c r="N109" s="41">
        <v>4</v>
      </c>
      <c r="O109" s="110" t="s">
        <v>2194</v>
      </c>
      <c r="P109" s="109">
        <v>193305</v>
      </c>
      <c r="Q109" s="107"/>
      <c r="R109" s="111"/>
      <c r="S109" s="110"/>
      <c r="T109"/>
      <c r="U109"/>
      <c r="V109"/>
    </row>
    <row r="110" spans="1:22">
      <c r="A110" s="105">
        <v>1492</v>
      </c>
      <c r="B110" s="41">
        <v>12000000</v>
      </c>
      <c r="C110" s="41">
        <v>1.6000000000000001E-3</v>
      </c>
      <c r="D110" s="41">
        <v>8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POWER(POWER(Table210[[#This Row],[mv]],4)/10,0.25)</f>
        <v>8.9974612030455862E-4</v>
      </c>
      <c r="K110" s="41">
        <v>0</v>
      </c>
      <c r="L110" s="41">
        <v>55</v>
      </c>
      <c r="M110" s="41">
        <v>-1</v>
      </c>
      <c r="N110" s="41">
        <v>4</v>
      </c>
      <c r="O110" s="110" t="s">
        <v>2195</v>
      </c>
      <c r="P110" s="109">
        <v>193305</v>
      </c>
      <c r="Q110" s="107"/>
      <c r="R110" s="111"/>
      <c r="S110" s="110"/>
      <c r="T110"/>
      <c r="U110"/>
      <c r="V110"/>
    </row>
    <row r="111" spans="1:22">
      <c r="A111" s="105">
        <v>1493</v>
      </c>
      <c r="B111" s="41">
        <v>12000000</v>
      </c>
      <c r="C111" s="41">
        <v>1.6000000000000001E-3</v>
      </c>
      <c r="D111" s="41">
        <v>16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POWER(POWER(Table210[[#This Row],[mv]],4)/10,0.25)</f>
        <v>8.9974612030455862E-4</v>
      </c>
      <c r="K111" s="41">
        <v>0</v>
      </c>
      <c r="L111" s="41">
        <v>55</v>
      </c>
      <c r="M111" s="41">
        <v>-1</v>
      </c>
      <c r="N111" s="41">
        <v>4</v>
      </c>
      <c r="O111" s="110" t="s">
        <v>2196</v>
      </c>
      <c r="P111" s="109">
        <v>193305</v>
      </c>
      <c r="Q111" s="107"/>
      <c r="R111" s="111"/>
      <c r="S111" s="110"/>
      <c r="T111"/>
      <c r="U111"/>
      <c r="V111"/>
    </row>
    <row r="112" spans="1:22">
      <c r="A112" s="105">
        <v>1494</v>
      </c>
      <c r="B112" s="41">
        <v>12000000</v>
      </c>
      <c r="C112" s="41">
        <v>1.6999999999999999E-3</v>
      </c>
      <c r="D112" s="41">
        <v>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POWER(POWER(Table210[[#This Row],[mv]],4)/10,0.25)</f>
        <v>9.5598025282359327E-4</v>
      </c>
      <c r="K112" s="41">
        <v>0</v>
      </c>
      <c r="L112" s="41">
        <v>55</v>
      </c>
      <c r="M112" s="41">
        <v>-1</v>
      </c>
      <c r="N112" s="41">
        <v>4</v>
      </c>
      <c r="O112" s="110" t="s">
        <v>2197</v>
      </c>
      <c r="P112" s="109">
        <v>193305</v>
      </c>
      <c r="Q112" s="107"/>
      <c r="R112" s="111"/>
      <c r="S112" s="110"/>
      <c r="T112"/>
      <c r="U112"/>
      <c r="V112"/>
    </row>
    <row r="113" spans="1:22">
      <c r="A113" s="105">
        <v>1495</v>
      </c>
      <c r="B113" s="41">
        <v>12000000</v>
      </c>
      <c r="C113" s="41">
        <v>1.6999999999999999E-3</v>
      </c>
      <c r="D113" s="41">
        <v>2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POWER(POWER(Table210[[#This Row],[mv]],4)/10,0.25)</f>
        <v>9.5598025282359327E-4</v>
      </c>
      <c r="K113" s="41">
        <v>0</v>
      </c>
      <c r="L113" s="41">
        <v>55</v>
      </c>
      <c r="M113" s="41">
        <v>-1</v>
      </c>
      <c r="N113" s="41">
        <v>4</v>
      </c>
      <c r="O113" s="110" t="s">
        <v>2198</v>
      </c>
      <c r="P113" s="109">
        <v>193305</v>
      </c>
      <c r="Q113" s="107"/>
      <c r="R113" s="111"/>
      <c r="S113" s="110"/>
      <c r="T113"/>
      <c r="U113"/>
      <c r="V113"/>
    </row>
    <row r="114" spans="1:22">
      <c r="A114" s="105">
        <v>1496</v>
      </c>
      <c r="B114" s="41">
        <v>12000000</v>
      </c>
      <c r="C114" s="41">
        <v>1.6999999999999999E-3</v>
      </c>
      <c r="D114" s="41">
        <v>4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POWER(POWER(Table210[[#This Row],[mv]],4)/10,0.25)</f>
        <v>9.5598025282359327E-4</v>
      </c>
      <c r="K114" s="41">
        <v>0</v>
      </c>
      <c r="L114" s="41">
        <v>55</v>
      </c>
      <c r="M114" s="41">
        <v>-1</v>
      </c>
      <c r="N114" s="41">
        <v>4</v>
      </c>
      <c r="O114" s="110" t="s">
        <v>2199</v>
      </c>
      <c r="P114" s="109">
        <v>193305</v>
      </c>
      <c r="Q114" s="107"/>
      <c r="R114" s="111"/>
      <c r="S114" s="110"/>
      <c r="T114"/>
      <c r="U114"/>
      <c r="V114"/>
    </row>
    <row r="115" spans="1:22">
      <c r="A115" s="105">
        <v>1497</v>
      </c>
      <c r="B115" s="41">
        <v>12000000</v>
      </c>
      <c r="C115" s="41">
        <v>1.6999999999999999E-3</v>
      </c>
      <c r="D115" s="41">
        <v>8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POWER(POWER(Table210[[#This Row],[mv]],4)/10,0.25)</f>
        <v>9.5598025282359327E-4</v>
      </c>
      <c r="K115" s="41">
        <v>0</v>
      </c>
      <c r="L115" s="41">
        <v>55</v>
      </c>
      <c r="M115" s="41">
        <v>-1</v>
      </c>
      <c r="N115" s="41">
        <v>4</v>
      </c>
      <c r="O115" s="110" t="s">
        <v>2200</v>
      </c>
      <c r="P115" s="109">
        <v>193305</v>
      </c>
      <c r="Q115" s="107"/>
      <c r="R115" s="111"/>
      <c r="S115" s="110"/>
      <c r="T115"/>
      <c r="U115"/>
      <c r="V115"/>
    </row>
    <row r="116" spans="1:22">
      <c r="A116" s="105">
        <v>1498</v>
      </c>
      <c r="B116" s="41">
        <v>12000000</v>
      </c>
      <c r="C116" s="41">
        <v>1.6999999999999999E-3</v>
      </c>
      <c r="D116" s="41">
        <v>16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POWER(POWER(Table210[[#This Row],[mv]],4)/10,0.25)</f>
        <v>9.5598025282359327E-4</v>
      </c>
      <c r="K116" s="41">
        <v>0</v>
      </c>
      <c r="L116" s="41">
        <v>55</v>
      </c>
      <c r="M116" s="41">
        <v>-1</v>
      </c>
      <c r="N116" s="41">
        <v>4</v>
      </c>
      <c r="O116" s="110" t="s">
        <v>2201</v>
      </c>
      <c r="P116" s="109">
        <v>193305</v>
      </c>
      <c r="Q116" s="107"/>
      <c r="R116" s="111"/>
      <c r="S116" s="110"/>
      <c r="T116"/>
      <c r="U116"/>
      <c r="V116"/>
    </row>
    <row r="117" spans="1:22">
      <c r="A117" s="105">
        <v>1499</v>
      </c>
      <c r="B117" s="41">
        <v>12000000</v>
      </c>
      <c r="C117" s="41">
        <v>1.9E-3</v>
      </c>
      <c r="D117" s="41">
        <v>1.4141999999999999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POWER(POWER(Table210[[#This Row],[mv]],4)/10,0.25)</f>
        <v>1.0684485178616638E-3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2202</v>
      </c>
      <c r="P117" s="109">
        <v>193305</v>
      </c>
      <c r="Q117" s="107"/>
      <c r="R117" s="111"/>
      <c r="S117" s="110"/>
      <c r="T117"/>
      <c r="U117"/>
      <c r="V117"/>
    </row>
    <row r="118" spans="1:22">
      <c r="A118" s="105">
        <v>1500</v>
      </c>
      <c r="B118" s="41">
        <v>12000000</v>
      </c>
      <c r="C118" s="41">
        <v>1.9E-3</v>
      </c>
      <c r="D118" s="41">
        <v>2.8283999999999998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POWER(POWER(Table210[[#This Row],[mv]],4)/10,0.25)</f>
        <v>1.0684485178616638E-3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2203</v>
      </c>
      <c r="P118" s="109">
        <v>193305</v>
      </c>
      <c r="Q118" s="107"/>
      <c r="R118" s="111"/>
      <c r="S118" s="110"/>
      <c r="T118"/>
      <c r="U118"/>
      <c r="V118"/>
    </row>
    <row r="119" spans="1:22">
      <c r="A119" s="105">
        <v>1501</v>
      </c>
      <c r="B119" s="41">
        <v>12000000</v>
      </c>
      <c r="C119" s="41">
        <v>1.9E-3</v>
      </c>
      <c r="D119" s="41">
        <v>5.6569000000000003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POWER(POWER(Table210[[#This Row],[mv]],4)/10,0.25)</f>
        <v>1.0684485178616638E-3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2204</v>
      </c>
      <c r="P119" s="109">
        <v>193305</v>
      </c>
      <c r="Q119" s="107"/>
      <c r="R119" s="111"/>
      <c r="S119" s="110"/>
      <c r="T119"/>
      <c r="U119"/>
      <c r="V119"/>
    </row>
    <row r="120" spans="1:22">
      <c r="A120" s="105">
        <v>1502</v>
      </c>
      <c r="B120" s="41">
        <v>12000000</v>
      </c>
      <c r="C120" s="41">
        <v>1.9E-3</v>
      </c>
      <c r="D120" s="41">
        <v>11.313700000000001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POWER(POWER(Table210[[#This Row],[mv]],4)/10,0.25)</f>
        <v>1.0684485178616638E-3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2205</v>
      </c>
      <c r="P120" s="109">
        <v>193305</v>
      </c>
      <c r="Q120" s="107"/>
      <c r="R120" s="111"/>
      <c r="S120" s="110"/>
      <c r="T120"/>
      <c r="U120"/>
      <c r="V120"/>
    </row>
    <row r="121" spans="1:22">
      <c r="A121" s="105">
        <v>1503</v>
      </c>
      <c r="B121" s="41">
        <v>12000000</v>
      </c>
      <c r="C121" s="41">
        <v>1.9E-3</v>
      </c>
      <c r="D121" s="41">
        <v>22.627400000000002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POWER(POWER(Table210[[#This Row],[mv]],4)/10,0.25)</f>
        <v>1.0684485178616638E-3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2206</v>
      </c>
      <c r="P121" s="109">
        <v>193305</v>
      </c>
      <c r="Q121" s="107"/>
      <c r="R121" s="111"/>
      <c r="S121" s="110"/>
      <c r="T121"/>
      <c r="U121"/>
      <c r="V121"/>
    </row>
    <row r="122" spans="1:22">
      <c r="A122" s="105">
        <v>1504</v>
      </c>
      <c r="B122" s="41">
        <v>12000000</v>
      </c>
      <c r="C122" s="41">
        <v>2.0999999999999999E-3</v>
      </c>
      <c r="D122" s="41">
        <v>1.4141999999999999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POWER(POWER(Table210[[#This Row],[mv]],4)/10,0.25)</f>
        <v>1.1809167828997333E-3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2207</v>
      </c>
      <c r="P122" s="109">
        <v>193306</v>
      </c>
      <c r="Q122" s="107"/>
      <c r="R122" s="111"/>
      <c r="S122" s="110" t="s">
        <v>2267</v>
      </c>
      <c r="T122"/>
      <c r="U122"/>
      <c r="V122"/>
    </row>
    <row r="123" spans="1:22">
      <c r="A123" s="105">
        <v>1505</v>
      </c>
      <c r="B123" s="41">
        <v>12000000</v>
      </c>
      <c r="C123" s="41">
        <v>2.0999999999999999E-3</v>
      </c>
      <c r="D123" s="41">
        <v>2.8283999999999998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POWER(POWER(Table210[[#This Row],[mv]],4)/10,0.25)</f>
        <v>1.1809167828997333E-3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2208</v>
      </c>
      <c r="P123" s="109">
        <v>193306</v>
      </c>
      <c r="Q123" s="107"/>
      <c r="R123" s="111"/>
      <c r="S123" s="110"/>
      <c r="T123"/>
      <c r="U123"/>
      <c r="V123"/>
    </row>
    <row r="124" spans="1:22">
      <c r="A124" s="105">
        <v>1506</v>
      </c>
      <c r="B124" s="41">
        <v>12000000</v>
      </c>
      <c r="C124" s="41">
        <v>2.0999999999999999E-3</v>
      </c>
      <c r="D124" s="41">
        <v>5.6569000000000003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POWER(POWER(Table210[[#This Row],[mv]],4)/10,0.25)</f>
        <v>1.1809167828997333E-3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2209</v>
      </c>
      <c r="P124" s="109">
        <v>193306</v>
      </c>
      <c r="Q124" s="107"/>
      <c r="R124" s="111"/>
      <c r="S124" s="110"/>
      <c r="T124"/>
      <c r="U124"/>
      <c r="V124"/>
    </row>
    <row r="125" spans="1:22">
      <c r="A125" s="105">
        <v>1507</v>
      </c>
      <c r="B125" s="41">
        <v>12000000</v>
      </c>
      <c r="C125" s="41">
        <v>2.0999999999999999E-3</v>
      </c>
      <c r="D125" s="41">
        <v>11.313700000000001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POWER(POWER(Table210[[#This Row],[mv]],4)/10,0.25)</f>
        <v>1.1809167828997333E-3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2210</v>
      </c>
      <c r="P125" s="109">
        <v>193306</v>
      </c>
      <c r="Q125" s="107"/>
      <c r="R125" s="111"/>
      <c r="S125" s="110"/>
      <c r="T125"/>
      <c r="U125"/>
      <c r="V125"/>
    </row>
    <row r="126" spans="1:22">
      <c r="A126" s="105">
        <v>1508</v>
      </c>
      <c r="B126" s="41">
        <v>12000000</v>
      </c>
      <c r="C126" s="41">
        <v>2.0999999999999999E-3</v>
      </c>
      <c r="D126" s="41">
        <v>22.627400000000002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POWER(POWER(Table210[[#This Row],[mv]],4)/10,0.25)</f>
        <v>1.1809167828997333E-3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2211</v>
      </c>
      <c r="P126" s="109">
        <v>193306</v>
      </c>
      <c r="Q126" s="107"/>
      <c r="R126" s="111"/>
      <c r="S126" s="110"/>
      <c r="T126"/>
      <c r="U126"/>
      <c r="V126"/>
    </row>
    <row r="127" spans="1:22">
      <c r="A127" s="105">
        <v>1509</v>
      </c>
      <c r="B127" s="41">
        <v>12000000</v>
      </c>
      <c r="C127" s="41">
        <v>2.3E-3</v>
      </c>
      <c r="D127" s="41">
        <v>2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POWER(POWER(Table210[[#This Row],[mv]],4)/10,0.25)</f>
        <v>1.2933850479378026E-3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2212</v>
      </c>
      <c r="P127" s="109">
        <v>193306</v>
      </c>
      <c r="Q127" s="107"/>
      <c r="R127" s="111"/>
      <c r="S127" s="110"/>
      <c r="T127"/>
      <c r="U127"/>
      <c r="V127"/>
    </row>
    <row r="128" spans="1:22">
      <c r="A128" s="105">
        <v>1510</v>
      </c>
      <c r="B128" s="41">
        <v>12000000</v>
      </c>
      <c r="C128" s="41">
        <v>2.3E-3</v>
      </c>
      <c r="D128" s="41">
        <v>4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POWER(POWER(Table210[[#This Row],[mv]],4)/10,0.25)</f>
        <v>1.2933850479378026E-3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2213</v>
      </c>
      <c r="P128" s="109">
        <v>193306</v>
      </c>
      <c r="Q128" s="107"/>
      <c r="R128" s="111"/>
      <c r="S128" s="110"/>
      <c r="T128"/>
      <c r="U128"/>
      <c r="V128"/>
    </row>
    <row r="129" spans="1:22">
      <c r="A129" s="105">
        <v>1511</v>
      </c>
      <c r="B129" s="41">
        <v>12000000</v>
      </c>
      <c r="C129" s="41">
        <v>2.3E-3</v>
      </c>
      <c r="D129" s="41">
        <v>8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POWER(POWER(Table210[[#This Row],[mv]],4)/10,0.25)</f>
        <v>1.2933850479378026E-3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2214</v>
      </c>
      <c r="P129" s="109">
        <v>193306</v>
      </c>
      <c r="Q129" s="107"/>
      <c r="R129" s="111"/>
      <c r="S129" s="110"/>
      <c r="T129"/>
      <c r="U129"/>
      <c r="V129"/>
    </row>
    <row r="130" spans="1:22">
      <c r="A130" s="105">
        <v>1512</v>
      </c>
      <c r="B130" s="41">
        <v>12000000</v>
      </c>
      <c r="C130" s="41">
        <v>2.3E-3</v>
      </c>
      <c r="D130" s="41">
        <v>16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POWER(POWER(Table210[[#This Row],[mv]],4)/10,0.25)</f>
        <v>1.2933850479378026E-3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2215</v>
      </c>
      <c r="P130" s="109">
        <v>193306</v>
      </c>
      <c r="Q130" s="107"/>
      <c r="R130" s="111"/>
      <c r="S130" s="110"/>
      <c r="T130"/>
      <c r="U130"/>
      <c r="V130"/>
    </row>
    <row r="131" spans="1:22">
      <c r="A131" s="105">
        <v>1513</v>
      </c>
      <c r="B131" s="41">
        <v>12000000</v>
      </c>
      <c r="C131" s="41">
        <v>2.3E-3</v>
      </c>
      <c r="D131" s="41">
        <v>32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POWER(POWER(Table210[[#This Row],[mv]],4)/10,0.25)</f>
        <v>1.2933850479378026E-3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2216</v>
      </c>
      <c r="P131" s="109">
        <v>193306</v>
      </c>
      <c r="Q131" s="107"/>
      <c r="R131" s="111"/>
      <c r="S131" s="110"/>
      <c r="T131"/>
      <c r="U131"/>
      <c r="V131"/>
    </row>
    <row r="132" spans="1:22">
      <c r="A132" s="105">
        <v>1514</v>
      </c>
      <c r="B132" s="41">
        <v>12000000</v>
      </c>
      <c r="C132" s="41">
        <v>2.5000000000000001E-3</v>
      </c>
      <c r="D132" s="41">
        <v>2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POWER(POWER(Table210[[#This Row],[mv]],4)/10,0.25)</f>
        <v>1.4058533129758727E-3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2217</v>
      </c>
      <c r="P132" s="109">
        <v>193306</v>
      </c>
      <c r="Q132" s="107"/>
      <c r="R132" s="111"/>
      <c r="S132" s="110"/>
      <c r="T132"/>
      <c r="U132"/>
      <c r="V132"/>
    </row>
    <row r="133" spans="1:22">
      <c r="A133" s="105">
        <v>1515</v>
      </c>
      <c r="B133" s="41">
        <v>12000000</v>
      </c>
      <c r="C133" s="41">
        <v>2.5000000000000001E-3</v>
      </c>
      <c r="D133" s="41">
        <v>4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POWER(POWER(Table210[[#This Row],[mv]],4)/10,0.25)</f>
        <v>1.4058533129758727E-3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2218</v>
      </c>
      <c r="P133" s="109">
        <v>193306</v>
      </c>
      <c r="Q133" s="107"/>
      <c r="R133" s="111"/>
      <c r="S133" s="110"/>
      <c r="T133"/>
      <c r="U133"/>
      <c r="V133"/>
    </row>
    <row r="134" spans="1:22">
      <c r="A134" s="105">
        <v>1516</v>
      </c>
      <c r="B134" s="41">
        <v>12000000</v>
      </c>
      <c r="C134" s="41">
        <v>2.5000000000000001E-3</v>
      </c>
      <c r="D134" s="41">
        <v>8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POWER(POWER(Table210[[#This Row],[mv]],4)/10,0.25)</f>
        <v>1.4058533129758727E-3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2219</v>
      </c>
      <c r="P134" s="109">
        <v>193306</v>
      </c>
      <c r="Q134" s="107"/>
      <c r="R134" s="111"/>
      <c r="S134" s="110"/>
      <c r="T134"/>
      <c r="U134"/>
      <c r="V134"/>
    </row>
    <row r="135" spans="1:22">
      <c r="A135" s="105">
        <v>1517</v>
      </c>
      <c r="B135" s="41">
        <v>12000000</v>
      </c>
      <c r="C135" s="41">
        <v>2.5000000000000001E-3</v>
      </c>
      <c r="D135" s="41">
        <v>16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POWER(POWER(Table210[[#This Row],[mv]],4)/10,0.25)</f>
        <v>1.4058533129758727E-3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2220</v>
      </c>
      <c r="P135" s="109">
        <v>193306</v>
      </c>
      <c r="Q135" s="107"/>
      <c r="R135" s="111"/>
      <c r="S135" s="110"/>
      <c r="T135"/>
      <c r="U135"/>
      <c r="V135"/>
    </row>
    <row r="136" spans="1:22">
      <c r="A136" s="105">
        <v>1518</v>
      </c>
      <c r="B136" s="41">
        <v>12000000</v>
      </c>
      <c r="C136" s="41">
        <v>2.5000000000000001E-3</v>
      </c>
      <c r="D136" s="41">
        <v>32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POWER(POWER(Table210[[#This Row],[mv]],4)/10,0.25)</f>
        <v>1.4058533129758727E-3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2221</v>
      </c>
      <c r="P136" s="109">
        <v>193306</v>
      </c>
      <c r="Q136" s="107"/>
      <c r="R136" s="111"/>
      <c r="S136" s="110"/>
      <c r="T136"/>
      <c r="U136"/>
      <c r="V136"/>
    </row>
    <row r="137" spans="1:22">
      <c r="A137" s="105">
        <v>1519</v>
      </c>
      <c r="B137" s="41">
        <v>12000000</v>
      </c>
      <c r="C137" s="41">
        <v>2.7000000000000001E-3</v>
      </c>
      <c r="D137" s="41">
        <v>2.8283999999999998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POWER(POWER(Table210[[#This Row],[mv]],4)/10,0.25)</f>
        <v>1.5183215780139423E-3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2222</v>
      </c>
      <c r="P137" s="109">
        <v>193306</v>
      </c>
      <c r="Q137" s="107"/>
      <c r="R137" s="111"/>
      <c r="S137" s="110"/>
      <c r="T137"/>
      <c r="U137"/>
      <c r="V137"/>
    </row>
    <row r="138" spans="1:22">
      <c r="A138" s="105">
        <v>1520</v>
      </c>
      <c r="B138" s="41">
        <v>12000000</v>
      </c>
      <c r="C138" s="41">
        <v>2.7000000000000001E-3</v>
      </c>
      <c r="D138" s="41">
        <v>5.6569000000000003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POWER(POWER(Table210[[#This Row],[mv]],4)/10,0.25)</f>
        <v>1.5183215780139423E-3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2223</v>
      </c>
      <c r="P138" s="109">
        <v>193392</v>
      </c>
      <c r="Q138" s="107"/>
      <c r="R138" s="111"/>
      <c r="S138" s="110" t="s">
        <v>2267</v>
      </c>
      <c r="T138"/>
      <c r="U138"/>
      <c r="V138"/>
    </row>
    <row r="139" spans="1:22">
      <c r="A139" s="105">
        <v>1521</v>
      </c>
      <c r="B139" s="41">
        <v>12000000</v>
      </c>
      <c r="C139" s="41">
        <v>2.7000000000000001E-3</v>
      </c>
      <c r="D139" s="41">
        <v>11.313700000000001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POWER(POWER(Table210[[#This Row],[mv]],4)/10,0.25)</f>
        <v>1.5183215780139423E-3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2224</v>
      </c>
      <c r="P139" s="109">
        <v>193392</v>
      </c>
      <c r="Q139" s="107"/>
      <c r="R139" s="111"/>
      <c r="S139" s="110"/>
      <c r="T139"/>
      <c r="U139"/>
      <c r="V139"/>
    </row>
    <row r="140" spans="1:22">
      <c r="A140" s="105">
        <v>1522</v>
      </c>
      <c r="B140" s="41">
        <v>12000000</v>
      </c>
      <c r="C140" s="41">
        <v>2.7000000000000001E-3</v>
      </c>
      <c r="D140" s="41">
        <v>22.627400000000002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POWER(POWER(Table210[[#This Row],[mv]],4)/10,0.25)</f>
        <v>1.5183215780139423E-3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2225</v>
      </c>
      <c r="P140" s="109">
        <v>193392</v>
      </c>
      <c r="Q140" s="107"/>
      <c r="R140" s="111"/>
      <c r="S140" s="110"/>
      <c r="T140"/>
      <c r="U140"/>
      <c r="V140"/>
    </row>
    <row r="141" spans="1:22">
      <c r="A141" s="105">
        <v>1523</v>
      </c>
      <c r="B141" s="41">
        <v>12000000</v>
      </c>
      <c r="C141" s="41">
        <v>2.7000000000000001E-3</v>
      </c>
      <c r="D141" s="41">
        <v>45.254800000000003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POWER(POWER(Table210[[#This Row],[mv]],4)/10,0.25)</f>
        <v>1.5183215780139423E-3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2226</v>
      </c>
      <c r="P141" s="109">
        <v>193392</v>
      </c>
      <c r="Q141" s="107"/>
      <c r="R141" s="111"/>
      <c r="S141" s="110"/>
      <c r="T141"/>
      <c r="U141"/>
      <c r="V141"/>
    </row>
    <row r="142" spans="1:22">
      <c r="A142" s="105">
        <v>1524</v>
      </c>
      <c r="B142" s="41">
        <v>12000000</v>
      </c>
      <c r="C142" s="41">
        <v>2.8999999999999998E-3</v>
      </c>
      <c r="D142" s="41">
        <v>4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POWER(POWER(Table210[[#This Row],[mv]],4)/10,0.25)</f>
        <v>1.6307898430520129E-3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2227</v>
      </c>
      <c r="P142" s="109">
        <v>193306</v>
      </c>
      <c r="Q142" s="107"/>
      <c r="R142" s="111"/>
      <c r="S142" s="110" t="s">
        <v>2267</v>
      </c>
      <c r="T142"/>
      <c r="U142"/>
      <c r="V142"/>
    </row>
    <row r="143" spans="1:22">
      <c r="A143" s="105">
        <v>1525</v>
      </c>
      <c r="B143" s="41">
        <v>12000000</v>
      </c>
      <c r="C143" s="41">
        <v>2.8999999999999998E-3</v>
      </c>
      <c r="D143" s="41">
        <v>8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POWER(POWER(Table210[[#This Row],[mv]],4)/10,0.25)</f>
        <v>1.6307898430520129E-3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2228</v>
      </c>
      <c r="P143" s="109">
        <v>193306</v>
      </c>
      <c r="Q143" s="107"/>
      <c r="R143" s="111"/>
      <c r="S143" s="110"/>
      <c r="T143"/>
      <c r="U143"/>
      <c r="V143"/>
    </row>
    <row r="144" spans="1:22">
      <c r="A144" s="105">
        <v>1526</v>
      </c>
      <c r="B144" s="41">
        <v>12000000</v>
      </c>
      <c r="C144" s="41">
        <v>2.8999999999999998E-3</v>
      </c>
      <c r="D144" s="41">
        <v>16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POWER(POWER(Table210[[#This Row],[mv]],4)/10,0.25)</f>
        <v>1.6307898430520129E-3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2229</v>
      </c>
      <c r="P144" s="109">
        <v>193306</v>
      </c>
      <c r="Q144" s="107"/>
      <c r="R144" s="111"/>
      <c r="S144" s="110"/>
      <c r="T144"/>
      <c r="U144"/>
      <c r="V144"/>
    </row>
    <row r="145" spans="1:22">
      <c r="A145" s="105">
        <v>1527</v>
      </c>
      <c r="B145" s="41">
        <v>12000000</v>
      </c>
      <c r="C145" s="41">
        <v>2.8999999999999998E-3</v>
      </c>
      <c r="D145" s="41">
        <v>32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POWER(POWER(Table210[[#This Row],[mv]],4)/10,0.25)</f>
        <v>1.6307898430520129E-3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2230</v>
      </c>
      <c r="P145" s="109">
        <v>193306</v>
      </c>
      <c r="Q145" s="107"/>
      <c r="R145" s="111"/>
      <c r="S145" s="110"/>
      <c r="T145"/>
      <c r="U145"/>
      <c r="V145"/>
    </row>
    <row r="146" spans="1:22">
      <c r="A146" s="105">
        <v>1528</v>
      </c>
      <c r="B146" s="41">
        <v>12000000</v>
      </c>
      <c r="C146" s="41">
        <v>3.2000000000000002E-3</v>
      </c>
      <c r="D146" s="41">
        <v>4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POWER(POWER(Table210[[#This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2231</v>
      </c>
      <c r="P146" s="109">
        <v>193306</v>
      </c>
      <c r="Q146" s="107"/>
      <c r="R146" s="111"/>
      <c r="S146" s="110"/>
      <c r="T146"/>
      <c r="U146"/>
      <c r="V146"/>
    </row>
    <row r="147" spans="1:22">
      <c r="A147" s="105">
        <v>1529</v>
      </c>
      <c r="B147" s="41">
        <v>12000000</v>
      </c>
      <c r="C147" s="41">
        <v>3.2000000000000002E-3</v>
      </c>
      <c r="D147" s="41">
        <v>8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POWER(POWER(Table210[[#This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2232</v>
      </c>
      <c r="P147" s="109">
        <v>193306</v>
      </c>
      <c r="Q147" s="107"/>
      <c r="R147" s="111"/>
      <c r="S147" s="110"/>
      <c r="T147"/>
      <c r="U147"/>
      <c r="V147"/>
    </row>
    <row r="148" spans="1:22">
      <c r="A148" s="105">
        <v>1530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POWER(POWER(Table210[[#This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2233</v>
      </c>
      <c r="P148" s="109">
        <v>193306</v>
      </c>
      <c r="Q148" s="107"/>
      <c r="R148" s="111"/>
      <c r="S148" s="110"/>
      <c r="T148"/>
      <c r="U148"/>
      <c r="V148"/>
    </row>
    <row r="149" spans="1:22">
      <c r="A149" s="105">
        <v>1531</v>
      </c>
      <c r="B149" s="41">
        <v>12000000</v>
      </c>
      <c r="C149" s="41">
        <v>3.2000000000000002E-3</v>
      </c>
      <c r="D149" s="41">
        <v>32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POWER(POWER(Table210[[#This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2234</v>
      </c>
      <c r="P149" s="109">
        <v>193306</v>
      </c>
      <c r="Q149" s="107"/>
      <c r="R149" s="111"/>
      <c r="S149" s="110"/>
      <c r="T149"/>
      <c r="U149"/>
      <c r="V149"/>
    </row>
    <row r="150" spans="1:22">
      <c r="A150" s="105">
        <v>1532</v>
      </c>
      <c r="B150" s="41">
        <v>12000000</v>
      </c>
      <c r="C150" s="41">
        <v>3.5000000000000001E-3</v>
      </c>
      <c r="D150" s="41">
        <v>4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POWER(POWER(Table210[[#This Row],[mv]],4)/10,0.25)</f>
        <v>1.9681946381662216E-3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2235</v>
      </c>
      <c r="P150" s="109">
        <v>193306</v>
      </c>
      <c r="Q150" s="107"/>
      <c r="R150" s="111"/>
      <c r="S150" s="110"/>
      <c r="T150"/>
      <c r="U150"/>
      <c r="V150"/>
    </row>
    <row r="151" spans="1:22">
      <c r="A151" s="105">
        <v>1533</v>
      </c>
      <c r="B151" s="41">
        <v>12000000</v>
      </c>
      <c r="C151" s="41">
        <v>3.5000000000000001E-3</v>
      </c>
      <c r="D151" s="41">
        <v>8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POWER(POWER(Table210[[#This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2236</v>
      </c>
      <c r="P151" s="109">
        <v>193306</v>
      </c>
      <c r="Q151" s="107"/>
      <c r="R151" s="111"/>
      <c r="S151" s="110"/>
      <c r="T151"/>
      <c r="U151"/>
      <c r="V151"/>
    </row>
    <row r="152" spans="1:22">
      <c r="A152" s="105">
        <v>1534</v>
      </c>
      <c r="B152" s="41">
        <v>12000000</v>
      </c>
      <c r="C152" s="41">
        <v>3.5000000000000001E-3</v>
      </c>
      <c r="D152" s="41">
        <v>16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POWER(POWER(Table210[[#This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2237</v>
      </c>
      <c r="P152" s="109">
        <v>193362</v>
      </c>
      <c r="Q152" s="107"/>
      <c r="R152" s="111"/>
      <c r="S152" s="110" t="s">
        <v>2267</v>
      </c>
      <c r="T152"/>
      <c r="U152"/>
      <c r="V152"/>
    </row>
    <row r="153" spans="1:22">
      <c r="A153" s="105">
        <v>1535</v>
      </c>
      <c r="B153" s="41">
        <v>12000000</v>
      </c>
      <c r="C153" s="41">
        <v>3.5000000000000001E-3</v>
      </c>
      <c r="D153" s="41">
        <v>32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POWER(POWER(Table210[[#This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2238</v>
      </c>
      <c r="P153" s="109">
        <v>193362</v>
      </c>
      <c r="Q153" s="107"/>
      <c r="R153" s="111"/>
      <c r="S153" s="110"/>
      <c r="T153"/>
      <c r="U153"/>
      <c r="V153"/>
    </row>
    <row r="154" spans="1:22">
      <c r="A154" s="105">
        <v>1536</v>
      </c>
      <c r="B154" s="41">
        <v>12000000</v>
      </c>
      <c r="C154" s="41">
        <v>3.8E-3</v>
      </c>
      <c r="D154" s="41">
        <v>5.6569000000000003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POWER(POWER(Table210[[#This Row],[mv]],4)/10,0.25)</f>
        <v>2.1368970357233258E-3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2239</v>
      </c>
      <c r="P154" s="109">
        <v>193362</v>
      </c>
      <c r="Q154" s="107"/>
      <c r="R154" s="111"/>
      <c r="S154" s="110"/>
      <c r="T154"/>
      <c r="U154"/>
      <c r="V154"/>
    </row>
    <row r="155" spans="1:22">
      <c r="A155" s="105">
        <v>1537</v>
      </c>
      <c r="B155" s="41">
        <v>12000000</v>
      </c>
      <c r="C155" s="41">
        <v>3.8E-3</v>
      </c>
      <c r="D155" s="41">
        <v>11.313700000000001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POWER(POWER(Table210[[#This Row],[mv]],4)/10,0.25)</f>
        <v>2.1368970357233258E-3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2240</v>
      </c>
      <c r="P155" s="109">
        <v>193362</v>
      </c>
      <c r="Q155" s="107"/>
      <c r="R155" s="111"/>
      <c r="S155" s="110"/>
      <c r="T155"/>
      <c r="U155"/>
      <c r="V155"/>
    </row>
    <row r="156" spans="1:22">
      <c r="A156" s="105">
        <v>1538</v>
      </c>
      <c r="B156" s="41">
        <v>12000000</v>
      </c>
      <c r="C156" s="41">
        <v>3.8E-3</v>
      </c>
      <c r="D156" s="41">
        <v>22.627400000000002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POWER(POWER(Table210[[#This Row],[mv]],4)/10,0.25)</f>
        <v>2.1368970357233258E-3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2241</v>
      </c>
      <c r="P156" s="109">
        <v>193362</v>
      </c>
      <c r="Q156" s="107"/>
      <c r="R156" s="111"/>
      <c r="S156" s="110"/>
      <c r="T156"/>
      <c r="U156"/>
      <c r="V156"/>
    </row>
    <row r="157" spans="1:22">
      <c r="A157" s="105">
        <v>1539</v>
      </c>
      <c r="B157" s="41">
        <v>12000000</v>
      </c>
      <c r="C157" s="41">
        <v>3.8E-3</v>
      </c>
      <c r="D157" s="41">
        <v>45.254800000000003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POWER(POWER(Table210[[#This Row],[mv]],4)/10,0.25)</f>
        <v>2.1368970357233258E-3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2242</v>
      </c>
      <c r="P157" s="109">
        <v>193362</v>
      </c>
      <c r="Q157" s="107"/>
      <c r="R157" s="111"/>
      <c r="S157" s="110"/>
      <c r="T157"/>
      <c r="U157"/>
      <c r="V157"/>
    </row>
    <row r="158" spans="1:22">
      <c r="A158" s="105">
        <v>1540</v>
      </c>
      <c r="B158" s="41">
        <v>12000000</v>
      </c>
      <c r="C158" s="41">
        <v>4.1999999999999997E-3</v>
      </c>
      <c r="D158" s="41">
        <v>8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POWER(POWER(Table210[[#This Row],[mv]],4)/10,0.25)</f>
        <v>2.361833565799467E-3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2243</v>
      </c>
      <c r="P158" s="109">
        <v>193362</v>
      </c>
      <c r="Q158" s="107"/>
      <c r="R158" s="111"/>
      <c r="S158" s="110"/>
      <c r="T158"/>
      <c r="U158"/>
      <c r="V158"/>
    </row>
    <row r="159" spans="1:22">
      <c r="A159" s="105">
        <v>1541</v>
      </c>
      <c r="B159" s="41">
        <v>12000000</v>
      </c>
      <c r="C159" s="41">
        <v>4.1999999999999997E-3</v>
      </c>
      <c r="D159" s="41">
        <v>16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POWER(POWER(Table210[[#This Row],[mv]],4)/10,0.25)</f>
        <v>2.361833565799467E-3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2244</v>
      </c>
      <c r="P159" s="109">
        <v>193362</v>
      </c>
      <c r="Q159" s="107"/>
      <c r="R159" s="111"/>
      <c r="S159" s="110"/>
      <c r="T159"/>
      <c r="U159"/>
      <c r="V159"/>
    </row>
    <row r="160" spans="1:22">
      <c r="A160" s="105">
        <v>1542</v>
      </c>
      <c r="B160" s="41">
        <v>12000000</v>
      </c>
      <c r="C160" s="41">
        <v>4.1999999999999997E-3</v>
      </c>
      <c r="D160" s="41">
        <v>32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POWER(POWER(Table210[[#This Row],[mv]],4)/10,0.25)</f>
        <v>2.361833565799467E-3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2245</v>
      </c>
      <c r="P160" s="109">
        <v>193362</v>
      </c>
      <c r="Q160" s="107"/>
      <c r="R160" s="111"/>
      <c r="S160" s="110"/>
      <c r="T160"/>
      <c r="U160"/>
      <c r="V160"/>
    </row>
    <row r="161" spans="1:22">
      <c r="A161" s="105">
        <v>1543</v>
      </c>
      <c r="B161" s="41">
        <v>12000000</v>
      </c>
      <c r="C161" s="41">
        <v>4.4999999999999997E-3</v>
      </c>
      <c r="D161" s="41">
        <v>8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POWER(POWER(Table210[[#This Row],[mv]],4)/10,0.25)</f>
        <v>2.5305359633565699E-3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2246</v>
      </c>
      <c r="P161" s="109">
        <v>193362</v>
      </c>
      <c r="Q161" s="107"/>
      <c r="R161" s="111"/>
      <c r="S161" s="110"/>
      <c r="T161"/>
      <c r="U161"/>
      <c r="V161"/>
    </row>
    <row r="162" spans="1:22">
      <c r="A162" s="105">
        <v>1544</v>
      </c>
      <c r="B162" s="41">
        <v>12000000</v>
      </c>
      <c r="C162" s="41">
        <v>4.4999999999999997E-3</v>
      </c>
      <c r="D162" s="41">
        <v>16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POWER(POWER(Table210[[#This Row],[mv]],4)/10,0.25)</f>
        <v>2.5305359633565699E-3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2247</v>
      </c>
      <c r="P162" s="109">
        <v>193362</v>
      </c>
      <c r="Q162" s="107"/>
      <c r="R162" s="111"/>
      <c r="S162" s="110"/>
      <c r="T162"/>
      <c r="U162"/>
      <c r="V162"/>
    </row>
    <row r="163" spans="1:22">
      <c r="A163" s="105">
        <v>1545</v>
      </c>
      <c r="B163" s="41">
        <v>12000000</v>
      </c>
      <c r="C163" s="41">
        <v>4.4999999999999997E-3</v>
      </c>
      <c r="D163" s="41">
        <v>32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POWER(POWER(Table210[[#This Row],[mv]],4)/10,0.25)</f>
        <v>2.5305359633565699E-3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2248</v>
      </c>
      <c r="P163" s="109">
        <v>193362</v>
      </c>
      <c r="Q163" s="107"/>
      <c r="R163" s="111"/>
      <c r="S163" s="110"/>
      <c r="T163"/>
      <c r="U163"/>
      <c r="V163"/>
    </row>
    <row r="164" spans="1:22">
      <c r="A164" s="105">
        <v>1546</v>
      </c>
      <c r="B164" s="41">
        <v>12000000</v>
      </c>
      <c r="C164" s="41">
        <v>4.8999999999999998E-3</v>
      </c>
      <c r="D164" s="41">
        <v>8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POWER(POWER(Table210[[#This Row],[mv]],4)/10,0.25)</f>
        <v>2.7554724934327106E-3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2249</v>
      </c>
      <c r="P164" s="109">
        <v>193362</v>
      </c>
      <c r="Q164" s="107"/>
      <c r="R164" s="111"/>
      <c r="S164" s="110"/>
      <c r="T164"/>
      <c r="U164"/>
      <c r="V164"/>
    </row>
    <row r="165" spans="1:22">
      <c r="A165" s="105">
        <v>1547</v>
      </c>
      <c r="B165" s="41">
        <v>12000000</v>
      </c>
      <c r="C165" s="41">
        <v>4.8999999999999998E-3</v>
      </c>
      <c r="D165" s="41">
        <v>16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POWER(POWER(Table210[[#This Row],[mv]],4)/10,0.25)</f>
        <v>2.7554724934327106E-3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2250</v>
      </c>
      <c r="P165" s="109">
        <v>193362</v>
      </c>
      <c r="Q165" s="107"/>
      <c r="R165" s="111"/>
      <c r="S165" s="110"/>
      <c r="T165"/>
      <c r="U165"/>
      <c r="V165"/>
    </row>
    <row r="166" spans="1:22">
      <c r="A166" s="105">
        <v>1548</v>
      </c>
      <c r="B166" s="41">
        <v>12000000</v>
      </c>
      <c r="C166" s="41">
        <v>4.8999999999999998E-3</v>
      </c>
      <c r="D166" s="41">
        <v>32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POWER(POWER(Table210[[#This Row],[mv]],4)/10,0.25)</f>
        <v>2.7554724934327106E-3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2251</v>
      </c>
      <c r="P166" s="109">
        <v>193362</v>
      </c>
      <c r="Q166" s="107"/>
      <c r="R166" s="111"/>
      <c r="S166" s="110"/>
      <c r="T166"/>
      <c r="U166"/>
      <c r="V166"/>
    </row>
    <row r="167" spans="1:22">
      <c r="A167" s="105">
        <v>1549</v>
      </c>
      <c r="B167" s="41">
        <v>12000000</v>
      </c>
      <c r="C167" s="41">
        <v>5.4000000000000003E-3</v>
      </c>
      <c r="D167" s="41">
        <v>11.313700000000001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POWER(POWER(Table210[[#This Row],[mv]],4)/10,0.25)</f>
        <v>3.0366431560278845E-3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2252</v>
      </c>
      <c r="P167" s="109">
        <v>193362</v>
      </c>
      <c r="Q167" s="107"/>
      <c r="R167" s="111"/>
      <c r="S167" s="110"/>
      <c r="T167"/>
      <c r="U167"/>
      <c r="V167"/>
    </row>
    <row r="168" spans="1:22">
      <c r="A168" s="105">
        <v>1550</v>
      </c>
      <c r="B168" s="41">
        <v>12000000</v>
      </c>
      <c r="C168" s="41">
        <v>5.4000000000000003E-3</v>
      </c>
      <c r="D168" s="41">
        <v>22.627400000000002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POWER(POWER(Table210[[#This Row],[mv]],4)/10,0.25)</f>
        <v>3.0366431560278845E-3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2253</v>
      </c>
      <c r="P168" s="109">
        <v>193362</v>
      </c>
      <c r="Q168" s="107"/>
      <c r="R168" s="111"/>
      <c r="S168" s="110"/>
      <c r="T168"/>
      <c r="U168"/>
      <c r="V168"/>
    </row>
    <row r="169" spans="1:22">
      <c r="A169" s="105">
        <v>1551</v>
      </c>
      <c r="B169" s="41">
        <v>12000000</v>
      </c>
      <c r="C169" s="41">
        <v>5.4000000000000003E-3</v>
      </c>
      <c r="D169" s="41">
        <v>45.254800000000003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POWER(POWER(Table210[[#This Row],[mv]],4)/10,0.25)</f>
        <v>3.0366431560278845E-3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2254</v>
      </c>
      <c r="P169" s="109">
        <v>193362</v>
      </c>
      <c r="Q169" s="107"/>
      <c r="R169" s="111"/>
      <c r="S169" s="110"/>
      <c r="T169"/>
      <c r="U169"/>
      <c r="V169"/>
    </row>
    <row r="170" spans="1:22">
      <c r="A170" s="105">
        <v>1552</v>
      </c>
      <c r="B170" s="41">
        <v>12000000</v>
      </c>
      <c r="C170" s="41">
        <v>5.8999999999999999E-3</v>
      </c>
      <c r="D170" s="41">
        <v>16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POWER(POWER(Table210[[#This Row],[mv]],4)/10,0.25)</f>
        <v>3.3178138186230597E-3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2255</v>
      </c>
      <c r="P170" s="109">
        <v>193362</v>
      </c>
      <c r="Q170" s="107"/>
      <c r="R170" s="111"/>
      <c r="S170" s="110"/>
      <c r="T170"/>
      <c r="U170"/>
      <c r="V170"/>
    </row>
    <row r="171" spans="1:22">
      <c r="A171" s="105">
        <v>1553</v>
      </c>
      <c r="B171" s="41">
        <v>12000000</v>
      </c>
      <c r="C171" s="41">
        <v>5.8999999999999999E-3</v>
      </c>
      <c r="D171" s="41">
        <v>32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POWER(POWER(Table210[[#This Row],[mv]],4)/10,0.25)</f>
        <v>3.3178138186230597E-3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2256</v>
      </c>
      <c r="P171" s="109">
        <v>193362</v>
      </c>
      <c r="Q171" s="107"/>
      <c r="R171" s="111"/>
      <c r="S171" s="110"/>
      <c r="T171"/>
      <c r="U171"/>
      <c r="V171"/>
    </row>
    <row r="172" spans="1:22">
      <c r="A172" s="105">
        <v>1554</v>
      </c>
      <c r="B172" s="41">
        <v>12000000</v>
      </c>
      <c r="C172" s="41">
        <v>6.4000000000000003E-3</v>
      </c>
      <c r="D172" s="41">
        <v>16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POWER(POWER(Table210[[#This Row],[mv]],4)/10,0.25)</f>
        <v>3.5989844812182349E-3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2257</v>
      </c>
      <c r="P172" s="109">
        <v>193362</v>
      </c>
      <c r="Q172" s="107"/>
      <c r="R172" s="111"/>
      <c r="S172" s="110"/>
      <c r="T172"/>
      <c r="U172"/>
      <c r="V172"/>
    </row>
    <row r="173" spans="1:22">
      <c r="A173" s="105">
        <v>1555</v>
      </c>
      <c r="B173" s="41">
        <v>12000000</v>
      </c>
      <c r="C173" s="41">
        <v>6.4000000000000003E-3</v>
      </c>
      <c r="D173" s="41">
        <v>32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POWER(POWER(Table210[[#This Row],[mv]],4)/10,0.25)</f>
        <v>3.5989844812182349E-3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2258</v>
      </c>
      <c r="P173" s="109">
        <v>193362</v>
      </c>
      <c r="Q173" s="107"/>
      <c r="R173" s="111"/>
      <c r="S173" s="110"/>
      <c r="T173"/>
      <c r="U173"/>
      <c r="V173"/>
    </row>
    <row r="174" spans="1:22">
      <c r="A174" s="105">
        <v>1556</v>
      </c>
      <c r="B174" s="41">
        <v>12000000</v>
      </c>
      <c r="C174" s="41">
        <v>7.0000000000000001E-3</v>
      </c>
      <c r="D174" s="41">
        <v>16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POWER(POWER(Table210[[#This Row],[mv]],4)/10,0.25)</f>
        <v>3.9363892763324441E-3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2259</v>
      </c>
      <c r="P174" s="109">
        <v>193362</v>
      </c>
      <c r="Q174" s="107"/>
      <c r="R174" s="111"/>
      <c r="S174" s="110"/>
      <c r="T174"/>
      <c r="U174"/>
      <c r="V174"/>
    </row>
    <row r="175" spans="1:22">
      <c r="A175" s="105">
        <v>1557</v>
      </c>
      <c r="B175" s="41">
        <v>12000000</v>
      </c>
      <c r="C175" s="41">
        <v>7.0000000000000001E-3</v>
      </c>
      <c r="D175" s="41">
        <v>32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POWER(POWER(Table210[[#This Row],[mv]],4)/10,0.25)</f>
        <v>3.9363892763324441E-3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2260</v>
      </c>
      <c r="P175" s="109">
        <v>193362</v>
      </c>
      <c r="Q175" s="107"/>
      <c r="R175" s="111"/>
      <c r="S175" s="110"/>
      <c r="T175"/>
      <c r="U175"/>
      <c r="V175"/>
    </row>
    <row r="176" spans="1:22">
      <c r="A176" s="105">
        <v>1558</v>
      </c>
      <c r="B176" s="41">
        <v>12000000</v>
      </c>
      <c r="C176" s="41">
        <v>7.6E-3</v>
      </c>
      <c r="D176" s="41">
        <v>22.627400000000002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POWER(POWER(Table210[[#This Row],[mv]],4)/10,0.25)</f>
        <v>4.2737940714466516E-3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2261</v>
      </c>
      <c r="P176" s="109">
        <v>193362</v>
      </c>
      <c r="Q176" s="107"/>
      <c r="R176" s="111"/>
      <c r="S176" s="110"/>
      <c r="T176"/>
      <c r="U176"/>
      <c r="V176"/>
    </row>
    <row r="177" spans="1:22">
      <c r="A177" s="105">
        <v>1559</v>
      </c>
      <c r="B177" s="41">
        <v>12000000</v>
      </c>
      <c r="C177" s="41">
        <v>7.6E-3</v>
      </c>
      <c r="D177" s="41">
        <v>45.254800000000003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POWER(POWER(Table210[[#This Row],[mv]],4)/10,0.25)</f>
        <v>4.2737940714466516E-3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2262</v>
      </c>
      <c r="P177" s="109">
        <v>193362</v>
      </c>
      <c r="Q177" s="107"/>
      <c r="R177" s="111"/>
      <c r="S177" s="110"/>
      <c r="T177"/>
      <c r="U177"/>
      <c r="V177"/>
    </row>
    <row r="178" spans="1:22">
      <c r="A178" s="105">
        <v>1560</v>
      </c>
      <c r="B178" s="41">
        <v>12000000</v>
      </c>
      <c r="C178" s="41">
        <v>8.3000000000000001E-3</v>
      </c>
      <c r="D178" s="41">
        <v>32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POWER(POWER(Table210[[#This Row],[mv]],4)/10,0.25)</f>
        <v>4.6674329990798978E-3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2263</v>
      </c>
      <c r="P178" s="109">
        <v>193362</v>
      </c>
      <c r="Q178" s="107"/>
      <c r="R178" s="111"/>
      <c r="S178" s="110"/>
      <c r="T178"/>
      <c r="U178"/>
      <c r="V178"/>
    </row>
    <row r="179" spans="1:22">
      <c r="A179" s="105">
        <v>1561</v>
      </c>
      <c r="B179" s="41">
        <v>12000000</v>
      </c>
      <c r="C179" s="41">
        <v>9.1000000000000004E-3</v>
      </c>
      <c r="D179" s="41">
        <v>32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POWER(POWER(Table210[[#This Row],[mv]],4)/10,0.25)</f>
        <v>5.1173060592321785E-3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2264</v>
      </c>
      <c r="P179" s="109">
        <v>193362</v>
      </c>
      <c r="Q179" s="107"/>
      <c r="R179" s="111"/>
      <c r="S179" s="110"/>
      <c r="T179"/>
      <c r="U179"/>
      <c r="V179"/>
    </row>
    <row r="180" spans="1:22">
      <c r="A180" s="105">
        <v>1562</v>
      </c>
      <c r="B180" s="41">
        <v>12000000</v>
      </c>
      <c r="C180" s="41">
        <v>9.9000000000000008E-3</v>
      </c>
      <c r="D180" s="41">
        <v>32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POWER(POWER(Table210[[#This Row],[mv]],4)/10,0.25)</f>
        <v>5.5671791193844583E-3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2265</v>
      </c>
      <c r="P180" s="109">
        <v>193362</v>
      </c>
      <c r="Q180" s="107"/>
      <c r="R180" s="111"/>
      <c r="S180" s="110"/>
      <c r="T180"/>
      <c r="U180"/>
      <c r="V180"/>
    </row>
    <row r="181" spans="1:22">
      <c r="A181" s="105">
        <v>1563</v>
      </c>
      <c r="B181" s="41">
        <v>12000000</v>
      </c>
      <c r="C181" s="41">
        <v>1.0800000000000001E-2</v>
      </c>
      <c r="D181" s="41">
        <v>45.254800000000003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POWER(POWER(Table210[[#This Row],[mv]],4)/10,0.25)</f>
        <v>6.0732863120557699E-3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2266</v>
      </c>
      <c r="P181" s="109">
        <v>193362</v>
      </c>
      <c r="Q181" s="107"/>
      <c r="R181" s="111"/>
      <c r="S181" s="110"/>
      <c r="T181"/>
      <c r="U181"/>
      <c r="V181"/>
    </row>
    <row r="182" spans="1:22">
      <c r="A182" s="105">
        <v>1564</v>
      </c>
      <c r="B182" s="41">
        <v>120000000</v>
      </c>
      <c r="C182" s="41">
        <v>1.1999999999999999E-3</v>
      </c>
      <c r="D182" s="41">
        <v>0.5</v>
      </c>
      <c r="E182" s="41">
        <v>30</v>
      </c>
      <c r="F182" s="41">
        <v>0</v>
      </c>
      <c r="G182" s="41" t="s">
        <v>103</v>
      </c>
      <c r="H182" s="41">
        <v>2</v>
      </c>
      <c r="I182" s="41">
        <v>1</v>
      </c>
      <c r="J182" s="108">
        <v>0</v>
      </c>
      <c r="K182" s="41">
        <v>0</v>
      </c>
      <c r="L182" s="41">
        <v>55</v>
      </c>
      <c r="M182" s="41">
        <v>-1</v>
      </c>
      <c r="N182" s="41">
        <v>4</v>
      </c>
      <c r="O182" s="110" t="s">
        <v>2268</v>
      </c>
      <c r="P182" s="109">
        <v>193522</v>
      </c>
      <c r="Q182" s="107"/>
      <c r="R182" s="111"/>
      <c r="S182" s="110" t="s">
        <v>2267</v>
      </c>
      <c r="T182"/>
      <c r="U182"/>
      <c r="V182"/>
    </row>
    <row r="183" spans="1:22">
      <c r="A183" s="105">
        <v>1565</v>
      </c>
      <c r="B183" s="41">
        <v>120000000</v>
      </c>
      <c r="C183" s="41">
        <v>1.1999999999999999E-3</v>
      </c>
      <c r="D183" s="41">
        <v>0.70709999999999995</v>
      </c>
      <c r="E183" s="41">
        <v>30</v>
      </c>
      <c r="F183" s="41">
        <v>0</v>
      </c>
      <c r="G183" s="41" t="s">
        <v>103</v>
      </c>
      <c r="H183" s="41">
        <v>2</v>
      </c>
      <c r="I183" s="41">
        <v>1</v>
      </c>
      <c r="J183" s="108">
        <v>0</v>
      </c>
      <c r="K183" s="41">
        <v>0</v>
      </c>
      <c r="L183" s="41">
        <v>55</v>
      </c>
      <c r="M183" s="41">
        <v>-1</v>
      </c>
      <c r="N183" s="41">
        <v>4</v>
      </c>
      <c r="O183" s="110" t="s">
        <v>2269</v>
      </c>
      <c r="P183" s="109">
        <v>193522</v>
      </c>
      <c r="Q183" s="107"/>
      <c r="R183" s="111"/>
      <c r="S183" s="110"/>
      <c r="T183"/>
      <c r="U183"/>
      <c r="V183"/>
    </row>
    <row r="184" spans="1:22">
      <c r="A184" s="105">
        <v>1566</v>
      </c>
      <c r="B184" s="41">
        <v>120000000</v>
      </c>
      <c r="C184" s="41">
        <v>1.1999999999999999E-3</v>
      </c>
      <c r="D184" s="41">
        <v>1</v>
      </c>
      <c r="E184" s="41">
        <v>30</v>
      </c>
      <c r="F184" s="41">
        <v>0</v>
      </c>
      <c r="G184" s="41" t="s">
        <v>103</v>
      </c>
      <c r="H184" s="41">
        <v>2</v>
      </c>
      <c r="I184" s="41">
        <v>1</v>
      </c>
      <c r="J184" s="108">
        <v>0</v>
      </c>
      <c r="K184" s="41">
        <v>0</v>
      </c>
      <c r="L184" s="41">
        <v>55</v>
      </c>
      <c r="M184" s="41">
        <v>-1</v>
      </c>
      <c r="N184" s="41">
        <v>4</v>
      </c>
      <c r="O184" s="110" t="s">
        <v>2270</v>
      </c>
      <c r="P184" s="109">
        <v>193522</v>
      </c>
      <c r="Q184" s="107"/>
      <c r="R184" s="111"/>
      <c r="S184" s="110"/>
      <c r="T184"/>
      <c r="U184"/>
      <c r="V184"/>
    </row>
    <row r="185" spans="1:22">
      <c r="A185" s="105">
        <v>1567</v>
      </c>
      <c r="B185" s="41">
        <v>120000000</v>
      </c>
      <c r="C185" s="41">
        <v>1.1999999999999999E-3</v>
      </c>
      <c r="D185" s="41">
        <v>1.4141999999999999</v>
      </c>
      <c r="E185" s="41">
        <v>30</v>
      </c>
      <c r="F185" s="41">
        <v>0</v>
      </c>
      <c r="G185" s="41" t="s">
        <v>103</v>
      </c>
      <c r="H185" s="41">
        <v>2</v>
      </c>
      <c r="I185" s="41">
        <v>1</v>
      </c>
      <c r="J185" s="108">
        <v>0</v>
      </c>
      <c r="K185" s="41">
        <v>0</v>
      </c>
      <c r="L185" s="41">
        <v>55</v>
      </c>
      <c r="M185" s="41">
        <v>-1</v>
      </c>
      <c r="N185" s="41">
        <v>4</v>
      </c>
      <c r="O185" s="110" t="s">
        <v>2271</v>
      </c>
      <c r="P185" s="109">
        <v>193522</v>
      </c>
      <c r="Q185" s="107"/>
      <c r="R185" s="111"/>
      <c r="S185" s="110"/>
      <c r="T185"/>
      <c r="U185"/>
      <c r="V185"/>
    </row>
    <row r="186" spans="1:22">
      <c r="A186" s="105">
        <v>1568</v>
      </c>
      <c r="B186" s="41">
        <v>120000000</v>
      </c>
      <c r="C186" s="41">
        <v>1.1999999999999999E-3</v>
      </c>
      <c r="D186" s="41">
        <v>2</v>
      </c>
      <c r="E186" s="41">
        <v>30</v>
      </c>
      <c r="F186" s="41">
        <v>0</v>
      </c>
      <c r="G186" s="41" t="s">
        <v>103</v>
      </c>
      <c r="H186" s="41">
        <v>2</v>
      </c>
      <c r="I186" s="41">
        <v>1</v>
      </c>
      <c r="J186" s="108">
        <v>0</v>
      </c>
      <c r="K186" s="41">
        <v>0</v>
      </c>
      <c r="L186" s="41">
        <v>55</v>
      </c>
      <c r="M186" s="41">
        <v>-1</v>
      </c>
      <c r="N186" s="41">
        <v>4</v>
      </c>
      <c r="O186" s="110" t="s">
        <v>2272</v>
      </c>
      <c r="P186" s="109">
        <v>193522</v>
      </c>
      <c r="Q186" s="107"/>
      <c r="R186" s="111"/>
      <c r="S186" s="110"/>
      <c r="T186"/>
      <c r="U186"/>
      <c r="V186"/>
    </row>
    <row r="187" spans="1:22">
      <c r="A187" s="105">
        <v>1569</v>
      </c>
      <c r="B187" s="41">
        <v>120000000</v>
      </c>
      <c r="C187" s="41">
        <v>1.1999999999999999E-3</v>
      </c>
      <c r="D187" s="41">
        <v>2.8283999999999998</v>
      </c>
      <c r="E187" s="41">
        <v>30</v>
      </c>
      <c r="F187" s="41">
        <v>0</v>
      </c>
      <c r="G187" s="41" t="s">
        <v>103</v>
      </c>
      <c r="H187" s="41">
        <v>2</v>
      </c>
      <c r="I187" s="41">
        <v>1</v>
      </c>
      <c r="J187" s="108">
        <v>0</v>
      </c>
      <c r="K187" s="41">
        <v>0</v>
      </c>
      <c r="L187" s="41">
        <v>55</v>
      </c>
      <c r="M187" s="41">
        <v>-1</v>
      </c>
      <c r="N187" s="41">
        <v>4</v>
      </c>
      <c r="O187" s="110" t="s">
        <v>2273</v>
      </c>
      <c r="P187" s="109">
        <v>193522</v>
      </c>
      <c r="Q187" s="107"/>
      <c r="R187" s="111"/>
      <c r="S187" s="110"/>
      <c r="T187"/>
      <c r="U187"/>
      <c r="V187"/>
    </row>
    <row r="188" spans="1:22">
      <c r="A188" s="105">
        <v>1570</v>
      </c>
      <c r="B188" s="41">
        <v>120000000</v>
      </c>
      <c r="C188" s="41">
        <v>1.1999999999999999E-3</v>
      </c>
      <c r="D188" s="41">
        <v>4</v>
      </c>
      <c r="E188" s="41">
        <v>30</v>
      </c>
      <c r="F188" s="41">
        <v>0</v>
      </c>
      <c r="G188" s="41" t="s">
        <v>103</v>
      </c>
      <c r="H188" s="41">
        <v>2</v>
      </c>
      <c r="I188" s="41">
        <v>1</v>
      </c>
      <c r="J188" s="108">
        <v>0</v>
      </c>
      <c r="K188" s="41">
        <v>0</v>
      </c>
      <c r="L188" s="41">
        <v>55</v>
      </c>
      <c r="M188" s="41">
        <v>-1</v>
      </c>
      <c r="N188" s="41">
        <v>4</v>
      </c>
      <c r="O188" s="110" t="s">
        <v>2274</v>
      </c>
      <c r="P188" s="109">
        <v>193522</v>
      </c>
      <c r="Q188" s="107"/>
      <c r="R188" s="111"/>
      <c r="S188" s="110"/>
      <c r="T188"/>
      <c r="U188"/>
      <c r="V188"/>
    </row>
    <row r="189" spans="1:22">
      <c r="A189" s="105">
        <v>1571</v>
      </c>
      <c r="B189" s="41">
        <v>120000000</v>
      </c>
      <c r="C189" s="41">
        <v>1.1999999999999999E-3</v>
      </c>
      <c r="D189" s="41">
        <v>5.6569000000000003</v>
      </c>
      <c r="E189" s="41">
        <v>30</v>
      </c>
      <c r="F189" s="41">
        <v>0</v>
      </c>
      <c r="G189" s="41" t="s">
        <v>103</v>
      </c>
      <c r="H189" s="41">
        <v>2</v>
      </c>
      <c r="I189" s="41">
        <v>1</v>
      </c>
      <c r="J189" s="108">
        <v>0</v>
      </c>
      <c r="K189" s="41">
        <v>0</v>
      </c>
      <c r="L189" s="41">
        <v>55</v>
      </c>
      <c r="M189" s="41">
        <v>-1</v>
      </c>
      <c r="N189" s="41">
        <v>4</v>
      </c>
      <c r="O189" s="110" t="s">
        <v>2275</v>
      </c>
      <c r="P189" s="109">
        <v>193522</v>
      </c>
      <c r="Q189" s="107"/>
      <c r="R189" s="111"/>
      <c r="S189" s="110"/>
      <c r="T189"/>
      <c r="U189"/>
      <c r="V189"/>
    </row>
    <row r="190" spans="1:22">
      <c r="A190" s="105">
        <v>1572</v>
      </c>
      <c r="B190" s="41">
        <v>120000000</v>
      </c>
      <c r="C190" s="41">
        <v>1.1999999999999999E-3</v>
      </c>
      <c r="D190" s="41">
        <v>8</v>
      </c>
      <c r="E190" s="41">
        <v>30</v>
      </c>
      <c r="F190" s="41">
        <v>0</v>
      </c>
      <c r="G190" s="41" t="s">
        <v>103</v>
      </c>
      <c r="H190" s="41">
        <v>2</v>
      </c>
      <c r="I190" s="41">
        <v>1</v>
      </c>
      <c r="J190" s="108">
        <v>0</v>
      </c>
      <c r="K190" s="41">
        <v>0</v>
      </c>
      <c r="L190" s="41">
        <v>55</v>
      </c>
      <c r="M190" s="41">
        <v>-1</v>
      </c>
      <c r="N190" s="41">
        <v>4</v>
      </c>
      <c r="O190" s="110" t="s">
        <v>2276</v>
      </c>
      <c r="P190" s="109">
        <v>193522</v>
      </c>
      <c r="Q190" s="107"/>
      <c r="R190" s="111"/>
      <c r="S190" s="110"/>
      <c r="T190"/>
      <c r="U190"/>
      <c r="V190"/>
    </row>
    <row r="191" spans="1:22">
      <c r="A191" s="105">
        <v>1573</v>
      </c>
      <c r="B191" s="41">
        <v>120000000</v>
      </c>
      <c r="C191" s="41">
        <v>1.1999999999999999E-3</v>
      </c>
      <c r="D191" s="41">
        <v>11.313700000000001</v>
      </c>
      <c r="E191" s="41">
        <v>30</v>
      </c>
      <c r="F191" s="41">
        <v>0</v>
      </c>
      <c r="G191" s="41" t="s">
        <v>103</v>
      </c>
      <c r="H191" s="41">
        <v>2</v>
      </c>
      <c r="I191" s="41">
        <v>1</v>
      </c>
      <c r="J191" s="108">
        <v>0</v>
      </c>
      <c r="K191" s="41">
        <v>0</v>
      </c>
      <c r="L191" s="41">
        <v>55</v>
      </c>
      <c r="M191" s="41">
        <v>-1</v>
      </c>
      <c r="N191" s="41">
        <v>4</v>
      </c>
      <c r="O191" s="110" t="s">
        <v>2277</v>
      </c>
      <c r="P191" s="109">
        <v>193522</v>
      </c>
      <c r="Q191" s="107"/>
      <c r="R191" s="111"/>
      <c r="S191" s="110"/>
      <c r="T191"/>
      <c r="U191"/>
      <c r="V191"/>
    </row>
    <row r="192" spans="1:22">
      <c r="A192" s="105">
        <v>1574</v>
      </c>
      <c r="B192" s="41">
        <v>120000000</v>
      </c>
      <c r="C192" s="41">
        <v>1.2999999999999999E-3</v>
      </c>
      <c r="D192" s="41">
        <v>0.70709999999999995</v>
      </c>
      <c r="E192" s="41">
        <v>30</v>
      </c>
      <c r="F192" s="41">
        <v>0</v>
      </c>
      <c r="G192" s="41" t="s">
        <v>103</v>
      </c>
      <c r="H192" s="41">
        <v>2</v>
      </c>
      <c r="I192" s="41">
        <v>1</v>
      </c>
      <c r="J192" s="108">
        <v>0</v>
      </c>
      <c r="K192" s="41">
        <v>0</v>
      </c>
      <c r="L192" s="41">
        <v>55</v>
      </c>
      <c r="M192" s="41">
        <v>-1</v>
      </c>
      <c r="N192" s="41">
        <v>4</v>
      </c>
      <c r="O192" s="110" t="s">
        <v>2278</v>
      </c>
      <c r="P192" s="109">
        <v>193522</v>
      </c>
      <c r="Q192" s="107"/>
      <c r="R192" s="111"/>
      <c r="S192" s="110"/>
      <c r="T192"/>
      <c r="U192"/>
      <c r="V192"/>
    </row>
    <row r="193" spans="1:22">
      <c r="A193" s="105">
        <v>1575</v>
      </c>
      <c r="B193" s="41">
        <v>120000000</v>
      </c>
      <c r="C193" s="41">
        <v>1.2999999999999999E-3</v>
      </c>
      <c r="D193" s="41">
        <v>1</v>
      </c>
      <c r="E193" s="41">
        <v>30</v>
      </c>
      <c r="F193" s="41">
        <v>0</v>
      </c>
      <c r="G193" s="41" t="s">
        <v>103</v>
      </c>
      <c r="H193" s="41">
        <v>2</v>
      </c>
      <c r="I193" s="41">
        <v>1</v>
      </c>
      <c r="J193" s="108">
        <v>0</v>
      </c>
      <c r="K193" s="41">
        <v>0</v>
      </c>
      <c r="L193" s="41">
        <v>55</v>
      </c>
      <c r="M193" s="41">
        <v>-1</v>
      </c>
      <c r="N193" s="41">
        <v>4</v>
      </c>
      <c r="O193" s="110" t="s">
        <v>2279</v>
      </c>
      <c r="P193" s="109">
        <v>193522</v>
      </c>
      <c r="Q193" s="107"/>
      <c r="R193" s="111"/>
      <c r="S193" s="110"/>
      <c r="T193"/>
      <c r="U193"/>
      <c r="V193"/>
    </row>
    <row r="194" spans="1:22">
      <c r="A194" s="105">
        <v>1576</v>
      </c>
      <c r="B194" s="41">
        <v>120000000</v>
      </c>
      <c r="C194" s="41">
        <v>1.2999999999999999E-3</v>
      </c>
      <c r="D194" s="41">
        <v>1.4141999999999999</v>
      </c>
      <c r="E194" s="41">
        <v>30</v>
      </c>
      <c r="F194" s="41">
        <v>0</v>
      </c>
      <c r="G194" s="41" t="s">
        <v>103</v>
      </c>
      <c r="H194" s="41">
        <v>2</v>
      </c>
      <c r="I194" s="41">
        <v>1</v>
      </c>
      <c r="J194" s="108">
        <v>0</v>
      </c>
      <c r="K194" s="41">
        <v>0</v>
      </c>
      <c r="L194" s="41">
        <v>55</v>
      </c>
      <c r="M194" s="41">
        <v>-1</v>
      </c>
      <c r="N194" s="41">
        <v>4</v>
      </c>
      <c r="O194" s="110" t="s">
        <v>2280</v>
      </c>
      <c r="P194" s="109">
        <v>193522</v>
      </c>
      <c r="Q194" s="107"/>
      <c r="R194" s="111"/>
      <c r="S194" s="110"/>
      <c r="T194"/>
      <c r="U194"/>
      <c r="V194"/>
    </row>
    <row r="195" spans="1:22">
      <c r="A195" s="105">
        <v>1577</v>
      </c>
      <c r="B195" s="41">
        <v>120000000</v>
      </c>
      <c r="C195" s="41">
        <v>1.2999999999999999E-3</v>
      </c>
      <c r="D195" s="41">
        <v>2</v>
      </c>
      <c r="E195" s="41">
        <v>30</v>
      </c>
      <c r="F195" s="41">
        <v>0</v>
      </c>
      <c r="G195" s="41" t="s">
        <v>103</v>
      </c>
      <c r="H195" s="41">
        <v>2</v>
      </c>
      <c r="I195" s="41">
        <v>1</v>
      </c>
      <c r="J195" s="108">
        <v>0</v>
      </c>
      <c r="K195" s="41">
        <v>0</v>
      </c>
      <c r="L195" s="41">
        <v>55</v>
      </c>
      <c r="M195" s="41">
        <v>-1</v>
      </c>
      <c r="N195" s="41">
        <v>4</v>
      </c>
      <c r="O195" s="110" t="s">
        <v>2281</v>
      </c>
      <c r="P195" s="109">
        <v>193587</v>
      </c>
      <c r="Q195" s="107"/>
      <c r="R195" s="111"/>
      <c r="S195" s="110" t="s">
        <v>2267</v>
      </c>
      <c r="T195"/>
      <c r="U195"/>
      <c r="V195"/>
    </row>
    <row r="196" spans="1:22">
      <c r="A196" s="105">
        <v>1578</v>
      </c>
      <c r="B196" s="41">
        <v>120000000</v>
      </c>
      <c r="C196" s="41">
        <v>1.2999999999999999E-3</v>
      </c>
      <c r="D196" s="41">
        <v>2.8283999999999998</v>
      </c>
      <c r="E196" s="41">
        <v>30</v>
      </c>
      <c r="F196" s="41">
        <v>0</v>
      </c>
      <c r="G196" s="41" t="s">
        <v>103</v>
      </c>
      <c r="H196" s="41">
        <v>2</v>
      </c>
      <c r="I196" s="41">
        <v>1</v>
      </c>
      <c r="J196" s="108">
        <v>0</v>
      </c>
      <c r="K196" s="41">
        <v>0</v>
      </c>
      <c r="L196" s="41">
        <v>55</v>
      </c>
      <c r="M196" s="41">
        <v>-1</v>
      </c>
      <c r="N196" s="41">
        <v>4</v>
      </c>
      <c r="O196" s="110" t="s">
        <v>2282</v>
      </c>
      <c r="P196" s="109">
        <v>193587</v>
      </c>
      <c r="Q196" s="107"/>
      <c r="R196" s="111"/>
      <c r="S196" s="110"/>
      <c r="T196"/>
      <c r="U196"/>
      <c r="V196"/>
    </row>
    <row r="197" spans="1:22">
      <c r="A197" s="105">
        <v>1579</v>
      </c>
      <c r="B197" s="41">
        <v>120000000</v>
      </c>
      <c r="C197" s="41">
        <v>1.2999999999999999E-3</v>
      </c>
      <c r="D197" s="41">
        <v>4</v>
      </c>
      <c r="E197" s="41">
        <v>30</v>
      </c>
      <c r="F197" s="41">
        <v>0</v>
      </c>
      <c r="G197" s="41" t="s">
        <v>103</v>
      </c>
      <c r="H197" s="41">
        <v>2</v>
      </c>
      <c r="I197" s="41">
        <v>1</v>
      </c>
      <c r="J197" s="108">
        <v>0</v>
      </c>
      <c r="K197" s="41">
        <v>0</v>
      </c>
      <c r="L197" s="41">
        <v>55</v>
      </c>
      <c r="M197" s="41">
        <v>-1</v>
      </c>
      <c r="N197" s="41">
        <v>4</v>
      </c>
      <c r="O197" s="110" t="s">
        <v>2283</v>
      </c>
      <c r="P197" s="109">
        <v>193587</v>
      </c>
      <c r="Q197" s="107"/>
      <c r="R197" s="111"/>
      <c r="S197" s="110"/>
      <c r="T197"/>
      <c r="U197"/>
      <c r="V197"/>
    </row>
    <row r="198" spans="1:22">
      <c r="A198" s="105">
        <v>1580</v>
      </c>
      <c r="B198" s="41">
        <v>120000000</v>
      </c>
      <c r="C198" s="41">
        <v>1.2999999999999999E-3</v>
      </c>
      <c r="D198" s="41">
        <v>5.6569000000000003</v>
      </c>
      <c r="E198" s="41">
        <v>30</v>
      </c>
      <c r="F198" s="41">
        <v>0</v>
      </c>
      <c r="G198" s="41" t="s">
        <v>103</v>
      </c>
      <c r="H198" s="41">
        <v>2</v>
      </c>
      <c r="I198" s="41">
        <v>1</v>
      </c>
      <c r="J198" s="108">
        <v>0</v>
      </c>
      <c r="K198" s="41">
        <v>0</v>
      </c>
      <c r="L198" s="41">
        <v>55</v>
      </c>
      <c r="M198" s="41">
        <v>-1</v>
      </c>
      <c r="N198" s="41">
        <v>4</v>
      </c>
      <c r="O198" s="110" t="s">
        <v>2284</v>
      </c>
      <c r="P198" s="109">
        <v>193587</v>
      </c>
      <c r="Q198" s="107"/>
      <c r="R198" s="111"/>
      <c r="S198" s="110"/>
      <c r="T198"/>
      <c r="U198"/>
      <c r="V198"/>
    </row>
    <row r="199" spans="1:22">
      <c r="A199" s="105">
        <v>1581</v>
      </c>
      <c r="B199" s="41">
        <v>120000000</v>
      </c>
      <c r="C199" s="41">
        <v>1.2999999999999999E-3</v>
      </c>
      <c r="D199" s="41">
        <v>8</v>
      </c>
      <c r="E199" s="41">
        <v>30</v>
      </c>
      <c r="F199" s="41">
        <v>0</v>
      </c>
      <c r="G199" s="41" t="s">
        <v>103</v>
      </c>
      <c r="H199" s="41">
        <v>2</v>
      </c>
      <c r="I199" s="41">
        <v>1</v>
      </c>
      <c r="J199" s="108">
        <v>0</v>
      </c>
      <c r="K199" s="41">
        <v>0</v>
      </c>
      <c r="L199" s="41">
        <v>55</v>
      </c>
      <c r="M199" s="41">
        <v>-1</v>
      </c>
      <c r="N199" s="41">
        <v>4</v>
      </c>
      <c r="O199" s="110" t="s">
        <v>2285</v>
      </c>
      <c r="P199" s="109">
        <v>193587</v>
      </c>
      <c r="Q199" s="107"/>
      <c r="R199" s="111"/>
      <c r="S199" s="110"/>
      <c r="T199"/>
      <c r="U199"/>
      <c r="V199"/>
    </row>
    <row r="200" spans="1:22">
      <c r="A200" s="105">
        <v>1582</v>
      </c>
      <c r="B200" s="41">
        <v>120000000</v>
      </c>
      <c r="C200" s="41">
        <v>1.2999999999999999E-3</v>
      </c>
      <c r="D200" s="41">
        <v>11.313700000000001</v>
      </c>
      <c r="E200" s="41">
        <v>30</v>
      </c>
      <c r="F200" s="41">
        <v>0</v>
      </c>
      <c r="G200" s="41" t="s">
        <v>103</v>
      </c>
      <c r="H200" s="41">
        <v>2</v>
      </c>
      <c r="I200" s="41">
        <v>1</v>
      </c>
      <c r="J200" s="108">
        <v>0</v>
      </c>
      <c r="K200" s="41">
        <v>0</v>
      </c>
      <c r="L200" s="41">
        <v>55</v>
      </c>
      <c r="M200" s="41">
        <v>-1</v>
      </c>
      <c r="N200" s="41">
        <v>4</v>
      </c>
      <c r="O200" s="110" t="s">
        <v>2286</v>
      </c>
      <c r="P200" s="109">
        <v>193587</v>
      </c>
      <c r="Q200" s="107"/>
      <c r="R200" s="111"/>
      <c r="S200" s="110"/>
      <c r="T200"/>
      <c r="U200"/>
      <c r="V200"/>
    </row>
    <row r="201" spans="1:22">
      <c r="A201" s="105">
        <v>1583</v>
      </c>
      <c r="B201" s="41">
        <v>120000000</v>
      </c>
      <c r="C201" s="41">
        <v>1.2999999999999999E-3</v>
      </c>
      <c r="D201" s="41">
        <v>16</v>
      </c>
      <c r="E201" s="41">
        <v>30</v>
      </c>
      <c r="F201" s="41">
        <v>0</v>
      </c>
      <c r="G201" s="41" t="s">
        <v>103</v>
      </c>
      <c r="H201" s="41">
        <v>2</v>
      </c>
      <c r="I201" s="41">
        <v>1</v>
      </c>
      <c r="J201" s="108">
        <v>0</v>
      </c>
      <c r="K201" s="41">
        <v>0</v>
      </c>
      <c r="L201" s="41">
        <v>55</v>
      </c>
      <c r="M201" s="41">
        <v>-1</v>
      </c>
      <c r="N201" s="41">
        <v>4</v>
      </c>
      <c r="O201" s="110" t="s">
        <v>2287</v>
      </c>
      <c r="P201" s="109">
        <v>193587</v>
      </c>
      <c r="Q201" s="107"/>
      <c r="R201" s="111"/>
      <c r="S201" s="110"/>
      <c r="T201"/>
      <c r="U201"/>
      <c r="V201"/>
    </row>
    <row r="202" spans="1:22">
      <c r="A202" s="105">
        <v>1584</v>
      </c>
      <c r="B202" s="41">
        <v>120000000</v>
      </c>
      <c r="C202" s="41">
        <v>1.5E-3</v>
      </c>
      <c r="D202" s="41">
        <v>0.70709999999999995</v>
      </c>
      <c r="E202" s="41">
        <v>30</v>
      </c>
      <c r="F202" s="41">
        <v>0</v>
      </c>
      <c r="G202" s="41" t="s">
        <v>103</v>
      </c>
      <c r="H202" s="41">
        <v>2</v>
      </c>
      <c r="I202" s="41">
        <v>1</v>
      </c>
      <c r="J202" s="108">
        <v>0</v>
      </c>
      <c r="K202" s="41">
        <v>0</v>
      </c>
      <c r="L202" s="41">
        <v>55</v>
      </c>
      <c r="M202" s="41">
        <v>-1</v>
      </c>
      <c r="N202" s="41">
        <v>4</v>
      </c>
      <c r="O202" s="110" t="s">
        <v>2288</v>
      </c>
      <c r="P202" s="109">
        <v>193587</v>
      </c>
      <c r="Q202" s="107"/>
      <c r="R202" s="111"/>
      <c r="S202" s="110"/>
      <c r="T202"/>
      <c r="U202"/>
      <c r="V202"/>
    </row>
    <row r="203" spans="1:22">
      <c r="A203" s="105">
        <v>1585</v>
      </c>
      <c r="B203" s="41">
        <v>120000000</v>
      </c>
      <c r="C203" s="41">
        <v>1.5E-3</v>
      </c>
      <c r="D203" s="41">
        <v>1</v>
      </c>
      <c r="E203" s="41">
        <v>30</v>
      </c>
      <c r="F203" s="41">
        <v>0</v>
      </c>
      <c r="G203" s="41" t="s">
        <v>103</v>
      </c>
      <c r="H203" s="41">
        <v>2</v>
      </c>
      <c r="I203" s="41">
        <v>1</v>
      </c>
      <c r="J203" s="108">
        <v>0</v>
      </c>
      <c r="K203" s="41">
        <v>0</v>
      </c>
      <c r="L203" s="41">
        <v>55</v>
      </c>
      <c r="M203" s="41">
        <v>-1</v>
      </c>
      <c r="N203" s="41">
        <v>4</v>
      </c>
      <c r="O203" s="110" t="s">
        <v>2289</v>
      </c>
      <c r="P203" s="109">
        <v>193587</v>
      </c>
      <c r="Q203" s="107"/>
      <c r="R203" s="111"/>
      <c r="S203" s="110"/>
      <c r="T203"/>
      <c r="U203"/>
      <c r="V203"/>
    </row>
    <row r="204" spans="1:22">
      <c r="A204" s="105">
        <v>1586</v>
      </c>
      <c r="B204" s="41">
        <v>120000000</v>
      </c>
      <c r="C204" s="41">
        <v>1.5E-3</v>
      </c>
      <c r="D204" s="41">
        <v>1.4141999999999999</v>
      </c>
      <c r="E204" s="41">
        <v>30</v>
      </c>
      <c r="F204" s="41">
        <v>0</v>
      </c>
      <c r="G204" s="41" t="s">
        <v>103</v>
      </c>
      <c r="H204" s="41">
        <v>2</v>
      </c>
      <c r="I204" s="41">
        <v>1</v>
      </c>
      <c r="J204" s="108">
        <v>0</v>
      </c>
      <c r="K204" s="41">
        <v>0</v>
      </c>
      <c r="L204" s="41">
        <v>55</v>
      </c>
      <c r="M204" s="41">
        <v>-1</v>
      </c>
      <c r="N204" s="41">
        <v>4</v>
      </c>
      <c r="O204" s="110" t="s">
        <v>2290</v>
      </c>
      <c r="P204" s="109">
        <v>193587</v>
      </c>
      <c r="Q204" s="107"/>
      <c r="R204" s="111"/>
      <c r="S204" s="110"/>
      <c r="T204"/>
      <c r="U204"/>
      <c r="V204"/>
    </row>
    <row r="205" spans="1:22">
      <c r="A205" s="105">
        <v>1587</v>
      </c>
      <c r="B205" s="41">
        <v>120000000</v>
      </c>
      <c r="C205" s="41">
        <v>1.5E-3</v>
      </c>
      <c r="D205" s="41">
        <v>2</v>
      </c>
      <c r="E205" s="41">
        <v>30</v>
      </c>
      <c r="F205" s="41">
        <v>0</v>
      </c>
      <c r="G205" s="41" t="s">
        <v>103</v>
      </c>
      <c r="H205" s="41">
        <v>2</v>
      </c>
      <c r="I205" s="41">
        <v>1</v>
      </c>
      <c r="J205" s="108">
        <v>0</v>
      </c>
      <c r="K205" s="41">
        <v>0</v>
      </c>
      <c r="L205" s="41">
        <v>55</v>
      </c>
      <c r="M205" s="41">
        <v>-1</v>
      </c>
      <c r="N205" s="41">
        <v>4</v>
      </c>
      <c r="O205" s="110" t="s">
        <v>2291</v>
      </c>
      <c r="P205" s="109">
        <v>193587</v>
      </c>
      <c r="Q205" s="107"/>
      <c r="R205" s="111"/>
      <c r="S205" s="110"/>
      <c r="T205"/>
      <c r="U205"/>
      <c r="V205"/>
    </row>
    <row r="206" spans="1:22">
      <c r="A206" s="105">
        <v>1588</v>
      </c>
      <c r="B206" s="41">
        <v>120000000</v>
      </c>
      <c r="C206" s="41">
        <v>1.5E-3</v>
      </c>
      <c r="D206" s="41">
        <v>2.8283999999999998</v>
      </c>
      <c r="E206" s="41">
        <v>30</v>
      </c>
      <c r="F206" s="41">
        <v>0</v>
      </c>
      <c r="G206" s="41" t="s">
        <v>103</v>
      </c>
      <c r="H206" s="41">
        <v>2</v>
      </c>
      <c r="I206" s="41">
        <v>1</v>
      </c>
      <c r="J206" s="108">
        <v>0</v>
      </c>
      <c r="K206" s="41">
        <v>0</v>
      </c>
      <c r="L206" s="41">
        <v>55</v>
      </c>
      <c r="M206" s="41">
        <v>-1</v>
      </c>
      <c r="N206" s="41">
        <v>4</v>
      </c>
      <c r="O206" s="110" t="s">
        <v>2292</v>
      </c>
      <c r="P206" s="109">
        <v>193587</v>
      </c>
      <c r="Q206" s="107"/>
      <c r="R206" s="111"/>
      <c r="S206" s="110"/>
      <c r="T206"/>
      <c r="U206"/>
      <c r="V206"/>
    </row>
    <row r="207" spans="1:22">
      <c r="A207" s="105">
        <v>1589</v>
      </c>
      <c r="B207" s="41">
        <v>120000000</v>
      </c>
      <c r="C207" s="41">
        <v>1.5E-3</v>
      </c>
      <c r="D207" s="41">
        <v>4</v>
      </c>
      <c r="E207" s="41">
        <v>30</v>
      </c>
      <c r="F207" s="41">
        <v>0</v>
      </c>
      <c r="G207" s="41" t="s">
        <v>103</v>
      </c>
      <c r="H207" s="41">
        <v>2</v>
      </c>
      <c r="I207" s="41">
        <v>1</v>
      </c>
      <c r="J207" s="108">
        <v>0</v>
      </c>
      <c r="K207" s="41">
        <v>0</v>
      </c>
      <c r="L207" s="41">
        <v>55</v>
      </c>
      <c r="M207" s="41">
        <v>-1</v>
      </c>
      <c r="N207" s="41">
        <v>4</v>
      </c>
      <c r="O207" s="110" t="s">
        <v>2293</v>
      </c>
      <c r="P207" s="109">
        <v>193587</v>
      </c>
      <c r="Q207" s="107"/>
      <c r="R207" s="111"/>
      <c r="S207" s="110"/>
      <c r="T207"/>
      <c r="U207"/>
      <c r="V207"/>
    </row>
    <row r="208" spans="1:22">
      <c r="A208" s="105">
        <v>1590</v>
      </c>
      <c r="B208" s="41">
        <v>120000000</v>
      </c>
      <c r="C208" s="41">
        <v>1.5E-3</v>
      </c>
      <c r="D208" s="41">
        <v>5.6569000000000003</v>
      </c>
      <c r="E208" s="41">
        <v>30</v>
      </c>
      <c r="F208" s="41">
        <v>0</v>
      </c>
      <c r="G208" s="41" t="s">
        <v>103</v>
      </c>
      <c r="H208" s="41">
        <v>2</v>
      </c>
      <c r="I208" s="41">
        <v>1</v>
      </c>
      <c r="J208" s="108">
        <v>0</v>
      </c>
      <c r="K208" s="41">
        <v>0</v>
      </c>
      <c r="L208" s="41">
        <v>55</v>
      </c>
      <c r="M208" s="41">
        <v>-1</v>
      </c>
      <c r="N208" s="41">
        <v>4</v>
      </c>
      <c r="O208" s="110" t="s">
        <v>2294</v>
      </c>
      <c r="P208" s="109">
        <v>193587</v>
      </c>
      <c r="Q208" s="107"/>
      <c r="R208" s="111"/>
      <c r="S208" s="110"/>
      <c r="T208"/>
      <c r="U208"/>
      <c r="V208"/>
    </row>
    <row r="209" spans="1:22">
      <c r="A209" s="105">
        <v>1591</v>
      </c>
      <c r="B209" s="41">
        <v>120000000</v>
      </c>
      <c r="C209" s="41">
        <v>1.5E-3</v>
      </c>
      <c r="D209" s="41">
        <v>8</v>
      </c>
      <c r="E209" s="41">
        <v>30</v>
      </c>
      <c r="F209" s="41">
        <v>0</v>
      </c>
      <c r="G209" s="41" t="s">
        <v>103</v>
      </c>
      <c r="H209" s="41">
        <v>2</v>
      </c>
      <c r="I209" s="41">
        <v>1</v>
      </c>
      <c r="J209" s="108">
        <v>0</v>
      </c>
      <c r="K209" s="41">
        <v>0</v>
      </c>
      <c r="L209" s="41">
        <v>55</v>
      </c>
      <c r="M209" s="41">
        <v>-1</v>
      </c>
      <c r="N209" s="41">
        <v>4</v>
      </c>
      <c r="O209" s="110" t="s">
        <v>2295</v>
      </c>
      <c r="P209" s="109">
        <v>193587</v>
      </c>
      <c r="Q209" s="107"/>
      <c r="R209" s="111"/>
      <c r="S209" s="110"/>
      <c r="T209"/>
      <c r="U209"/>
      <c r="V209"/>
    </row>
    <row r="210" spans="1:22">
      <c r="A210" s="105">
        <v>1592</v>
      </c>
      <c r="B210" s="41">
        <v>120000000</v>
      </c>
      <c r="C210" s="41">
        <v>1.5E-3</v>
      </c>
      <c r="D210" s="41">
        <v>11.313700000000001</v>
      </c>
      <c r="E210" s="41">
        <v>30</v>
      </c>
      <c r="F210" s="41">
        <v>0</v>
      </c>
      <c r="G210" s="41" t="s">
        <v>103</v>
      </c>
      <c r="H210" s="41">
        <v>2</v>
      </c>
      <c r="I210" s="41">
        <v>1</v>
      </c>
      <c r="J210" s="108">
        <v>0</v>
      </c>
      <c r="K210" s="41">
        <v>0</v>
      </c>
      <c r="L210" s="41">
        <v>55</v>
      </c>
      <c r="M210" s="41">
        <v>-1</v>
      </c>
      <c r="N210" s="41">
        <v>4</v>
      </c>
      <c r="O210" s="110" t="s">
        <v>2296</v>
      </c>
      <c r="P210" s="109">
        <v>193587</v>
      </c>
      <c r="Q210" s="107"/>
      <c r="R210" s="111"/>
      <c r="S210" s="110"/>
      <c r="T210"/>
      <c r="U210"/>
      <c r="V210"/>
    </row>
    <row r="211" spans="1:22">
      <c r="A211" s="105">
        <v>1593</v>
      </c>
      <c r="B211" s="41">
        <v>120000000</v>
      </c>
      <c r="C211" s="41">
        <v>1.5E-3</v>
      </c>
      <c r="D211" s="41">
        <v>16</v>
      </c>
      <c r="E211" s="41">
        <v>30</v>
      </c>
      <c r="F211" s="41">
        <v>0</v>
      </c>
      <c r="G211" s="41" t="s">
        <v>103</v>
      </c>
      <c r="H211" s="41">
        <v>2</v>
      </c>
      <c r="I211" s="41">
        <v>1</v>
      </c>
      <c r="J211" s="108">
        <v>0</v>
      </c>
      <c r="K211" s="41">
        <v>0</v>
      </c>
      <c r="L211" s="41">
        <v>55</v>
      </c>
      <c r="M211" s="41">
        <v>-1</v>
      </c>
      <c r="N211" s="41">
        <v>4</v>
      </c>
      <c r="O211" s="110" t="s">
        <v>2297</v>
      </c>
      <c r="P211" s="109">
        <v>193587</v>
      </c>
      <c r="Q211" s="107"/>
      <c r="R211" s="111"/>
      <c r="S211" s="110"/>
      <c r="T211"/>
      <c r="U211"/>
      <c r="V211"/>
    </row>
    <row r="212" spans="1:22">
      <c r="A212" s="105">
        <v>1594</v>
      </c>
      <c r="B212" s="41">
        <v>120000000</v>
      </c>
      <c r="C212" s="41">
        <v>1.6000000000000001E-3</v>
      </c>
      <c r="D212" s="41">
        <v>1</v>
      </c>
      <c r="E212" s="41">
        <v>30</v>
      </c>
      <c r="F212" s="41">
        <v>0</v>
      </c>
      <c r="G212" s="41" t="s">
        <v>103</v>
      </c>
      <c r="H212" s="41">
        <v>2</v>
      </c>
      <c r="I212" s="41">
        <v>1</v>
      </c>
      <c r="J212" s="108">
        <v>0</v>
      </c>
      <c r="K212" s="41">
        <v>0</v>
      </c>
      <c r="L212" s="41">
        <v>55</v>
      </c>
      <c r="M212" s="41">
        <v>-1</v>
      </c>
      <c r="N212" s="41">
        <v>4</v>
      </c>
      <c r="O212" s="110" t="s">
        <v>2298</v>
      </c>
      <c r="P212" s="109">
        <v>193587</v>
      </c>
      <c r="Q212" s="107"/>
      <c r="R212" s="111"/>
      <c r="S212" s="110"/>
      <c r="T212"/>
      <c r="U212"/>
      <c r="V212"/>
    </row>
    <row r="213" spans="1:22">
      <c r="A213" s="105">
        <v>1595</v>
      </c>
      <c r="B213" s="41">
        <v>120000000</v>
      </c>
      <c r="C213" s="41">
        <v>1.6000000000000001E-3</v>
      </c>
      <c r="D213" s="41">
        <v>1.4141999999999999</v>
      </c>
      <c r="E213" s="41">
        <v>30</v>
      </c>
      <c r="F213" s="41">
        <v>0</v>
      </c>
      <c r="G213" s="41" t="s">
        <v>103</v>
      </c>
      <c r="H213" s="41">
        <v>2</v>
      </c>
      <c r="I213" s="41">
        <v>1</v>
      </c>
      <c r="J213" s="108">
        <v>0</v>
      </c>
      <c r="K213" s="41">
        <v>0</v>
      </c>
      <c r="L213" s="41">
        <v>55</v>
      </c>
      <c r="M213" s="41">
        <v>-1</v>
      </c>
      <c r="N213" s="41">
        <v>4</v>
      </c>
      <c r="O213" s="110" t="s">
        <v>2299</v>
      </c>
      <c r="P213" s="109">
        <v>193587</v>
      </c>
      <c r="Q213" s="107"/>
      <c r="R213" s="111"/>
      <c r="S213" s="110"/>
      <c r="T213"/>
      <c r="U213"/>
      <c r="V213"/>
    </row>
    <row r="214" spans="1:22">
      <c r="A214" s="105">
        <v>1596</v>
      </c>
      <c r="B214" s="41">
        <v>120000000</v>
      </c>
      <c r="C214" s="41">
        <v>1.6000000000000001E-3</v>
      </c>
      <c r="D214" s="41">
        <v>2</v>
      </c>
      <c r="E214" s="41">
        <v>30</v>
      </c>
      <c r="F214" s="41">
        <v>0</v>
      </c>
      <c r="G214" s="41" t="s">
        <v>103</v>
      </c>
      <c r="H214" s="41">
        <v>2</v>
      </c>
      <c r="I214" s="41">
        <v>1</v>
      </c>
      <c r="J214" s="108">
        <v>0</v>
      </c>
      <c r="K214" s="41">
        <v>0</v>
      </c>
      <c r="L214" s="41">
        <v>55</v>
      </c>
      <c r="M214" s="41">
        <v>-1</v>
      </c>
      <c r="N214" s="41">
        <v>4</v>
      </c>
      <c r="O214" s="110" t="s">
        <v>2300</v>
      </c>
      <c r="P214" s="109">
        <v>193587</v>
      </c>
      <c r="Q214" s="107"/>
      <c r="R214" s="111"/>
      <c r="S214" s="110"/>
      <c r="T214"/>
      <c r="U214"/>
      <c r="V214"/>
    </row>
    <row r="215" spans="1:22">
      <c r="A215" s="105">
        <v>1597</v>
      </c>
      <c r="B215" s="41">
        <v>120000000</v>
      </c>
      <c r="C215" s="41">
        <v>1.6000000000000001E-3</v>
      </c>
      <c r="D215" s="41">
        <v>2.8283999999999998</v>
      </c>
      <c r="E215" s="41">
        <v>30</v>
      </c>
      <c r="F215" s="41">
        <v>0</v>
      </c>
      <c r="G215" s="41" t="s">
        <v>103</v>
      </c>
      <c r="H215" s="41">
        <v>2</v>
      </c>
      <c r="I215" s="41">
        <v>1</v>
      </c>
      <c r="J215" s="108">
        <v>0</v>
      </c>
      <c r="K215" s="41">
        <v>0</v>
      </c>
      <c r="L215" s="41">
        <v>55</v>
      </c>
      <c r="M215" s="41">
        <v>-1</v>
      </c>
      <c r="N215" s="41">
        <v>4</v>
      </c>
      <c r="O215" s="110" t="s">
        <v>2301</v>
      </c>
      <c r="P215" s="109">
        <v>193587</v>
      </c>
      <c r="Q215" s="107"/>
      <c r="R215" s="111"/>
      <c r="S215" s="110"/>
      <c r="T215"/>
      <c r="U215"/>
      <c r="V215"/>
    </row>
    <row r="216" spans="1:22">
      <c r="A216" s="105">
        <v>1598</v>
      </c>
      <c r="B216" s="41">
        <v>120000000</v>
      </c>
      <c r="C216" s="41">
        <v>1.6000000000000001E-3</v>
      </c>
      <c r="D216" s="41">
        <v>4</v>
      </c>
      <c r="E216" s="41">
        <v>30</v>
      </c>
      <c r="F216" s="41">
        <v>0</v>
      </c>
      <c r="G216" s="41" t="s">
        <v>103</v>
      </c>
      <c r="H216" s="41">
        <v>2</v>
      </c>
      <c r="I216" s="41">
        <v>1</v>
      </c>
      <c r="J216" s="108">
        <v>0</v>
      </c>
      <c r="K216" s="41">
        <v>0</v>
      </c>
      <c r="L216" s="41">
        <v>55</v>
      </c>
      <c r="M216" s="41">
        <v>-1</v>
      </c>
      <c r="N216" s="41">
        <v>4</v>
      </c>
      <c r="O216" s="110" t="s">
        <v>2302</v>
      </c>
      <c r="P216" s="109">
        <v>193587</v>
      </c>
      <c r="Q216" s="107"/>
      <c r="R216" s="111"/>
      <c r="S216" s="110"/>
      <c r="T216"/>
      <c r="U216"/>
      <c r="V216"/>
    </row>
    <row r="217" spans="1:22">
      <c r="A217" s="105">
        <v>1599</v>
      </c>
      <c r="B217" s="41">
        <v>120000000</v>
      </c>
      <c r="C217" s="41">
        <v>1.6000000000000001E-3</v>
      </c>
      <c r="D217" s="41">
        <v>5.6569000000000003</v>
      </c>
      <c r="E217" s="41">
        <v>30</v>
      </c>
      <c r="F217" s="41">
        <v>0</v>
      </c>
      <c r="G217" s="41" t="s">
        <v>103</v>
      </c>
      <c r="H217" s="41">
        <v>2</v>
      </c>
      <c r="I217" s="41">
        <v>1</v>
      </c>
      <c r="J217" s="108">
        <v>0</v>
      </c>
      <c r="K217" s="41">
        <v>0</v>
      </c>
      <c r="L217" s="41">
        <v>55</v>
      </c>
      <c r="M217" s="41">
        <v>-1</v>
      </c>
      <c r="N217" s="41">
        <v>4</v>
      </c>
      <c r="O217" s="110" t="s">
        <v>2303</v>
      </c>
      <c r="P217" s="109">
        <v>193587</v>
      </c>
      <c r="Q217" s="107"/>
      <c r="R217" s="111"/>
      <c r="S217" s="110"/>
      <c r="T217"/>
      <c r="U217"/>
      <c r="V217"/>
    </row>
    <row r="218" spans="1:22">
      <c r="A218" s="105">
        <v>1600</v>
      </c>
      <c r="B218" s="41">
        <v>120000000</v>
      </c>
      <c r="C218" s="41">
        <v>1.6000000000000001E-3</v>
      </c>
      <c r="D218" s="41">
        <v>8</v>
      </c>
      <c r="E218" s="41">
        <v>30</v>
      </c>
      <c r="F218" s="41">
        <v>0</v>
      </c>
      <c r="G218" s="41" t="s">
        <v>103</v>
      </c>
      <c r="H218" s="41">
        <v>2</v>
      </c>
      <c r="I218" s="41">
        <v>1</v>
      </c>
      <c r="J218" s="108">
        <v>0</v>
      </c>
      <c r="K218" s="41">
        <v>0</v>
      </c>
      <c r="L218" s="41">
        <v>55</v>
      </c>
      <c r="M218" s="41">
        <v>-1</v>
      </c>
      <c r="N218" s="41">
        <v>4</v>
      </c>
      <c r="O218" s="110" t="s">
        <v>2304</v>
      </c>
      <c r="P218" s="109">
        <v>193587</v>
      </c>
      <c r="Q218" s="107"/>
      <c r="R218" s="111"/>
      <c r="S218" s="110"/>
      <c r="T218"/>
      <c r="U218"/>
      <c r="V218"/>
    </row>
    <row r="219" spans="1:22">
      <c r="A219" s="105">
        <v>1601</v>
      </c>
      <c r="B219" s="41">
        <v>120000000</v>
      </c>
      <c r="C219" s="41">
        <v>1.6000000000000001E-3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2</v>
      </c>
      <c r="I219" s="41">
        <v>1</v>
      </c>
      <c r="J219" s="108">
        <v>0</v>
      </c>
      <c r="K219" s="41">
        <v>0</v>
      </c>
      <c r="L219" s="41">
        <v>55</v>
      </c>
      <c r="M219" s="41">
        <v>-1</v>
      </c>
      <c r="N219" s="41">
        <v>4</v>
      </c>
      <c r="O219" s="110" t="s">
        <v>2305</v>
      </c>
      <c r="P219" s="109">
        <v>193587</v>
      </c>
      <c r="Q219" s="107"/>
      <c r="R219" s="111"/>
      <c r="S219" s="110"/>
      <c r="T219"/>
      <c r="U219"/>
      <c r="V219"/>
    </row>
    <row r="220" spans="1:22">
      <c r="A220" s="105">
        <v>1602</v>
      </c>
      <c r="B220" s="41">
        <v>120000000</v>
      </c>
      <c r="C220" s="41">
        <v>1.6000000000000001E-3</v>
      </c>
      <c r="D220" s="41">
        <v>16</v>
      </c>
      <c r="E220" s="41">
        <v>30</v>
      </c>
      <c r="F220" s="41">
        <v>0</v>
      </c>
      <c r="G220" s="41" t="s">
        <v>103</v>
      </c>
      <c r="H220" s="41">
        <v>2</v>
      </c>
      <c r="I220" s="41">
        <v>1</v>
      </c>
      <c r="J220" s="108">
        <v>0</v>
      </c>
      <c r="K220" s="41">
        <v>0</v>
      </c>
      <c r="L220" s="41">
        <v>55</v>
      </c>
      <c r="M220" s="41">
        <v>-1</v>
      </c>
      <c r="N220" s="41">
        <v>4</v>
      </c>
      <c r="O220" s="110" t="s">
        <v>2306</v>
      </c>
      <c r="P220" s="109">
        <v>193587</v>
      </c>
      <c r="Q220" s="107"/>
      <c r="R220" s="111"/>
      <c r="S220" s="110"/>
      <c r="T220"/>
      <c r="U220"/>
      <c r="V220"/>
    </row>
    <row r="221" spans="1:22">
      <c r="A221" s="105">
        <v>1603</v>
      </c>
      <c r="B221" s="41">
        <v>120000000</v>
      </c>
      <c r="C221" s="41">
        <v>1.6000000000000001E-3</v>
      </c>
      <c r="D221" s="41">
        <v>22.627400000000002</v>
      </c>
      <c r="E221" s="41">
        <v>30</v>
      </c>
      <c r="F221" s="41">
        <v>0</v>
      </c>
      <c r="G221" s="41" t="s">
        <v>103</v>
      </c>
      <c r="H221" s="41">
        <v>2</v>
      </c>
      <c r="I221" s="41">
        <v>1</v>
      </c>
      <c r="J221" s="108">
        <v>0</v>
      </c>
      <c r="K221" s="41">
        <v>0</v>
      </c>
      <c r="L221" s="41">
        <v>55</v>
      </c>
      <c r="M221" s="41">
        <v>-1</v>
      </c>
      <c r="N221" s="41">
        <v>4</v>
      </c>
      <c r="O221" s="110" t="s">
        <v>2307</v>
      </c>
      <c r="P221" s="109">
        <v>193587</v>
      </c>
      <c r="Q221" s="107"/>
      <c r="R221" s="111"/>
      <c r="S221" s="110"/>
      <c r="T221"/>
      <c r="U221"/>
      <c r="V221"/>
    </row>
    <row r="222" spans="1:22">
      <c r="A222" s="105">
        <v>1604</v>
      </c>
      <c r="B222" s="41">
        <v>120000000</v>
      </c>
      <c r="C222" s="41">
        <v>1.6999999999999999E-3</v>
      </c>
      <c r="D222" s="41">
        <v>1</v>
      </c>
      <c r="E222" s="41">
        <v>30</v>
      </c>
      <c r="F222" s="41">
        <v>0</v>
      </c>
      <c r="G222" s="41" t="s">
        <v>103</v>
      </c>
      <c r="H222" s="41">
        <v>2</v>
      </c>
      <c r="I222" s="41">
        <v>1</v>
      </c>
      <c r="J222" s="108">
        <v>0</v>
      </c>
      <c r="K222" s="41">
        <v>0</v>
      </c>
      <c r="L222" s="41">
        <v>55</v>
      </c>
      <c r="M222" s="41">
        <v>-1</v>
      </c>
      <c r="N222" s="41">
        <v>4</v>
      </c>
      <c r="O222" s="110" t="s">
        <v>2308</v>
      </c>
      <c r="P222" s="109">
        <v>193587</v>
      </c>
      <c r="Q222" s="107"/>
      <c r="R222" s="111"/>
      <c r="S222" s="110"/>
      <c r="T222"/>
      <c r="U222"/>
      <c r="V222"/>
    </row>
    <row r="223" spans="1:22">
      <c r="A223" s="105">
        <v>1605</v>
      </c>
      <c r="B223" s="41">
        <v>120000000</v>
      </c>
      <c r="C223" s="41">
        <v>1.6999999999999999E-3</v>
      </c>
      <c r="D223" s="41">
        <v>1.4141999999999999</v>
      </c>
      <c r="E223" s="41">
        <v>30</v>
      </c>
      <c r="F223" s="41">
        <v>0</v>
      </c>
      <c r="G223" s="41" t="s">
        <v>103</v>
      </c>
      <c r="H223" s="41">
        <v>2</v>
      </c>
      <c r="I223" s="41">
        <v>1</v>
      </c>
      <c r="J223" s="108">
        <v>0</v>
      </c>
      <c r="K223" s="41">
        <v>0</v>
      </c>
      <c r="L223" s="41">
        <v>55</v>
      </c>
      <c r="M223" s="41">
        <v>-1</v>
      </c>
      <c r="N223" s="41">
        <v>4</v>
      </c>
      <c r="O223" s="110" t="s">
        <v>2309</v>
      </c>
      <c r="P223" s="109">
        <v>193587</v>
      </c>
      <c r="Q223" s="107"/>
      <c r="R223" s="111"/>
      <c r="S223" s="110"/>
      <c r="T223"/>
      <c r="U223"/>
      <c r="V223"/>
    </row>
    <row r="224" spans="1:22">
      <c r="A224" s="105">
        <v>1606</v>
      </c>
      <c r="B224" s="41">
        <v>120000000</v>
      </c>
      <c r="C224" s="41">
        <v>1.6999999999999999E-3</v>
      </c>
      <c r="D224" s="41">
        <v>2</v>
      </c>
      <c r="E224" s="41">
        <v>30</v>
      </c>
      <c r="F224" s="41">
        <v>0</v>
      </c>
      <c r="G224" s="41" t="s">
        <v>103</v>
      </c>
      <c r="H224" s="41">
        <v>2</v>
      </c>
      <c r="I224" s="41">
        <v>1</v>
      </c>
      <c r="J224" s="108">
        <v>0</v>
      </c>
      <c r="K224" s="41">
        <v>0</v>
      </c>
      <c r="L224" s="41">
        <v>55</v>
      </c>
      <c r="M224" s="41">
        <v>-1</v>
      </c>
      <c r="N224" s="41">
        <v>4</v>
      </c>
      <c r="O224" s="110" t="s">
        <v>2310</v>
      </c>
      <c r="P224" s="109">
        <v>193587</v>
      </c>
      <c r="Q224" s="107"/>
      <c r="R224" s="111"/>
      <c r="S224" s="110"/>
      <c r="T224"/>
      <c r="U224"/>
      <c r="V224"/>
    </row>
    <row r="225" spans="1:22">
      <c r="A225" s="105">
        <v>1607</v>
      </c>
      <c r="B225" s="41">
        <v>120000000</v>
      </c>
      <c r="C225" s="41">
        <v>1.6999999999999999E-3</v>
      </c>
      <c r="D225" s="41">
        <v>2.8283999999999998</v>
      </c>
      <c r="E225" s="41">
        <v>30</v>
      </c>
      <c r="F225" s="41">
        <v>0</v>
      </c>
      <c r="G225" s="41" t="s">
        <v>103</v>
      </c>
      <c r="H225" s="41">
        <v>2</v>
      </c>
      <c r="I225" s="41">
        <v>1</v>
      </c>
      <c r="J225" s="108">
        <v>0</v>
      </c>
      <c r="K225" s="41">
        <v>0</v>
      </c>
      <c r="L225" s="41">
        <v>55</v>
      </c>
      <c r="M225" s="41">
        <v>-1</v>
      </c>
      <c r="N225" s="41">
        <v>4</v>
      </c>
      <c r="O225" s="110" t="s">
        <v>2311</v>
      </c>
      <c r="P225" s="109">
        <v>193587</v>
      </c>
      <c r="Q225" s="107"/>
      <c r="R225" s="111"/>
      <c r="S225" s="110"/>
      <c r="T225"/>
      <c r="U225"/>
      <c r="V225"/>
    </row>
    <row r="226" spans="1:22">
      <c r="A226" s="105">
        <v>1608</v>
      </c>
      <c r="B226" s="41">
        <v>120000000</v>
      </c>
      <c r="C226" s="41">
        <v>1.6999999999999999E-3</v>
      </c>
      <c r="D226" s="41">
        <v>4</v>
      </c>
      <c r="E226" s="41">
        <v>30</v>
      </c>
      <c r="F226" s="41">
        <v>0</v>
      </c>
      <c r="G226" s="41" t="s">
        <v>103</v>
      </c>
      <c r="H226" s="41">
        <v>2</v>
      </c>
      <c r="I226" s="41">
        <v>1</v>
      </c>
      <c r="J226" s="108">
        <v>0</v>
      </c>
      <c r="K226" s="41">
        <v>0</v>
      </c>
      <c r="L226" s="41">
        <v>55</v>
      </c>
      <c r="M226" s="41">
        <v>-1</v>
      </c>
      <c r="N226" s="41">
        <v>4</v>
      </c>
      <c r="O226" s="110" t="s">
        <v>2312</v>
      </c>
      <c r="P226" s="109">
        <v>193587</v>
      </c>
      <c r="Q226" s="107"/>
      <c r="R226" s="111"/>
      <c r="S226" s="110"/>
      <c r="T226"/>
      <c r="U226"/>
      <c r="V226"/>
    </row>
    <row r="227" spans="1:22">
      <c r="A227" s="105">
        <v>1609</v>
      </c>
      <c r="B227" s="41">
        <v>120000000</v>
      </c>
      <c r="C227" s="41">
        <v>1.6999999999999999E-3</v>
      </c>
      <c r="D227" s="41">
        <v>5.6569000000000003</v>
      </c>
      <c r="E227" s="41">
        <v>30</v>
      </c>
      <c r="F227" s="41">
        <v>0</v>
      </c>
      <c r="G227" s="41" t="s">
        <v>103</v>
      </c>
      <c r="H227" s="41">
        <v>2</v>
      </c>
      <c r="I227" s="41">
        <v>1</v>
      </c>
      <c r="J227" s="108">
        <v>0</v>
      </c>
      <c r="K227" s="41">
        <v>0</v>
      </c>
      <c r="L227" s="41">
        <v>55</v>
      </c>
      <c r="M227" s="41">
        <v>-1</v>
      </c>
      <c r="N227" s="41">
        <v>4</v>
      </c>
      <c r="O227" s="110" t="s">
        <v>2313</v>
      </c>
      <c r="P227" s="109">
        <v>193587</v>
      </c>
      <c r="Q227" s="107"/>
      <c r="R227" s="111"/>
      <c r="S227" s="110"/>
      <c r="T227"/>
      <c r="U227"/>
      <c r="V227"/>
    </row>
    <row r="228" spans="1:22">
      <c r="A228" s="105">
        <v>1610</v>
      </c>
      <c r="B228" s="41">
        <v>120000000</v>
      </c>
      <c r="C228" s="41">
        <v>1.6999999999999999E-3</v>
      </c>
      <c r="D228" s="41">
        <v>8</v>
      </c>
      <c r="E228" s="41">
        <v>30</v>
      </c>
      <c r="F228" s="41">
        <v>0</v>
      </c>
      <c r="G228" s="41" t="s">
        <v>103</v>
      </c>
      <c r="H228" s="41">
        <v>2</v>
      </c>
      <c r="I228" s="41">
        <v>1</v>
      </c>
      <c r="J228" s="108">
        <v>0</v>
      </c>
      <c r="K228" s="41">
        <v>0</v>
      </c>
      <c r="L228" s="41">
        <v>55</v>
      </c>
      <c r="M228" s="41">
        <v>-1</v>
      </c>
      <c r="N228" s="41">
        <v>4</v>
      </c>
      <c r="O228" s="110" t="s">
        <v>2314</v>
      </c>
      <c r="P228" s="109">
        <v>193587</v>
      </c>
      <c r="Q228" s="107"/>
      <c r="R228" s="111"/>
      <c r="S228" s="110"/>
      <c r="T228"/>
      <c r="U228"/>
      <c r="V228"/>
    </row>
    <row r="229" spans="1:22">
      <c r="A229" s="105">
        <v>1611</v>
      </c>
      <c r="B229" s="41">
        <v>120000000</v>
      </c>
      <c r="C229" s="41">
        <v>1.6999999999999999E-3</v>
      </c>
      <c r="D229" s="41">
        <v>11.313700000000001</v>
      </c>
      <c r="E229" s="41">
        <v>30</v>
      </c>
      <c r="F229" s="41">
        <v>0</v>
      </c>
      <c r="G229" s="41" t="s">
        <v>103</v>
      </c>
      <c r="H229" s="41">
        <v>2</v>
      </c>
      <c r="I229" s="41">
        <v>1</v>
      </c>
      <c r="J229" s="108">
        <v>0</v>
      </c>
      <c r="K229" s="41">
        <v>0</v>
      </c>
      <c r="L229" s="41">
        <v>55</v>
      </c>
      <c r="M229" s="41">
        <v>-1</v>
      </c>
      <c r="N229" s="41">
        <v>4</v>
      </c>
      <c r="O229" s="110" t="s">
        <v>2315</v>
      </c>
      <c r="P229" s="109">
        <v>193587</v>
      </c>
      <c r="Q229" s="107"/>
      <c r="R229" s="111"/>
      <c r="S229" s="110"/>
      <c r="T229"/>
      <c r="U229"/>
      <c r="V229"/>
    </row>
    <row r="230" spans="1:22">
      <c r="A230" s="105">
        <v>1612</v>
      </c>
      <c r="B230" s="41">
        <v>120000000</v>
      </c>
      <c r="C230" s="41">
        <v>1.6999999999999999E-3</v>
      </c>
      <c r="D230" s="41">
        <v>16</v>
      </c>
      <c r="E230" s="41">
        <v>30</v>
      </c>
      <c r="F230" s="41">
        <v>0</v>
      </c>
      <c r="G230" s="41" t="s">
        <v>103</v>
      </c>
      <c r="H230" s="41">
        <v>2</v>
      </c>
      <c r="I230" s="41">
        <v>1</v>
      </c>
      <c r="J230" s="108">
        <v>0</v>
      </c>
      <c r="K230" s="41">
        <v>0</v>
      </c>
      <c r="L230" s="41">
        <v>55</v>
      </c>
      <c r="M230" s="41">
        <v>-1</v>
      </c>
      <c r="N230" s="41">
        <v>4</v>
      </c>
      <c r="O230" s="110" t="s">
        <v>2316</v>
      </c>
      <c r="P230" s="109">
        <v>193587</v>
      </c>
      <c r="Q230" s="107"/>
      <c r="R230" s="111"/>
      <c r="S230" s="110"/>
      <c r="T230"/>
      <c r="U230"/>
      <c r="V230"/>
    </row>
    <row r="231" spans="1:22">
      <c r="A231" s="105">
        <v>1613</v>
      </c>
      <c r="B231" s="41">
        <v>120000000</v>
      </c>
      <c r="C231" s="41">
        <v>1.6999999999999999E-3</v>
      </c>
      <c r="D231" s="41">
        <v>22.627400000000002</v>
      </c>
      <c r="E231" s="41">
        <v>30</v>
      </c>
      <c r="F231" s="41">
        <v>0</v>
      </c>
      <c r="G231" s="41" t="s">
        <v>103</v>
      </c>
      <c r="H231" s="41">
        <v>2</v>
      </c>
      <c r="I231" s="41">
        <v>1</v>
      </c>
      <c r="J231" s="108">
        <v>0</v>
      </c>
      <c r="K231" s="41">
        <v>0</v>
      </c>
      <c r="L231" s="41">
        <v>55</v>
      </c>
      <c r="M231" s="41">
        <v>-1</v>
      </c>
      <c r="N231" s="41">
        <v>4</v>
      </c>
      <c r="O231" s="110" t="s">
        <v>2317</v>
      </c>
      <c r="P231" s="109">
        <v>193587</v>
      </c>
      <c r="Q231" s="107"/>
      <c r="R231" s="111"/>
      <c r="S231" s="110"/>
      <c r="T231"/>
      <c r="U231"/>
      <c r="V231"/>
    </row>
    <row r="232" spans="1:22">
      <c r="A232" s="105">
        <v>1614</v>
      </c>
      <c r="B232" s="41">
        <v>120000000</v>
      </c>
      <c r="C232" s="41">
        <v>1.9E-3</v>
      </c>
      <c r="D232" s="41">
        <v>1.4141999999999999</v>
      </c>
      <c r="E232" s="41">
        <v>30</v>
      </c>
      <c r="F232" s="41">
        <v>0</v>
      </c>
      <c r="G232" s="41" t="s">
        <v>103</v>
      </c>
      <c r="H232" s="41">
        <v>2</v>
      </c>
      <c r="I232" s="41">
        <v>1</v>
      </c>
      <c r="J232" s="108">
        <v>0</v>
      </c>
      <c r="K232" s="41">
        <v>0</v>
      </c>
      <c r="L232" s="41">
        <v>55</v>
      </c>
      <c r="M232" s="41">
        <v>-1</v>
      </c>
      <c r="N232" s="41">
        <v>4</v>
      </c>
      <c r="O232" s="110" t="s">
        <v>2318</v>
      </c>
      <c r="P232" s="109">
        <v>193587</v>
      </c>
      <c r="Q232" s="107"/>
      <c r="R232" s="111"/>
      <c r="S232" s="110"/>
      <c r="T232"/>
      <c r="U232"/>
      <c r="V232"/>
    </row>
    <row r="233" spans="1:22">
      <c r="A233" s="105">
        <v>1615</v>
      </c>
      <c r="B233" s="41">
        <v>120000000</v>
      </c>
      <c r="C233" s="41">
        <v>1.9E-3</v>
      </c>
      <c r="D233" s="41">
        <v>2</v>
      </c>
      <c r="E233" s="41">
        <v>30</v>
      </c>
      <c r="F233" s="41">
        <v>0</v>
      </c>
      <c r="G233" s="41" t="s">
        <v>103</v>
      </c>
      <c r="H233" s="41">
        <v>2</v>
      </c>
      <c r="I233" s="41">
        <v>1</v>
      </c>
      <c r="J233" s="108">
        <v>0</v>
      </c>
      <c r="K233" s="41">
        <v>0</v>
      </c>
      <c r="L233" s="41">
        <v>55</v>
      </c>
      <c r="M233" s="41">
        <v>-1</v>
      </c>
      <c r="N233" s="41">
        <v>4</v>
      </c>
      <c r="O233" s="110" t="s">
        <v>2319</v>
      </c>
      <c r="P233" s="109">
        <v>193587</v>
      </c>
      <c r="Q233" s="107"/>
      <c r="R233" s="111"/>
      <c r="S233" s="110"/>
      <c r="T233"/>
      <c r="U233"/>
      <c r="V233"/>
    </row>
    <row r="234" spans="1:22">
      <c r="A234" s="105">
        <v>1616</v>
      </c>
      <c r="B234" s="41">
        <v>120000000</v>
      </c>
      <c r="C234" s="41">
        <v>1.9E-3</v>
      </c>
      <c r="D234" s="41">
        <v>2.8283999999999998</v>
      </c>
      <c r="E234" s="41">
        <v>30</v>
      </c>
      <c r="F234" s="41">
        <v>0</v>
      </c>
      <c r="G234" s="41" t="s">
        <v>103</v>
      </c>
      <c r="H234" s="41">
        <v>2</v>
      </c>
      <c r="I234" s="41">
        <v>1</v>
      </c>
      <c r="J234" s="108">
        <v>0</v>
      </c>
      <c r="K234" s="41">
        <v>0</v>
      </c>
      <c r="L234" s="41">
        <v>55</v>
      </c>
      <c r="M234" s="41">
        <v>-1</v>
      </c>
      <c r="N234" s="41">
        <v>4</v>
      </c>
      <c r="O234" s="110" t="s">
        <v>2320</v>
      </c>
      <c r="P234" s="109">
        <v>193587</v>
      </c>
      <c r="Q234" s="107"/>
      <c r="R234" s="111"/>
      <c r="S234" s="110"/>
      <c r="T234"/>
      <c r="U234"/>
      <c r="V234"/>
    </row>
    <row r="235" spans="1:22">
      <c r="A235" s="105">
        <v>1617</v>
      </c>
      <c r="B235" s="41">
        <v>120000000</v>
      </c>
      <c r="C235" s="41">
        <v>1.9E-3</v>
      </c>
      <c r="D235" s="41">
        <v>4</v>
      </c>
      <c r="E235" s="41">
        <v>30</v>
      </c>
      <c r="F235" s="41">
        <v>0</v>
      </c>
      <c r="G235" s="41" t="s">
        <v>103</v>
      </c>
      <c r="H235" s="41">
        <v>2</v>
      </c>
      <c r="I235" s="41">
        <v>1</v>
      </c>
      <c r="J235" s="108">
        <v>0</v>
      </c>
      <c r="K235" s="41">
        <v>0</v>
      </c>
      <c r="L235" s="41">
        <v>55</v>
      </c>
      <c r="M235" s="41">
        <v>-1</v>
      </c>
      <c r="N235" s="41">
        <v>4</v>
      </c>
      <c r="O235" s="110" t="s">
        <v>2321</v>
      </c>
      <c r="P235" s="109">
        <v>193587</v>
      </c>
      <c r="Q235" s="107"/>
      <c r="R235" s="111"/>
      <c r="S235" s="110"/>
      <c r="T235"/>
      <c r="U235"/>
      <c r="V235"/>
    </row>
    <row r="236" spans="1:22">
      <c r="A236" s="105">
        <v>1618</v>
      </c>
      <c r="B236" s="41">
        <v>120000000</v>
      </c>
      <c r="C236" s="41">
        <v>1.9E-3</v>
      </c>
      <c r="D236" s="41">
        <v>5.6569000000000003</v>
      </c>
      <c r="E236" s="41">
        <v>30</v>
      </c>
      <c r="F236" s="41">
        <v>0</v>
      </c>
      <c r="G236" s="41" t="s">
        <v>103</v>
      </c>
      <c r="H236" s="41">
        <v>2</v>
      </c>
      <c r="I236" s="41">
        <v>1</v>
      </c>
      <c r="J236" s="108">
        <v>0</v>
      </c>
      <c r="K236" s="41">
        <v>0</v>
      </c>
      <c r="L236" s="41">
        <v>55</v>
      </c>
      <c r="M236" s="41">
        <v>-1</v>
      </c>
      <c r="N236" s="41">
        <v>4</v>
      </c>
      <c r="O236" s="110" t="s">
        <v>2322</v>
      </c>
      <c r="P236" s="109">
        <v>193587</v>
      </c>
      <c r="Q236" s="107"/>
      <c r="R236" s="111"/>
      <c r="S236" s="110"/>
      <c r="T236"/>
      <c r="U236"/>
      <c r="V236"/>
    </row>
    <row r="237" spans="1:22">
      <c r="A237" s="105">
        <v>1619</v>
      </c>
      <c r="B237" s="41">
        <v>120000000</v>
      </c>
      <c r="C237" s="41">
        <v>1.9E-3</v>
      </c>
      <c r="D237" s="41">
        <v>8</v>
      </c>
      <c r="E237" s="41">
        <v>30</v>
      </c>
      <c r="F237" s="41">
        <v>0</v>
      </c>
      <c r="G237" s="41" t="s">
        <v>103</v>
      </c>
      <c r="H237" s="41">
        <v>2</v>
      </c>
      <c r="I237" s="41">
        <v>1</v>
      </c>
      <c r="J237" s="108">
        <v>0</v>
      </c>
      <c r="K237" s="41">
        <v>0</v>
      </c>
      <c r="L237" s="41">
        <v>55</v>
      </c>
      <c r="M237" s="41">
        <v>-1</v>
      </c>
      <c r="N237" s="41">
        <v>4</v>
      </c>
      <c r="O237" s="110" t="s">
        <v>2323</v>
      </c>
      <c r="P237" s="109">
        <v>193587</v>
      </c>
      <c r="Q237" s="107"/>
      <c r="R237" s="111"/>
      <c r="S237" s="110"/>
      <c r="T237"/>
      <c r="U237"/>
      <c r="V237"/>
    </row>
    <row r="238" spans="1:22">
      <c r="A238" s="105">
        <v>1620</v>
      </c>
      <c r="B238" s="41">
        <v>120000000</v>
      </c>
      <c r="C238" s="41">
        <v>1.9E-3</v>
      </c>
      <c r="D238" s="41">
        <v>11.313700000000001</v>
      </c>
      <c r="E238" s="41">
        <v>30</v>
      </c>
      <c r="F238" s="41">
        <v>0</v>
      </c>
      <c r="G238" s="41" t="s">
        <v>103</v>
      </c>
      <c r="H238" s="41">
        <v>2</v>
      </c>
      <c r="I238" s="41">
        <v>1</v>
      </c>
      <c r="J238" s="108">
        <v>0</v>
      </c>
      <c r="K238" s="41">
        <v>0</v>
      </c>
      <c r="L238" s="41">
        <v>55</v>
      </c>
      <c r="M238" s="41">
        <v>-1</v>
      </c>
      <c r="N238" s="41">
        <v>4</v>
      </c>
      <c r="O238" s="110" t="s">
        <v>2324</v>
      </c>
      <c r="P238" s="109">
        <v>193787</v>
      </c>
      <c r="Q238" s="107"/>
      <c r="R238" s="111"/>
      <c r="S238" s="110" t="s">
        <v>2267</v>
      </c>
      <c r="T238"/>
      <c r="U238"/>
      <c r="V238"/>
    </row>
    <row r="239" spans="1:22">
      <c r="A239" s="105">
        <v>1621</v>
      </c>
      <c r="B239" s="41">
        <v>120000000</v>
      </c>
      <c r="C239" s="41">
        <v>1.9E-3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2</v>
      </c>
      <c r="I239" s="41">
        <v>1</v>
      </c>
      <c r="J239" s="108">
        <v>0</v>
      </c>
      <c r="K239" s="41">
        <v>0</v>
      </c>
      <c r="L239" s="41">
        <v>55</v>
      </c>
      <c r="M239" s="41">
        <v>-1</v>
      </c>
      <c r="N239" s="41">
        <v>4</v>
      </c>
      <c r="O239" s="110" t="s">
        <v>2325</v>
      </c>
      <c r="P239" s="109">
        <v>193787</v>
      </c>
      <c r="Q239" s="107"/>
      <c r="R239" s="111"/>
      <c r="S239" s="110"/>
      <c r="T239"/>
      <c r="U239"/>
      <c r="V239"/>
    </row>
    <row r="240" spans="1:22">
      <c r="A240" s="105">
        <v>1622</v>
      </c>
      <c r="B240" s="41">
        <v>120000000</v>
      </c>
      <c r="C240" s="41">
        <v>1.9E-3</v>
      </c>
      <c r="D240" s="41">
        <v>22.627400000000002</v>
      </c>
      <c r="E240" s="41">
        <v>30</v>
      </c>
      <c r="F240" s="41">
        <v>0</v>
      </c>
      <c r="G240" s="41" t="s">
        <v>103</v>
      </c>
      <c r="H240" s="41">
        <v>2</v>
      </c>
      <c r="I240" s="41">
        <v>1</v>
      </c>
      <c r="J240" s="108">
        <v>0</v>
      </c>
      <c r="K240" s="41">
        <v>0</v>
      </c>
      <c r="L240" s="41">
        <v>55</v>
      </c>
      <c r="M240" s="41">
        <v>-1</v>
      </c>
      <c r="N240" s="41">
        <v>4</v>
      </c>
      <c r="O240" s="110" t="s">
        <v>2326</v>
      </c>
      <c r="P240" s="109">
        <v>193787</v>
      </c>
      <c r="Q240" s="107"/>
      <c r="R240" s="111"/>
      <c r="S240" s="110"/>
      <c r="T240"/>
      <c r="U240"/>
      <c r="V240"/>
    </row>
    <row r="241" spans="1:22">
      <c r="A241" s="105">
        <v>1623</v>
      </c>
      <c r="B241" s="41">
        <v>120000000</v>
      </c>
      <c r="C241" s="41">
        <v>1.9E-3</v>
      </c>
      <c r="D241" s="41">
        <v>32</v>
      </c>
      <c r="E241" s="41">
        <v>30</v>
      </c>
      <c r="F241" s="41">
        <v>0</v>
      </c>
      <c r="G241" s="41" t="s">
        <v>103</v>
      </c>
      <c r="H241" s="41">
        <v>2</v>
      </c>
      <c r="I241" s="41">
        <v>1</v>
      </c>
      <c r="J241" s="108">
        <v>0</v>
      </c>
      <c r="K241" s="41">
        <v>0</v>
      </c>
      <c r="L241" s="41">
        <v>55</v>
      </c>
      <c r="M241" s="41">
        <v>-1</v>
      </c>
      <c r="N241" s="41">
        <v>4</v>
      </c>
      <c r="O241" s="110" t="s">
        <v>2327</v>
      </c>
      <c r="P241" s="109">
        <v>193787</v>
      </c>
      <c r="Q241" s="107"/>
      <c r="R241" s="111"/>
      <c r="S241" s="110"/>
      <c r="T241"/>
      <c r="U241"/>
      <c r="V241"/>
    </row>
    <row r="242" spans="1:22">
      <c r="A242" s="105">
        <v>1624</v>
      </c>
      <c r="B242" s="41">
        <v>120000000</v>
      </c>
      <c r="C242" s="41">
        <v>2.0999999999999999E-3</v>
      </c>
      <c r="D242" s="41">
        <v>1.4141999999999999</v>
      </c>
      <c r="E242" s="41">
        <v>30</v>
      </c>
      <c r="F242" s="41">
        <v>0</v>
      </c>
      <c r="G242" s="41" t="s">
        <v>103</v>
      </c>
      <c r="H242" s="41">
        <v>2</v>
      </c>
      <c r="I242" s="41">
        <v>1</v>
      </c>
      <c r="J242" s="108">
        <v>0</v>
      </c>
      <c r="K242" s="41">
        <v>0</v>
      </c>
      <c r="L242" s="41">
        <v>55</v>
      </c>
      <c r="M242" s="41">
        <v>-1</v>
      </c>
      <c r="N242" s="41">
        <v>4</v>
      </c>
      <c r="O242" s="110" t="s">
        <v>2328</v>
      </c>
      <c r="P242" s="109">
        <v>193787</v>
      </c>
      <c r="Q242" s="107"/>
      <c r="R242" s="111"/>
      <c r="S242" s="110"/>
      <c r="T242"/>
      <c r="U242"/>
      <c r="V242"/>
    </row>
    <row r="243" spans="1:22">
      <c r="A243" s="105">
        <v>1625</v>
      </c>
      <c r="B243" s="41">
        <v>120000000</v>
      </c>
      <c r="C243" s="41">
        <v>2.0999999999999999E-3</v>
      </c>
      <c r="D243" s="41">
        <v>2</v>
      </c>
      <c r="E243" s="41">
        <v>30</v>
      </c>
      <c r="F243" s="41">
        <v>0</v>
      </c>
      <c r="G243" s="41" t="s">
        <v>103</v>
      </c>
      <c r="H243" s="41">
        <v>2</v>
      </c>
      <c r="I243" s="41">
        <v>1</v>
      </c>
      <c r="J243" s="108">
        <v>0</v>
      </c>
      <c r="K243" s="41">
        <v>0</v>
      </c>
      <c r="L243" s="41">
        <v>55</v>
      </c>
      <c r="M243" s="41">
        <v>-1</v>
      </c>
      <c r="N243" s="41">
        <v>4</v>
      </c>
      <c r="O243" s="110" t="s">
        <v>2329</v>
      </c>
      <c r="P243" s="109">
        <v>193787</v>
      </c>
      <c r="Q243" s="107"/>
      <c r="R243" s="111"/>
      <c r="S243" s="110"/>
      <c r="T243"/>
      <c r="U243"/>
      <c r="V243"/>
    </row>
    <row r="244" spans="1:22">
      <c r="A244" s="105">
        <v>1626</v>
      </c>
      <c r="B244" s="41">
        <v>120000000</v>
      </c>
      <c r="C244" s="41">
        <v>2.0999999999999999E-3</v>
      </c>
      <c r="D244" s="41">
        <v>2.8283999999999998</v>
      </c>
      <c r="E244" s="41">
        <v>30</v>
      </c>
      <c r="F244" s="41">
        <v>0</v>
      </c>
      <c r="G244" s="41" t="s">
        <v>103</v>
      </c>
      <c r="H244" s="41">
        <v>2</v>
      </c>
      <c r="I244" s="41">
        <v>1</v>
      </c>
      <c r="J244" s="108">
        <v>0</v>
      </c>
      <c r="K244" s="41">
        <v>0</v>
      </c>
      <c r="L244" s="41">
        <v>55</v>
      </c>
      <c r="M244" s="41">
        <v>-1</v>
      </c>
      <c r="N244" s="41">
        <v>4</v>
      </c>
      <c r="O244" s="110" t="s">
        <v>2330</v>
      </c>
      <c r="P244" s="109">
        <v>193787</v>
      </c>
      <c r="Q244" s="107"/>
      <c r="R244" s="111"/>
      <c r="S244" s="110"/>
      <c r="T244"/>
      <c r="U244"/>
      <c r="V244"/>
    </row>
    <row r="245" spans="1:22">
      <c r="A245" s="105">
        <v>1627</v>
      </c>
      <c r="B245" s="41">
        <v>120000000</v>
      </c>
      <c r="C245" s="41">
        <v>2.0999999999999999E-3</v>
      </c>
      <c r="D245" s="41">
        <v>4</v>
      </c>
      <c r="E245" s="41">
        <v>30</v>
      </c>
      <c r="F245" s="41">
        <v>0</v>
      </c>
      <c r="G245" s="41" t="s">
        <v>103</v>
      </c>
      <c r="H245" s="41">
        <v>2</v>
      </c>
      <c r="I245" s="41">
        <v>1</v>
      </c>
      <c r="J245" s="108">
        <v>0</v>
      </c>
      <c r="K245" s="41">
        <v>0</v>
      </c>
      <c r="L245" s="41">
        <v>55</v>
      </c>
      <c r="M245" s="41">
        <v>-1</v>
      </c>
      <c r="N245" s="41">
        <v>4</v>
      </c>
      <c r="O245" s="110" t="s">
        <v>2331</v>
      </c>
      <c r="P245" s="109">
        <v>193787</v>
      </c>
      <c r="Q245" s="107"/>
      <c r="R245" s="111"/>
      <c r="S245" s="110"/>
      <c r="T245"/>
      <c r="U245"/>
      <c r="V245"/>
    </row>
    <row r="246" spans="1:22">
      <c r="A246" s="105">
        <v>1628</v>
      </c>
      <c r="B246" s="41">
        <v>120000000</v>
      </c>
      <c r="C246" s="41">
        <v>2.0999999999999999E-3</v>
      </c>
      <c r="D246" s="41">
        <v>5.6569000000000003</v>
      </c>
      <c r="E246" s="41">
        <v>30</v>
      </c>
      <c r="F246" s="41">
        <v>0</v>
      </c>
      <c r="G246" s="41" t="s">
        <v>103</v>
      </c>
      <c r="H246" s="41">
        <v>2</v>
      </c>
      <c r="I246" s="41">
        <v>1</v>
      </c>
      <c r="J246" s="108">
        <v>0</v>
      </c>
      <c r="K246" s="41">
        <v>0</v>
      </c>
      <c r="L246" s="41">
        <v>55</v>
      </c>
      <c r="M246" s="41">
        <v>-1</v>
      </c>
      <c r="N246" s="41">
        <v>4</v>
      </c>
      <c r="O246" s="110" t="s">
        <v>2332</v>
      </c>
      <c r="P246" s="109">
        <v>193787</v>
      </c>
      <c r="Q246" s="107"/>
      <c r="R246" s="111"/>
      <c r="S246" s="110"/>
      <c r="T246"/>
      <c r="U246"/>
      <c r="V246"/>
    </row>
    <row r="247" spans="1:22">
      <c r="A247" s="105">
        <v>1629</v>
      </c>
      <c r="B247" s="41">
        <v>120000000</v>
      </c>
      <c r="C247" s="41">
        <v>2.0999999999999999E-3</v>
      </c>
      <c r="D247" s="41">
        <v>8</v>
      </c>
      <c r="E247" s="41">
        <v>30</v>
      </c>
      <c r="F247" s="41">
        <v>0</v>
      </c>
      <c r="G247" s="41" t="s">
        <v>103</v>
      </c>
      <c r="H247" s="41">
        <v>2</v>
      </c>
      <c r="I247" s="41">
        <v>1</v>
      </c>
      <c r="J247" s="108">
        <v>0</v>
      </c>
      <c r="K247" s="41">
        <v>0</v>
      </c>
      <c r="L247" s="41">
        <v>55</v>
      </c>
      <c r="M247" s="41">
        <v>-1</v>
      </c>
      <c r="N247" s="41">
        <v>4</v>
      </c>
      <c r="O247" s="110" t="s">
        <v>2333</v>
      </c>
      <c r="P247" s="109">
        <v>193787</v>
      </c>
      <c r="Q247" s="107"/>
      <c r="R247" s="111"/>
      <c r="S247" s="110"/>
      <c r="T247"/>
      <c r="U247"/>
      <c r="V247"/>
    </row>
    <row r="248" spans="1:22">
      <c r="A248" s="105">
        <v>1630</v>
      </c>
      <c r="B248" s="41">
        <v>120000000</v>
      </c>
      <c r="C248" s="41">
        <v>2.0999999999999999E-3</v>
      </c>
      <c r="D248" s="41">
        <v>11.313700000000001</v>
      </c>
      <c r="E248" s="41">
        <v>30</v>
      </c>
      <c r="F248" s="41">
        <v>0</v>
      </c>
      <c r="G248" s="41" t="s">
        <v>103</v>
      </c>
      <c r="H248" s="41">
        <v>2</v>
      </c>
      <c r="I248" s="41">
        <v>1</v>
      </c>
      <c r="J248" s="108">
        <v>0</v>
      </c>
      <c r="K248" s="41">
        <v>0</v>
      </c>
      <c r="L248" s="41">
        <v>55</v>
      </c>
      <c r="M248" s="41">
        <v>-1</v>
      </c>
      <c r="N248" s="41">
        <v>4</v>
      </c>
      <c r="O248" s="110" t="s">
        <v>2334</v>
      </c>
      <c r="P248" s="109">
        <v>193787</v>
      </c>
      <c r="Q248" s="107"/>
      <c r="R248" s="111"/>
      <c r="S248" s="110"/>
      <c r="T248"/>
      <c r="U248"/>
      <c r="V248"/>
    </row>
    <row r="249" spans="1:22">
      <c r="A249" s="105">
        <v>1631</v>
      </c>
      <c r="B249" s="41">
        <v>120000000</v>
      </c>
      <c r="C249" s="41">
        <v>2.0999999999999999E-3</v>
      </c>
      <c r="D249" s="41">
        <v>16</v>
      </c>
      <c r="E249" s="41">
        <v>30</v>
      </c>
      <c r="F249" s="41">
        <v>0</v>
      </c>
      <c r="G249" s="41" t="s">
        <v>103</v>
      </c>
      <c r="H249" s="41">
        <v>2</v>
      </c>
      <c r="I249" s="41">
        <v>1</v>
      </c>
      <c r="J249" s="108">
        <v>0</v>
      </c>
      <c r="K249" s="41">
        <v>0</v>
      </c>
      <c r="L249" s="41">
        <v>55</v>
      </c>
      <c r="M249" s="41">
        <v>-1</v>
      </c>
      <c r="N249" s="41">
        <v>4</v>
      </c>
      <c r="O249" s="110" t="s">
        <v>2335</v>
      </c>
      <c r="P249" s="109">
        <v>193787</v>
      </c>
      <c r="Q249" s="107"/>
      <c r="R249" s="111"/>
      <c r="S249" s="110"/>
      <c r="T249"/>
      <c r="U249"/>
      <c r="V249"/>
    </row>
    <row r="250" spans="1:22">
      <c r="A250" s="105">
        <v>1632</v>
      </c>
      <c r="B250" s="41">
        <v>120000000</v>
      </c>
      <c r="C250" s="41">
        <v>2.0999999999999999E-3</v>
      </c>
      <c r="D250" s="41">
        <v>22.627400000000002</v>
      </c>
      <c r="E250" s="41">
        <v>30</v>
      </c>
      <c r="F250" s="41">
        <v>0</v>
      </c>
      <c r="G250" s="41" t="s">
        <v>103</v>
      </c>
      <c r="H250" s="41">
        <v>2</v>
      </c>
      <c r="I250" s="41">
        <v>1</v>
      </c>
      <c r="J250" s="108">
        <v>0</v>
      </c>
      <c r="K250" s="41">
        <v>0</v>
      </c>
      <c r="L250" s="41">
        <v>55</v>
      </c>
      <c r="M250" s="41">
        <v>-1</v>
      </c>
      <c r="N250" s="41">
        <v>4</v>
      </c>
      <c r="O250" s="110" t="s">
        <v>2336</v>
      </c>
      <c r="P250" s="109">
        <v>193787</v>
      </c>
      <c r="Q250" s="107"/>
      <c r="R250" s="111"/>
      <c r="S250" s="110"/>
      <c r="T250"/>
      <c r="U250"/>
      <c r="V250"/>
    </row>
    <row r="251" spans="1:22">
      <c r="A251" s="105">
        <v>1633</v>
      </c>
      <c r="B251" s="41">
        <v>120000000</v>
      </c>
      <c r="C251" s="41">
        <v>2.0999999999999999E-3</v>
      </c>
      <c r="D251" s="41">
        <v>32</v>
      </c>
      <c r="E251" s="41">
        <v>30</v>
      </c>
      <c r="F251" s="41">
        <v>0</v>
      </c>
      <c r="G251" s="41" t="s">
        <v>103</v>
      </c>
      <c r="H251" s="41">
        <v>2</v>
      </c>
      <c r="I251" s="41">
        <v>1</v>
      </c>
      <c r="J251" s="108">
        <v>0</v>
      </c>
      <c r="K251" s="41">
        <v>0</v>
      </c>
      <c r="L251" s="41">
        <v>55</v>
      </c>
      <c r="M251" s="41">
        <v>-1</v>
      </c>
      <c r="N251" s="41">
        <v>4</v>
      </c>
      <c r="O251" s="110" t="s">
        <v>2337</v>
      </c>
      <c r="P251" s="109">
        <v>193787</v>
      </c>
      <c r="Q251" s="107"/>
      <c r="R251" s="111"/>
      <c r="S251" s="110"/>
      <c r="T251"/>
      <c r="U251"/>
      <c r="V251"/>
    </row>
    <row r="252" spans="1:22">
      <c r="A252" s="105">
        <v>1634</v>
      </c>
      <c r="B252" s="41">
        <v>120000000</v>
      </c>
      <c r="C252" s="41">
        <v>2.3E-3</v>
      </c>
      <c r="D252" s="41">
        <v>2</v>
      </c>
      <c r="E252" s="41">
        <v>30</v>
      </c>
      <c r="F252" s="41">
        <v>0</v>
      </c>
      <c r="G252" s="41" t="s">
        <v>103</v>
      </c>
      <c r="H252" s="41">
        <v>2</v>
      </c>
      <c r="I252" s="41">
        <v>1</v>
      </c>
      <c r="J252" s="108">
        <v>0</v>
      </c>
      <c r="K252" s="41">
        <v>0</v>
      </c>
      <c r="L252" s="41">
        <v>55</v>
      </c>
      <c r="M252" s="41">
        <v>-1</v>
      </c>
      <c r="N252" s="41">
        <v>4</v>
      </c>
      <c r="O252" s="110" t="s">
        <v>2338</v>
      </c>
      <c r="P252" s="109">
        <v>193787</v>
      </c>
      <c r="Q252" s="107"/>
      <c r="R252" s="111"/>
      <c r="S252" s="110"/>
      <c r="T252"/>
      <c r="U252"/>
      <c r="V252"/>
    </row>
    <row r="253" spans="1:22">
      <c r="A253" s="105">
        <v>1635</v>
      </c>
      <c r="B253" s="41">
        <v>120000000</v>
      </c>
      <c r="C253" s="41">
        <v>2.3E-3</v>
      </c>
      <c r="D253" s="41">
        <v>2.8283999999999998</v>
      </c>
      <c r="E253" s="41">
        <v>30</v>
      </c>
      <c r="F253" s="41">
        <v>0</v>
      </c>
      <c r="G253" s="41" t="s">
        <v>103</v>
      </c>
      <c r="H253" s="41">
        <v>2</v>
      </c>
      <c r="I253" s="41">
        <v>1</v>
      </c>
      <c r="J253" s="108">
        <v>0</v>
      </c>
      <c r="K253" s="41">
        <v>0</v>
      </c>
      <c r="L253" s="41">
        <v>55</v>
      </c>
      <c r="M253" s="41">
        <v>-1</v>
      </c>
      <c r="N253" s="41">
        <v>4</v>
      </c>
      <c r="O253" s="110" t="s">
        <v>2339</v>
      </c>
      <c r="P253" s="109">
        <v>193787</v>
      </c>
      <c r="Q253" s="107"/>
      <c r="R253" s="111"/>
      <c r="S253" s="110"/>
      <c r="T253"/>
      <c r="U253"/>
      <c r="V253"/>
    </row>
    <row r="254" spans="1:22">
      <c r="A254" s="105">
        <v>1636</v>
      </c>
      <c r="B254" s="41">
        <v>120000000</v>
      </c>
      <c r="C254" s="41">
        <v>2.3E-3</v>
      </c>
      <c r="D254" s="41">
        <v>4</v>
      </c>
      <c r="E254" s="41">
        <v>30</v>
      </c>
      <c r="F254" s="41">
        <v>0</v>
      </c>
      <c r="G254" s="41" t="s">
        <v>103</v>
      </c>
      <c r="H254" s="41">
        <v>2</v>
      </c>
      <c r="I254" s="41">
        <v>1</v>
      </c>
      <c r="J254" s="108">
        <v>0</v>
      </c>
      <c r="K254" s="41">
        <v>0</v>
      </c>
      <c r="L254" s="41">
        <v>55</v>
      </c>
      <c r="M254" s="41">
        <v>-1</v>
      </c>
      <c r="N254" s="41">
        <v>4</v>
      </c>
      <c r="O254" s="110" t="s">
        <v>2340</v>
      </c>
      <c r="P254" s="109">
        <v>193787</v>
      </c>
      <c r="Q254" s="107"/>
      <c r="R254" s="111"/>
      <c r="S254" s="110"/>
      <c r="T254"/>
      <c r="U254"/>
      <c r="V254"/>
    </row>
    <row r="255" spans="1:22">
      <c r="A255" s="105">
        <v>1637</v>
      </c>
      <c r="B255" s="41">
        <v>120000000</v>
      </c>
      <c r="C255" s="41">
        <v>2.3E-3</v>
      </c>
      <c r="D255" s="41">
        <v>5.6569000000000003</v>
      </c>
      <c r="E255" s="41">
        <v>30</v>
      </c>
      <c r="F255" s="41">
        <v>0</v>
      </c>
      <c r="G255" s="41" t="s">
        <v>103</v>
      </c>
      <c r="H255" s="41">
        <v>2</v>
      </c>
      <c r="I255" s="41">
        <v>1</v>
      </c>
      <c r="J255" s="108">
        <v>0</v>
      </c>
      <c r="K255" s="41">
        <v>0</v>
      </c>
      <c r="L255" s="41">
        <v>55</v>
      </c>
      <c r="M255" s="41">
        <v>-1</v>
      </c>
      <c r="N255" s="41">
        <v>4</v>
      </c>
      <c r="O255" s="110" t="s">
        <v>2341</v>
      </c>
      <c r="P255" s="109">
        <v>193787</v>
      </c>
      <c r="Q255" s="107"/>
      <c r="R255" s="111"/>
      <c r="S255" s="110"/>
      <c r="T255"/>
      <c r="U255"/>
      <c r="V255"/>
    </row>
    <row r="256" spans="1:22">
      <c r="A256" s="105">
        <v>1638</v>
      </c>
      <c r="B256" s="41">
        <v>120000000</v>
      </c>
      <c r="C256" s="41">
        <v>2.3E-3</v>
      </c>
      <c r="D256" s="41">
        <v>8</v>
      </c>
      <c r="E256" s="41">
        <v>30</v>
      </c>
      <c r="F256" s="41">
        <v>0</v>
      </c>
      <c r="G256" s="41" t="s">
        <v>103</v>
      </c>
      <c r="H256" s="41">
        <v>2</v>
      </c>
      <c r="I256" s="41">
        <v>1</v>
      </c>
      <c r="J256" s="108">
        <v>0</v>
      </c>
      <c r="K256" s="41">
        <v>0</v>
      </c>
      <c r="L256" s="41">
        <v>55</v>
      </c>
      <c r="M256" s="41">
        <v>-1</v>
      </c>
      <c r="N256" s="41">
        <v>4</v>
      </c>
      <c r="O256" s="110" t="s">
        <v>2342</v>
      </c>
      <c r="P256" s="109">
        <v>193787</v>
      </c>
      <c r="Q256" s="107"/>
      <c r="R256" s="111"/>
      <c r="S256" s="110"/>
      <c r="T256"/>
      <c r="U256"/>
      <c r="V256"/>
    </row>
    <row r="257" spans="1:22">
      <c r="A257" s="105">
        <v>1639</v>
      </c>
      <c r="B257" s="41">
        <v>120000000</v>
      </c>
      <c r="C257" s="41">
        <v>2.3E-3</v>
      </c>
      <c r="D257" s="41">
        <v>11.313700000000001</v>
      </c>
      <c r="E257" s="41">
        <v>30</v>
      </c>
      <c r="F257" s="41">
        <v>0</v>
      </c>
      <c r="G257" s="41" t="s">
        <v>103</v>
      </c>
      <c r="H257" s="41">
        <v>2</v>
      </c>
      <c r="I257" s="41">
        <v>1</v>
      </c>
      <c r="J257" s="108">
        <v>0</v>
      </c>
      <c r="K257" s="41">
        <v>0</v>
      </c>
      <c r="L257" s="41">
        <v>55</v>
      </c>
      <c r="M257" s="41">
        <v>-1</v>
      </c>
      <c r="N257" s="41">
        <v>4</v>
      </c>
      <c r="O257" s="110" t="s">
        <v>2343</v>
      </c>
      <c r="P257" s="109">
        <v>193787</v>
      </c>
      <c r="Q257" s="107"/>
      <c r="R257" s="111"/>
      <c r="S257" s="110"/>
      <c r="T257"/>
      <c r="U257"/>
      <c r="V257"/>
    </row>
    <row r="258" spans="1:22">
      <c r="A258" s="105">
        <v>1640</v>
      </c>
      <c r="B258" s="41">
        <v>120000000</v>
      </c>
      <c r="C258" s="41">
        <v>2.3E-3</v>
      </c>
      <c r="D258" s="41">
        <v>16</v>
      </c>
      <c r="E258" s="41">
        <v>30</v>
      </c>
      <c r="F258" s="41">
        <v>0</v>
      </c>
      <c r="G258" s="41" t="s">
        <v>103</v>
      </c>
      <c r="H258" s="41">
        <v>2</v>
      </c>
      <c r="I258" s="41">
        <v>1</v>
      </c>
      <c r="J258" s="108">
        <v>0</v>
      </c>
      <c r="K258" s="41">
        <v>0</v>
      </c>
      <c r="L258" s="41">
        <v>55</v>
      </c>
      <c r="M258" s="41">
        <v>-1</v>
      </c>
      <c r="N258" s="41">
        <v>4</v>
      </c>
      <c r="O258" s="110" t="s">
        <v>2344</v>
      </c>
      <c r="P258" s="109">
        <v>193787</v>
      </c>
      <c r="Q258" s="107"/>
      <c r="R258" s="111"/>
      <c r="S258" s="110"/>
      <c r="T258"/>
      <c r="U258"/>
      <c r="V258"/>
    </row>
    <row r="259" spans="1:22">
      <c r="A259" s="105">
        <v>1641</v>
      </c>
      <c r="B259" s="41">
        <v>120000000</v>
      </c>
      <c r="C259" s="41">
        <v>2.3E-3</v>
      </c>
      <c r="D259" s="41">
        <v>22.627400000000002</v>
      </c>
      <c r="E259" s="41">
        <v>30</v>
      </c>
      <c r="F259" s="41">
        <v>0</v>
      </c>
      <c r="G259" s="41" t="s">
        <v>103</v>
      </c>
      <c r="H259" s="41">
        <v>2</v>
      </c>
      <c r="I259" s="41">
        <v>1</v>
      </c>
      <c r="J259" s="108">
        <v>0</v>
      </c>
      <c r="K259" s="41">
        <v>0</v>
      </c>
      <c r="L259" s="41">
        <v>55</v>
      </c>
      <c r="M259" s="41">
        <v>-1</v>
      </c>
      <c r="N259" s="41">
        <v>4</v>
      </c>
      <c r="O259" s="110" t="s">
        <v>2345</v>
      </c>
      <c r="P259" s="109">
        <v>193787</v>
      </c>
      <c r="Q259" s="107"/>
      <c r="R259" s="111"/>
      <c r="S259" s="110"/>
      <c r="T259"/>
      <c r="U259"/>
      <c r="V259"/>
    </row>
    <row r="260" spans="1:22">
      <c r="A260" s="105">
        <v>1642</v>
      </c>
      <c r="B260" s="41">
        <v>120000000</v>
      </c>
      <c r="C260" s="41">
        <v>2.3E-3</v>
      </c>
      <c r="D260" s="41">
        <v>32</v>
      </c>
      <c r="E260" s="41">
        <v>30</v>
      </c>
      <c r="F260" s="41">
        <v>0</v>
      </c>
      <c r="G260" s="41" t="s">
        <v>103</v>
      </c>
      <c r="H260" s="41">
        <v>2</v>
      </c>
      <c r="I260" s="41">
        <v>1</v>
      </c>
      <c r="J260" s="108">
        <v>0</v>
      </c>
      <c r="K260" s="41">
        <v>0</v>
      </c>
      <c r="L260" s="41">
        <v>55</v>
      </c>
      <c r="M260" s="41">
        <v>-1</v>
      </c>
      <c r="N260" s="41">
        <v>4</v>
      </c>
      <c r="O260" s="110" t="s">
        <v>2346</v>
      </c>
      <c r="P260" s="109">
        <v>193787</v>
      </c>
      <c r="Q260" s="107"/>
      <c r="R260" s="111"/>
      <c r="S260" s="110"/>
      <c r="T260"/>
      <c r="U260"/>
      <c r="V260"/>
    </row>
    <row r="261" spans="1:22">
      <c r="A261" s="105">
        <v>1643</v>
      </c>
      <c r="B261" s="41">
        <v>120000000</v>
      </c>
      <c r="C261" s="41">
        <v>2.3E-3</v>
      </c>
      <c r="D261" s="41">
        <v>45.254800000000003</v>
      </c>
      <c r="E261" s="41">
        <v>30</v>
      </c>
      <c r="F261" s="41">
        <v>0</v>
      </c>
      <c r="G261" s="41" t="s">
        <v>103</v>
      </c>
      <c r="H261" s="41">
        <v>2</v>
      </c>
      <c r="I261" s="41">
        <v>1</v>
      </c>
      <c r="J261" s="108">
        <v>0</v>
      </c>
      <c r="K261" s="41">
        <v>0</v>
      </c>
      <c r="L261" s="41">
        <v>55</v>
      </c>
      <c r="M261" s="41">
        <v>-1</v>
      </c>
      <c r="N261" s="41">
        <v>4</v>
      </c>
      <c r="O261" s="110" t="s">
        <v>2347</v>
      </c>
      <c r="P261" s="109">
        <v>193787</v>
      </c>
      <c r="Q261" s="107"/>
      <c r="R261" s="111"/>
      <c r="S261" s="110"/>
      <c r="T261"/>
      <c r="U261"/>
      <c r="V261"/>
    </row>
    <row r="262" spans="1:22">
      <c r="A262" s="105">
        <v>1644</v>
      </c>
      <c r="B262" s="41">
        <v>120000000</v>
      </c>
      <c r="C262" s="41">
        <v>2.5000000000000001E-3</v>
      </c>
      <c r="D262" s="41">
        <v>2</v>
      </c>
      <c r="E262" s="41">
        <v>30</v>
      </c>
      <c r="F262" s="41">
        <v>0</v>
      </c>
      <c r="G262" s="41" t="s">
        <v>103</v>
      </c>
      <c r="H262" s="41">
        <v>2</v>
      </c>
      <c r="I262" s="41">
        <v>1</v>
      </c>
      <c r="J262" s="108">
        <v>0</v>
      </c>
      <c r="K262" s="41">
        <v>0</v>
      </c>
      <c r="L262" s="41">
        <v>55</v>
      </c>
      <c r="M262" s="41">
        <v>-1</v>
      </c>
      <c r="N262" s="41">
        <v>4</v>
      </c>
      <c r="O262" s="110" t="s">
        <v>2348</v>
      </c>
      <c r="P262" s="109">
        <v>193787</v>
      </c>
      <c r="Q262" s="107"/>
      <c r="R262" s="111"/>
      <c r="S262" s="110"/>
      <c r="T262"/>
      <c r="U262"/>
      <c r="V262"/>
    </row>
    <row r="263" spans="1:22">
      <c r="A263" s="105">
        <v>1645</v>
      </c>
      <c r="B263" s="41">
        <v>120000000</v>
      </c>
      <c r="C263" s="41">
        <v>2.5000000000000001E-3</v>
      </c>
      <c r="D263" s="41">
        <v>2.8283999999999998</v>
      </c>
      <c r="E263" s="41">
        <v>30</v>
      </c>
      <c r="F263" s="41">
        <v>0</v>
      </c>
      <c r="G263" s="41" t="s">
        <v>103</v>
      </c>
      <c r="H263" s="41">
        <v>2</v>
      </c>
      <c r="I263" s="41">
        <v>1</v>
      </c>
      <c r="J263" s="108">
        <v>0</v>
      </c>
      <c r="K263" s="41">
        <v>0</v>
      </c>
      <c r="L263" s="41">
        <v>55</v>
      </c>
      <c r="M263" s="41">
        <v>-1</v>
      </c>
      <c r="N263" s="41">
        <v>4</v>
      </c>
      <c r="O263" s="110" t="s">
        <v>2349</v>
      </c>
      <c r="P263" s="109">
        <v>193787</v>
      </c>
      <c r="Q263" s="107"/>
      <c r="R263" s="111"/>
      <c r="S263" s="110" t="s">
        <v>2267</v>
      </c>
      <c r="T263"/>
      <c r="U263"/>
      <c r="V263"/>
    </row>
    <row r="264" spans="1:22">
      <c r="A264" s="105">
        <v>1646</v>
      </c>
      <c r="B264" s="41">
        <v>120000000</v>
      </c>
      <c r="C264" s="41">
        <v>2.5000000000000001E-3</v>
      </c>
      <c r="D264" s="41">
        <v>4</v>
      </c>
      <c r="E264" s="41">
        <v>30</v>
      </c>
      <c r="F264" s="41">
        <v>0</v>
      </c>
      <c r="G264" s="41" t="s">
        <v>103</v>
      </c>
      <c r="H264" s="41">
        <v>2</v>
      </c>
      <c r="I264" s="41">
        <v>1</v>
      </c>
      <c r="J264" s="108">
        <v>0</v>
      </c>
      <c r="K264" s="41">
        <v>0</v>
      </c>
      <c r="L264" s="41">
        <v>55</v>
      </c>
      <c r="M264" s="41">
        <v>-1</v>
      </c>
      <c r="N264" s="41">
        <v>4</v>
      </c>
      <c r="O264" s="110" t="s">
        <v>2350</v>
      </c>
      <c r="P264" s="109">
        <v>193787</v>
      </c>
      <c r="Q264" s="107"/>
      <c r="R264" s="111"/>
      <c r="S264" s="110"/>
      <c r="T264"/>
      <c r="U264"/>
      <c r="V264"/>
    </row>
    <row r="265" spans="1:22">
      <c r="A265" s="105">
        <v>1647</v>
      </c>
      <c r="B265" s="41">
        <v>120000000</v>
      </c>
      <c r="C265" s="41">
        <v>2.5000000000000001E-3</v>
      </c>
      <c r="D265" s="41">
        <v>5.6569000000000003</v>
      </c>
      <c r="E265" s="41">
        <v>30</v>
      </c>
      <c r="F265" s="41">
        <v>0</v>
      </c>
      <c r="G265" s="41" t="s">
        <v>103</v>
      </c>
      <c r="H265" s="41">
        <v>2</v>
      </c>
      <c r="I265" s="41">
        <v>1</v>
      </c>
      <c r="J265" s="108">
        <v>0</v>
      </c>
      <c r="K265" s="41">
        <v>0</v>
      </c>
      <c r="L265" s="41">
        <v>55</v>
      </c>
      <c r="M265" s="41">
        <v>-1</v>
      </c>
      <c r="N265" s="41">
        <v>4</v>
      </c>
      <c r="O265" s="110" t="s">
        <v>2351</v>
      </c>
      <c r="P265" s="109">
        <v>193787</v>
      </c>
      <c r="Q265" s="107"/>
      <c r="R265" s="111"/>
      <c r="S265" s="110"/>
      <c r="T265"/>
      <c r="U265"/>
      <c r="V265"/>
    </row>
    <row r="266" spans="1:22">
      <c r="A266" s="105">
        <v>1648</v>
      </c>
      <c r="B266" s="41">
        <v>120000000</v>
      </c>
      <c r="C266" s="41">
        <v>2.5000000000000001E-3</v>
      </c>
      <c r="D266" s="41">
        <v>8</v>
      </c>
      <c r="E266" s="41">
        <v>30</v>
      </c>
      <c r="F266" s="41">
        <v>0</v>
      </c>
      <c r="G266" s="41" t="s">
        <v>103</v>
      </c>
      <c r="H266" s="41">
        <v>2</v>
      </c>
      <c r="I266" s="41">
        <v>1</v>
      </c>
      <c r="J266" s="108">
        <v>0</v>
      </c>
      <c r="K266" s="41">
        <v>0</v>
      </c>
      <c r="L266" s="41">
        <v>55</v>
      </c>
      <c r="M266" s="41">
        <v>-1</v>
      </c>
      <c r="N266" s="41">
        <v>4</v>
      </c>
      <c r="O266" s="110" t="s">
        <v>2352</v>
      </c>
      <c r="P266" s="109">
        <v>193787</v>
      </c>
      <c r="Q266" s="107"/>
      <c r="R266" s="111"/>
      <c r="S266" s="110"/>
      <c r="T266"/>
      <c r="U266"/>
      <c r="V266"/>
    </row>
    <row r="267" spans="1:22">
      <c r="A267" s="105">
        <v>1649</v>
      </c>
      <c r="B267" s="41">
        <v>120000000</v>
      </c>
      <c r="C267" s="41">
        <v>2.5000000000000001E-3</v>
      </c>
      <c r="D267" s="41">
        <v>11.313700000000001</v>
      </c>
      <c r="E267" s="41">
        <v>30</v>
      </c>
      <c r="F267" s="41">
        <v>0</v>
      </c>
      <c r="G267" s="41" t="s">
        <v>103</v>
      </c>
      <c r="H267" s="41">
        <v>2</v>
      </c>
      <c r="I267" s="41">
        <v>1</v>
      </c>
      <c r="J267" s="108">
        <v>0</v>
      </c>
      <c r="K267" s="41">
        <v>0</v>
      </c>
      <c r="L267" s="41">
        <v>55</v>
      </c>
      <c r="M267" s="41">
        <v>-1</v>
      </c>
      <c r="N267" s="41">
        <v>4</v>
      </c>
      <c r="O267" s="110" t="s">
        <v>2353</v>
      </c>
      <c r="P267" s="109"/>
      <c r="Q267" s="107"/>
      <c r="R267" s="111"/>
      <c r="S267" s="110"/>
      <c r="T267"/>
      <c r="U267"/>
      <c r="V267"/>
    </row>
    <row r="268" spans="1:22">
      <c r="A268" s="105">
        <v>1650</v>
      </c>
      <c r="B268" s="41">
        <v>120000000</v>
      </c>
      <c r="C268" s="41">
        <v>2.5000000000000001E-3</v>
      </c>
      <c r="D268" s="41">
        <v>16</v>
      </c>
      <c r="E268" s="41">
        <v>30</v>
      </c>
      <c r="F268" s="41">
        <v>0</v>
      </c>
      <c r="G268" s="41" t="s">
        <v>103</v>
      </c>
      <c r="H268" s="41">
        <v>2</v>
      </c>
      <c r="I268" s="41">
        <v>1</v>
      </c>
      <c r="J268" s="108">
        <v>0</v>
      </c>
      <c r="K268" s="41">
        <v>0</v>
      </c>
      <c r="L268" s="41">
        <v>55</v>
      </c>
      <c r="M268" s="41">
        <v>-1</v>
      </c>
      <c r="N268" s="41">
        <v>4</v>
      </c>
      <c r="O268" s="110" t="s">
        <v>2354</v>
      </c>
      <c r="P268" s="109">
        <v>193883</v>
      </c>
      <c r="Q268" s="107"/>
      <c r="R268" s="111"/>
      <c r="S268" s="110"/>
      <c r="T268"/>
      <c r="U268"/>
      <c r="V268"/>
    </row>
    <row r="269" spans="1:22">
      <c r="A269" s="105">
        <v>1651</v>
      </c>
      <c r="B269" s="41">
        <v>120000000</v>
      </c>
      <c r="C269" s="41">
        <v>2.5000000000000001E-3</v>
      </c>
      <c r="D269" s="41">
        <v>22.627400000000002</v>
      </c>
      <c r="E269" s="41">
        <v>30</v>
      </c>
      <c r="F269" s="41">
        <v>0</v>
      </c>
      <c r="G269" s="41" t="s">
        <v>103</v>
      </c>
      <c r="H269" s="41">
        <v>2</v>
      </c>
      <c r="I269" s="41">
        <v>1</v>
      </c>
      <c r="J269" s="108">
        <v>0</v>
      </c>
      <c r="K269" s="41">
        <v>0</v>
      </c>
      <c r="L269" s="41">
        <v>55</v>
      </c>
      <c r="M269" s="41">
        <v>-1</v>
      </c>
      <c r="N269" s="41">
        <v>4</v>
      </c>
      <c r="O269" s="110" t="s">
        <v>2355</v>
      </c>
      <c r="P269" s="109">
        <v>193883</v>
      </c>
      <c r="Q269" s="107"/>
      <c r="R269" s="111"/>
      <c r="S269" s="110"/>
      <c r="T269"/>
      <c r="U269"/>
      <c r="V269"/>
    </row>
    <row r="270" spans="1:22">
      <c r="A270" s="105">
        <v>1652</v>
      </c>
      <c r="B270" s="41">
        <v>120000000</v>
      </c>
      <c r="C270" s="41">
        <v>2.5000000000000001E-3</v>
      </c>
      <c r="D270" s="41">
        <v>32</v>
      </c>
      <c r="E270" s="41">
        <v>30</v>
      </c>
      <c r="F270" s="41">
        <v>0</v>
      </c>
      <c r="G270" s="41" t="s">
        <v>103</v>
      </c>
      <c r="H270" s="41">
        <v>2</v>
      </c>
      <c r="I270" s="41">
        <v>1</v>
      </c>
      <c r="J270" s="108">
        <v>0</v>
      </c>
      <c r="K270" s="41">
        <v>0</v>
      </c>
      <c r="L270" s="41">
        <v>55</v>
      </c>
      <c r="M270" s="41">
        <v>-1</v>
      </c>
      <c r="N270" s="41">
        <v>4</v>
      </c>
      <c r="O270" s="110" t="s">
        <v>2356</v>
      </c>
      <c r="P270" s="109">
        <v>193883</v>
      </c>
      <c r="Q270" s="107"/>
      <c r="R270" s="111"/>
      <c r="S270" s="110"/>
      <c r="T270"/>
      <c r="U270"/>
      <c r="V270"/>
    </row>
    <row r="271" spans="1:22">
      <c r="A271" s="105">
        <v>1653</v>
      </c>
      <c r="B271" s="41">
        <v>120000000</v>
      </c>
      <c r="C271" s="41">
        <v>2.5000000000000001E-3</v>
      </c>
      <c r="D271" s="41">
        <v>45.254800000000003</v>
      </c>
      <c r="E271" s="41">
        <v>30</v>
      </c>
      <c r="F271" s="41">
        <v>0</v>
      </c>
      <c r="G271" s="41" t="s">
        <v>103</v>
      </c>
      <c r="H271" s="41">
        <v>2</v>
      </c>
      <c r="I271" s="41">
        <v>1</v>
      </c>
      <c r="J271" s="108">
        <v>0</v>
      </c>
      <c r="K271" s="41">
        <v>0</v>
      </c>
      <c r="L271" s="41">
        <v>55</v>
      </c>
      <c r="M271" s="41">
        <v>-1</v>
      </c>
      <c r="N271" s="41">
        <v>4</v>
      </c>
      <c r="O271" s="110" t="s">
        <v>2357</v>
      </c>
      <c r="P271" s="109">
        <v>193883</v>
      </c>
      <c r="Q271" s="107"/>
      <c r="R271" s="111"/>
      <c r="S271" s="110"/>
      <c r="T271"/>
      <c r="U271"/>
      <c r="V271"/>
    </row>
    <row r="272" spans="1:22">
      <c r="A272" s="105">
        <v>1654</v>
      </c>
      <c r="B272" s="41">
        <v>120000000</v>
      </c>
      <c r="C272" s="41">
        <v>2.7000000000000001E-3</v>
      </c>
      <c r="D272" s="41">
        <v>2.8283999999999998</v>
      </c>
      <c r="E272" s="41">
        <v>30</v>
      </c>
      <c r="F272" s="41">
        <v>0</v>
      </c>
      <c r="G272" s="41" t="s">
        <v>103</v>
      </c>
      <c r="H272" s="41">
        <v>2</v>
      </c>
      <c r="I272" s="41">
        <v>1</v>
      </c>
      <c r="J272" s="108">
        <v>0</v>
      </c>
      <c r="K272" s="41">
        <v>0</v>
      </c>
      <c r="L272" s="41">
        <v>55</v>
      </c>
      <c r="M272" s="41">
        <v>-1</v>
      </c>
      <c r="N272" s="41">
        <v>4</v>
      </c>
      <c r="O272" s="110" t="s">
        <v>2358</v>
      </c>
      <c r="P272" s="109">
        <v>193523</v>
      </c>
      <c r="Q272" s="107"/>
      <c r="R272" s="111"/>
      <c r="S272" s="110" t="s">
        <v>2267</v>
      </c>
      <c r="T272"/>
      <c r="U272"/>
      <c r="V272"/>
    </row>
    <row r="273" spans="1:22">
      <c r="A273" s="105">
        <v>1655</v>
      </c>
      <c r="B273" s="41">
        <v>120000000</v>
      </c>
      <c r="C273" s="41">
        <v>2.7000000000000001E-3</v>
      </c>
      <c r="D273" s="41">
        <v>4</v>
      </c>
      <c r="E273" s="41">
        <v>30</v>
      </c>
      <c r="F273" s="41">
        <v>0</v>
      </c>
      <c r="G273" s="41" t="s">
        <v>103</v>
      </c>
      <c r="H273" s="41">
        <v>2</v>
      </c>
      <c r="I273" s="41">
        <v>1</v>
      </c>
      <c r="J273" s="108">
        <v>0</v>
      </c>
      <c r="K273" s="41">
        <v>0</v>
      </c>
      <c r="L273" s="41">
        <v>55</v>
      </c>
      <c r="M273" s="41">
        <v>-1</v>
      </c>
      <c r="N273" s="41">
        <v>4</v>
      </c>
      <c r="O273" s="110" t="s">
        <v>2359</v>
      </c>
      <c r="P273" s="109">
        <v>193523</v>
      </c>
      <c r="Q273" s="107"/>
      <c r="R273" s="111"/>
      <c r="S273" s="110"/>
      <c r="T273"/>
      <c r="U273"/>
      <c r="V273"/>
    </row>
    <row r="274" spans="1:22">
      <c r="A274" s="105">
        <v>1656</v>
      </c>
      <c r="B274" s="41">
        <v>120000000</v>
      </c>
      <c r="C274" s="41">
        <v>2.7000000000000001E-3</v>
      </c>
      <c r="D274" s="41">
        <v>5.6569000000000003</v>
      </c>
      <c r="E274" s="41">
        <v>30</v>
      </c>
      <c r="F274" s="41">
        <v>0</v>
      </c>
      <c r="G274" s="41" t="s">
        <v>103</v>
      </c>
      <c r="H274" s="41">
        <v>2</v>
      </c>
      <c r="I274" s="41">
        <v>1</v>
      </c>
      <c r="J274" s="108">
        <v>0</v>
      </c>
      <c r="K274" s="41">
        <v>0</v>
      </c>
      <c r="L274" s="41">
        <v>55</v>
      </c>
      <c r="M274" s="41">
        <v>-1</v>
      </c>
      <c r="N274" s="41">
        <v>4</v>
      </c>
      <c r="O274" s="110" t="s">
        <v>2360</v>
      </c>
      <c r="P274" s="109">
        <v>193523</v>
      </c>
      <c r="Q274" s="107"/>
      <c r="R274" s="111"/>
      <c r="S274" s="110"/>
      <c r="T274"/>
      <c r="U274"/>
      <c r="V274"/>
    </row>
    <row r="275" spans="1:22">
      <c r="A275" s="105">
        <v>1657</v>
      </c>
      <c r="B275" s="41">
        <v>120000000</v>
      </c>
      <c r="C275" s="41">
        <v>2.7000000000000001E-3</v>
      </c>
      <c r="D275" s="41">
        <v>8</v>
      </c>
      <c r="E275" s="41">
        <v>30</v>
      </c>
      <c r="F275" s="41">
        <v>0</v>
      </c>
      <c r="G275" s="41" t="s">
        <v>103</v>
      </c>
      <c r="H275" s="41">
        <v>2</v>
      </c>
      <c r="I275" s="41">
        <v>1</v>
      </c>
      <c r="J275" s="108">
        <v>0</v>
      </c>
      <c r="K275" s="41">
        <v>0</v>
      </c>
      <c r="L275" s="41">
        <v>55</v>
      </c>
      <c r="M275" s="41">
        <v>-1</v>
      </c>
      <c r="N275" s="41">
        <v>4</v>
      </c>
      <c r="O275" s="110" t="s">
        <v>2361</v>
      </c>
      <c r="P275" s="109">
        <v>193523</v>
      </c>
      <c r="Q275" s="107"/>
      <c r="R275" s="111"/>
      <c r="S275" s="110"/>
      <c r="T275"/>
      <c r="U275"/>
      <c r="V275"/>
    </row>
    <row r="276" spans="1:22">
      <c r="A276" s="105">
        <v>1658</v>
      </c>
      <c r="B276" s="41">
        <v>120000000</v>
      </c>
      <c r="C276" s="41">
        <v>2.7000000000000001E-3</v>
      </c>
      <c r="D276" s="41">
        <v>11.313700000000001</v>
      </c>
      <c r="E276" s="41">
        <v>30</v>
      </c>
      <c r="F276" s="41">
        <v>0</v>
      </c>
      <c r="G276" s="41" t="s">
        <v>103</v>
      </c>
      <c r="H276" s="41">
        <v>2</v>
      </c>
      <c r="I276" s="41">
        <v>1</v>
      </c>
      <c r="J276" s="108">
        <v>0</v>
      </c>
      <c r="K276" s="41">
        <v>0</v>
      </c>
      <c r="L276" s="41">
        <v>55</v>
      </c>
      <c r="M276" s="41">
        <v>-1</v>
      </c>
      <c r="N276" s="41">
        <v>4</v>
      </c>
      <c r="O276" s="110" t="s">
        <v>2362</v>
      </c>
      <c r="P276" s="109">
        <v>193523</v>
      </c>
      <c r="Q276" s="107"/>
      <c r="R276" s="111"/>
      <c r="S276" s="110"/>
      <c r="T276"/>
      <c r="U276"/>
      <c r="V276"/>
    </row>
    <row r="277" spans="1:22">
      <c r="A277" s="105">
        <v>1659</v>
      </c>
      <c r="B277" s="41">
        <v>120000000</v>
      </c>
      <c r="C277" s="41">
        <v>2.7000000000000001E-3</v>
      </c>
      <c r="D277" s="41">
        <v>16</v>
      </c>
      <c r="E277" s="41">
        <v>30</v>
      </c>
      <c r="F277" s="41">
        <v>0</v>
      </c>
      <c r="G277" s="41" t="s">
        <v>103</v>
      </c>
      <c r="H277" s="41">
        <v>2</v>
      </c>
      <c r="I277" s="41">
        <v>1</v>
      </c>
      <c r="J277" s="108">
        <v>0</v>
      </c>
      <c r="K277" s="41">
        <v>0</v>
      </c>
      <c r="L277" s="41">
        <v>55</v>
      </c>
      <c r="M277" s="41">
        <v>-1</v>
      </c>
      <c r="N277" s="41">
        <v>4</v>
      </c>
      <c r="O277" s="110" t="s">
        <v>2363</v>
      </c>
      <c r="P277" s="109">
        <v>193523</v>
      </c>
      <c r="Q277" s="107"/>
      <c r="R277" s="111"/>
      <c r="S277" s="110"/>
      <c r="T277"/>
      <c r="U277"/>
      <c r="V277"/>
    </row>
    <row r="278" spans="1:22">
      <c r="A278" s="105">
        <v>1660</v>
      </c>
      <c r="B278" s="41">
        <v>120000000</v>
      </c>
      <c r="C278" s="41">
        <v>2.7000000000000001E-3</v>
      </c>
      <c r="D278" s="41">
        <v>22.627400000000002</v>
      </c>
      <c r="E278" s="41">
        <v>30</v>
      </c>
      <c r="F278" s="41">
        <v>0</v>
      </c>
      <c r="G278" s="41" t="s">
        <v>103</v>
      </c>
      <c r="H278" s="41">
        <v>2</v>
      </c>
      <c r="I278" s="41">
        <v>1</v>
      </c>
      <c r="J278" s="108">
        <v>0</v>
      </c>
      <c r="K278" s="41">
        <v>0</v>
      </c>
      <c r="L278" s="41">
        <v>55</v>
      </c>
      <c r="M278" s="41">
        <v>-1</v>
      </c>
      <c r="N278" s="41">
        <v>4</v>
      </c>
      <c r="O278" s="110" t="s">
        <v>2364</v>
      </c>
      <c r="P278" s="109">
        <v>193523</v>
      </c>
      <c r="Q278" s="107"/>
      <c r="R278" s="111"/>
      <c r="S278" s="110"/>
      <c r="T278"/>
      <c r="U278"/>
      <c r="V278"/>
    </row>
    <row r="279" spans="1:22">
      <c r="A279" s="105">
        <v>1661</v>
      </c>
      <c r="B279" s="41">
        <v>120000000</v>
      </c>
      <c r="C279" s="41">
        <v>2.7000000000000001E-3</v>
      </c>
      <c r="D279" s="41">
        <v>32</v>
      </c>
      <c r="E279" s="41">
        <v>30</v>
      </c>
      <c r="F279" s="41">
        <v>0</v>
      </c>
      <c r="G279" s="41" t="s">
        <v>103</v>
      </c>
      <c r="H279" s="41">
        <v>2</v>
      </c>
      <c r="I279" s="41">
        <v>1</v>
      </c>
      <c r="J279" s="108">
        <v>0</v>
      </c>
      <c r="K279" s="41">
        <v>0</v>
      </c>
      <c r="L279" s="41">
        <v>55</v>
      </c>
      <c r="M279" s="41">
        <v>-1</v>
      </c>
      <c r="N279" s="41">
        <v>4</v>
      </c>
      <c r="O279" s="110" t="s">
        <v>2365</v>
      </c>
      <c r="P279" s="109">
        <v>193523</v>
      </c>
      <c r="Q279" s="107"/>
      <c r="R279" s="111"/>
      <c r="S279" s="110"/>
      <c r="T279"/>
      <c r="U279"/>
      <c r="V279"/>
    </row>
    <row r="280" spans="1:22">
      <c r="A280" s="105">
        <v>1662</v>
      </c>
      <c r="B280" s="41">
        <v>120000000</v>
      </c>
      <c r="C280" s="41">
        <v>2.7000000000000001E-3</v>
      </c>
      <c r="D280" s="41">
        <v>45.254800000000003</v>
      </c>
      <c r="E280" s="41">
        <v>30</v>
      </c>
      <c r="F280" s="41">
        <v>0</v>
      </c>
      <c r="G280" s="41" t="s">
        <v>103</v>
      </c>
      <c r="H280" s="41">
        <v>2</v>
      </c>
      <c r="I280" s="41">
        <v>1</v>
      </c>
      <c r="J280" s="108">
        <v>0</v>
      </c>
      <c r="K280" s="41">
        <v>0</v>
      </c>
      <c r="L280" s="41">
        <v>55</v>
      </c>
      <c r="M280" s="41">
        <v>-1</v>
      </c>
      <c r="N280" s="41">
        <v>4</v>
      </c>
      <c r="O280" s="110" t="s">
        <v>2366</v>
      </c>
      <c r="P280" s="109">
        <v>193523</v>
      </c>
      <c r="Q280" s="107"/>
      <c r="R280" s="111"/>
      <c r="S280" s="110"/>
      <c r="T280"/>
      <c r="U280"/>
      <c r="V280"/>
    </row>
    <row r="281" spans="1:22">
      <c r="A281" s="105">
        <v>1663</v>
      </c>
      <c r="B281" s="41">
        <v>120000000</v>
      </c>
      <c r="C281" s="41">
        <v>2.8999999999999998E-3</v>
      </c>
      <c r="D281" s="41">
        <v>2.8283999999999998</v>
      </c>
      <c r="E281" s="41">
        <v>30</v>
      </c>
      <c r="F281" s="41">
        <v>0</v>
      </c>
      <c r="G281" s="41" t="s">
        <v>103</v>
      </c>
      <c r="H281" s="41">
        <v>2</v>
      </c>
      <c r="I281" s="41">
        <v>1</v>
      </c>
      <c r="J281" s="108">
        <v>0</v>
      </c>
      <c r="K281" s="41">
        <v>0</v>
      </c>
      <c r="L281" s="41">
        <v>55</v>
      </c>
      <c r="M281" s="41">
        <v>-1</v>
      </c>
      <c r="N281" s="41">
        <v>4</v>
      </c>
      <c r="O281" s="110" t="s">
        <v>2367</v>
      </c>
      <c r="P281" s="109">
        <v>193523</v>
      </c>
      <c r="Q281" s="107"/>
      <c r="R281" s="111"/>
      <c r="S281" s="110"/>
      <c r="T281"/>
      <c r="U281"/>
      <c r="V281"/>
    </row>
    <row r="282" spans="1:22">
      <c r="A282" s="105">
        <v>1664</v>
      </c>
      <c r="B282" s="41">
        <v>120000000</v>
      </c>
      <c r="C282" s="41">
        <v>2.8999999999999998E-3</v>
      </c>
      <c r="D282" s="41">
        <v>4</v>
      </c>
      <c r="E282" s="41">
        <v>30</v>
      </c>
      <c r="F282" s="41">
        <v>0</v>
      </c>
      <c r="G282" s="41" t="s">
        <v>103</v>
      </c>
      <c r="H282" s="41">
        <v>2</v>
      </c>
      <c r="I282" s="41">
        <v>1</v>
      </c>
      <c r="J282" s="108">
        <v>0</v>
      </c>
      <c r="K282" s="41">
        <v>0</v>
      </c>
      <c r="L282" s="41">
        <v>55</v>
      </c>
      <c r="M282" s="41">
        <v>-1</v>
      </c>
      <c r="N282" s="41">
        <v>4</v>
      </c>
      <c r="O282" s="110" t="s">
        <v>2368</v>
      </c>
      <c r="P282" s="109">
        <v>193523</v>
      </c>
      <c r="Q282" s="107"/>
      <c r="R282" s="111"/>
      <c r="S282" s="110"/>
      <c r="T282"/>
      <c r="U282"/>
      <c r="V282"/>
    </row>
    <row r="283" spans="1:22">
      <c r="A283" s="105">
        <v>1665</v>
      </c>
      <c r="B283" s="41">
        <v>120000000</v>
      </c>
      <c r="C283" s="41">
        <v>2.8999999999999998E-3</v>
      </c>
      <c r="D283" s="41">
        <v>5.6569000000000003</v>
      </c>
      <c r="E283" s="41">
        <v>30</v>
      </c>
      <c r="F283" s="41">
        <v>0</v>
      </c>
      <c r="G283" s="41" t="s">
        <v>103</v>
      </c>
      <c r="H283" s="41">
        <v>2</v>
      </c>
      <c r="I283" s="41">
        <v>1</v>
      </c>
      <c r="J283" s="108">
        <v>0</v>
      </c>
      <c r="K283" s="41">
        <v>0</v>
      </c>
      <c r="L283" s="41">
        <v>55</v>
      </c>
      <c r="M283" s="41">
        <v>-1</v>
      </c>
      <c r="N283" s="41">
        <v>4</v>
      </c>
      <c r="O283" s="110" t="s">
        <v>2369</v>
      </c>
      <c r="P283" s="109">
        <v>193523</v>
      </c>
      <c r="Q283" s="107"/>
      <c r="R283" s="111"/>
      <c r="S283" s="110"/>
      <c r="T283"/>
      <c r="U283"/>
      <c r="V283"/>
    </row>
    <row r="284" spans="1:22">
      <c r="A284" s="105">
        <v>1666</v>
      </c>
      <c r="B284" s="41">
        <v>120000000</v>
      </c>
      <c r="C284" s="41">
        <v>2.8999999999999998E-3</v>
      </c>
      <c r="D284" s="41">
        <v>8</v>
      </c>
      <c r="E284" s="41">
        <v>30</v>
      </c>
      <c r="F284" s="41">
        <v>0</v>
      </c>
      <c r="G284" s="41" t="s">
        <v>103</v>
      </c>
      <c r="H284" s="41">
        <v>2</v>
      </c>
      <c r="I284" s="41">
        <v>1</v>
      </c>
      <c r="J284" s="108">
        <v>0</v>
      </c>
      <c r="K284" s="41">
        <v>0</v>
      </c>
      <c r="L284" s="41">
        <v>55</v>
      </c>
      <c r="M284" s="41">
        <v>-1</v>
      </c>
      <c r="N284" s="41">
        <v>4</v>
      </c>
      <c r="O284" s="110" t="s">
        <v>2370</v>
      </c>
      <c r="P284" s="109">
        <v>193523</v>
      </c>
      <c r="Q284" s="107"/>
      <c r="R284" s="111"/>
      <c r="S284" s="110"/>
      <c r="T284"/>
      <c r="U284"/>
      <c r="V284"/>
    </row>
    <row r="285" spans="1:22">
      <c r="A285" s="105">
        <v>1667</v>
      </c>
      <c r="B285" s="41">
        <v>120000000</v>
      </c>
      <c r="C285" s="41">
        <v>2.8999999999999998E-3</v>
      </c>
      <c r="D285" s="41">
        <v>11.313700000000001</v>
      </c>
      <c r="E285" s="41">
        <v>30</v>
      </c>
      <c r="F285" s="41">
        <v>0</v>
      </c>
      <c r="G285" s="41" t="s">
        <v>103</v>
      </c>
      <c r="H285" s="41">
        <v>2</v>
      </c>
      <c r="I285" s="41">
        <v>1</v>
      </c>
      <c r="J285" s="108">
        <v>0</v>
      </c>
      <c r="K285" s="41">
        <v>0</v>
      </c>
      <c r="L285" s="41">
        <v>55</v>
      </c>
      <c r="M285" s="41">
        <v>-1</v>
      </c>
      <c r="N285" s="41">
        <v>4</v>
      </c>
      <c r="O285" s="110" t="s">
        <v>2371</v>
      </c>
      <c r="P285" s="109">
        <v>193523</v>
      </c>
      <c r="Q285" s="107"/>
      <c r="R285" s="111"/>
      <c r="S285" s="110"/>
      <c r="T285"/>
      <c r="U285"/>
      <c r="V285"/>
    </row>
    <row r="286" spans="1:22">
      <c r="A286" s="105">
        <v>1668</v>
      </c>
      <c r="B286" s="41">
        <v>120000000</v>
      </c>
      <c r="C286" s="41">
        <v>2.8999999999999998E-3</v>
      </c>
      <c r="D286" s="41">
        <v>16</v>
      </c>
      <c r="E286" s="41">
        <v>30</v>
      </c>
      <c r="F286" s="41">
        <v>0</v>
      </c>
      <c r="G286" s="41" t="s">
        <v>103</v>
      </c>
      <c r="H286" s="41">
        <v>2</v>
      </c>
      <c r="I286" s="41">
        <v>1</v>
      </c>
      <c r="J286" s="108">
        <v>0</v>
      </c>
      <c r="K286" s="41">
        <v>0</v>
      </c>
      <c r="L286" s="41">
        <v>55</v>
      </c>
      <c r="M286" s="41">
        <v>-1</v>
      </c>
      <c r="N286" s="41">
        <v>4</v>
      </c>
      <c r="O286" s="110" t="s">
        <v>2372</v>
      </c>
      <c r="P286" s="109">
        <v>193523</v>
      </c>
      <c r="Q286" s="107"/>
      <c r="R286" s="111"/>
      <c r="S286" s="110"/>
      <c r="T286"/>
      <c r="U286"/>
      <c r="V286"/>
    </row>
    <row r="287" spans="1:22">
      <c r="A287" s="105">
        <v>1669</v>
      </c>
      <c r="B287" s="41">
        <v>120000000</v>
      </c>
      <c r="C287" s="41">
        <v>2.8999999999999998E-3</v>
      </c>
      <c r="D287" s="41">
        <v>22.627400000000002</v>
      </c>
      <c r="E287" s="41">
        <v>30</v>
      </c>
      <c r="F287" s="41">
        <v>0</v>
      </c>
      <c r="G287" s="41" t="s">
        <v>103</v>
      </c>
      <c r="H287" s="41">
        <v>2</v>
      </c>
      <c r="I287" s="41">
        <v>1</v>
      </c>
      <c r="J287" s="108">
        <v>0</v>
      </c>
      <c r="K287" s="41">
        <v>0</v>
      </c>
      <c r="L287" s="41">
        <v>55</v>
      </c>
      <c r="M287" s="41">
        <v>-1</v>
      </c>
      <c r="N287" s="41">
        <v>4</v>
      </c>
      <c r="O287" s="110" t="s">
        <v>2373</v>
      </c>
      <c r="P287" s="109">
        <v>193523</v>
      </c>
      <c r="Q287" s="107"/>
      <c r="R287" s="111"/>
      <c r="S287" s="110"/>
      <c r="T287"/>
      <c r="U287"/>
      <c r="V287"/>
    </row>
    <row r="288" spans="1:22">
      <c r="A288" s="105">
        <v>1670</v>
      </c>
      <c r="B288" s="41">
        <v>120000000</v>
      </c>
      <c r="C288" s="41">
        <v>2.8999999999999998E-3</v>
      </c>
      <c r="D288" s="41">
        <v>32</v>
      </c>
      <c r="E288" s="41">
        <v>30</v>
      </c>
      <c r="F288" s="41">
        <v>0</v>
      </c>
      <c r="G288" s="41" t="s">
        <v>103</v>
      </c>
      <c r="H288" s="41">
        <v>2</v>
      </c>
      <c r="I288" s="41">
        <v>1</v>
      </c>
      <c r="J288" s="108">
        <v>0</v>
      </c>
      <c r="K288" s="41">
        <v>0</v>
      </c>
      <c r="L288" s="41">
        <v>55</v>
      </c>
      <c r="M288" s="41">
        <v>-1</v>
      </c>
      <c r="N288" s="41">
        <v>4</v>
      </c>
      <c r="O288" s="110" t="s">
        <v>2374</v>
      </c>
      <c r="P288" s="109">
        <v>193523</v>
      </c>
      <c r="Q288" s="107"/>
      <c r="R288" s="111"/>
      <c r="S288" s="110"/>
      <c r="T288"/>
      <c r="U288"/>
      <c r="V288"/>
    </row>
    <row r="289" spans="1:22">
      <c r="A289" s="105">
        <v>1671</v>
      </c>
      <c r="B289" s="41">
        <v>120000000</v>
      </c>
      <c r="C289" s="41">
        <v>2.8999999999999998E-3</v>
      </c>
      <c r="D289" s="41">
        <v>45.254800000000003</v>
      </c>
      <c r="E289" s="41">
        <v>30</v>
      </c>
      <c r="F289" s="41">
        <v>0</v>
      </c>
      <c r="G289" s="41" t="s">
        <v>103</v>
      </c>
      <c r="H289" s="41">
        <v>2</v>
      </c>
      <c r="I289" s="41">
        <v>1</v>
      </c>
      <c r="J289" s="108">
        <v>0</v>
      </c>
      <c r="K289" s="41">
        <v>0</v>
      </c>
      <c r="L289" s="41">
        <v>55</v>
      </c>
      <c r="M289" s="41">
        <v>-1</v>
      </c>
      <c r="N289" s="41">
        <v>4</v>
      </c>
      <c r="O289" s="110" t="s">
        <v>2375</v>
      </c>
      <c r="P289" s="109">
        <v>193523</v>
      </c>
      <c r="Q289" s="107"/>
      <c r="R289" s="111"/>
      <c r="S289" s="110"/>
      <c r="T289"/>
      <c r="U289"/>
      <c r="V289"/>
    </row>
    <row r="290" spans="1:22">
      <c r="A290" s="105">
        <v>1672</v>
      </c>
      <c r="B290" s="41">
        <v>120000000</v>
      </c>
      <c r="C290" s="41">
        <v>3.2000000000000002E-3</v>
      </c>
      <c r="D290" s="41">
        <v>4</v>
      </c>
      <c r="E290" s="41">
        <v>30</v>
      </c>
      <c r="F290" s="41">
        <v>0</v>
      </c>
      <c r="G290" s="41" t="s">
        <v>103</v>
      </c>
      <c r="H290" s="41">
        <v>2</v>
      </c>
      <c r="I290" s="41">
        <v>1</v>
      </c>
      <c r="J290" s="108">
        <v>0</v>
      </c>
      <c r="K290" s="41">
        <v>0</v>
      </c>
      <c r="L290" s="41">
        <v>55</v>
      </c>
      <c r="M290" s="41">
        <v>-1</v>
      </c>
      <c r="N290" s="41">
        <v>4</v>
      </c>
      <c r="O290" s="110" t="s">
        <v>2376</v>
      </c>
      <c r="P290" s="109">
        <v>193523</v>
      </c>
      <c r="Q290" s="107"/>
      <c r="R290" s="111"/>
      <c r="S290" s="110"/>
      <c r="T290"/>
      <c r="U290"/>
      <c r="V290"/>
    </row>
    <row r="291" spans="1:22">
      <c r="A291" s="105">
        <v>1673</v>
      </c>
      <c r="B291" s="41">
        <v>120000000</v>
      </c>
      <c r="C291" s="41">
        <v>3.2000000000000002E-3</v>
      </c>
      <c r="D291" s="41">
        <v>5.6569000000000003</v>
      </c>
      <c r="E291" s="41">
        <v>30</v>
      </c>
      <c r="F291" s="41">
        <v>0</v>
      </c>
      <c r="G291" s="41" t="s">
        <v>103</v>
      </c>
      <c r="H291" s="41">
        <v>2</v>
      </c>
      <c r="I291" s="41">
        <v>1</v>
      </c>
      <c r="J291" s="108">
        <v>0</v>
      </c>
      <c r="K291" s="41">
        <v>0</v>
      </c>
      <c r="L291" s="41">
        <v>55</v>
      </c>
      <c r="M291" s="41">
        <v>-1</v>
      </c>
      <c r="N291" s="41">
        <v>4</v>
      </c>
      <c r="O291" s="110" t="s">
        <v>2377</v>
      </c>
      <c r="P291" s="109">
        <v>193523</v>
      </c>
      <c r="Q291" s="107"/>
      <c r="R291" s="111"/>
      <c r="S291" s="110"/>
      <c r="T291"/>
      <c r="U291"/>
      <c r="V291"/>
    </row>
    <row r="292" spans="1:22">
      <c r="A292" s="105">
        <v>1674</v>
      </c>
      <c r="B292" s="41">
        <v>120000000</v>
      </c>
      <c r="C292" s="41">
        <v>3.2000000000000002E-3</v>
      </c>
      <c r="D292" s="41">
        <v>8</v>
      </c>
      <c r="E292" s="41">
        <v>30</v>
      </c>
      <c r="F292" s="41">
        <v>0</v>
      </c>
      <c r="G292" s="41" t="s">
        <v>103</v>
      </c>
      <c r="H292" s="41">
        <v>2</v>
      </c>
      <c r="I292" s="41">
        <v>1</v>
      </c>
      <c r="J292" s="108">
        <v>0</v>
      </c>
      <c r="K292" s="41">
        <v>0</v>
      </c>
      <c r="L292" s="41">
        <v>55</v>
      </c>
      <c r="M292" s="41">
        <v>-1</v>
      </c>
      <c r="N292" s="41">
        <v>4</v>
      </c>
      <c r="O292" s="110" t="s">
        <v>2378</v>
      </c>
      <c r="P292" s="109">
        <v>193523</v>
      </c>
      <c r="Q292" s="107"/>
      <c r="R292" s="111"/>
      <c r="S292" s="110"/>
      <c r="T292"/>
      <c r="U292"/>
      <c r="V292"/>
    </row>
    <row r="293" spans="1:22">
      <c r="A293" s="105">
        <v>1675</v>
      </c>
      <c r="B293" s="41">
        <v>120000000</v>
      </c>
      <c r="C293" s="41">
        <v>3.2000000000000002E-3</v>
      </c>
      <c r="D293" s="41">
        <v>11.313700000000001</v>
      </c>
      <c r="E293" s="41">
        <v>30</v>
      </c>
      <c r="F293" s="41">
        <v>0</v>
      </c>
      <c r="G293" s="41" t="s">
        <v>103</v>
      </c>
      <c r="H293" s="41">
        <v>2</v>
      </c>
      <c r="I293" s="41">
        <v>1</v>
      </c>
      <c r="J293" s="108">
        <v>0</v>
      </c>
      <c r="K293" s="41">
        <v>0</v>
      </c>
      <c r="L293" s="41">
        <v>55</v>
      </c>
      <c r="M293" s="41">
        <v>-1</v>
      </c>
      <c r="N293" s="41">
        <v>4</v>
      </c>
      <c r="O293" s="110" t="s">
        <v>2379</v>
      </c>
      <c r="P293" s="109">
        <v>193523</v>
      </c>
      <c r="Q293" s="107"/>
      <c r="R293" s="111"/>
      <c r="S293" s="110"/>
      <c r="T293"/>
      <c r="U293"/>
      <c r="V293"/>
    </row>
    <row r="294" spans="1:22">
      <c r="A294" s="105">
        <v>1676</v>
      </c>
      <c r="B294" s="41">
        <v>120000000</v>
      </c>
      <c r="C294" s="41">
        <v>3.2000000000000002E-3</v>
      </c>
      <c r="D294" s="41">
        <v>16</v>
      </c>
      <c r="E294" s="41">
        <v>30</v>
      </c>
      <c r="F294" s="41">
        <v>0</v>
      </c>
      <c r="G294" s="41" t="s">
        <v>103</v>
      </c>
      <c r="H294" s="41">
        <v>2</v>
      </c>
      <c r="I294" s="41">
        <v>1</v>
      </c>
      <c r="J294" s="108">
        <v>0</v>
      </c>
      <c r="K294" s="41">
        <v>0</v>
      </c>
      <c r="L294" s="41">
        <v>55</v>
      </c>
      <c r="M294" s="41">
        <v>-1</v>
      </c>
      <c r="N294" s="41">
        <v>4</v>
      </c>
      <c r="O294" s="110" t="s">
        <v>2380</v>
      </c>
      <c r="P294" s="109">
        <v>193523</v>
      </c>
      <c r="Q294" s="107"/>
      <c r="R294" s="111"/>
      <c r="S294" s="110"/>
      <c r="T294"/>
      <c r="U294"/>
      <c r="V294"/>
    </row>
    <row r="295" spans="1:22">
      <c r="A295" s="105">
        <v>1677</v>
      </c>
      <c r="B295" s="41">
        <v>120000000</v>
      </c>
      <c r="C295" s="41">
        <v>3.2000000000000002E-3</v>
      </c>
      <c r="D295" s="41">
        <v>22.627400000000002</v>
      </c>
      <c r="E295" s="41">
        <v>30</v>
      </c>
      <c r="F295" s="41">
        <v>0</v>
      </c>
      <c r="G295" s="41" t="s">
        <v>103</v>
      </c>
      <c r="H295" s="41">
        <v>2</v>
      </c>
      <c r="I295" s="41">
        <v>1</v>
      </c>
      <c r="J295" s="108">
        <v>0</v>
      </c>
      <c r="K295" s="41">
        <v>0</v>
      </c>
      <c r="L295" s="41">
        <v>55</v>
      </c>
      <c r="M295" s="41">
        <v>-1</v>
      </c>
      <c r="N295" s="41">
        <v>4</v>
      </c>
      <c r="O295" s="110" t="s">
        <v>2381</v>
      </c>
      <c r="P295" s="109">
        <v>193523</v>
      </c>
      <c r="Q295" s="107"/>
      <c r="R295" s="111"/>
      <c r="S295" s="110"/>
      <c r="T295"/>
      <c r="U295"/>
      <c r="V295"/>
    </row>
    <row r="296" spans="1:22">
      <c r="A296" s="105">
        <v>1678</v>
      </c>
      <c r="B296" s="41">
        <v>120000000</v>
      </c>
      <c r="C296" s="41">
        <v>3.2000000000000002E-3</v>
      </c>
      <c r="D296" s="41">
        <v>32</v>
      </c>
      <c r="E296" s="41">
        <v>30</v>
      </c>
      <c r="F296" s="41">
        <v>0</v>
      </c>
      <c r="G296" s="41" t="s">
        <v>103</v>
      </c>
      <c r="H296" s="41">
        <v>2</v>
      </c>
      <c r="I296" s="41">
        <v>1</v>
      </c>
      <c r="J296" s="108">
        <v>0</v>
      </c>
      <c r="K296" s="41">
        <v>0</v>
      </c>
      <c r="L296" s="41">
        <v>55</v>
      </c>
      <c r="M296" s="41">
        <v>-1</v>
      </c>
      <c r="N296" s="41">
        <v>4</v>
      </c>
      <c r="O296" s="110" t="s">
        <v>2382</v>
      </c>
      <c r="P296" s="109">
        <v>193523</v>
      </c>
      <c r="Q296" s="107"/>
      <c r="R296" s="111"/>
      <c r="S296" s="110"/>
      <c r="T296"/>
      <c r="U296"/>
      <c r="V296"/>
    </row>
    <row r="297" spans="1:22">
      <c r="A297" s="105">
        <v>1679</v>
      </c>
      <c r="B297" s="41">
        <v>120000000</v>
      </c>
      <c r="C297" s="41">
        <v>3.2000000000000002E-3</v>
      </c>
      <c r="D297" s="41">
        <v>45.254800000000003</v>
      </c>
      <c r="E297" s="41">
        <v>30</v>
      </c>
      <c r="F297" s="41">
        <v>0</v>
      </c>
      <c r="G297" s="41" t="s">
        <v>103</v>
      </c>
      <c r="H297" s="41">
        <v>2</v>
      </c>
      <c r="I297" s="41">
        <v>1</v>
      </c>
      <c r="J297" s="108">
        <v>0</v>
      </c>
      <c r="K297" s="41">
        <v>0</v>
      </c>
      <c r="L297" s="41">
        <v>55</v>
      </c>
      <c r="M297" s="41">
        <v>-1</v>
      </c>
      <c r="N297" s="41">
        <v>4</v>
      </c>
      <c r="O297" s="110" t="s">
        <v>2383</v>
      </c>
      <c r="P297" s="109">
        <v>193523</v>
      </c>
      <c r="Q297" s="107"/>
      <c r="R297" s="111"/>
      <c r="S297" s="110"/>
      <c r="T297"/>
      <c r="U297"/>
      <c r="V297"/>
    </row>
    <row r="298" spans="1:22">
      <c r="A298" s="105">
        <v>1680</v>
      </c>
      <c r="B298" s="41">
        <v>120000000</v>
      </c>
      <c r="C298" s="41">
        <v>3.5000000000000001E-3</v>
      </c>
      <c r="D298" s="41">
        <v>4</v>
      </c>
      <c r="E298" s="41">
        <v>30</v>
      </c>
      <c r="F298" s="41">
        <v>0</v>
      </c>
      <c r="G298" s="41" t="s">
        <v>103</v>
      </c>
      <c r="H298" s="41">
        <v>2</v>
      </c>
      <c r="I298" s="41">
        <v>1</v>
      </c>
      <c r="J298" s="108">
        <v>0</v>
      </c>
      <c r="K298" s="41">
        <v>0</v>
      </c>
      <c r="L298" s="41">
        <v>55</v>
      </c>
      <c r="M298" s="41">
        <v>-1</v>
      </c>
      <c r="N298" s="41">
        <v>4</v>
      </c>
      <c r="O298" s="110" t="s">
        <v>2384</v>
      </c>
      <c r="P298" s="109">
        <v>193523</v>
      </c>
      <c r="Q298" s="107"/>
      <c r="R298" s="111"/>
      <c r="S298" s="110"/>
      <c r="T298"/>
      <c r="U298"/>
      <c r="V298"/>
    </row>
    <row r="299" spans="1:22">
      <c r="A299" s="105">
        <v>1681</v>
      </c>
      <c r="B299" s="41">
        <v>120000000</v>
      </c>
      <c r="C299" s="41">
        <v>3.5000000000000001E-3</v>
      </c>
      <c r="D299" s="41">
        <v>5.6569000000000003</v>
      </c>
      <c r="E299" s="41">
        <v>30</v>
      </c>
      <c r="F299" s="41">
        <v>0</v>
      </c>
      <c r="G299" s="41" t="s">
        <v>103</v>
      </c>
      <c r="H299" s="41">
        <v>2</v>
      </c>
      <c r="I299" s="41">
        <v>1</v>
      </c>
      <c r="J299" s="108">
        <v>0</v>
      </c>
      <c r="K299" s="41">
        <v>0</v>
      </c>
      <c r="L299" s="41">
        <v>55</v>
      </c>
      <c r="M299" s="41">
        <v>-1</v>
      </c>
      <c r="N299" s="41">
        <v>4</v>
      </c>
      <c r="O299" s="110" t="s">
        <v>2385</v>
      </c>
      <c r="P299" s="109">
        <v>193523</v>
      </c>
      <c r="Q299" s="107"/>
      <c r="R299" s="111"/>
      <c r="S299" s="110"/>
      <c r="T299"/>
      <c r="U299"/>
      <c r="V299"/>
    </row>
    <row r="300" spans="1:22">
      <c r="A300" s="105">
        <v>1682</v>
      </c>
      <c r="B300" s="41">
        <v>120000000</v>
      </c>
      <c r="C300" s="41">
        <v>3.5000000000000001E-3</v>
      </c>
      <c r="D300" s="41">
        <v>8</v>
      </c>
      <c r="E300" s="41">
        <v>30</v>
      </c>
      <c r="F300" s="41">
        <v>0</v>
      </c>
      <c r="G300" s="41" t="s">
        <v>103</v>
      </c>
      <c r="H300" s="41">
        <v>2</v>
      </c>
      <c r="I300" s="41">
        <v>1</v>
      </c>
      <c r="J300" s="108">
        <v>0</v>
      </c>
      <c r="K300" s="41">
        <v>0</v>
      </c>
      <c r="L300" s="41">
        <v>55</v>
      </c>
      <c r="M300" s="41">
        <v>-1</v>
      </c>
      <c r="N300" s="41">
        <v>4</v>
      </c>
      <c r="O300" s="110" t="s">
        <v>2386</v>
      </c>
      <c r="P300" s="109">
        <v>193523</v>
      </c>
      <c r="Q300" s="107"/>
      <c r="R300" s="111"/>
      <c r="S300" s="110"/>
      <c r="T300"/>
      <c r="U300"/>
      <c r="V300"/>
    </row>
    <row r="301" spans="1:22">
      <c r="A301" s="105">
        <v>1683</v>
      </c>
      <c r="B301" s="41">
        <v>120000000</v>
      </c>
      <c r="C301" s="41">
        <v>3.5000000000000001E-3</v>
      </c>
      <c r="D301" s="41">
        <v>11.313700000000001</v>
      </c>
      <c r="E301" s="41">
        <v>30</v>
      </c>
      <c r="F301" s="41">
        <v>0</v>
      </c>
      <c r="G301" s="41" t="s">
        <v>103</v>
      </c>
      <c r="H301" s="41">
        <v>2</v>
      </c>
      <c r="I301" s="41">
        <v>1</v>
      </c>
      <c r="J301" s="108">
        <v>0</v>
      </c>
      <c r="K301" s="41">
        <v>0</v>
      </c>
      <c r="L301" s="41">
        <v>55</v>
      </c>
      <c r="M301" s="41">
        <v>-1</v>
      </c>
      <c r="N301" s="41">
        <v>4</v>
      </c>
      <c r="O301" s="110" t="s">
        <v>2387</v>
      </c>
      <c r="P301" s="109">
        <v>193523</v>
      </c>
      <c r="Q301" s="107"/>
      <c r="R301" s="111"/>
      <c r="S301" s="110"/>
      <c r="T301"/>
      <c r="U301"/>
      <c r="V301"/>
    </row>
    <row r="302" spans="1:22">
      <c r="A302" s="105">
        <v>1684</v>
      </c>
      <c r="B302" s="41">
        <v>120000000</v>
      </c>
      <c r="C302" s="41">
        <v>3.5000000000000001E-3</v>
      </c>
      <c r="D302" s="41">
        <v>16</v>
      </c>
      <c r="E302" s="41">
        <v>30</v>
      </c>
      <c r="F302" s="41">
        <v>0</v>
      </c>
      <c r="G302" s="41" t="s">
        <v>103</v>
      </c>
      <c r="H302" s="41">
        <v>2</v>
      </c>
      <c r="I302" s="41">
        <v>1</v>
      </c>
      <c r="J302" s="108">
        <v>0</v>
      </c>
      <c r="K302" s="41">
        <v>0</v>
      </c>
      <c r="L302" s="41">
        <v>55</v>
      </c>
      <c r="M302" s="41">
        <v>-1</v>
      </c>
      <c r="N302" s="41">
        <v>4</v>
      </c>
      <c r="O302" s="110" t="s">
        <v>2388</v>
      </c>
      <c r="P302" s="109">
        <v>193523</v>
      </c>
      <c r="Q302" s="107"/>
      <c r="R302" s="111"/>
      <c r="S302" s="110"/>
      <c r="T302"/>
      <c r="U302"/>
      <c r="V302"/>
    </row>
    <row r="303" spans="1:22">
      <c r="A303" s="105">
        <v>1685</v>
      </c>
      <c r="B303" s="41">
        <v>120000000</v>
      </c>
      <c r="C303" s="41">
        <v>3.5000000000000001E-3</v>
      </c>
      <c r="D303" s="41">
        <v>22.627400000000002</v>
      </c>
      <c r="E303" s="41">
        <v>30</v>
      </c>
      <c r="F303" s="41">
        <v>0</v>
      </c>
      <c r="G303" s="41" t="s">
        <v>103</v>
      </c>
      <c r="H303" s="41">
        <v>2</v>
      </c>
      <c r="I303" s="41">
        <v>1</v>
      </c>
      <c r="J303" s="108">
        <v>0</v>
      </c>
      <c r="K303" s="41">
        <v>0</v>
      </c>
      <c r="L303" s="41">
        <v>55</v>
      </c>
      <c r="M303" s="41">
        <v>-1</v>
      </c>
      <c r="N303" s="41">
        <v>4</v>
      </c>
      <c r="O303" s="110" t="s">
        <v>2389</v>
      </c>
      <c r="P303" s="109">
        <v>193523</v>
      </c>
      <c r="Q303" s="107"/>
      <c r="R303" s="111"/>
      <c r="S303" s="110"/>
      <c r="T303"/>
      <c r="U303"/>
      <c r="V303"/>
    </row>
    <row r="304" spans="1:22">
      <c r="A304" s="105">
        <v>1686</v>
      </c>
      <c r="B304" s="41">
        <v>120000000</v>
      </c>
      <c r="C304" s="41">
        <v>3.5000000000000001E-3</v>
      </c>
      <c r="D304" s="41">
        <v>32</v>
      </c>
      <c r="E304" s="41">
        <v>30</v>
      </c>
      <c r="F304" s="41">
        <v>0</v>
      </c>
      <c r="G304" s="41" t="s">
        <v>103</v>
      </c>
      <c r="H304" s="41">
        <v>2</v>
      </c>
      <c r="I304" s="41">
        <v>1</v>
      </c>
      <c r="J304" s="108">
        <v>0</v>
      </c>
      <c r="K304" s="41">
        <v>0</v>
      </c>
      <c r="L304" s="41">
        <v>55</v>
      </c>
      <c r="M304" s="41">
        <v>-1</v>
      </c>
      <c r="N304" s="41">
        <v>4</v>
      </c>
      <c r="O304" s="110" t="s">
        <v>2390</v>
      </c>
      <c r="P304" s="109">
        <v>193523</v>
      </c>
      <c r="Q304" s="107"/>
      <c r="R304" s="111"/>
      <c r="S304" s="110"/>
      <c r="T304"/>
      <c r="U304"/>
      <c r="V304"/>
    </row>
    <row r="305" spans="1:22">
      <c r="A305" s="105">
        <v>1687</v>
      </c>
      <c r="B305" s="41">
        <v>120000000</v>
      </c>
      <c r="C305" s="41">
        <v>3.5000000000000001E-3</v>
      </c>
      <c r="D305" s="41">
        <v>45.254800000000003</v>
      </c>
      <c r="E305" s="41">
        <v>30</v>
      </c>
      <c r="F305" s="41">
        <v>0</v>
      </c>
      <c r="G305" s="41" t="s">
        <v>103</v>
      </c>
      <c r="H305" s="41">
        <v>2</v>
      </c>
      <c r="I305" s="41">
        <v>1</v>
      </c>
      <c r="J305" s="108">
        <v>0</v>
      </c>
      <c r="K305" s="41">
        <v>0</v>
      </c>
      <c r="L305" s="41">
        <v>55</v>
      </c>
      <c r="M305" s="41">
        <v>-1</v>
      </c>
      <c r="N305" s="41">
        <v>4</v>
      </c>
      <c r="O305" s="110" t="s">
        <v>2391</v>
      </c>
      <c r="P305" s="109">
        <v>193523</v>
      </c>
      <c r="Q305" s="107"/>
      <c r="R305" s="111"/>
      <c r="S305" s="110"/>
      <c r="T305"/>
      <c r="U305"/>
      <c r="V305"/>
    </row>
    <row r="306" spans="1:22">
      <c r="A306" s="105">
        <v>1688</v>
      </c>
      <c r="B306" s="41">
        <v>120000000</v>
      </c>
      <c r="C306" s="41">
        <v>3.8E-3</v>
      </c>
      <c r="D306" s="41">
        <v>5.6569000000000003</v>
      </c>
      <c r="E306" s="41">
        <v>30</v>
      </c>
      <c r="F306" s="41">
        <v>0</v>
      </c>
      <c r="G306" s="41" t="s">
        <v>103</v>
      </c>
      <c r="H306" s="41">
        <v>2</v>
      </c>
      <c r="I306" s="41">
        <v>1</v>
      </c>
      <c r="J306" s="108">
        <v>0</v>
      </c>
      <c r="K306" s="41">
        <v>0</v>
      </c>
      <c r="L306" s="41">
        <v>55</v>
      </c>
      <c r="M306" s="41">
        <v>-1</v>
      </c>
      <c r="N306" s="41">
        <v>4</v>
      </c>
      <c r="O306" s="110" t="s">
        <v>2392</v>
      </c>
      <c r="P306" s="109">
        <v>193523</v>
      </c>
      <c r="Q306" s="107"/>
      <c r="R306" s="111"/>
      <c r="S306" s="110"/>
      <c r="T306"/>
      <c r="U306"/>
      <c r="V306"/>
    </row>
    <row r="307" spans="1:22">
      <c r="A307" s="105">
        <v>1689</v>
      </c>
      <c r="B307" s="41">
        <v>120000000</v>
      </c>
      <c r="C307" s="41">
        <v>3.8E-3</v>
      </c>
      <c r="D307" s="41">
        <v>8</v>
      </c>
      <c r="E307" s="41">
        <v>30</v>
      </c>
      <c r="F307" s="41">
        <v>0</v>
      </c>
      <c r="G307" s="41" t="s">
        <v>103</v>
      </c>
      <c r="H307" s="41">
        <v>2</v>
      </c>
      <c r="I307" s="41">
        <v>1</v>
      </c>
      <c r="J307" s="108">
        <v>0</v>
      </c>
      <c r="K307" s="41">
        <v>0</v>
      </c>
      <c r="L307" s="41">
        <v>55</v>
      </c>
      <c r="M307" s="41">
        <v>-1</v>
      </c>
      <c r="N307" s="41">
        <v>4</v>
      </c>
      <c r="O307" s="110" t="s">
        <v>2393</v>
      </c>
      <c r="P307" s="109">
        <v>193523</v>
      </c>
      <c r="Q307" s="107"/>
      <c r="R307" s="111"/>
      <c r="S307" s="110"/>
      <c r="T307"/>
      <c r="U307"/>
      <c r="V307"/>
    </row>
    <row r="308" spans="1:22">
      <c r="A308" s="105">
        <v>1690</v>
      </c>
      <c r="B308" s="41">
        <v>120000000</v>
      </c>
      <c r="C308" s="41">
        <v>3.8E-3</v>
      </c>
      <c r="D308" s="41">
        <v>11.313700000000001</v>
      </c>
      <c r="E308" s="41">
        <v>30</v>
      </c>
      <c r="F308" s="41">
        <v>0</v>
      </c>
      <c r="G308" s="41" t="s">
        <v>103</v>
      </c>
      <c r="H308" s="41">
        <v>2</v>
      </c>
      <c r="I308" s="41">
        <v>1</v>
      </c>
      <c r="J308" s="108">
        <v>0</v>
      </c>
      <c r="K308" s="41">
        <v>0</v>
      </c>
      <c r="L308" s="41">
        <v>55</v>
      </c>
      <c r="M308" s="41">
        <v>-1</v>
      </c>
      <c r="N308" s="41">
        <v>4</v>
      </c>
      <c r="O308" s="110" t="s">
        <v>2394</v>
      </c>
      <c r="P308" s="109">
        <v>193523</v>
      </c>
      <c r="Q308" s="107"/>
      <c r="R308" s="111"/>
      <c r="S308" s="110"/>
      <c r="T308"/>
      <c r="U308"/>
      <c r="V308"/>
    </row>
    <row r="309" spans="1:22">
      <c r="A309" s="105">
        <v>1691</v>
      </c>
      <c r="B309" s="41">
        <v>120000000</v>
      </c>
      <c r="C309" s="41">
        <v>3.8E-3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2</v>
      </c>
      <c r="I309" s="41">
        <v>1</v>
      </c>
      <c r="J309" s="108">
        <v>0</v>
      </c>
      <c r="K309" s="41">
        <v>0</v>
      </c>
      <c r="L309" s="41">
        <v>55</v>
      </c>
      <c r="M309" s="41">
        <v>-1</v>
      </c>
      <c r="N309" s="41">
        <v>4</v>
      </c>
      <c r="O309" s="110" t="s">
        <v>2395</v>
      </c>
      <c r="P309" s="109">
        <v>193523</v>
      </c>
      <c r="Q309" s="107"/>
      <c r="R309" s="111"/>
      <c r="S309" s="110"/>
      <c r="T309"/>
      <c r="U309"/>
      <c r="V309"/>
    </row>
    <row r="310" spans="1:22">
      <c r="A310" s="105">
        <v>1692</v>
      </c>
      <c r="B310" s="41">
        <v>120000000</v>
      </c>
      <c r="C310" s="41">
        <v>3.8E-3</v>
      </c>
      <c r="D310" s="41">
        <v>22.627400000000002</v>
      </c>
      <c r="E310" s="41">
        <v>30</v>
      </c>
      <c r="F310" s="41">
        <v>0</v>
      </c>
      <c r="G310" s="41" t="s">
        <v>103</v>
      </c>
      <c r="H310" s="41">
        <v>2</v>
      </c>
      <c r="I310" s="41">
        <v>1</v>
      </c>
      <c r="J310" s="108">
        <v>0</v>
      </c>
      <c r="K310" s="41">
        <v>0</v>
      </c>
      <c r="L310" s="41">
        <v>55</v>
      </c>
      <c r="M310" s="41">
        <v>-1</v>
      </c>
      <c r="N310" s="41">
        <v>4</v>
      </c>
      <c r="O310" s="110" t="s">
        <v>2396</v>
      </c>
      <c r="P310" s="109">
        <v>193523</v>
      </c>
      <c r="Q310" s="107"/>
      <c r="R310" s="111"/>
      <c r="S310" s="110"/>
      <c r="T310"/>
      <c r="U310"/>
      <c r="V310"/>
    </row>
    <row r="311" spans="1:22">
      <c r="A311" s="105">
        <v>1693</v>
      </c>
      <c r="B311" s="41">
        <v>120000000</v>
      </c>
      <c r="C311" s="41">
        <v>3.8E-3</v>
      </c>
      <c r="D311" s="41">
        <v>32</v>
      </c>
      <c r="E311" s="41">
        <v>30</v>
      </c>
      <c r="F311" s="41">
        <v>0</v>
      </c>
      <c r="G311" s="41" t="s">
        <v>103</v>
      </c>
      <c r="H311" s="41">
        <v>2</v>
      </c>
      <c r="I311" s="41">
        <v>1</v>
      </c>
      <c r="J311" s="108">
        <v>0</v>
      </c>
      <c r="K311" s="41">
        <v>0</v>
      </c>
      <c r="L311" s="41">
        <v>55</v>
      </c>
      <c r="M311" s="41">
        <v>-1</v>
      </c>
      <c r="N311" s="41">
        <v>4</v>
      </c>
      <c r="O311" s="110" t="s">
        <v>2397</v>
      </c>
      <c r="P311" s="109">
        <v>193523</v>
      </c>
      <c r="Q311" s="107"/>
      <c r="R311" s="111"/>
      <c r="S311" s="110"/>
      <c r="T311"/>
      <c r="U311"/>
      <c r="V311"/>
    </row>
    <row r="312" spans="1:22">
      <c r="A312" s="105">
        <v>1694</v>
      </c>
      <c r="B312" s="41">
        <v>120000000</v>
      </c>
      <c r="C312" s="41">
        <v>3.8E-3</v>
      </c>
      <c r="D312" s="41">
        <v>45.254800000000003</v>
      </c>
      <c r="E312" s="41">
        <v>30</v>
      </c>
      <c r="F312" s="41">
        <v>0</v>
      </c>
      <c r="G312" s="41" t="s">
        <v>103</v>
      </c>
      <c r="H312" s="41">
        <v>2</v>
      </c>
      <c r="I312" s="41">
        <v>1</v>
      </c>
      <c r="J312" s="108">
        <v>0</v>
      </c>
      <c r="K312" s="41">
        <v>0</v>
      </c>
      <c r="L312" s="41">
        <v>55</v>
      </c>
      <c r="M312" s="41">
        <v>-1</v>
      </c>
      <c r="N312" s="41">
        <v>4</v>
      </c>
      <c r="O312" s="110" t="s">
        <v>2398</v>
      </c>
      <c r="P312" s="109">
        <v>193523</v>
      </c>
      <c r="Q312" s="107"/>
      <c r="R312" s="111"/>
      <c r="S312" s="110"/>
      <c r="T312"/>
      <c r="U312"/>
      <c r="V312"/>
    </row>
    <row r="313" spans="1:22">
      <c r="A313" s="105">
        <v>1695</v>
      </c>
      <c r="B313" s="41">
        <v>120000000</v>
      </c>
      <c r="C313" s="41">
        <v>4.1999999999999997E-3</v>
      </c>
      <c r="D313" s="41">
        <v>5.6569000000000003</v>
      </c>
      <c r="E313" s="41">
        <v>30</v>
      </c>
      <c r="F313" s="41">
        <v>0</v>
      </c>
      <c r="G313" s="41" t="s">
        <v>103</v>
      </c>
      <c r="H313" s="41">
        <v>2</v>
      </c>
      <c r="I313" s="41">
        <v>1</v>
      </c>
      <c r="J313" s="108">
        <v>0</v>
      </c>
      <c r="K313" s="41">
        <v>0</v>
      </c>
      <c r="L313" s="41">
        <v>55</v>
      </c>
      <c r="M313" s="41">
        <v>-1</v>
      </c>
      <c r="N313" s="41">
        <v>4</v>
      </c>
      <c r="O313" s="110" t="s">
        <v>2399</v>
      </c>
      <c r="P313" s="109">
        <v>193523</v>
      </c>
      <c r="Q313" s="107"/>
      <c r="R313" s="111"/>
      <c r="S313" s="110"/>
      <c r="T313"/>
      <c r="U313"/>
      <c r="V313"/>
    </row>
    <row r="314" spans="1:22">
      <c r="A314" s="105">
        <v>1696</v>
      </c>
      <c r="B314" s="41">
        <v>120000000</v>
      </c>
      <c r="C314" s="41">
        <v>4.1999999999999997E-3</v>
      </c>
      <c r="D314" s="41">
        <v>8</v>
      </c>
      <c r="E314" s="41">
        <v>30</v>
      </c>
      <c r="F314" s="41">
        <v>0</v>
      </c>
      <c r="G314" s="41" t="s">
        <v>103</v>
      </c>
      <c r="H314" s="41">
        <v>2</v>
      </c>
      <c r="I314" s="41">
        <v>1</v>
      </c>
      <c r="J314" s="108">
        <v>0</v>
      </c>
      <c r="K314" s="41">
        <v>0</v>
      </c>
      <c r="L314" s="41">
        <v>55</v>
      </c>
      <c r="M314" s="41">
        <v>-1</v>
      </c>
      <c r="N314" s="41">
        <v>4</v>
      </c>
      <c r="O314" s="110" t="s">
        <v>2400</v>
      </c>
      <c r="P314" s="109">
        <v>193523</v>
      </c>
      <c r="Q314" s="107"/>
      <c r="R314" s="111"/>
      <c r="S314" s="110"/>
      <c r="T314"/>
      <c r="U314"/>
      <c r="V314"/>
    </row>
    <row r="315" spans="1:22">
      <c r="A315" s="105">
        <v>1697</v>
      </c>
      <c r="B315" s="41">
        <v>120000000</v>
      </c>
      <c r="C315" s="41">
        <v>4.1999999999999997E-3</v>
      </c>
      <c r="D315" s="41">
        <v>11.313700000000001</v>
      </c>
      <c r="E315" s="41">
        <v>30</v>
      </c>
      <c r="F315" s="41">
        <v>0</v>
      </c>
      <c r="G315" s="41" t="s">
        <v>103</v>
      </c>
      <c r="H315" s="41">
        <v>2</v>
      </c>
      <c r="I315" s="41">
        <v>1</v>
      </c>
      <c r="J315" s="108">
        <v>0</v>
      </c>
      <c r="K315" s="41">
        <v>0</v>
      </c>
      <c r="L315" s="41">
        <v>55</v>
      </c>
      <c r="M315" s="41">
        <v>-1</v>
      </c>
      <c r="N315" s="41">
        <v>4</v>
      </c>
      <c r="O315" s="110" t="s">
        <v>2401</v>
      </c>
      <c r="P315" s="109">
        <v>193523</v>
      </c>
      <c r="Q315" s="107"/>
      <c r="R315" s="111"/>
      <c r="S315" s="110"/>
      <c r="T315"/>
      <c r="U315"/>
      <c r="V315"/>
    </row>
    <row r="316" spans="1:22">
      <c r="A316" s="105">
        <v>1698</v>
      </c>
      <c r="B316" s="41">
        <v>120000000</v>
      </c>
      <c r="C316" s="41">
        <v>4.1999999999999997E-3</v>
      </c>
      <c r="D316" s="41">
        <v>16</v>
      </c>
      <c r="E316" s="41">
        <v>30</v>
      </c>
      <c r="F316" s="41">
        <v>0</v>
      </c>
      <c r="G316" s="41" t="s">
        <v>103</v>
      </c>
      <c r="H316" s="41">
        <v>2</v>
      </c>
      <c r="I316" s="41">
        <v>1</v>
      </c>
      <c r="J316" s="108">
        <v>0</v>
      </c>
      <c r="K316" s="41">
        <v>0</v>
      </c>
      <c r="L316" s="41">
        <v>55</v>
      </c>
      <c r="M316" s="41">
        <v>-1</v>
      </c>
      <c r="N316" s="41">
        <v>4</v>
      </c>
      <c r="O316" s="110" t="s">
        <v>2402</v>
      </c>
      <c r="P316" s="109">
        <v>193523</v>
      </c>
      <c r="Q316" s="107"/>
      <c r="R316" s="111"/>
      <c r="S316" s="110"/>
      <c r="T316"/>
      <c r="U316"/>
      <c r="V316"/>
    </row>
    <row r="317" spans="1:22">
      <c r="A317" s="105">
        <v>1699</v>
      </c>
      <c r="B317" s="41">
        <v>120000000</v>
      </c>
      <c r="C317" s="41">
        <v>4.1999999999999997E-3</v>
      </c>
      <c r="D317" s="41">
        <v>22.627400000000002</v>
      </c>
      <c r="E317" s="41">
        <v>30</v>
      </c>
      <c r="F317" s="41">
        <v>0</v>
      </c>
      <c r="G317" s="41" t="s">
        <v>103</v>
      </c>
      <c r="H317" s="41">
        <v>2</v>
      </c>
      <c r="I317" s="41">
        <v>1</v>
      </c>
      <c r="J317" s="108">
        <v>0</v>
      </c>
      <c r="K317" s="41">
        <v>0</v>
      </c>
      <c r="L317" s="41">
        <v>55</v>
      </c>
      <c r="M317" s="41">
        <v>-1</v>
      </c>
      <c r="N317" s="41">
        <v>4</v>
      </c>
      <c r="O317" s="110" t="s">
        <v>2403</v>
      </c>
      <c r="P317" s="109">
        <v>193781</v>
      </c>
      <c r="Q317" s="107"/>
      <c r="R317" s="111"/>
      <c r="S317" s="110" t="s">
        <v>2267</v>
      </c>
      <c r="T317"/>
      <c r="U317"/>
      <c r="V317"/>
    </row>
    <row r="318" spans="1:22">
      <c r="A318" s="105">
        <v>1700</v>
      </c>
      <c r="B318" s="41">
        <v>120000000</v>
      </c>
      <c r="C318" s="41">
        <v>4.1999999999999997E-3</v>
      </c>
      <c r="D318" s="41">
        <v>32</v>
      </c>
      <c r="E318" s="41">
        <v>30</v>
      </c>
      <c r="F318" s="41">
        <v>0</v>
      </c>
      <c r="G318" s="41" t="s">
        <v>103</v>
      </c>
      <c r="H318" s="41">
        <v>2</v>
      </c>
      <c r="I318" s="41">
        <v>1</v>
      </c>
      <c r="J318" s="108">
        <v>0</v>
      </c>
      <c r="K318" s="41">
        <v>0</v>
      </c>
      <c r="L318" s="41">
        <v>55</v>
      </c>
      <c r="M318" s="41">
        <v>-1</v>
      </c>
      <c r="N318" s="41">
        <v>4</v>
      </c>
      <c r="O318" s="110" t="s">
        <v>2404</v>
      </c>
      <c r="P318" s="109">
        <v>193781</v>
      </c>
      <c r="Q318" s="107"/>
      <c r="R318" s="111"/>
      <c r="S318" s="110"/>
      <c r="T318"/>
      <c r="U318"/>
      <c r="V318"/>
    </row>
    <row r="319" spans="1:22">
      <c r="A319" s="105">
        <v>1701</v>
      </c>
      <c r="B319" s="41">
        <v>120000000</v>
      </c>
      <c r="C319" s="41">
        <v>4.1999999999999997E-3</v>
      </c>
      <c r="D319" s="41">
        <v>45.254800000000003</v>
      </c>
      <c r="E319" s="41">
        <v>30</v>
      </c>
      <c r="F319" s="41">
        <v>0</v>
      </c>
      <c r="G319" s="41" t="s">
        <v>103</v>
      </c>
      <c r="H319" s="41">
        <v>2</v>
      </c>
      <c r="I319" s="41">
        <v>1</v>
      </c>
      <c r="J319" s="108">
        <v>0</v>
      </c>
      <c r="K319" s="41">
        <v>0</v>
      </c>
      <c r="L319" s="41">
        <v>55</v>
      </c>
      <c r="M319" s="41">
        <v>-1</v>
      </c>
      <c r="N319" s="41">
        <v>4</v>
      </c>
      <c r="O319" s="110" t="s">
        <v>2405</v>
      </c>
      <c r="P319" s="109">
        <v>193781</v>
      </c>
      <c r="Q319" s="107"/>
      <c r="R319" s="111"/>
      <c r="S319" s="110"/>
      <c r="T319"/>
      <c r="U319"/>
      <c r="V319"/>
    </row>
    <row r="320" spans="1:22">
      <c r="A320" s="105">
        <v>1702</v>
      </c>
      <c r="B320" s="41">
        <v>120000000</v>
      </c>
      <c r="C320" s="41">
        <v>4.4999999999999997E-3</v>
      </c>
      <c r="D320" s="41">
        <v>8</v>
      </c>
      <c r="E320" s="41">
        <v>30</v>
      </c>
      <c r="F320" s="41">
        <v>0</v>
      </c>
      <c r="G320" s="41" t="s">
        <v>103</v>
      </c>
      <c r="H320" s="41">
        <v>2</v>
      </c>
      <c r="I320" s="41">
        <v>1</v>
      </c>
      <c r="J320" s="108">
        <v>0</v>
      </c>
      <c r="K320" s="41">
        <v>0</v>
      </c>
      <c r="L320" s="41">
        <v>55</v>
      </c>
      <c r="M320" s="41">
        <v>-1</v>
      </c>
      <c r="N320" s="41">
        <v>4</v>
      </c>
      <c r="O320" s="110" t="s">
        <v>2406</v>
      </c>
      <c r="P320" s="109">
        <v>193781</v>
      </c>
      <c r="Q320" s="107"/>
      <c r="R320" s="111"/>
      <c r="S320" s="110"/>
      <c r="T320"/>
      <c r="U320"/>
      <c r="V320"/>
    </row>
    <row r="321" spans="1:22">
      <c r="A321" s="105">
        <v>1703</v>
      </c>
      <c r="B321" s="41">
        <v>120000000</v>
      </c>
      <c r="C321" s="41">
        <v>4.4999999999999997E-3</v>
      </c>
      <c r="D321" s="41">
        <v>11.313700000000001</v>
      </c>
      <c r="E321" s="41">
        <v>30</v>
      </c>
      <c r="F321" s="41">
        <v>0</v>
      </c>
      <c r="G321" s="41" t="s">
        <v>103</v>
      </c>
      <c r="H321" s="41">
        <v>2</v>
      </c>
      <c r="I321" s="41">
        <v>1</v>
      </c>
      <c r="J321" s="108">
        <v>0</v>
      </c>
      <c r="K321" s="41">
        <v>0</v>
      </c>
      <c r="L321" s="41">
        <v>55</v>
      </c>
      <c r="M321" s="41">
        <v>-1</v>
      </c>
      <c r="N321" s="41">
        <v>4</v>
      </c>
      <c r="O321" s="110" t="s">
        <v>2407</v>
      </c>
      <c r="P321" s="109">
        <v>193781</v>
      </c>
      <c r="Q321" s="107"/>
      <c r="R321" s="111"/>
      <c r="S321" s="110"/>
      <c r="T321"/>
      <c r="U321"/>
      <c r="V321"/>
    </row>
    <row r="322" spans="1:22">
      <c r="A322" s="105">
        <v>1704</v>
      </c>
      <c r="B322" s="41">
        <v>120000000</v>
      </c>
      <c r="C322" s="41">
        <v>4.4999999999999997E-3</v>
      </c>
      <c r="D322" s="41">
        <v>16</v>
      </c>
      <c r="E322" s="41">
        <v>30</v>
      </c>
      <c r="F322" s="41">
        <v>0</v>
      </c>
      <c r="G322" s="41" t="s">
        <v>103</v>
      </c>
      <c r="H322" s="41">
        <v>2</v>
      </c>
      <c r="I322" s="41">
        <v>1</v>
      </c>
      <c r="J322" s="108">
        <v>0</v>
      </c>
      <c r="K322" s="41">
        <v>0</v>
      </c>
      <c r="L322" s="41">
        <v>55</v>
      </c>
      <c r="M322" s="41">
        <v>-1</v>
      </c>
      <c r="N322" s="41">
        <v>4</v>
      </c>
      <c r="O322" s="110" t="s">
        <v>2408</v>
      </c>
      <c r="P322" s="109">
        <v>193781</v>
      </c>
      <c r="Q322" s="107"/>
      <c r="R322" s="111"/>
      <c r="S322" s="110"/>
      <c r="T322"/>
      <c r="U322"/>
      <c r="V322"/>
    </row>
    <row r="323" spans="1:22">
      <c r="A323" s="105">
        <v>1705</v>
      </c>
      <c r="B323" s="41">
        <v>120000000</v>
      </c>
      <c r="C323" s="41">
        <v>4.4999999999999997E-3</v>
      </c>
      <c r="D323" s="41">
        <v>22.627400000000002</v>
      </c>
      <c r="E323" s="41">
        <v>30</v>
      </c>
      <c r="F323" s="41">
        <v>0</v>
      </c>
      <c r="G323" s="41" t="s">
        <v>103</v>
      </c>
      <c r="H323" s="41">
        <v>2</v>
      </c>
      <c r="I323" s="41">
        <v>1</v>
      </c>
      <c r="J323" s="108">
        <v>0</v>
      </c>
      <c r="K323" s="41">
        <v>0</v>
      </c>
      <c r="L323" s="41">
        <v>55</v>
      </c>
      <c r="M323" s="41">
        <v>-1</v>
      </c>
      <c r="N323" s="41">
        <v>4</v>
      </c>
      <c r="O323" s="110" t="s">
        <v>2409</v>
      </c>
      <c r="P323" s="109">
        <v>193781</v>
      </c>
      <c r="Q323" s="107"/>
      <c r="R323" s="111"/>
      <c r="S323" s="110"/>
      <c r="T323"/>
      <c r="U323"/>
      <c r="V323"/>
    </row>
    <row r="324" spans="1:22">
      <c r="A324" s="105">
        <v>1706</v>
      </c>
      <c r="B324" s="41">
        <v>120000000</v>
      </c>
      <c r="C324" s="41">
        <v>4.4999999999999997E-3</v>
      </c>
      <c r="D324" s="41">
        <v>32</v>
      </c>
      <c r="E324" s="41">
        <v>30</v>
      </c>
      <c r="F324" s="41">
        <v>0</v>
      </c>
      <c r="G324" s="41" t="s">
        <v>103</v>
      </c>
      <c r="H324" s="41">
        <v>2</v>
      </c>
      <c r="I324" s="41">
        <v>1</v>
      </c>
      <c r="J324" s="108">
        <v>0</v>
      </c>
      <c r="K324" s="41">
        <v>0</v>
      </c>
      <c r="L324" s="41">
        <v>55</v>
      </c>
      <c r="M324" s="41">
        <v>-1</v>
      </c>
      <c r="N324" s="41">
        <v>4</v>
      </c>
      <c r="O324" s="110" t="s">
        <v>2410</v>
      </c>
      <c r="P324" s="109">
        <v>193781</v>
      </c>
      <c r="Q324" s="107"/>
      <c r="R324" s="111"/>
      <c r="S324" s="110"/>
      <c r="T324"/>
      <c r="U324"/>
      <c r="V324"/>
    </row>
    <row r="325" spans="1:22">
      <c r="A325" s="105">
        <v>1707</v>
      </c>
      <c r="B325" s="41">
        <v>120000000</v>
      </c>
      <c r="C325" s="41">
        <v>4.4999999999999997E-3</v>
      </c>
      <c r="D325" s="41">
        <v>45.254800000000003</v>
      </c>
      <c r="E325" s="41">
        <v>30</v>
      </c>
      <c r="F325" s="41">
        <v>0</v>
      </c>
      <c r="G325" s="41" t="s">
        <v>103</v>
      </c>
      <c r="H325" s="41">
        <v>2</v>
      </c>
      <c r="I325" s="41">
        <v>1</v>
      </c>
      <c r="J325" s="108">
        <v>0</v>
      </c>
      <c r="K325" s="41">
        <v>0</v>
      </c>
      <c r="L325" s="41">
        <v>55</v>
      </c>
      <c r="M325" s="41">
        <v>-1</v>
      </c>
      <c r="N325" s="41">
        <v>4</v>
      </c>
      <c r="O325" s="110" t="s">
        <v>2411</v>
      </c>
      <c r="P325" s="109">
        <v>193781</v>
      </c>
      <c r="Q325" s="107"/>
      <c r="R325" s="111"/>
      <c r="S325" s="110"/>
      <c r="T325"/>
      <c r="U325"/>
      <c r="V325"/>
    </row>
    <row r="326" spans="1:22">
      <c r="A326" s="105">
        <v>1708</v>
      </c>
      <c r="B326" s="41">
        <v>120000000</v>
      </c>
      <c r="C326" s="41">
        <v>4.8999999999999998E-3</v>
      </c>
      <c r="D326" s="41">
        <v>8</v>
      </c>
      <c r="E326" s="41">
        <v>30</v>
      </c>
      <c r="F326" s="41">
        <v>0</v>
      </c>
      <c r="G326" s="41" t="s">
        <v>103</v>
      </c>
      <c r="H326" s="41">
        <v>2</v>
      </c>
      <c r="I326" s="41">
        <v>1</v>
      </c>
      <c r="J326" s="108">
        <v>0</v>
      </c>
      <c r="K326" s="41">
        <v>0</v>
      </c>
      <c r="L326" s="41">
        <v>55</v>
      </c>
      <c r="M326" s="41">
        <v>-1</v>
      </c>
      <c r="N326" s="41">
        <v>4</v>
      </c>
      <c r="O326" s="110" t="s">
        <v>2412</v>
      </c>
      <c r="P326" s="109">
        <v>193781</v>
      </c>
      <c r="Q326" s="107"/>
      <c r="R326" s="111"/>
      <c r="S326" s="110"/>
      <c r="T326"/>
      <c r="U326"/>
      <c r="V326"/>
    </row>
    <row r="327" spans="1:22">
      <c r="A327" s="105">
        <v>1709</v>
      </c>
      <c r="B327" s="41">
        <v>120000000</v>
      </c>
      <c r="C327" s="41">
        <v>4.8999999999999998E-3</v>
      </c>
      <c r="D327" s="41">
        <v>11.313700000000001</v>
      </c>
      <c r="E327" s="41">
        <v>30</v>
      </c>
      <c r="F327" s="41">
        <v>0</v>
      </c>
      <c r="G327" s="41" t="s">
        <v>103</v>
      </c>
      <c r="H327" s="41">
        <v>2</v>
      </c>
      <c r="I327" s="41">
        <v>1</v>
      </c>
      <c r="J327" s="108">
        <v>0</v>
      </c>
      <c r="K327" s="41">
        <v>0</v>
      </c>
      <c r="L327" s="41">
        <v>55</v>
      </c>
      <c r="M327" s="41">
        <v>-1</v>
      </c>
      <c r="N327" s="41">
        <v>4</v>
      </c>
      <c r="O327" s="110" t="s">
        <v>2413</v>
      </c>
      <c r="P327" s="109">
        <v>193781</v>
      </c>
      <c r="Q327" s="107"/>
      <c r="R327" s="111"/>
      <c r="S327" s="110"/>
      <c r="T327"/>
      <c r="U327"/>
      <c r="V327"/>
    </row>
    <row r="328" spans="1:22">
      <c r="A328" s="105">
        <v>1710</v>
      </c>
      <c r="B328" s="41">
        <v>120000000</v>
      </c>
      <c r="C328" s="41">
        <v>4.8999999999999998E-3</v>
      </c>
      <c r="D328" s="41">
        <v>16</v>
      </c>
      <c r="E328" s="41">
        <v>30</v>
      </c>
      <c r="F328" s="41">
        <v>0</v>
      </c>
      <c r="G328" s="41" t="s">
        <v>103</v>
      </c>
      <c r="H328" s="41">
        <v>2</v>
      </c>
      <c r="I328" s="41">
        <v>1</v>
      </c>
      <c r="J328" s="108">
        <v>0</v>
      </c>
      <c r="K328" s="41">
        <v>0</v>
      </c>
      <c r="L328" s="41">
        <v>55</v>
      </c>
      <c r="M328" s="41">
        <v>-1</v>
      </c>
      <c r="N328" s="41">
        <v>4</v>
      </c>
      <c r="O328" s="110" t="s">
        <v>2414</v>
      </c>
      <c r="P328" s="109">
        <v>193781</v>
      </c>
      <c r="Q328" s="107"/>
      <c r="R328" s="111"/>
      <c r="S328" s="110"/>
      <c r="T328"/>
      <c r="U328"/>
      <c r="V328"/>
    </row>
    <row r="329" spans="1:22">
      <c r="A329" s="105">
        <v>1711</v>
      </c>
      <c r="B329" s="41">
        <v>120000000</v>
      </c>
      <c r="C329" s="41">
        <v>4.8999999999999998E-3</v>
      </c>
      <c r="D329" s="41">
        <v>22.627400000000002</v>
      </c>
      <c r="E329" s="41">
        <v>30</v>
      </c>
      <c r="F329" s="41">
        <v>0</v>
      </c>
      <c r="G329" s="41" t="s">
        <v>103</v>
      </c>
      <c r="H329" s="41">
        <v>2</v>
      </c>
      <c r="I329" s="41">
        <v>1</v>
      </c>
      <c r="J329" s="108">
        <v>0</v>
      </c>
      <c r="K329" s="41">
        <v>0</v>
      </c>
      <c r="L329" s="41">
        <v>55</v>
      </c>
      <c r="M329" s="41">
        <v>-1</v>
      </c>
      <c r="N329" s="41">
        <v>4</v>
      </c>
      <c r="O329" s="110" t="s">
        <v>2415</v>
      </c>
      <c r="P329" s="109">
        <v>193781</v>
      </c>
      <c r="Q329" s="107"/>
      <c r="R329" s="111"/>
      <c r="S329" s="110"/>
      <c r="T329"/>
      <c r="U329"/>
      <c r="V329"/>
    </row>
    <row r="330" spans="1:22">
      <c r="A330" s="105">
        <v>1712</v>
      </c>
      <c r="B330" s="41">
        <v>120000000</v>
      </c>
      <c r="C330" s="41">
        <v>4.8999999999999998E-3</v>
      </c>
      <c r="D330" s="41">
        <v>32</v>
      </c>
      <c r="E330" s="41">
        <v>30</v>
      </c>
      <c r="F330" s="41">
        <v>0</v>
      </c>
      <c r="G330" s="41" t="s">
        <v>103</v>
      </c>
      <c r="H330" s="41">
        <v>2</v>
      </c>
      <c r="I330" s="41">
        <v>1</v>
      </c>
      <c r="J330" s="108">
        <v>0</v>
      </c>
      <c r="K330" s="41">
        <v>0</v>
      </c>
      <c r="L330" s="41">
        <v>55</v>
      </c>
      <c r="M330" s="41">
        <v>-1</v>
      </c>
      <c r="N330" s="41">
        <v>4</v>
      </c>
      <c r="O330" s="110" t="s">
        <v>2416</v>
      </c>
      <c r="P330" s="109">
        <v>193781</v>
      </c>
      <c r="Q330" s="107"/>
      <c r="R330" s="111"/>
      <c r="S330" s="110"/>
      <c r="T330"/>
      <c r="U330"/>
      <c r="V330"/>
    </row>
    <row r="331" spans="1:22">
      <c r="A331" s="105">
        <v>1713</v>
      </c>
      <c r="B331" s="41">
        <v>120000000</v>
      </c>
      <c r="C331" s="41">
        <v>4.8999999999999998E-3</v>
      </c>
      <c r="D331" s="41">
        <v>45.254800000000003</v>
      </c>
      <c r="E331" s="41">
        <v>30</v>
      </c>
      <c r="F331" s="41">
        <v>0</v>
      </c>
      <c r="G331" s="41" t="s">
        <v>103</v>
      </c>
      <c r="H331" s="41">
        <v>2</v>
      </c>
      <c r="I331" s="41">
        <v>1</v>
      </c>
      <c r="J331" s="108">
        <v>0</v>
      </c>
      <c r="K331" s="41">
        <v>0</v>
      </c>
      <c r="L331" s="41">
        <v>55</v>
      </c>
      <c r="M331" s="41">
        <v>-1</v>
      </c>
      <c r="N331" s="41">
        <v>4</v>
      </c>
      <c r="O331" s="110" t="s">
        <v>2417</v>
      </c>
      <c r="P331" s="109">
        <v>193781</v>
      </c>
      <c r="Q331" s="107"/>
      <c r="R331" s="111"/>
      <c r="S331" s="110"/>
      <c r="T331"/>
      <c r="U331"/>
      <c r="V331"/>
    </row>
    <row r="332" spans="1:22">
      <c r="A332" s="105">
        <v>1714</v>
      </c>
      <c r="B332" s="41">
        <v>120000000</v>
      </c>
      <c r="C332" s="41">
        <v>5.4000000000000003E-3</v>
      </c>
      <c r="D332" s="41">
        <v>11.313700000000001</v>
      </c>
      <c r="E332" s="41">
        <v>30</v>
      </c>
      <c r="F332" s="41">
        <v>0</v>
      </c>
      <c r="G332" s="41" t="s">
        <v>103</v>
      </c>
      <c r="H332" s="41">
        <v>2</v>
      </c>
      <c r="I332" s="41">
        <v>1</v>
      </c>
      <c r="J332" s="108">
        <v>0</v>
      </c>
      <c r="K332" s="41">
        <v>0</v>
      </c>
      <c r="L332" s="41">
        <v>55</v>
      </c>
      <c r="M332" s="41">
        <v>-1</v>
      </c>
      <c r="N332" s="41">
        <v>4</v>
      </c>
      <c r="O332" s="110" t="s">
        <v>2418</v>
      </c>
      <c r="P332" s="109">
        <v>193781</v>
      </c>
      <c r="Q332" s="107"/>
      <c r="R332" s="111"/>
      <c r="S332" s="110"/>
      <c r="T332"/>
      <c r="U332"/>
      <c r="V332"/>
    </row>
    <row r="333" spans="1:22">
      <c r="A333" s="105">
        <v>1715</v>
      </c>
      <c r="B333" s="41">
        <v>120000000</v>
      </c>
      <c r="C333" s="41">
        <v>5.4000000000000003E-3</v>
      </c>
      <c r="D333" s="41">
        <v>16</v>
      </c>
      <c r="E333" s="41">
        <v>30</v>
      </c>
      <c r="F333" s="41">
        <v>0</v>
      </c>
      <c r="G333" s="41" t="s">
        <v>103</v>
      </c>
      <c r="H333" s="41">
        <v>2</v>
      </c>
      <c r="I333" s="41">
        <v>1</v>
      </c>
      <c r="J333" s="108">
        <v>0</v>
      </c>
      <c r="K333" s="41">
        <v>0</v>
      </c>
      <c r="L333" s="41">
        <v>55</v>
      </c>
      <c r="M333" s="41">
        <v>-1</v>
      </c>
      <c r="N333" s="41">
        <v>4</v>
      </c>
      <c r="O333" s="110" t="s">
        <v>2419</v>
      </c>
      <c r="P333" s="109">
        <v>193781</v>
      </c>
      <c r="Q333" s="107"/>
      <c r="R333" s="111"/>
      <c r="S333" s="110"/>
      <c r="T333"/>
      <c r="U333"/>
      <c r="V333"/>
    </row>
    <row r="334" spans="1:22">
      <c r="A334" s="105">
        <v>1716</v>
      </c>
      <c r="B334" s="41">
        <v>120000000</v>
      </c>
      <c r="C334" s="41">
        <v>5.4000000000000003E-3</v>
      </c>
      <c r="D334" s="41">
        <v>22.627400000000002</v>
      </c>
      <c r="E334" s="41">
        <v>30</v>
      </c>
      <c r="F334" s="41">
        <v>0</v>
      </c>
      <c r="G334" s="41" t="s">
        <v>103</v>
      </c>
      <c r="H334" s="41">
        <v>2</v>
      </c>
      <c r="I334" s="41">
        <v>1</v>
      </c>
      <c r="J334" s="108">
        <v>0</v>
      </c>
      <c r="K334" s="41">
        <v>0</v>
      </c>
      <c r="L334" s="41">
        <v>55</v>
      </c>
      <c r="M334" s="41">
        <v>-1</v>
      </c>
      <c r="N334" s="41">
        <v>4</v>
      </c>
      <c r="O334" s="110" t="s">
        <v>2420</v>
      </c>
      <c r="P334" s="109">
        <v>193781</v>
      </c>
      <c r="Q334" s="107"/>
      <c r="R334" s="111"/>
      <c r="S334" s="110"/>
      <c r="T334"/>
      <c r="U334"/>
      <c r="V334"/>
    </row>
    <row r="335" spans="1:22">
      <c r="A335" s="105">
        <v>1717</v>
      </c>
      <c r="B335" s="41">
        <v>120000000</v>
      </c>
      <c r="C335" s="41">
        <v>5.4000000000000003E-3</v>
      </c>
      <c r="D335" s="41">
        <v>32</v>
      </c>
      <c r="E335" s="41">
        <v>30</v>
      </c>
      <c r="F335" s="41">
        <v>0</v>
      </c>
      <c r="G335" s="41" t="s">
        <v>103</v>
      </c>
      <c r="H335" s="41">
        <v>2</v>
      </c>
      <c r="I335" s="41">
        <v>1</v>
      </c>
      <c r="J335" s="108">
        <v>0</v>
      </c>
      <c r="K335" s="41">
        <v>0</v>
      </c>
      <c r="L335" s="41">
        <v>55</v>
      </c>
      <c r="M335" s="41">
        <v>-1</v>
      </c>
      <c r="N335" s="41">
        <v>4</v>
      </c>
      <c r="O335" s="110" t="s">
        <v>2421</v>
      </c>
      <c r="P335" s="109">
        <v>193781</v>
      </c>
      <c r="Q335" s="107"/>
      <c r="R335" s="111"/>
      <c r="S335" s="110"/>
      <c r="T335"/>
      <c r="U335"/>
      <c r="V335"/>
    </row>
    <row r="336" spans="1:22">
      <c r="A336" s="105">
        <v>1718</v>
      </c>
      <c r="B336" s="41">
        <v>120000000</v>
      </c>
      <c r="C336" s="41">
        <v>5.4000000000000003E-3</v>
      </c>
      <c r="D336" s="41">
        <v>45.254800000000003</v>
      </c>
      <c r="E336" s="41">
        <v>30</v>
      </c>
      <c r="F336" s="41">
        <v>0</v>
      </c>
      <c r="G336" s="41" t="s">
        <v>103</v>
      </c>
      <c r="H336" s="41">
        <v>2</v>
      </c>
      <c r="I336" s="41">
        <v>1</v>
      </c>
      <c r="J336" s="108">
        <v>0</v>
      </c>
      <c r="K336" s="41">
        <v>0</v>
      </c>
      <c r="L336" s="41">
        <v>55</v>
      </c>
      <c r="M336" s="41">
        <v>-1</v>
      </c>
      <c r="N336" s="41">
        <v>4</v>
      </c>
      <c r="O336" s="110" t="s">
        <v>2422</v>
      </c>
      <c r="P336" s="109">
        <v>193781</v>
      </c>
      <c r="Q336" s="107"/>
      <c r="R336" s="111"/>
      <c r="S336" s="110"/>
      <c r="T336"/>
      <c r="U336"/>
      <c r="V336"/>
    </row>
    <row r="337" spans="1:22">
      <c r="A337" s="105">
        <v>1719</v>
      </c>
      <c r="B337" s="41">
        <v>120000000</v>
      </c>
      <c r="C337" s="41">
        <v>5.8999999999999999E-3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2</v>
      </c>
      <c r="I337" s="41">
        <v>1</v>
      </c>
      <c r="J337" s="108">
        <v>0</v>
      </c>
      <c r="K337" s="41">
        <v>0</v>
      </c>
      <c r="L337" s="41">
        <v>55</v>
      </c>
      <c r="M337" s="41">
        <v>-1</v>
      </c>
      <c r="N337" s="41">
        <v>4</v>
      </c>
      <c r="O337" s="110" t="s">
        <v>2423</v>
      </c>
      <c r="P337" s="109">
        <v>193781</v>
      </c>
      <c r="Q337" s="107"/>
      <c r="R337" s="111"/>
      <c r="S337" s="110"/>
      <c r="T337"/>
      <c r="U337"/>
      <c r="V337"/>
    </row>
    <row r="338" spans="1:22">
      <c r="A338" s="105">
        <v>1720</v>
      </c>
      <c r="B338" s="41">
        <v>120000000</v>
      </c>
      <c r="C338" s="41">
        <v>5.8999999999999999E-3</v>
      </c>
      <c r="D338" s="41">
        <v>16</v>
      </c>
      <c r="E338" s="41">
        <v>30</v>
      </c>
      <c r="F338" s="41">
        <v>0</v>
      </c>
      <c r="G338" s="41" t="s">
        <v>103</v>
      </c>
      <c r="H338" s="41">
        <v>2</v>
      </c>
      <c r="I338" s="41">
        <v>1</v>
      </c>
      <c r="J338" s="108">
        <v>0</v>
      </c>
      <c r="K338" s="41">
        <v>0</v>
      </c>
      <c r="L338" s="41">
        <v>55</v>
      </c>
      <c r="M338" s="41">
        <v>-1</v>
      </c>
      <c r="N338" s="41">
        <v>4</v>
      </c>
      <c r="O338" s="110" t="s">
        <v>2424</v>
      </c>
      <c r="P338" s="109">
        <v>193781</v>
      </c>
      <c r="Q338" s="107"/>
      <c r="R338" s="111"/>
      <c r="S338" s="110"/>
      <c r="T338"/>
      <c r="U338"/>
      <c r="V338"/>
    </row>
    <row r="339" spans="1:22">
      <c r="A339" s="105">
        <v>1721</v>
      </c>
      <c r="B339" s="41">
        <v>120000000</v>
      </c>
      <c r="C339" s="41">
        <v>5.8999999999999999E-3</v>
      </c>
      <c r="D339" s="41">
        <v>22.627400000000002</v>
      </c>
      <c r="E339" s="41">
        <v>30</v>
      </c>
      <c r="F339" s="41">
        <v>0</v>
      </c>
      <c r="G339" s="41" t="s">
        <v>103</v>
      </c>
      <c r="H339" s="41">
        <v>2</v>
      </c>
      <c r="I339" s="41">
        <v>1</v>
      </c>
      <c r="J339" s="108">
        <v>0</v>
      </c>
      <c r="K339" s="41">
        <v>0</v>
      </c>
      <c r="L339" s="41">
        <v>55</v>
      </c>
      <c r="M339" s="41">
        <v>-1</v>
      </c>
      <c r="N339" s="41">
        <v>4</v>
      </c>
      <c r="O339" s="110" t="s">
        <v>2425</v>
      </c>
      <c r="P339" s="109">
        <v>193781</v>
      </c>
      <c r="Q339" s="107"/>
      <c r="R339" s="111"/>
      <c r="S339" s="110"/>
      <c r="T339"/>
      <c r="U339"/>
      <c r="V339"/>
    </row>
    <row r="340" spans="1:22">
      <c r="A340" s="105">
        <v>1722</v>
      </c>
      <c r="B340" s="41">
        <v>120000000</v>
      </c>
      <c r="C340" s="41">
        <v>5.8999999999999999E-3</v>
      </c>
      <c r="D340" s="41">
        <v>32</v>
      </c>
      <c r="E340" s="41">
        <v>30</v>
      </c>
      <c r="F340" s="41">
        <v>0</v>
      </c>
      <c r="G340" s="41" t="s">
        <v>103</v>
      </c>
      <c r="H340" s="41">
        <v>2</v>
      </c>
      <c r="I340" s="41">
        <v>1</v>
      </c>
      <c r="J340" s="108">
        <v>0</v>
      </c>
      <c r="K340" s="41">
        <v>0</v>
      </c>
      <c r="L340" s="41">
        <v>55</v>
      </c>
      <c r="M340" s="41">
        <v>-1</v>
      </c>
      <c r="N340" s="41">
        <v>4</v>
      </c>
      <c r="O340" s="110" t="s">
        <v>2426</v>
      </c>
      <c r="P340" s="109">
        <v>193781</v>
      </c>
      <c r="Q340" s="107"/>
      <c r="R340" s="111"/>
      <c r="S340" s="110"/>
      <c r="T340"/>
      <c r="U340"/>
      <c r="V340"/>
    </row>
    <row r="341" spans="1:22">
      <c r="A341" s="105">
        <v>1723</v>
      </c>
      <c r="B341" s="41">
        <v>120000000</v>
      </c>
      <c r="C341" s="41">
        <v>5.8999999999999999E-3</v>
      </c>
      <c r="D341" s="41">
        <v>45.254800000000003</v>
      </c>
      <c r="E341" s="41">
        <v>30</v>
      </c>
      <c r="F341" s="41">
        <v>0</v>
      </c>
      <c r="G341" s="41" t="s">
        <v>103</v>
      </c>
      <c r="H341" s="41">
        <v>2</v>
      </c>
      <c r="I341" s="41">
        <v>1</v>
      </c>
      <c r="J341" s="108">
        <v>0</v>
      </c>
      <c r="K341" s="41">
        <v>0</v>
      </c>
      <c r="L341" s="41">
        <v>55</v>
      </c>
      <c r="M341" s="41">
        <v>-1</v>
      </c>
      <c r="N341" s="41">
        <v>4</v>
      </c>
      <c r="O341" s="110" t="s">
        <v>2427</v>
      </c>
      <c r="P341" s="109">
        <v>193781</v>
      </c>
      <c r="Q341" s="107"/>
      <c r="R341" s="111"/>
      <c r="S341" s="110"/>
      <c r="T341"/>
      <c r="U341"/>
      <c r="V341"/>
    </row>
    <row r="342" spans="1:22">
      <c r="A342" s="105">
        <v>1724</v>
      </c>
      <c r="B342" s="41">
        <v>120000000</v>
      </c>
      <c r="C342" s="41">
        <v>6.4000000000000003E-3</v>
      </c>
      <c r="D342" s="41">
        <v>16</v>
      </c>
      <c r="E342" s="41">
        <v>30</v>
      </c>
      <c r="F342" s="41">
        <v>0</v>
      </c>
      <c r="G342" s="41" t="s">
        <v>103</v>
      </c>
      <c r="H342" s="41">
        <v>2</v>
      </c>
      <c r="I342" s="41">
        <v>1</v>
      </c>
      <c r="J342" s="108">
        <v>0</v>
      </c>
      <c r="K342" s="41">
        <v>0</v>
      </c>
      <c r="L342" s="41">
        <v>55</v>
      </c>
      <c r="M342" s="41">
        <v>-1</v>
      </c>
      <c r="N342" s="41">
        <v>4</v>
      </c>
      <c r="O342" s="110" t="s">
        <v>2428</v>
      </c>
      <c r="P342" s="109">
        <v>193781</v>
      </c>
      <c r="Q342" s="107"/>
      <c r="R342" s="111"/>
      <c r="S342" s="110"/>
      <c r="T342"/>
      <c r="U342"/>
      <c r="V342"/>
    </row>
    <row r="343" spans="1:22">
      <c r="A343" s="105">
        <v>1725</v>
      </c>
      <c r="B343" s="41">
        <v>120000000</v>
      </c>
      <c r="C343" s="41">
        <v>6.4000000000000003E-3</v>
      </c>
      <c r="D343" s="41">
        <v>22.627400000000002</v>
      </c>
      <c r="E343" s="41">
        <v>30</v>
      </c>
      <c r="F343" s="41">
        <v>0</v>
      </c>
      <c r="G343" s="41" t="s">
        <v>103</v>
      </c>
      <c r="H343" s="41">
        <v>2</v>
      </c>
      <c r="I343" s="41">
        <v>1</v>
      </c>
      <c r="J343" s="108">
        <v>0</v>
      </c>
      <c r="K343" s="41">
        <v>0</v>
      </c>
      <c r="L343" s="41">
        <v>55</v>
      </c>
      <c r="M343" s="41">
        <v>-1</v>
      </c>
      <c r="N343" s="41">
        <v>4</v>
      </c>
      <c r="O343" s="110" t="s">
        <v>2429</v>
      </c>
      <c r="P343" s="109">
        <v>193781</v>
      </c>
      <c r="Q343" s="107"/>
      <c r="R343" s="111"/>
      <c r="S343" s="110"/>
      <c r="T343"/>
      <c r="U343"/>
      <c r="V343"/>
    </row>
    <row r="344" spans="1:22">
      <c r="A344" s="105">
        <v>1726</v>
      </c>
      <c r="B344" s="41">
        <v>120000000</v>
      </c>
      <c r="C344" s="41">
        <v>6.4000000000000003E-3</v>
      </c>
      <c r="D344" s="41">
        <v>32</v>
      </c>
      <c r="E344" s="41">
        <v>30</v>
      </c>
      <c r="F344" s="41">
        <v>0</v>
      </c>
      <c r="G344" s="41" t="s">
        <v>103</v>
      </c>
      <c r="H344" s="41">
        <v>2</v>
      </c>
      <c r="I344" s="41">
        <v>1</v>
      </c>
      <c r="J344" s="108">
        <v>0</v>
      </c>
      <c r="K344" s="41">
        <v>0</v>
      </c>
      <c r="L344" s="41">
        <v>55</v>
      </c>
      <c r="M344" s="41">
        <v>-1</v>
      </c>
      <c r="N344" s="41">
        <v>4</v>
      </c>
      <c r="O344" s="110" t="s">
        <v>2430</v>
      </c>
      <c r="P344" s="109">
        <v>193781</v>
      </c>
      <c r="Q344" s="107"/>
      <c r="R344" s="111"/>
      <c r="S344" s="110"/>
      <c r="T344"/>
      <c r="U344"/>
      <c r="V344"/>
    </row>
    <row r="345" spans="1:22">
      <c r="A345" s="105">
        <v>1727</v>
      </c>
      <c r="B345" s="41">
        <v>120000000</v>
      </c>
      <c r="C345" s="41">
        <v>6.4000000000000003E-3</v>
      </c>
      <c r="D345" s="41">
        <v>45.254800000000003</v>
      </c>
      <c r="E345" s="41">
        <v>30</v>
      </c>
      <c r="F345" s="41">
        <v>0</v>
      </c>
      <c r="G345" s="41" t="s">
        <v>103</v>
      </c>
      <c r="H345" s="41">
        <v>2</v>
      </c>
      <c r="I345" s="41">
        <v>1</v>
      </c>
      <c r="J345" s="108">
        <v>0</v>
      </c>
      <c r="K345" s="41">
        <v>0</v>
      </c>
      <c r="L345" s="41">
        <v>55</v>
      </c>
      <c r="M345" s="41">
        <v>-1</v>
      </c>
      <c r="N345" s="41">
        <v>4</v>
      </c>
      <c r="O345" s="110" t="s">
        <v>2431</v>
      </c>
      <c r="P345" s="109">
        <v>193781</v>
      </c>
      <c r="Q345" s="107"/>
      <c r="R345" s="111"/>
      <c r="S345" s="110"/>
      <c r="T345"/>
      <c r="U345"/>
      <c r="V345"/>
    </row>
    <row r="346" spans="1:22">
      <c r="A346" s="105">
        <v>1728</v>
      </c>
      <c r="B346" s="41">
        <v>120000000</v>
      </c>
      <c r="C346" s="41">
        <v>7.0000000000000001E-3</v>
      </c>
      <c r="D346" s="41">
        <v>16</v>
      </c>
      <c r="E346" s="41">
        <v>30</v>
      </c>
      <c r="F346" s="41">
        <v>0</v>
      </c>
      <c r="G346" s="41" t="s">
        <v>103</v>
      </c>
      <c r="H346" s="41">
        <v>2</v>
      </c>
      <c r="I346" s="41">
        <v>1</v>
      </c>
      <c r="J346" s="108">
        <v>0</v>
      </c>
      <c r="K346" s="41">
        <v>0</v>
      </c>
      <c r="L346" s="41">
        <v>55</v>
      </c>
      <c r="M346" s="41">
        <v>-1</v>
      </c>
      <c r="N346" s="41">
        <v>4</v>
      </c>
      <c r="O346" s="110" t="s">
        <v>2432</v>
      </c>
      <c r="P346" s="109">
        <v>193781</v>
      </c>
      <c r="Q346" s="107"/>
      <c r="R346" s="111"/>
      <c r="S346" s="110"/>
      <c r="T346"/>
      <c r="U346"/>
      <c r="V346"/>
    </row>
    <row r="347" spans="1:22">
      <c r="A347" s="105">
        <v>1729</v>
      </c>
      <c r="B347" s="41">
        <v>120000000</v>
      </c>
      <c r="C347" s="41">
        <v>7.0000000000000001E-3</v>
      </c>
      <c r="D347" s="41">
        <v>22.627400000000002</v>
      </c>
      <c r="E347" s="41">
        <v>30</v>
      </c>
      <c r="F347" s="41">
        <v>0</v>
      </c>
      <c r="G347" s="41" t="s">
        <v>103</v>
      </c>
      <c r="H347" s="41">
        <v>2</v>
      </c>
      <c r="I347" s="41">
        <v>1</v>
      </c>
      <c r="J347" s="108">
        <v>0</v>
      </c>
      <c r="K347" s="41">
        <v>0</v>
      </c>
      <c r="L347" s="41">
        <v>55</v>
      </c>
      <c r="M347" s="41">
        <v>-1</v>
      </c>
      <c r="N347" s="41">
        <v>4</v>
      </c>
      <c r="O347" s="110" t="s">
        <v>2433</v>
      </c>
      <c r="P347" s="109">
        <v>193781</v>
      </c>
      <c r="Q347" s="107"/>
      <c r="R347" s="111"/>
      <c r="S347" s="110"/>
      <c r="T347"/>
      <c r="U347"/>
      <c r="V347"/>
    </row>
    <row r="348" spans="1:22">
      <c r="A348" s="105">
        <v>1730</v>
      </c>
      <c r="B348" s="41">
        <v>120000000</v>
      </c>
      <c r="C348" s="41">
        <v>7.0000000000000001E-3</v>
      </c>
      <c r="D348" s="41">
        <v>32</v>
      </c>
      <c r="E348" s="41">
        <v>30</v>
      </c>
      <c r="F348" s="41">
        <v>0</v>
      </c>
      <c r="G348" s="41" t="s">
        <v>103</v>
      </c>
      <c r="H348" s="41">
        <v>2</v>
      </c>
      <c r="I348" s="41">
        <v>1</v>
      </c>
      <c r="J348" s="108">
        <v>0</v>
      </c>
      <c r="K348" s="41">
        <v>0</v>
      </c>
      <c r="L348" s="41">
        <v>55</v>
      </c>
      <c r="M348" s="41">
        <v>-1</v>
      </c>
      <c r="N348" s="41">
        <v>4</v>
      </c>
      <c r="O348" s="110" t="s">
        <v>2434</v>
      </c>
      <c r="P348" s="109">
        <v>193781</v>
      </c>
      <c r="Q348" s="107"/>
      <c r="R348" s="111"/>
      <c r="S348" s="110"/>
      <c r="T348"/>
      <c r="U348"/>
      <c r="V348"/>
    </row>
    <row r="349" spans="1:22">
      <c r="A349" s="105">
        <v>1731</v>
      </c>
      <c r="B349" s="41">
        <v>120000000</v>
      </c>
      <c r="C349" s="41">
        <v>7.0000000000000001E-3</v>
      </c>
      <c r="D349" s="41">
        <v>45.254800000000003</v>
      </c>
      <c r="E349" s="41">
        <v>30</v>
      </c>
      <c r="F349" s="41">
        <v>0</v>
      </c>
      <c r="G349" s="41" t="s">
        <v>103</v>
      </c>
      <c r="H349" s="41">
        <v>2</v>
      </c>
      <c r="I349" s="41">
        <v>1</v>
      </c>
      <c r="J349" s="108">
        <v>0</v>
      </c>
      <c r="K349" s="41">
        <v>0</v>
      </c>
      <c r="L349" s="41">
        <v>55</v>
      </c>
      <c r="M349" s="41">
        <v>-1</v>
      </c>
      <c r="N349" s="41">
        <v>4</v>
      </c>
      <c r="O349" s="110" t="s">
        <v>2435</v>
      </c>
      <c r="P349" s="109">
        <v>193781</v>
      </c>
      <c r="Q349" s="107"/>
      <c r="R349" s="111"/>
      <c r="S349" s="110"/>
      <c r="T349"/>
      <c r="U349"/>
      <c r="V349"/>
    </row>
    <row r="350" spans="1:22">
      <c r="A350" s="105">
        <v>1732</v>
      </c>
      <c r="B350" s="41">
        <v>120000000</v>
      </c>
      <c r="C350" s="41">
        <v>7.6E-3</v>
      </c>
      <c r="D350" s="41">
        <v>22.627400000000002</v>
      </c>
      <c r="E350" s="41">
        <v>30</v>
      </c>
      <c r="F350" s="41">
        <v>0</v>
      </c>
      <c r="G350" s="41" t="s">
        <v>103</v>
      </c>
      <c r="H350" s="41">
        <v>2</v>
      </c>
      <c r="I350" s="41">
        <v>1</v>
      </c>
      <c r="J350" s="108">
        <v>0</v>
      </c>
      <c r="K350" s="41">
        <v>0</v>
      </c>
      <c r="L350" s="41">
        <v>55</v>
      </c>
      <c r="M350" s="41">
        <v>-1</v>
      </c>
      <c r="N350" s="41">
        <v>4</v>
      </c>
      <c r="O350" s="110" t="s">
        <v>2436</v>
      </c>
      <c r="P350" s="109">
        <v>193781</v>
      </c>
      <c r="Q350" s="107"/>
      <c r="R350" s="111"/>
      <c r="S350" s="110"/>
      <c r="T350"/>
      <c r="U350"/>
      <c r="V350"/>
    </row>
    <row r="351" spans="1:22">
      <c r="A351" s="105">
        <v>1733</v>
      </c>
      <c r="B351" s="41">
        <v>120000000</v>
      </c>
      <c r="C351" s="41">
        <v>7.6E-3</v>
      </c>
      <c r="D351" s="41">
        <v>32</v>
      </c>
      <c r="E351" s="41">
        <v>30</v>
      </c>
      <c r="F351" s="41">
        <v>0</v>
      </c>
      <c r="G351" s="41" t="s">
        <v>103</v>
      </c>
      <c r="H351" s="41">
        <v>2</v>
      </c>
      <c r="I351" s="41">
        <v>1</v>
      </c>
      <c r="J351" s="108">
        <v>0</v>
      </c>
      <c r="K351" s="41">
        <v>0</v>
      </c>
      <c r="L351" s="41">
        <v>55</v>
      </c>
      <c r="M351" s="41">
        <v>-1</v>
      </c>
      <c r="N351" s="41">
        <v>4</v>
      </c>
      <c r="O351" s="110" t="s">
        <v>2437</v>
      </c>
      <c r="P351" s="109">
        <v>193781</v>
      </c>
      <c r="Q351" s="107"/>
      <c r="R351" s="111"/>
      <c r="S351" s="110"/>
      <c r="T351"/>
      <c r="U351"/>
      <c r="V351"/>
    </row>
    <row r="352" spans="1:22">
      <c r="A352" s="105">
        <v>1734</v>
      </c>
      <c r="B352" s="41">
        <v>120000000</v>
      </c>
      <c r="C352" s="41">
        <v>7.6E-3</v>
      </c>
      <c r="D352" s="41">
        <v>45.254800000000003</v>
      </c>
      <c r="E352" s="41">
        <v>30</v>
      </c>
      <c r="F352" s="41">
        <v>0</v>
      </c>
      <c r="G352" s="41" t="s">
        <v>103</v>
      </c>
      <c r="H352" s="41">
        <v>2</v>
      </c>
      <c r="I352" s="41">
        <v>1</v>
      </c>
      <c r="J352" s="108">
        <v>0</v>
      </c>
      <c r="K352" s="41">
        <v>0</v>
      </c>
      <c r="L352" s="41">
        <v>55</v>
      </c>
      <c r="M352" s="41">
        <v>-1</v>
      </c>
      <c r="N352" s="41">
        <v>4</v>
      </c>
      <c r="O352" s="110" t="s">
        <v>2438</v>
      </c>
      <c r="P352" s="109">
        <v>193781</v>
      </c>
      <c r="Q352" s="107"/>
      <c r="R352" s="111"/>
      <c r="S352" s="110"/>
      <c r="T352"/>
      <c r="U352"/>
      <c r="V352"/>
    </row>
    <row r="353" spans="1:22">
      <c r="A353" s="105">
        <v>1735</v>
      </c>
      <c r="B353" s="41">
        <v>120000000</v>
      </c>
      <c r="C353" s="41">
        <v>8.3000000000000001E-3</v>
      </c>
      <c r="D353" s="41">
        <v>22.627400000000002</v>
      </c>
      <c r="E353" s="41">
        <v>30</v>
      </c>
      <c r="F353" s="41">
        <v>0</v>
      </c>
      <c r="G353" s="41" t="s">
        <v>103</v>
      </c>
      <c r="H353" s="41">
        <v>2</v>
      </c>
      <c r="I353" s="41">
        <v>1</v>
      </c>
      <c r="J353" s="108">
        <v>0</v>
      </c>
      <c r="K353" s="41">
        <v>0</v>
      </c>
      <c r="L353" s="41">
        <v>55</v>
      </c>
      <c r="M353" s="41">
        <v>-1</v>
      </c>
      <c r="N353" s="41">
        <v>4</v>
      </c>
      <c r="O353" s="110" t="s">
        <v>2439</v>
      </c>
      <c r="P353" s="109">
        <v>193781</v>
      </c>
      <c r="Q353" s="107"/>
      <c r="R353" s="111"/>
      <c r="S353" s="110"/>
      <c r="T353"/>
      <c r="U353"/>
      <c r="V353"/>
    </row>
    <row r="354" spans="1:22">
      <c r="A354" s="105">
        <v>1736</v>
      </c>
      <c r="B354" s="41">
        <v>120000000</v>
      </c>
      <c r="C354" s="41">
        <v>8.3000000000000001E-3</v>
      </c>
      <c r="D354" s="41">
        <v>32</v>
      </c>
      <c r="E354" s="41">
        <v>30</v>
      </c>
      <c r="F354" s="41">
        <v>0</v>
      </c>
      <c r="G354" s="41" t="s">
        <v>103</v>
      </c>
      <c r="H354" s="41">
        <v>2</v>
      </c>
      <c r="I354" s="41">
        <v>1</v>
      </c>
      <c r="J354" s="108">
        <v>0</v>
      </c>
      <c r="K354" s="41">
        <v>0</v>
      </c>
      <c r="L354" s="41">
        <v>55</v>
      </c>
      <c r="M354" s="41">
        <v>-1</v>
      </c>
      <c r="N354" s="41">
        <v>4</v>
      </c>
      <c r="O354" s="110" t="s">
        <v>2440</v>
      </c>
      <c r="P354" s="109">
        <v>193781</v>
      </c>
      <c r="Q354" s="107"/>
      <c r="R354" s="111"/>
      <c r="S354" s="110"/>
      <c r="T354"/>
      <c r="U354"/>
      <c r="V354"/>
    </row>
    <row r="355" spans="1:22">
      <c r="A355" s="105">
        <v>1737</v>
      </c>
      <c r="B355" s="41">
        <v>120000000</v>
      </c>
      <c r="C355" s="41">
        <v>8.3000000000000001E-3</v>
      </c>
      <c r="D355" s="41">
        <v>45.254800000000003</v>
      </c>
      <c r="E355" s="41">
        <v>30</v>
      </c>
      <c r="F355" s="41">
        <v>0</v>
      </c>
      <c r="G355" s="41" t="s">
        <v>103</v>
      </c>
      <c r="H355" s="41">
        <v>2</v>
      </c>
      <c r="I355" s="41">
        <v>1</v>
      </c>
      <c r="J355" s="108">
        <v>0</v>
      </c>
      <c r="K355" s="41">
        <v>0</v>
      </c>
      <c r="L355" s="41">
        <v>55</v>
      </c>
      <c r="M355" s="41">
        <v>-1</v>
      </c>
      <c r="N355" s="41">
        <v>4</v>
      </c>
      <c r="O355" s="110" t="s">
        <v>2441</v>
      </c>
      <c r="P355" s="109">
        <v>193781</v>
      </c>
      <c r="Q355" s="107"/>
      <c r="R355" s="111"/>
      <c r="S355" s="110"/>
      <c r="T355"/>
      <c r="U355"/>
      <c r="V355"/>
    </row>
    <row r="356" spans="1:22">
      <c r="A356" s="105">
        <v>1738</v>
      </c>
      <c r="B356" s="41">
        <v>120000000</v>
      </c>
      <c r="C356" s="41">
        <v>9.1000000000000004E-3</v>
      </c>
      <c r="D356" s="41">
        <v>32</v>
      </c>
      <c r="E356" s="41">
        <v>30</v>
      </c>
      <c r="F356" s="41">
        <v>0</v>
      </c>
      <c r="G356" s="41" t="s">
        <v>103</v>
      </c>
      <c r="H356" s="41">
        <v>2</v>
      </c>
      <c r="I356" s="41">
        <v>1</v>
      </c>
      <c r="J356" s="108">
        <v>0</v>
      </c>
      <c r="K356" s="41">
        <v>0</v>
      </c>
      <c r="L356" s="41">
        <v>55</v>
      </c>
      <c r="M356" s="41">
        <v>-1</v>
      </c>
      <c r="N356" s="41">
        <v>4</v>
      </c>
      <c r="O356" s="110" t="s">
        <v>2442</v>
      </c>
      <c r="P356" s="109">
        <v>193781</v>
      </c>
      <c r="Q356" s="107"/>
      <c r="R356" s="111"/>
      <c r="S356" s="110"/>
      <c r="T356"/>
      <c r="U356"/>
      <c r="V356"/>
    </row>
    <row r="357" spans="1:22">
      <c r="A357" s="105">
        <v>1739</v>
      </c>
      <c r="B357" s="41">
        <v>120000000</v>
      </c>
      <c r="C357" s="41">
        <v>9.1000000000000004E-3</v>
      </c>
      <c r="D357" s="41">
        <v>45.254800000000003</v>
      </c>
      <c r="E357" s="41">
        <v>30</v>
      </c>
      <c r="F357" s="41">
        <v>0</v>
      </c>
      <c r="G357" s="41" t="s">
        <v>103</v>
      </c>
      <c r="H357" s="41">
        <v>2</v>
      </c>
      <c r="I357" s="41">
        <v>1</v>
      </c>
      <c r="J357" s="108">
        <v>0</v>
      </c>
      <c r="K357" s="41">
        <v>0</v>
      </c>
      <c r="L357" s="41">
        <v>55</v>
      </c>
      <c r="M357" s="41">
        <v>-1</v>
      </c>
      <c r="N357" s="41">
        <v>4</v>
      </c>
      <c r="O357" s="110" t="s">
        <v>2443</v>
      </c>
      <c r="P357" s="109">
        <v>193781</v>
      </c>
      <c r="Q357" s="107"/>
      <c r="R357" s="111"/>
      <c r="S357" s="110"/>
      <c r="T357"/>
      <c r="U357"/>
      <c r="V357"/>
    </row>
    <row r="358" spans="1:22">
      <c r="A358" s="105">
        <v>1740</v>
      </c>
      <c r="B358" s="41">
        <v>120000000</v>
      </c>
      <c r="C358" s="41">
        <v>9.9000000000000008E-3</v>
      </c>
      <c r="D358" s="41">
        <v>32</v>
      </c>
      <c r="E358" s="41">
        <v>30</v>
      </c>
      <c r="F358" s="41">
        <v>0</v>
      </c>
      <c r="G358" s="41" t="s">
        <v>103</v>
      </c>
      <c r="H358" s="41">
        <v>2</v>
      </c>
      <c r="I358" s="41">
        <v>1</v>
      </c>
      <c r="J358" s="108">
        <v>0</v>
      </c>
      <c r="K358" s="41">
        <v>0</v>
      </c>
      <c r="L358" s="41">
        <v>55</v>
      </c>
      <c r="M358" s="41">
        <v>-1</v>
      </c>
      <c r="N358" s="41">
        <v>4</v>
      </c>
      <c r="O358" s="110" t="s">
        <v>2444</v>
      </c>
      <c r="P358" s="109">
        <v>193781</v>
      </c>
      <c r="Q358" s="107"/>
      <c r="R358" s="111"/>
      <c r="S358" s="110"/>
      <c r="T358"/>
      <c r="U358"/>
      <c r="V358"/>
    </row>
    <row r="359" spans="1:22">
      <c r="A359" s="105">
        <v>1741</v>
      </c>
      <c r="B359" s="41">
        <v>120000000</v>
      </c>
      <c r="C359" s="41">
        <v>9.9000000000000008E-3</v>
      </c>
      <c r="D359" s="41">
        <v>45.254800000000003</v>
      </c>
      <c r="E359" s="41">
        <v>30</v>
      </c>
      <c r="F359" s="41">
        <v>0</v>
      </c>
      <c r="G359" s="41" t="s">
        <v>103</v>
      </c>
      <c r="H359" s="41">
        <v>2</v>
      </c>
      <c r="I359" s="41">
        <v>1</v>
      </c>
      <c r="J359" s="108">
        <v>0</v>
      </c>
      <c r="K359" s="41">
        <v>0</v>
      </c>
      <c r="L359" s="41">
        <v>55</v>
      </c>
      <c r="M359" s="41">
        <v>-1</v>
      </c>
      <c r="N359" s="41">
        <v>4</v>
      </c>
      <c r="O359" s="110" t="s">
        <v>2445</v>
      </c>
      <c r="P359" s="109">
        <v>194248</v>
      </c>
      <c r="Q359" s="107"/>
      <c r="R359" s="111"/>
      <c r="S359" s="110" t="s">
        <v>2267</v>
      </c>
      <c r="T359"/>
      <c r="U359"/>
      <c r="V359"/>
    </row>
    <row r="360" spans="1:22">
      <c r="A360" s="105">
        <v>1742</v>
      </c>
      <c r="B360" s="41">
        <v>120000000</v>
      </c>
      <c r="C360" s="41">
        <v>1.0800000000000001E-2</v>
      </c>
      <c r="D360" s="41">
        <v>45.254800000000003</v>
      </c>
      <c r="E360" s="41">
        <v>30</v>
      </c>
      <c r="F360" s="41">
        <v>0</v>
      </c>
      <c r="G360" s="41" t="s">
        <v>103</v>
      </c>
      <c r="H360" s="41">
        <v>2</v>
      </c>
      <c r="I360" s="41">
        <v>1</v>
      </c>
      <c r="J360" s="108">
        <v>0</v>
      </c>
      <c r="K360" s="41">
        <v>0</v>
      </c>
      <c r="L360" s="41">
        <v>55</v>
      </c>
      <c r="M360" s="41">
        <v>-1</v>
      </c>
      <c r="N360" s="41">
        <v>4</v>
      </c>
      <c r="O360" s="110" t="s">
        <v>2446</v>
      </c>
      <c r="P360" s="109">
        <v>194248</v>
      </c>
      <c r="Q360" s="107"/>
      <c r="R360" s="111"/>
      <c r="S360" s="110"/>
      <c r="T360"/>
      <c r="U360"/>
      <c r="V360"/>
    </row>
    <row r="361" spans="1:22">
      <c r="A361" s="105">
        <v>1743</v>
      </c>
      <c r="B361" s="41">
        <v>120000000</v>
      </c>
      <c r="C361" s="41">
        <v>1.18E-2</v>
      </c>
      <c r="D361" s="41">
        <v>45.254800000000003</v>
      </c>
      <c r="E361" s="41">
        <v>30</v>
      </c>
      <c r="F361" s="41">
        <v>0</v>
      </c>
      <c r="G361" s="41" t="s">
        <v>103</v>
      </c>
      <c r="H361" s="41">
        <v>2</v>
      </c>
      <c r="I361" s="41">
        <v>1</v>
      </c>
      <c r="J361" s="108">
        <v>0</v>
      </c>
      <c r="K361" s="41">
        <v>0</v>
      </c>
      <c r="L361" s="41">
        <v>55</v>
      </c>
      <c r="M361" s="41">
        <v>-1</v>
      </c>
      <c r="N361" s="41">
        <v>4</v>
      </c>
      <c r="O361" s="110" t="s">
        <v>2447</v>
      </c>
      <c r="P361" s="109">
        <v>194248</v>
      </c>
      <c r="Q361" s="107"/>
      <c r="R361" s="111"/>
      <c r="S361" s="110"/>
      <c r="T361"/>
      <c r="U361"/>
      <c r="V361"/>
    </row>
    <row r="362" spans="1:22">
      <c r="A362" s="105">
        <v>1744</v>
      </c>
      <c r="B362" s="41">
        <v>120000000</v>
      </c>
      <c r="C362" s="41">
        <v>1.1999999999999999E-3</v>
      </c>
      <c r="D362" s="41">
        <v>0.5</v>
      </c>
      <c r="E362" s="41">
        <v>30</v>
      </c>
      <c r="F362" s="41">
        <v>0</v>
      </c>
      <c r="G362" s="41" t="s">
        <v>2448</v>
      </c>
      <c r="H362" s="41">
        <v>2</v>
      </c>
      <c r="I362" s="41">
        <v>1</v>
      </c>
      <c r="J362" s="108">
        <v>0</v>
      </c>
      <c r="K362" s="41">
        <v>0</v>
      </c>
      <c r="L362" s="41">
        <v>55</v>
      </c>
      <c r="M362" s="41">
        <v>-1</v>
      </c>
      <c r="N362" s="41">
        <v>4</v>
      </c>
      <c r="O362" s="110" t="s">
        <v>2449</v>
      </c>
      <c r="P362" s="109">
        <v>193524</v>
      </c>
      <c r="Q362" s="107"/>
      <c r="R362" s="111"/>
      <c r="S362" s="110" t="s">
        <v>2267</v>
      </c>
      <c r="T362"/>
      <c r="U362"/>
      <c r="V362"/>
    </row>
    <row r="363" spans="1:22">
      <c r="A363" s="105">
        <v>1745</v>
      </c>
      <c r="B363" s="41">
        <v>120000000</v>
      </c>
      <c r="C363" s="41">
        <v>1.1999999999999999E-3</v>
      </c>
      <c r="D363" s="41">
        <v>0.70709999999999995</v>
      </c>
      <c r="E363" s="41">
        <v>30</v>
      </c>
      <c r="F363" s="41">
        <v>0</v>
      </c>
      <c r="G363" s="41" t="s">
        <v>2448</v>
      </c>
      <c r="H363" s="41">
        <v>2</v>
      </c>
      <c r="I363" s="41">
        <v>1</v>
      </c>
      <c r="J363" s="108">
        <v>0</v>
      </c>
      <c r="K363" s="41">
        <v>0</v>
      </c>
      <c r="L363" s="41">
        <v>55</v>
      </c>
      <c r="M363" s="41">
        <v>-1</v>
      </c>
      <c r="N363" s="41">
        <v>4</v>
      </c>
      <c r="O363" s="110" t="s">
        <v>2450</v>
      </c>
      <c r="P363" s="109">
        <v>193524</v>
      </c>
      <c r="Q363" s="107"/>
      <c r="R363" s="111"/>
      <c r="S363" s="110"/>
      <c r="T363"/>
      <c r="U363"/>
      <c r="V363"/>
    </row>
    <row r="364" spans="1:22">
      <c r="A364" s="105">
        <v>1746</v>
      </c>
      <c r="B364" s="41">
        <v>120000000</v>
      </c>
      <c r="C364" s="41">
        <v>1.1999999999999999E-3</v>
      </c>
      <c r="D364" s="41">
        <v>1</v>
      </c>
      <c r="E364" s="41">
        <v>30</v>
      </c>
      <c r="F364" s="41">
        <v>0</v>
      </c>
      <c r="G364" s="41" t="s">
        <v>2448</v>
      </c>
      <c r="H364" s="41">
        <v>2</v>
      </c>
      <c r="I364" s="41">
        <v>1</v>
      </c>
      <c r="J364" s="108">
        <v>0</v>
      </c>
      <c r="K364" s="41">
        <v>0</v>
      </c>
      <c r="L364" s="41">
        <v>55</v>
      </c>
      <c r="M364" s="41">
        <v>-1</v>
      </c>
      <c r="N364" s="41">
        <v>4</v>
      </c>
      <c r="O364" s="110" t="s">
        <v>2451</v>
      </c>
      <c r="P364" s="109">
        <v>193524</v>
      </c>
      <c r="Q364" s="107"/>
      <c r="R364" s="111"/>
      <c r="S364" s="110"/>
      <c r="T364"/>
      <c r="U364"/>
      <c r="V364"/>
    </row>
    <row r="365" spans="1:22">
      <c r="A365" s="105">
        <v>1747</v>
      </c>
      <c r="B365" s="41">
        <v>120000000</v>
      </c>
      <c r="C365" s="41">
        <v>1.1999999999999999E-3</v>
      </c>
      <c r="D365" s="41">
        <v>1.4141999999999999</v>
      </c>
      <c r="E365" s="41">
        <v>30</v>
      </c>
      <c r="F365" s="41">
        <v>0</v>
      </c>
      <c r="G365" s="41" t="s">
        <v>2448</v>
      </c>
      <c r="H365" s="41">
        <v>2</v>
      </c>
      <c r="I365" s="41">
        <v>1</v>
      </c>
      <c r="J365" s="108">
        <v>0</v>
      </c>
      <c r="K365" s="41">
        <v>0</v>
      </c>
      <c r="L365" s="41">
        <v>55</v>
      </c>
      <c r="M365" s="41">
        <v>-1</v>
      </c>
      <c r="N365" s="41">
        <v>4</v>
      </c>
      <c r="O365" s="110" t="s">
        <v>2452</v>
      </c>
      <c r="P365" s="109">
        <v>193524</v>
      </c>
      <c r="Q365" s="107"/>
      <c r="R365" s="111"/>
      <c r="S365" s="110"/>
      <c r="T365"/>
      <c r="U365"/>
      <c r="V365"/>
    </row>
    <row r="366" spans="1:22">
      <c r="A366" s="105">
        <v>1748</v>
      </c>
      <c r="B366" s="41">
        <v>120000000</v>
      </c>
      <c r="C366" s="41">
        <v>1.1999999999999999E-3</v>
      </c>
      <c r="D366" s="41">
        <v>2</v>
      </c>
      <c r="E366" s="41">
        <v>30</v>
      </c>
      <c r="F366" s="41">
        <v>0</v>
      </c>
      <c r="G366" s="41" t="s">
        <v>2448</v>
      </c>
      <c r="H366" s="41">
        <v>2</v>
      </c>
      <c r="I366" s="41">
        <v>1</v>
      </c>
      <c r="J366" s="108">
        <v>0</v>
      </c>
      <c r="K366" s="41">
        <v>0</v>
      </c>
      <c r="L366" s="41">
        <v>55</v>
      </c>
      <c r="M366" s="41">
        <v>-1</v>
      </c>
      <c r="N366" s="41">
        <v>4</v>
      </c>
      <c r="O366" s="110" t="s">
        <v>2453</v>
      </c>
      <c r="P366" s="109">
        <v>193524</v>
      </c>
      <c r="Q366" s="107"/>
      <c r="R366" s="111"/>
      <c r="S366" s="110"/>
      <c r="T366"/>
      <c r="U366"/>
      <c r="V366"/>
    </row>
    <row r="367" spans="1:22">
      <c r="A367" s="105">
        <v>1749</v>
      </c>
      <c r="B367" s="41">
        <v>120000000</v>
      </c>
      <c r="C367" s="41">
        <v>1.1999999999999999E-3</v>
      </c>
      <c r="D367" s="41">
        <v>2.8283999999999998</v>
      </c>
      <c r="E367" s="41">
        <v>30</v>
      </c>
      <c r="F367" s="41">
        <v>0</v>
      </c>
      <c r="G367" s="41" t="s">
        <v>2448</v>
      </c>
      <c r="H367" s="41">
        <v>2</v>
      </c>
      <c r="I367" s="41">
        <v>1</v>
      </c>
      <c r="J367" s="108">
        <v>0</v>
      </c>
      <c r="K367" s="41">
        <v>0</v>
      </c>
      <c r="L367" s="41">
        <v>55</v>
      </c>
      <c r="M367" s="41">
        <v>-1</v>
      </c>
      <c r="N367" s="41">
        <v>4</v>
      </c>
      <c r="O367" s="110" t="s">
        <v>2454</v>
      </c>
      <c r="P367" s="109">
        <v>193524</v>
      </c>
      <c r="Q367" s="107"/>
      <c r="R367" s="111"/>
      <c r="S367" s="110"/>
      <c r="T367"/>
      <c r="U367"/>
      <c r="V367"/>
    </row>
    <row r="368" spans="1:22">
      <c r="A368" s="105">
        <v>1750</v>
      </c>
      <c r="B368" s="41">
        <v>120000000</v>
      </c>
      <c r="C368" s="41">
        <v>1.1999999999999999E-3</v>
      </c>
      <c r="D368" s="41">
        <v>4</v>
      </c>
      <c r="E368" s="41">
        <v>30</v>
      </c>
      <c r="F368" s="41">
        <v>0</v>
      </c>
      <c r="G368" s="41" t="s">
        <v>2448</v>
      </c>
      <c r="H368" s="41">
        <v>2</v>
      </c>
      <c r="I368" s="41">
        <v>1</v>
      </c>
      <c r="J368" s="108">
        <v>0</v>
      </c>
      <c r="K368" s="41">
        <v>0</v>
      </c>
      <c r="L368" s="41">
        <v>55</v>
      </c>
      <c r="M368" s="41">
        <v>-1</v>
      </c>
      <c r="N368" s="41">
        <v>4</v>
      </c>
      <c r="O368" s="110" t="s">
        <v>2455</v>
      </c>
      <c r="P368" s="109">
        <v>193524</v>
      </c>
      <c r="Q368" s="107"/>
      <c r="R368" s="111"/>
      <c r="S368" s="110"/>
      <c r="T368"/>
      <c r="U368"/>
      <c r="V368"/>
    </row>
    <row r="369" spans="1:22">
      <c r="A369" s="105">
        <v>1751</v>
      </c>
      <c r="B369" s="41">
        <v>120000000</v>
      </c>
      <c r="C369" s="41">
        <v>1.1999999999999999E-3</v>
      </c>
      <c r="D369" s="41">
        <v>5.6569000000000003</v>
      </c>
      <c r="E369" s="41">
        <v>30</v>
      </c>
      <c r="F369" s="41">
        <v>0</v>
      </c>
      <c r="G369" s="41" t="s">
        <v>2448</v>
      </c>
      <c r="H369" s="41">
        <v>2</v>
      </c>
      <c r="I369" s="41">
        <v>1</v>
      </c>
      <c r="J369" s="108">
        <v>0</v>
      </c>
      <c r="K369" s="41">
        <v>0</v>
      </c>
      <c r="L369" s="41">
        <v>55</v>
      </c>
      <c r="M369" s="41">
        <v>-1</v>
      </c>
      <c r="N369" s="41">
        <v>4</v>
      </c>
      <c r="O369" s="110" t="s">
        <v>2456</v>
      </c>
      <c r="P369" s="109">
        <v>193524</v>
      </c>
      <c r="Q369" s="107"/>
      <c r="R369" s="111"/>
      <c r="S369" s="110"/>
      <c r="T369"/>
      <c r="U369"/>
      <c r="V369"/>
    </row>
    <row r="370" spans="1:22">
      <c r="A370" s="105">
        <v>1752</v>
      </c>
      <c r="B370" s="41">
        <v>120000000</v>
      </c>
      <c r="C370" s="41">
        <v>1.1999999999999999E-3</v>
      </c>
      <c r="D370" s="41">
        <v>8</v>
      </c>
      <c r="E370" s="41">
        <v>30</v>
      </c>
      <c r="F370" s="41">
        <v>0</v>
      </c>
      <c r="G370" s="41" t="s">
        <v>2448</v>
      </c>
      <c r="H370" s="41">
        <v>2</v>
      </c>
      <c r="I370" s="41">
        <v>1</v>
      </c>
      <c r="J370" s="108">
        <v>0</v>
      </c>
      <c r="K370" s="41">
        <v>0</v>
      </c>
      <c r="L370" s="41">
        <v>55</v>
      </c>
      <c r="M370" s="41">
        <v>-1</v>
      </c>
      <c r="N370" s="41">
        <v>4</v>
      </c>
      <c r="O370" s="110" t="s">
        <v>2457</v>
      </c>
      <c r="P370" s="109">
        <v>193524</v>
      </c>
      <c r="Q370" s="107"/>
      <c r="R370" s="111"/>
      <c r="S370" s="110"/>
      <c r="T370"/>
      <c r="U370"/>
      <c r="V370"/>
    </row>
    <row r="371" spans="1:22">
      <c r="A371" s="105">
        <v>1753</v>
      </c>
      <c r="B371" s="41">
        <v>120000000</v>
      </c>
      <c r="C371" s="41">
        <v>1.1999999999999999E-3</v>
      </c>
      <c r="D371" s="41">
        <v>11.313700000000001</v>
      </c>
      <c r="E371" s="41">
        <v>30</v>
      </c>
      <c r="F371" s="41">
        <v>0</v>
      </c>
      <c r="G371" s="41" t="s">
        <v>2448</v>
      </c>
      <c r="H371" s="41">
        <v>2</v>
      </c>
      <c r="I371" s="41">
        <v>1</v>
      </c>
      <c r="J371" s="108">
        <v>0</v>
      </c>
      <c r="K371" s="41">
        <v>0</v>
      </c>
      <c r="L371" s="41">
        <v>55</v>
      </c>
      <c r="M371" s="41">
        <v>-1</v>
      </c>
      <c r="N371" s="41">
        <v>4</v>
      </c>
      <c r="O371" s="110" t="s">
        <v>2458</v>
      </c>
      <c r="P371" s="109">
        <v>193524</v>
      </c>
      <c r="Q371" s="107"/>
      <c r="R371" s="111"/>
      <c r="S371" s="110"/>
      <c r="T371"/>
      <c r="U371"/>
      <c r="V371"/>
    </row>
    <row r="372" spans="1:22">
      <c r="A372" s="105">
        <v>1754</v>
      </c>
      <c r="B372" s="41">
        <v>120000000</v>
      </c>
      <c r="C372" s="41">
        <v>1.2999999999999999E-3</v>
      </c>
      <c r="D372" s="41">
        <v>0.70709999999999995</v>
      </c>
      <c r="E372" s="41">
        <v>30</v>
      </c>
      <c r="F372" s="41">
        <v>0</v>
      </c>
      <c r="G372" s="41" t="s">
        <v>2448</v>
      </c>
      <c r="H372" s="41">
        <v>2</v>
      </c>
      <c r="I372" s="41">
        <v>1</v>
      </c>
      <c r="J372" s="108">
        <v>0</v>
      </c>
      <c r="K372" s="41">
        <v>0</v>
      </c>
      <c r="L372" s="41">
        <v>55</v>
      </c>
      <c r="M372" s="41">
        <v>-1</v>
      </c>
      <c r="N372" s="41">
        <v>4</v>
      </c>
      <c r="O372" s="110" t="s">
        <v>2459</v>
      </c>
      <c r="P372" s="109">
        <v>193524</v>
      </c>
      <c r="Q372" s="107"/>
      <c r="R372" s="111"/>
      <c r="S372" s="110"/>
      <c r="T372"/>
      <c r="U372"/>
      <c r="V372"/>
    </row>
    <row r="373" spans="1:22">
      <c r="A373" s="105">
        <v>1755</v>
      </c>
      <c r="B373" s="41">
        <v>120000000</v>
      </c>
      <c r="C373" s="41">
        <v>1.2999999999999999E-3</v>
      </c>
      <c r="D373" s="41">
        <v>1</v>
      </c>
      <c r="E373" s="41">
        <v>30</v>
      </c>
      <c r="F373" s="41">
        <v>0</v>
      </c>
      <c r="G373" s="41" t="s">
        <v>2448</v>
      </c>
      <c r="H373" s="41">
        <v>2</v>
      </c>
      <c r="I373" s="41">
        <v>1</v>
      </c>
      <c r="J373" s="108">
        <v>0</v>
      </c>
      <c r="K373" s="41">
        <v>0</v>
      </c>
      <c r="L373" s="41">
        <v>55</v>
      </c>
      <c r="M373" s="41">
        <v>-1</v>
      </c>
      <c r="N373" s="41">
        <v>4</v>
      </c>
      <c r="O373" s="110" t="s">
        <v>2460</v>
      </c>
      <c r="P373" s="109">
        <v>193524</v>
      </c>
      <c r="Q373" s="107"/>
      <c r="R373" s="111"/>
      <c r="S373" s="110"/>
      <c r="T373"/>
      <c r="U373"/>
      <c r="V373"/>
    </row>
    <row r="374" spans="1:22">
      <c r="A374" s="105">
        <v>1756</v>
      </c>
      <c r="B374" s="41">
        <v>120000000</v>
      </c>
      <c r="C374" s="41">
        <v>1.2999999999999999E-3</v>
      </c>
      <c r="D374" s="41">
        <v>1.4141999999999999</v>
      </c>
      <c r="E374" s="41">
        <v>30</v>
      </c>
      <c r="F374" s="41">
        <v>0</v>
      </c>
      <c r="G374" s="41" t="s">
        <v>2448</v>
      </c>
      <c r="H374" s="41">
        <v>2</v>
      </c>
      <c r="I374" s="41">
        <v>1</v>
      </c>
      <c r="J374" s="108">
        <v>0</v>
      </c>
      <c r="K374" s="41">
        <v>0</v>
      </c>
      <c r="L374" s="41">
        <v>55</v>
      </c>
      <c r="M374" s="41">
        <v>-1</v>
      </c>
      <c r="N374" s="41">
        <v>4</v>
      </c>
      <c r="O374" s="110" t="s">
        <v>2461</v>
      </c>
      <c r="P374" s="109">
        <v>193524</v>
      </c>
      <c r="Q374" s="107"/>
      <c r="R374" s="111"/>
      <c r="S374" s="110"/>
      <c r="T374"/>
      <c r="U374"/>
      <c r="V374"/>
    </row>
    <row r="375" spans="1:22">
      <c r="A375" s="105">
        <v>1757</v>
      </c>
      <c r="B375" s="41">
        <v>120000000</v>
      </c>
      <c r="C375" s="41">
        <v>1.2999999999999999E-3</v>
      </c>
      <c r="D375" s="41">
        <v>2</v>
      </c>
      <c r="E375" s="41">
        <v>30</v>
      </c>
      <c r="F375" s="41">
        <v>0</v>
      </c>
      <c r="G375" s="41" t="s">
        <v>2448</v>
      </c>
      <c r="H375" s="41">
        <v>2</v>
      </c>
      <c r="I375" s="41">
        <v>1</v>
      </c>
      <c r="J375" s="108">
        <v>0</v>
      </c>
      <c r="K375" s="41">
        <v>0</v>
      </c>
      <c r="L375" s="41">
        <v>55</v>
      </c>
      <c r="M375" s="41">
        <v>-1</v>
      </c>
      <c r="N375" s="41">
        <v>4</v>
      </c>
      <c r="O375" s="110" t="s">
        <v>2462</v>
      </c>
      <c r="P375" s="109">
        <v>193524</v>
      </c>
      <c r="Q375" s="107"/>
      <c r="R375" s="111"/>
      <c r="S375" s="110"/>
      <c r="T375"/>
      <c r="U375"/>
      <c r="V375"/>
    </row>
    <row r="376" spans="1:22">
      <c r="A376" s="105">
        <v>1758</v>
      </c>
      <c r="B376" s="41">
        <v>120000000</v>
      </c>
      <c r="C376" s="41">
        <v>1.2999999999999999E-3</v>
      </c>
      <c r="D376" s="41">
        <v>2.8283999999999998</v>
      </c>
      <c r="E376" s="41">
        <v>30</v>
      </c>
      <c r="F376" s="41">
        <v>0</v>
      </c>
      <c r="G376" s="41" t="s">
        <v>2448</v>
      </c>
      <c r="H376" s="41">
        <v>2</v>
      </c>
      <c r="I376" s="41">
        <v>1</v>
      </c>
      <c r="J376" s="108">
        <v>0</v>
      </c>
      <c r="K376" s="41">
        <v>0</v>
      </c>
      <c r="L376" s="41">
        <v>55</v>
      </c>
      <c r="M376" s="41">
        <v>-1</v>
      </c>
      <c r="N376" s="41">
        <v>4</v>
      </c>
      <c r="O376" s="110" t="s">
        <v>2463</v>
      </c>
      <c r="P376" s="109">
        <v>193524</v>
      </c>
      <c r="Q376" s="107"/>
      <c r="R376" s="111"/>
      <c r="S376" s="110"/>
      <c r="T376"/>
      <c r="U376"/>
      <c r="V376"/>
    </row>
    <row r="377" spans="1:22">
      <c r="A377" s="105">
        <v>1759</v>
      </c>
      <c r="B377" s="41">
        <v>120000000</v>
      </c>
      <c r="C377" s="41">
        <v>1.2999999999999999E-3</v>
      </c>
      <c r="D377" s="41">
        <v>4</v>
      </c>
      <c r="E377" s="41">
        <v>30</v>
      </c>
      <c r="F377" s="41">
        <v>0</v>
      </c>
      <c r="G377" s="41" t="s">
        <v>2448</v>
      </c>
      <c r="H377" s="41">
        <v>2</v>
      </c>
      <c r="I377" s="41">
        <v>1</v>
      </c>
      <c r="J377" s="108">
        <v>0</v>
      </c>
      <c r="K377" s="41">
        <v>0</v>
      </c>
      <c r="L377" s="41">
        <v>55</v>
      </c>
      <c r="M377" s="41">
        <v>-1</v>
      </c>
      <c r="N377" s="41">
        <v>4</v>
      </c>
      <c r="O377" s="110" t="s">
        <v>2464</v>
      </c>
      <c r="P377" s="109">
        <v>193524</v>
      </c>
      <c r="Q377" s="107"/>
      <c r="R377" s="111"/>
      <c r="S377" s="110"/>
      <c r="T377"/>
      <c r="U377"/>
      <c r="V377"/>
    </row>
    <row r="378" spans="1:22">
      <c r="A378" s="105">
        <v>1760</v>
      </c>
      <c r="B378" s="41">
        <v>120000000</v>
      </c>
      <c r="C378" s="41">
        <v>1.2999999999999999E-3</v>
      </c>
      <c r="D378" s="41">
        <v>5.6569000000000003</v>
      </c>
      <c r="E378" s="41">
        <v>30</v>
      </c>
      <c r="F378" s="41">
        <v>0</v>
      </c>
      <c r="G378" s="41" t="s">
        <v>2448</v>
      </c>
      <c r="H378" s="41">
        <v>2</v>
      </c>
      <c r="I378" s="41">
        <v>1</v>
      </c>
      <c r="J378" s="108">
        <v>0</v>
      </c>
      <c r="K378" s="41">
        <v>0</v>
      </c>
      <c r="L378" s="41">
        <v>55</v>
      </c>
      <c r="M378" s="41">
        <v>-1</v>
      </c>
      <c r="N378" s="41">
        <v>4</v>
      </c>
      <c r="O378" s="110" t="s">
        <v>2465</v>
      </c>
      <c r="P378" s="109">
        <v>193524</v>
      </c>
      <c r="Q378" s="107"/>
      <c r="R378" s="111"/>
      <c r="S378" s="110"/>
      <c r="T378"/>
      <c r="U378"/>
      <c r="V378"/>
    </row>
    <row r="379" spans="1:22">
      <c r="A379" s="105">
        <v>1761</v>
      </c>
      <c r="B379" s="41">
        <v>120000000</v>
      </c>
      <c r="C379" s="41">
        <v>1.2999999999999999E-3</v>
      </c>
      <c r="D379" s="41">
        <v>8</v>
      </c>
      <c r="E379" s="41">
        <v>30</v>
      </c>
      <c r="F379" s="41">
        <v>0</v>
      </c>
      <c r="G379" s="41" t="s">
        <v>2448</v>
      </c>
      <c r="H379" s="41">
        <v>2</v>
      </c>
      <c r="I379" s="41">
        <v>1</v>
      </c>
      <c r="J379" s="108">
        <v>0</v>
      </c>
      <c r="K379" s="41">
        <v>0</v>
      </c>
      <c r="L379" s="41">
        <v>55</v>
      </c>
      <c r="M379" s="41">
        <v>-1</v>
      </c>
      <c r="N379" s="41">
        <v>4</v>
      </c>
      <c r="O379" s="110" t="s">
        <v>2466</v>
      </c>
      <c r="P379" s="109">
        <v>193524</v>
      </c>
      <c r="Q379" s="107"/>
      <c r="R379" s="111"/>
      <c r="S379" s="110"/>
      <c r="T379"/>
      <c r="U379"/>
      <c r="V379"/>
    </row>
    <row r="380" spans="1:22">
      <c r="A380" s="105">
        <v>1762</v>
      </c>
      <c r="B380" s="41">
        <v>120000000</v>
      </c>
      <c r="C380" s="41">
        <v>1.2999999999999999E-3</v>
      </c>
      <c r="D380" s="41">
        <v>11.313700000000001</v>
      </c>
      <c r="E380" s="41">
        <v>30</v>
      </c>
      <c r="F380" s="41">
        <v>0</v>
      </c>
      <c r="G380" s="41" t="s">
        <v>2448</v>
      </c>
      <c r="H380" s="41">
        <v>2</v>
      </c>
      <c r="I380" s="41">
        <v>1</v>
      </c>
      <c r="J380" s="108">
        <v>0</v>
      </c>
      <c r="K380" s="41">
        <v>0</v>
      </c>
      <c r="L380" s="41">
        <v>55</v>
      </c>
      <c r="M380" s="41">
        <v>-1</v>
      </c>
      <c r="N380" s="41">
        <v>4</v>
      </c>
      <c r="O380" s="110" t="s">
        <v>2467</v>
      </c>
      <c r="P380" s="109">
        <v>193524</v>
      </c>
      <c r="Q380" s="107"/>
      <c r="R380" s="111"/>
      <c r="S380" s="110"/>
      <c r="T380"/>
      <c r="U380"/>
      <c r="V380"/>
    </row>
    <row r="381" spans="1:22">
      <c r="A381" s="105">
        <v>1763</v>
      </c>
      <c r="B381" s="41">
        <v>120000000</v>
      </c>
      <c r="C381" s="41">
        <v>1.2999999999999999E-3</v>
      </c>
      <c r="D381" s="41">
        <v>16</v>
      </c>
      <c r="E381" s="41">
        <v>30</v>
      </c>
      <c r="F381" s="41">
        <v>0</v>
      </c>
      <c r="G381" s="41" t="s">
        <v>2448</v>
      </c>
      <c r="H381" s="41">
        <v>2</v>
      </c>
      <c r="I381" s="41">
        <v>1</v>
      </c>
      <c r="J381" s="108">
        <v>0</v>
      </c>
      <c r="K381" s="41">
        <v>0</v>
      </c>
      <c r="L381" s="41">
        <v>55</v>
      </c>
      <c r="M381" s="41">
        <v>-1</v>
      </c>
      <c r="N381" s="41">
        <v>4</v>
      </c>
      <c r="O381" s="110" t="s">
        <v>2468</v>
      </c>
      <c r="P381" s="109">
        <v>193524</v>
      </c>
      <c r="Q381" s="107"/>
      <c r="R381" s="111"/>
      <c r="S381" s="110"/>
      <c r="T381"/>
      <c r="U381"/>
      <c r="V381"/>
    </row>
    <row r="382" spans="1:22">
      <c r="A382" s="105">
        <v>1764</v>
      </c>
      <c r="B382" s="41">
        <v>120000000</v>
      </c>
      <c r="C382" s="41">
        <v>1.5E-3</v>
      </c>
      <c r="D382" s="41">
        <v>0.70709999999999995</v>
      </c>
      <c r="E382" s="41">
        <v>30</v>
      </c>
      <c r="F382" s="41">
        <v>0</v>
      </c>
      <c r="G382" s="41" t="s">
        <v>2448</v>
      </c>
      <c r="H382" s="41">
        <v>2</v>
      </c>
      <c r="I382" s="41">
        <v>1</v>
      </c>
      <c r="J382" s="108">
        <v>0</v>
      </c>
      <c r="K382" s="41">
        <v>0</v>
      </c>
      <c r="L382" s="41">
        <v>55</v>
      </c>
      <c r="M382" s="41">
        <v>-1</v>
      </c>
      <c r="N382" s="41">
        <v>4</v>
      </c>
      <c r="O382" s="110" t="s">
        <v>2469</v>
      </c>
      <c r="P382" s="109">
        <v>193524</v>
      </c>
      <c r="Q382" s="107"/>
      <c r="R382" s="111"/>
      <c r="S382" s="110"/>
      <c r="T382"/>
      <c r="U382"/>
      <c r="V382"/>
    </row>
    <row r="383" spans="1:22">
      <c r="A383" s="105">
        <v>1765</v>
      </c>
      <c r="B383" s="41">
        <v>120000000</v>
      </c>
      <c r="C383" s="41">
        <v>1.5E-3</v>
      </c>
      <c r="D383" s="41">
        <v>1</v>
      </c>
      <c r="E383" s="41">
        <v>30</v>
      </c>
      <c r="F383" s="41">
        <v>0</v>
      </c>
      <c r="G383" s="41" t="s">
        <v>2448</v>
      </c>
      <c r="H383" s="41">
        <v>2</v>
      </c>
      <c r="I383" s="41">
        <v>1</v>
      </c>
      <c r="J383" s="108">
        <v>0</v>
      </c>
      <c r="K383" s="41">
        <v>0</v>
      </c>
      <c r="L383" s="41">
        <v>55</v>
      </c>
      <c r="M383" s="41">
        <v>-1</v>
      </c>
      <c r="N383" s="41">
        <v>4</v>
      </c>
      <c r="O383" s="110" t="s">
        <v>2470</v>
      </c>
      <c r="P383" s="109">
        <v>193524</v>
      </c>
      <c r="Q383" s="107"/>
      <c r="R383" s="111"/>
      <c r="S383" s="110"/>
      <c r="T383"/>
      <c r="U383"/>
      <c r="V383"/>
    </row>
    <row r="384" spans="1:22">
      <c r="A384" s="105">
        <v>1766</v>
      </c>
      <c r="B384" s="41">
        <v>120000000</v>
      </c>
      <c r="C384" s="41">
        <v>1.5E-3</v>
      </c>
      <c r="D384" s="41">
        <v>1.4141999999999999</v>
      </c>
      <c r="E384" s="41">
        <v>30</v>
      </c>
      <c r="F384" s="41">
        <v>0</v>
      </c>
      <c r="G384" s="41" t="s">
        <v>2448</v>
      </c>
      <c r="H384" s="41">
        <v>2</v>
      </c>
      <c r="I384" s="41">
        <v>1</v>
      </c>
      <c r="J384" s="108">
        <v>0</v>
      </c>
      <c r="K384" s="41">
        <v>0</v>
      </c>
      <c r="L384" s="41">
        <v>55</v>
      </c>
      <c r="M384" s="41">
        <v>-1</v>
      </c>
      <c r="N384" s="41">
        <v>4</v>
      </c>
      <c r="O384" s="110" t="s">
        <v>2471</v>
      </c>
      <c r="P384" s="109">
        <v>193524</v>
      </c>
      <c r="Q384" s="107"/>
      <c r="R384" s="111"/>
      <c r="S384" s="110"/>
      <c r="T384"/>
      <c r="U384"/>
      <c r="V384"/>
    </row>
    <row r="385" spans="1:22">
      <c r="A385" s="105">
        <v>1767</v>
      </c>
      <c r="B385" s="41">
        <v>120000000</v>
      </c>
      <c r="C385" s="41">
        <v>1.5E-3</v>
      </c>
      <c r="D385" s="41">
        <v>2</v>
      </c>
      <c r="E385" s="41">
        <v>30</v>
      </c>
      <c r="F385" s="41">
        <v>0</v>
      </c>
      <c r="G385" s="41" t="s">
        <v>2448</v>
      </c>
      <c r="H385" s="41">
        <v>2</v>
      </c>
      <c r="I385" s="41">
        <v>1</v>
      </c>
      <c r="J385" s="108">
        <v>0</v>
      </c>
      <c r="K385" s="41">
        <v>0</v>
      </c>
      <c r="L385" s="41">
        <v>55</v>
      </c>
      <c r="M385" s="41">
        <v>-1</v>
      </c>
      <c r="N385" s="41">
        <v>4</v>
      </c>
      <c r="O385" s="110" t="s">
        <v>2472</v>
      </c>
      <c r="P385" s="109">
        <v>193524</v>
      </c>
      <c r="Q385" s="107"/>
      <c r="R385" s="111"/>
      <c r="S385" s="110"/>
      <c r="T385"/>
      <c r="U385"/>
      <c r="V385"/>
    </row>
    <row r="386" spans="1:22">
      <c r="A386" s="105">
        <v>1768</v>
      </c>
      <c r="B386" s="41">
        <v>120000000</v>
      </c>
      <c r="C386" s="41">
        <v>1.5E-3</v>
      </c>
      <c r="D386" s="41">
        <v>2.8283999999999998</v>
      </c>
      <c r="E386" s="41">
        <v>30</v>
      </c>
      <c r="F386" s="41">
        <v>0</v>
      </c>
      <c r="G386" s="41" t="s">
        <v>2448</v>
      </c>
      <c r="H386" s="41">
        <v>2</v>
      </c>
      <c r="I386" s="41">
        <v>1</v>
      </c>
      <c r="J386" s="108">
        <v>0</v>
      </c>
      <c r="K386" s="41">
        <v>0</v>
      </c>
      <c r="L386" s="41">
        <v>55</v>
      </c>
      <c r="M386" s="41">
        <v>-1</v>
      </c>
      <c r="N386" s="41">
        <v>4</v>
      </c>
      <c r="O386" s="110" t="s">
        <v>2473</v>
      </c>
      <c r="P386" s="109">
        <v>193524</v>
      </c>
      <c r="Q386" s="107"/>
      <c r="R386" s="111"/>
      <c r="S386" s="110"/>
      <c r="T386"/>
      <c r="U386"/>
      <c r="V386"/>
    </row>
    <row r="387" spans="1:22">
      <c r="A387" s="105">
        <v>1769</v>
      </c>
      <c r="B387" s="41">
        <v>120000000</v>
      </c>
      <c r="C387" s="41">
        <v>1.5E-3</v>
      </c>
      <c r="D387" s="41">
        <v>4</v>
      </c>
      <c r="E387" s="41">
        <v>30</v>
      </c>
      <c r="F387" s="41">
        <v>0</v>
      </c>
      <c r="G387" s="41" t="s">
        <v>2448</v>
      </c>
      <c r="H387" s="41">
        <v>2</v>
      </c>
      <c r="I387" s="41">
        <v>1</v>
      </c>
      <c r="J387" s="108">
        <v>0</v>
      </c>
      <c r="K387" s="41">
        <v>0</v>
      </c>
      <c r="L387" s="41">
        <v>55</v>
      </c>
      <c r="M387" s="41">
        <v>-1</v>
      </c>
      <c r="N387" s="41">
        <v>4</v>
      </c>
      <c r="O387" s="110" t="s">
        <v>2474</v>
      </c>
      <c r="P387" s="109">
        <v>193524</v>
      </c>
      <c r="Q387" s="107"/>
      <c r="R387" s="111"/>
      <c r="S387" s="110"/>
      <c r="T387"/>
      <c r="U387"/>
      <c r="V387"/>
    </row>
    <row r="388" spans="1:22">
      <c r="A388" s="105">
        <v>1770</v>
      </c>
      <c r="B388" s="41">
        <v>120000000</v>
      </c>
      <c r="C388" s="41">
        <v>1.5E-3</v>
      </c>
      <c r="D388" s="41">
        <v>5.6569000000000003</v>
      </c>
      <c r="E388" s="41">
        <v>30</v>
      </c>
      <c r="F388" s="41">
        <v>0</v>
      </c>
      <c r="G388" s="41" t="s">
        <v>2448</v>
      </c>
      <c r="H388" s="41">
        <v>2</v>
      </c>
      <c r="I388" s="41">
        <v>1</v>
      </c>
      <c r="J388" s="108">
        <v>0</v>
      </c>
      <c r="K388" s="41">
        <v>0</v>
      </c>
      <c r="L388" s="41">
        <v>55</v>
      </c>
      <c r="M388" s="41">
        <v>-1</v>
      </c>
      <c r="N388" s="41">
        <v>4</v>
      </c>
      <c r="O388" s="110" t="s">
        <v>2475</v>
      </c>
      <c r="P388" s="109">
        <v>193524</v>
      </c>
      <c r="Q388" s="107"/>
      <c r="R388" s="111"/>
      <c r="S388" s="110"/>
      <c r="T388"/>
      <c r="U388"/>
      <c r="V388"/>
    </row>
    <row r="389" spans="1:22">
      <c r="A389" s="105">
        <v>1771</v>
      </c>
      <c r="B389" s="41">
        <v>120000000</v>
      </c>
      <c r="C389" s="41">
        <v>1.5E-3</v>
      </c>
      <c r="D389" s="41">
        <v>8</v>
      </c>
      <c r="E389" s="41">
        <v>30</v>
      </c>
      <c r="F389" s="41">
        <v>0</v>
      </c>
      <c r="G389" s="41" t="s">
        <v>2448</v>
      </c>
      <c r="H389" s="41">
        <v>2</v>
      </c>
      <c r="I389" s="41">
        <v>1</v>
      </c>
      <c r="J389" s="108">
        <v>0</v>
      </c>
      <c r="K389" s="41">
        <v>0</v>
      </c>
      <c r="L389" s="41">
        <v>55</v>
      </c>
      <c r="M389" s="41">
        <v>-1</v>
      </c>
      <c r="N389" s="41">
        <v>4</v>
      </c>
      <c r="O389" s="110" t="s">
        <v>2476</v>
      </c>
      <c r="P389" s="109">
        <v>193524</v>
      </c>
      <c r="Q389" s="107"/>
      <c r="R389" s="111"/>
      <c r="S389" s="110"/>
      <c r="T389"/>
      <c r="U389"/>
      <c r="V389"/>
    </row>
    <row r="390" spans="1:22">
      <c r="A390" s="105">
        <v>1772</v>
      </c>
      <c r="B390" s="41">
        <v>120000000</v>
      </c>
      <c r="C390" s="41">
        <v>1.5E-3</v>
      </c>
      <c r="D390" s="41">
        <v>11.313700000000001</v>
      </c>
      <c r="E390" s="41">
        <v>30</v>
      </c>
      <c r="F390" s="41">
        <v>0</v>
      </c>
      <c r="G390" s="41" t="s">
        <v>2448</v>
      </c>
      <c r="H390" s="41">
        <v>2</v>
      </c>
      <c r="I390" s="41">
        <v>1</v>
      </c>
      <c r="J390" s="108">
        <v>0</v>
      </c>
      <c r="K390" s="41">
        <v>0</v>
      </c>
      <c r="L390" s="41">
        <v>55</v>
      </c>
      <c r="M390" s="41">
        <v>-1</v>
      </c>
      <c r="N390" s="41">
        <v>4</v>
      </c>
      <c r="O390" s="110" t="s">
        <v>2477</v>
      </c>
      <c r="P390" s="109">
        <v>193524</v>
      </c>
      <c r="Q390" s="107"/>
      <c r="R390" s="111"/>
      <c r="S390" s="110"/>
      <c r="T390"/>
      <c r="U390"/>
      <c r="V390"/>
    </row>
    <row r="391" spans="1:22">
      <c r="A391" s="105">
        <v>1773</v>
      </c>
      <c r="B391" s="41">
        <v>120000000</v>
      </c>
      <c r="C391" s="41">
        <v>1.5E-3</v>
      </c>
      <c r="D391" s="41">
        <v>16</v>
      </c>
      <c r="E391" s="41">
        <v>30</v>
      </c>
      <c r="F391" s="41">
        <v>0</v>
      </c>
      <c r="G391" s="41" t="s">
        <v>2448</v>
      </c>
      <c r="H391" s="41">
        <v>2</v>
      </c>
      <c r="I391" s="41">
        <v>1</v>
      </c>
      <c r="J391" s="108">
        <v>0</v>
      </c>
      <c r="K391" s="41">
        <v>0</v>
      </c>
      <c r="L391" s="41">
        <v>55</v>
      </c>
      <c r="M391" s="41">
        <v>-1</v>
      </c>
      <c r="N391" s="41">
        <v>4</v>
      </c>
      <c r="O391" s="110" t="s">
        <v>2478</v>
      </c>
      <c r="P391" s="109">
        <v>193524</v>
      </c>
      <c r="Q391" s="107"/>
      <c r="R391" s="111"/>
      <c r="S391" s="110"/>
      <c r="T391"/>
      <c r="U391"/>
      <c r="V391"/>
    </row>
    <row r="392" spans="1:22">
      <c r="A392" s="105">
        <v>1774</v>
      </c>
      <c r="B392" s="41">
        <v>120000000</v>
      </c>
      <c r="C392" s="41">
        <v>1.6000000000000001E-3</v>
      </c>
      <c r="D392" s="41">
        <v>1</v>
      </c>
      <c r="E392" s="41">
        <v>30</v>
      </c>
      <c r="F392" s="41">
        <v>0</v>
      </c>
      <c r="G392" s="41" t="s">
        <v>2448</v>
      </c>
      <c r="H392" s="41">
        <v>2</v>
      </c>
      <c r="I392" s="41">
        <v>1</v>
      </c>
      <c r="J392" s="108">
        <v>0</v>
      </c>
      <c r="K392" s="41">
        <v>0</v>
      </c>
      <c r="L392" s="41">
        <v>55</v>
      </c>
      <c r="M392" s="41">
        <v>-1</v>
      </c>
      <c r="N392" s="41">
        <v>4</v>
      </c>
      <c r="O392" s="110" t="s">
        <v>2479</v>
      </c>
      <c r="P392" s="109">
        <v>193524</v>
      </c>
      <c r="Q392" s="107"/>
      <c r="R392" s="111"/>
      <c r="S392" s="110"/>
      <c r="T392"/>
      <c r="U392"/>
      <c r="V392"/>
    </row>
    <row r="393" spans="1:22">
      <c r="A393" s="105">
        <v>1775</v>
      </c>
      <c r="B393" s="41">
        <v>120000000</v>
      </c>
      <c r="C393" s="41">
        <v>1.6000000000000001E-3</v>
      </c>
      <c r="D393" s="41">
        <v>1.4141999999999999</v>
      </c>
      <c r="E393" s="41">
        <v>30</v>
      </c>
      <c r="F393" s="41">
        <v>0</v>
      </c>
      <c r="G393" s="41" t="s">
        <v>2448</v>
      </c>
      <c r="H393" s="41">
        <v>2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2480</v>
      </c>
      <c r="P393" s="109">
        <v>193524</v>
      </c>
      <c r="Q393" s="107"/>
      <c r="R393" s="111"/>
      <c r="S393" s="110"/>
      <c r="T393"/>
      <c r="U393"/>
      <c r="V393"/>
    </row>
    <row r="394" spans="1:22">
      <c r="A394" s="105">
        <v>1776</v>
      </c>
      <c r="B394" s="41">
        <v>120000000</v>
      </c>
      <c r="C394" s="41">
        <v>1.6000000000000001E-3</v>
      </c>
      <c r="D394" s="41">
        <v>2</v>
      </c>
      <c r="E394" s="41">
        <v>30</v>
      </c>
      <c r="F394" s="41">
        <v>0</v>
      </c>
      <c r="G394" s="41" t="s">
        <v>2448</v>
      </c>
      <c r="H394" s="41">
        <v>2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2481</v>
      </c>
      <c r="P394" s="109">
        <v>193524</v>
      </c>
      <c r="Q394" s="107"/>
      <c r="R394" s="111"/>
      <c r="S394" s="110"/>
      <c r="T394"/>
      <c r="U394"/>
      <c r="V394"/>
    </row>
    <row r="395" spans="1:22">
      <c r="A395" s="105">
        <v>1777</v>
      </c>
      <c r="B395" s="41">
        <v>120000000</v>
      </c>
      <c r="C395" s="41">
        <v>1.6000000000000001E-3</v>
      </c>
      <c r="D395" s="41">
        <v>2.8283999999999998</v>
      </c>
      <c r="E395" s="41">
        <v>30</v>
      </c>
      <c r="F395" s="41">
        <v>0</v>
      </c>
      <c r="G395" s="41" t="s">
        <v>2448</v>
      </c>
      <c r="H395" s="41">
        <v>2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2482</v>
      </c>
      <c r="P395" s="109">
        <v>193524</v>
      </c>
      <c r="Q395" s="107"/>
      <c r="R395" s="111"/>
      <c r="S395" s="110"/>
      <c r="T395"/>
      <c r="U395"/>
      <c r="V395"/>
    </row>
    <row r="396" spans="1:22">
      <c r="A396" s="105">
        <v>1778</v>
      </c>
      <c r="B396" s="41">
        <v>120000000</v>
      </c>
      <c r="C396" s="41">
        <v>1.6000000000000001E-3</v>
      </c>
      <c r="D396" s="41">
        <v>4</v>
      </c>
      <c r="E396" s="41">
        <v>30</v>
      </c>
      <c r="F396" s="41">
        <v>0</v>
      </c>
      <c r="G396" s="41" t="s">
        <v>2448</v>
      </c>
      <c r="H396" s="41">
        <v>2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2483</v>
      </c>
      <c r="P396" s="109">
        <v>193524</v>
      </c>
      <c r="Q396" s="107"/>
      <c r="R396" s="111"/>
      <c r="S396" s="110"/>
      <c r="T396"/>
      <c r="U396"/>
      <c r="V396"/>
    </row>
    <row r="397" spans="1:22">
      <c r="A397" s="105">
        <v>1779</v>
      </c>
      <c r="B397" s="41">
        <v>120000000</v>
      </c>
      <c r="C397" s="41">
        <v>1.6000000000000001E-3</v>
      </c>
      <c r="D397" s="41">
        <v>5.6569000000000003</v>
      </c>
      <c r="E397" s="41">
        <v>30</v>
      </c>
      <c r="F397" s="41">
        <v>0</v>
      </c>
      <c r="G397" s="41" t="s">
        <v>2448</v>
      </c>
      <c r="H397" s="41">
        <v>2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2484</v>
      </c>
      <c r="P397" s="109">
        <v>193524</v>
      </c>
      <c r="Q397" s="107"/>
      <c r="R397" s="111"/>
      <c r="S397" s="110"/>
      <c r="T397"/>
      <c r="U397"/>
      <c r="V397"/>
    </row>
    <row r="398" spans="1:22">
      <c r="A398" s="105">
        <v>1780</v>
      </c>
      <c r="B398" s="41">
        <v>120000000</v>
      </c>
      <c r="C398" s="41">
        <v>1.6000000000000001E-3</v>
      </c>
      <c r="D398" s="41">
        <v>8</v>
      </c>
      <c r="E398" s="41">
        <v>30</v>
      </c>
      <c r="F398" s="41">
        <v>0</v>
      </c>
      <c r="G398" s="41" t="s">
        <v>2448</v>
      </c>
      <c r="H398" s="41">
        <v>2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2485</v>
      </c>
      <c r="P398" s="109">
        <v>193524</v>
      </c>
      <c r="Q398" s="107"/>
      <c r="R398" s="111"/>
      <c r="S398" s="110"/>
      <c r="T398"/>
      <c r="U398"/>
      <c r="V398"/>
    </row>
    <row r="399" spans="1:22">
      <c r="A399" s="105">
        <v>1781</v>
      </c>
      <c r="B399" s="41">
        <v>120000000</v>
      </c>
      <c r="C399" s="41">
        <v>1.6000000000000001E-3</v>
      </c>
      <c r="D399" s="41">
        <v>11.313700000000001</v>
      </c>
      <c r="E399" s="41">
        <v>30</v>
      </c>
      <c r="F399" s="41">
        <v>0</v>
      </c>
      <c r="G399" s="41" t="s">
        <v>2448</v>
      </c>
      <c r="H399" s="41">
        <v>2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2486</v>
      </c>
      <c r="P399" s="109">
        <v>193524</v>
      </c>
      <c r="Q399" s="107"/>
      <c r="R399" s="111"/>
      <c r="S399" s="110"/>
      <c r="T399"/>
      <c r="U399"/>
      <c r="V399"/>
    </row>
    <row r="400" spans="1:22">
      <c r="A400" s="105">
        <v>1782</v>
      </c>
      <c r="B400" s="41">
        <v>120000000</v>
      </c>
      <c r="C400" s="41">
        <v>1.6000000000000001E-3</v>
      </c>
      <c r="D400" s="41">
        <v>16</v>
      </c>
      <c r="E400" s="41">
        <v>30</v>
      </c>
      <c r="F400" s="41">
        <v>0</v>
      </c>
      <c r="G400" s="41" t="s">
        <v>2448</v>
      </c>
      <c r="H400" s="41">
        <v>2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2487</v>
      </c>
      <c r="P400" s="109">
        <v>193524</v>
      </c>
      <c r="Q400" s="107"/>
      <c r="R400" s="111"/>
      <c r="S400" s="110"/>
      <c r="T400"/>
      <c r="U400"/>
      <c r="V400"/>
    </row>
    <row r="401" spans="1:22">
      <c r="A401" s="105">
        <v>1783</v>
      </c>
      <c r="B401" s="41">
        <v>120000000</v>
      </c>
      <c r="C401" s="41">
        <v>1.6000000000000001E-3</v>
      </c>
      <c r="D401" s="41">
        <v>22.627400000000002</v>
      </c>
      <c r="E401" s="41">
        <v>30</v>
      </c>
      <c r="F401" s="41">
        <v>0</v>
      </c>
      <c r="G401" s="41" t="s">
        <v>2448</v>
      </c>
      <c r="H401" s="41">
        <v>2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2488</v>
      </c>
      <c r="P401" s="109">
        <v>193524</v>
      </c>
      <c r="Q401" s="107"/>
      <c r="R401" s="111"/>
      <c r="S401" s="110"/>
      <c r="T401"/>
      <c r="U401"/>
      <c r="V401"/>
    </row>
    <row r="402" spans="1:22">
      <c r="A402" s="105">
        <v>1784</v>
      </c>
      <c r="B402" s="41">
        <v>120000000</v>
      </c>
      <c r="C402" s="41">
        <v>1.6999999999999999E-3</v>
      </c>
      <c r="D402" s="41">
        <v>1</v>
      </c>
      <c r="E402" s="41">
        <v>30</v>
      </c>
      <c r="F402" s="41">
        <v>0</v>
      </c>
      <c r="G402" s="41" t="s">
        <v>2448</v>
      </c>
      <c r="H402" s="41">
        <v>2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2489</v>
      </c>
      <c r="P402" s="109">
        <v>193524</v>
      </c>
      <c r="Q402" s="107"/>
      <c r="R402" s="111"/>
      <c r="S402" s="110"/>
      <c r="T402"/>
      <c r="U402"/>
      <c r="V402"/>
    </row>
    <row r="403" spans="1:22">
      <c r="A403" s="105">
        <v>1785</v>
      </c>
      <c r="B403" s="41">
        <v>120000000</v>
      </c>
      <c r="C403" s="41">
        <v>1.6999999999999999E-3</v>
      </c>
      <c r="D403" s="41">
        <v>1.4141999999999999</v>
      </c>
      <c r="E403" s="41">
        <v>30</v>
      </c>
      <c r="F403" s="41">
        <v>0</v>
      </c>
      <c r="G403" s="41" t="s">
        <v>2448</v>
      </c>
      <c r="H403" s="41">
        <v>2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2490</v>
      </c>
      <c r="P403" s="109">
        <v>193524</v>
      </c>
      <c r="Q403" s="107"/>
      <c r="R403" s="111"/>
      <c r="S403" s="110"/>
      <c r="T403"/>
      <c r="U403"/>
      <c r="V403"/>
    </row>
    <row r="404" spans="1:22">
      <c r="A404" s="105">
        <v>1786</v>
      </c>
      <c r="B404" s="41">
        <v>120000000</v>
      </c>
      <c r="C404" s="41">
        <v>1.6999999999999999E-3</v>
      </c>
      <c r="D404" s="41">
        <v>2</v>
      </c>
      <c r="E404" s="41">
        <v>30</v>
      </c>
      <c r="F404" s="41">
        <v>0</v>
      </c>
      <c r="G404" s="41" t="s">
        <v>2448</v>
      </c>
      <c r="H404" s="41">
        <v>2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2491</v>
      </c>
      <c r="P404" s="109">
        <v>193524</v>
      </c>
      <c r="Q404" s="107"/>
      <c r="R404" s="111"/>
      <c r="S404" s="110"/>
      <c r="T404"/>
      <c r="U404"/>
      <c r="V404"/>
    </row>
    <row r="405" spans="1:22">
      <c r="A405" s="105">
        <v>1787</v>
      </c>
      <c r="B405" s="41">
        <v>120000000</v>
      </c>
      <c r="C405" s="41">
        <v>1.6999999999999999E-3</v>
      </c>
      <c r="D405" s="41">
        <v>2.8283999999999998</v>
      </c>
      <c r="E405" s="41">
        <v>30</v>
      </c>
      <c r="F405" s="41">
        <v>0</v>
      </c>
      <c r="G405" s="41" t="s">
        <v>2448</v>
      </c>
      <c r="H405" s="41">
        <v>2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2492</v>
      </c>
      <c r="P405" s="109">
        <v>193524</v>
      </c>
      <c r="Q405" s="107"/>
      <c r="R405" s="111"/>
      <c r="S405" s="110"/>
      <c r="T405"/>
      <c r="U405"/>
      <c r="V405"/>
    </row>
    <row r="406" spans="1:22">
      <c r="A406" s="105">
        <v>1788</v>
      </c>
      <c r="B406" s="41">
        <v>120000000</v>
      </c>
      <c r="C406" s="41">
        <v>1.6999999999999999E-3</v>
      </c>
      <c r="D406" s="41">
        <v>4</v>
      </c>
      <c r="E406" s="41">
        <v>30</v>
      </c>
      <c r="F406" s="41">
        <v>0</v>
      </c>
      <c r="G406" s="41" t="s">
        <v>2448</v>
      </c>
      <c r="H406" s="41">
        <v>2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2493</v>
      </c>
      <c r="P406" s="109">
        <v>193524</v>
      </c>
      <c r="Q406" s="107"/>
      <c r="R406" s="111"/>
      <c r="S406" s="110"/>
      <c r="T406"/>
      <c r="U406"/>
      <c r="V406"/>
    </row>
    <row r="407" spans="1:22">
      <c r="A407" s="105">
        <v>1789</v>
      </c>
      <c r="B407" s="41">
        <v>120000000</v>
      </c>
      <c r="C407" s="41">
        <v>1.6999999999999999E-3</v>
      </c>
      <c r="D407" s="41">
        <v>5.6569000000000003</v>
      </c>
      <c r="E407" s="41">
        <v>30</v>
      </c>
      <c r="F407" s="41">
        <v>0</v>
      </c>
      <c r="G407" s="41" t="s">
        <v>2448</v>
      </c>
      <c r="H407" s="41">
        <v>2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2494</v>
      </c>
      <c r="P407" s="109">
        <v>193524</v>
      </c>
      <c r="Q407" s="107"/>
      <c r="R407" s="111"/>
      <c r="S407" s="110"/>
      <c r="T407"/>
      <c r="U407"/>
      <c r="V407"/>
    </row>
    <row r="408" spans="1:22">
      <c r="A408" s="105">
        <v>1790</v>
      </c>
      <c r="B408" s="41">
        <v>120000000</v>
      </c>
      <c r="C408" s="41">
        <v>1.6999999999999999E-3</v>
      </c>
      <c r="D408" s="41">
        <v>8</v>
      </c>
      <c r="E408" s="41">
        <v>30</v>
      </c>
      <c r="F408" s="41">
        <v>0</v>
      </c>
      <c r="G408" s="41" t="s">
        <v>2448</v>
      </c>
      <c r="H408" s="41">
        <v>2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2495</v>
      </c>
      <c r="P408" s="109">
        <v>193524</v>
      </c>
      <c r="Q408" s="107"/>
      <c r="R408" s="111"/>
      <c r="S408" s="110"/>
      <c r="T408"/>
      <c r="U408"/>
      <c r="V408"/>
    </row>
    <row r="409" spans="1:22">
      <c r="A409" s="105">
        <v>1791</v>
      </c>
      <c r="B409" s="41">
        <v>120000000</v>
      </c>
      <c r="C409" s="41">
        <v>1.6999999999999999E-3</v>
      </c>
      <c r="D409" s="41">
        <v>11.313700000000001</v>
      </c>
      <c r="E409" s="41">
        <v>30</v>
      </c>
      <c r="F409" s="41">
        <v>0</v>
      </c>
      <c r="G409" s="41" t="s">
        <v>2448</v>
      </c>
      <c r="H409" s="41">
        <v>2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2496</v>
      </c>
      <c r="P409" s="109">
        <v>193524</v>
      </c>
      <c r="Q409" s="107"/>
      <c r="R409" s="111"/>
      <c r="S409" s="110"/>
      <c r="T409"/>
      <c r="U409"/>
      <c r="V409"/>
    </row>
    <row r="410" spans="1:22">
      <c r="A410" s="105">
        <v>1792</v>
      </c>
      <c r="B410" s="41">
        <v>120000000</v>
      </c>
      <c r="C410" s="41">
        <v>1.6999999999999999E-3</v>
      </c>
      <c r="D410" s="41">
        <v>16</v>
      </c>
      <c r="E410" s="41">
        <v>30</v>
      </c>
      <c r="F410" s="41">
        <v>0</v>
      </c>
      <c r="G410" s="41" t="s">
        <v>2448</v>
      </c>
      <c r="H410" s="41">
        <v>2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2497</v>
      </c>
      <c r="P410" s="109">
        <v>193524</v>
      </c>
      <c r="Q410" s="107"/>
      <c r="R410" s="111"/>
      <c r="S410" s="110"/>
      <c r="T410"/>
      <c r="U410"/>
      <c r="V410"/>
    </row>
    <row r="411" spans="1:22">
      <c r="A411" s="105">
        <v>1793</v>
      </c>
      <c r="B411" s="41">
        <v>120000000</v>
      </c>
      <c r="C411" s="41">
        <v>1.6999999999999999E-3</v>
      </c>
      <c r="D411" s="41">
        <v>22.627400000000002</v>
      </c>
      <c r="E411" s="41">
        <v>30</v>
      </c>
      <c r="F411" s="41">
        <v>0</v>
      </c>
      <c r="G411" s="41" t="s">
        <v>2448</v>
      </c>
      <c r="H411" s="41">
        <v>2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2498</v>
      </c>
      <c r="P411" s="109">
        <v>193786</v>
      </c>
      <c r="Q411" s="107"/>
      <c r="R411" s="111"/>
      <c r="S411" s="110" t="s">
        <v>2267</v>
      </c>
      <c r="T411"/>
      <c r="U411"/>
      <c r="V411"/>
    </row>
    <row r="412" spans="1:22">
      <c r="A412" s="105">
        <v>1794</v>
      </c>
      <c r="B412" s="41">
        <v>120000000</v>
      </c>
      <c r="C412" s="41">
        <v>1.9E-3</v>
      </c>
      <c r="D412" s="41">
        <v>1.4141999999999999</v>
      </c>
      <c r="E412" s="41">
        <v>30</v>
      </c>
      <c r="F412" s="41">
        <v>0</v>
      </c>
      <c r="G412" s="41" t="s">
        <v>2448</v>
      </c>
      <c r="H412" s="41">
        <v>2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2499</v>
      </c>
      <c r="P412" s="109">
        <v>193786</v>
      </c>
      <c r="Q412" s="107"/>
      <c r="R412" s="111"/>
      <c r="S412" s="110"/>
      <c r="T412"/>
      <c r="U412"/>
      <c r="V412"/>
    </row>
    <row r="413" spans="1:22">
      <c r="A413" s="105">
        <v>1795</v>
      </c>
      <c r="B413" s="41">
        <v>120000000</v>
      </c>
      <c r="C413" s="41">
        <v>1.9E-3</v>
      </c>
      <c r="D413" s="41">
        <v>2</v>
      </c>
      <c r="E413" s="41">
        <v>30</v>
      </c>
      <c r="F413" s="41">
        <v>0</v>
      </c>
      <c r="G413" s="41" t="s">
        <v>2448</v>
      </c>
      <c r="H413" s="41">
        <v>2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2500</v>
      </c>
      <c r="P413" s="109">
        <v>193786</v>
      </c>
      <c r="Q413" s="107"/>
      <c r="R413" s="111"/>
      <c r="S413" s="110"/>
      <c r="T413"/>
      <c r="U413"/>
      <c r="V413"/>
    </row>
    <row r="414" spans="1:22">
      <c r="A414" s="105">
        <v>1796</v>
      </c>
      <c r="B414" s="41">
        <v>120000000</v>
      </c>
      <c r="C414" s="41">
        <v>1.9E-3</v>
      </c>
      <c r="D414" s="41">
        <v>2.8283999999999998</v>
      </c>
      <c r="E414" s="41">
        <v>30</v>
      </c>
      <c r="F414" s="41">
        <v>0</v>
      </c>
      <c r="G414" s="41" t="s">
        <v>2448</v>
      </c>
      <c r="H414" s="41">
        <v>2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2501</v>
      </c>
      <c r="P414" s="109">
        <v>193786</v>
      </c>
      <c r="Q414" s="107"/>
      <c r="R414" s="111"/>
      <c r="S414" s="110"/>
      <c r="T414"/>
      <c r="U414"/>
      <c r="V414"/>
    </row>
    <row r="415" spans="1:22">
      <c r="A415" s="105">
        <v>1797</v>
      </c>
      <c r="B415" s="41">
        <v>120000000</v>
      </c>
      <c r="C415" s="41">
        <v>1.9E-3</v>
      </c>
      <c r="D415" s="41">
        <v>4</v>
      </c>
      <c r="E415" s="41">
        <v>30</v>
      </c>
      <c r="F415" s="41">
        <v>0</v>
      </c>
      <c r="G415" s="41" t="s">
        <v>2448</v>
      </c>
      <c r="H415" s="41">
        <v>2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2502</v>
      </c>
      <c r="P415" s="109">
        <v>193786</v>
      </c>
      <c r="Q415" s="107"/>
      <c r="R415" s="111"/>
      <c r="S415" s="110"/>
      <c r="T415"/>
      <c r="U415"/>
      <c r="V415"/>
    </row>
    <row r="416" spans="1:22">
      <c r="A416" s="105">
        <v>1798</v>
      </c>
      <c r="B416" s="41">
        <v>120000000</v>
      </c>
      <c r="C416" s="41">
        <v>1.9E-3</v>
      </c>
      <c r="D416" s="41">
        <v>5.6569000000000003</v>
      </c>
      <c r="E416" s="41">
        <v>30</v>
      </c>
      <c r="F416" s="41">
        <v>0</v>
      </c>
      <c r="G416" s="41" t="s">
        <v>2448</v>
      </c>
      <c r="H416" s="41">
        <v>2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2503</v>
      </c>
      <c r="P416" s="109">
        <v>193786</v>
      </c>
      <c r="Q416" s="107"/>
      <c r="R416" s="111"/>
      <c r="S416" s="110"/>
      <c r="T416"/>
      <c r="U416"/>
      <c r="V416"/>
    </row>
    <row r="417" spans="1:22">
      <c r="A417" s="105">
        <v>1799</v>
      </c>
      <c r="B417" s="41">
        <v>120000000</v>
      </c>
      <c r="C417" s="41">
        <v>1.9E-3</v>
      </c>
      <c r="D417" s="41">
        <v>8</v>
      </c>
      <c r="E417" s="41">
        <v>30</v>
      </c>
      <c r="F417" s="41">
        <v>0</v>
      </c>
      <c r="G417" s="41" t="s">
        <v>2448</v>
      </c>
      <c r="H417" s="41">
        <v>2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2504</v>
      </c>
      <c r="P417" s="109">
        <v>193786</v>
      </c>
      <c r="Q417" s="107"/>
      <c r="R417" s="111"/>
      <c r="S417" s="110"/>
      <c r="T417"/>
      <c r="U417"/>
      <c r="V417"/>
    </row>
    <row r="418" spans="1:22">
      <c r="A418" s="105">
        <v>1800</v>
      </c>
      <c r="B418" s="41">
        <v>120000000</v>
      </c>
      <c r="C418" s="41">
        <v>1.9E-3</v>
      </c>
      <c r="D418" s="41">
        <v>11.313700000000001</v>
      </c>
      <c r="E418" s="41">
        <v>30</v>
      </c>
      <c r="F418" s="41">
        <v>0</v>
      </c>
      <c r="G418" s="41" t="s">
        <v>2448</v>
      </c>
      <c r="H418" s="41">
        <v>2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2505</v>
      </c>
      <c r="P418" s="109">
        <v>193786</v>
      </c>
      <c r="Q418" s="107"/>
      <c r="R418" s="111"/>
      <c r="S418" s="110"/>
      <c r="T418"/>
      <c r="U418"/>
      <c r="V418"/>
    </row>
    <row r="419" spans="1:22">
      <c r="A419" s="105">
        <v>1801</v>
      </c>
      <c r="B419" s="41">
        <v>120000000</v>
      </c>
      <c r="C419" s="41">
        <v>1.9E-3</v>
      </c>
      <c r="D419" s="41">
        <v>16</v>
      </c>
      <c r="E419" s="41">
        <v>30</v>
      </c>
      <c r="F419" s="41">
        <v>0</v>
      </c>
      <c r="G419" s="41" t="s">
        <v>2448</v>
      </c>
      <c r="H419" s="41">
        <v>2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2506</v>
      </c>
      <c r="P419" s="109">
        <v>193786</v>
      </c>
      <c r="Q419" s="107"/>
      <c r="R419" s="111"/>
      <c r="S419" s="110"/>
      <c r="T419"/>
      <c r="U419"/>
      <c r="V419"/>
    </row>
    <row r="420" spans="1:22">
      <c r="A420" s="105">
        <v>1802</v>
      </c>
      <c r="B420" s="41">
        <v>120000000</v>
      </c>
      <c r="C420" s="41">
        <v>1.9E-3</v>
      </c>
      <c r="D420" s="41">
        <v>22.627400000000002</v>
      </c>
      <c r="E420" s="41">
        <v>30</v>
      </c>
      <c r="F420" s="41">
        <v>0</v>
      </c>
      <c r="G420" s="41" t="s">
        <v>2448</v>
      </c>
      <c r="H420" s="41">
        <v>2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2507</v>
      </c>
      <c r="P420" s="109">
        <v>193786</v>
      </c>
      <c r="Q420" s="107"/>
      <c r="R420" s="111"/>
      <c r="S420" s="110"/>
      <c r="T420"/>
      <c r="U420"/>
      <c r="V420"/>
    </row>
    <row r="421" spans="1:22">
      <c r="A421" s="105">
        <v>1803</v>
      </c>
      <c r="B421" s="41">
        <v>120000000</v>
      </c>
      <c r="C421" s="41">
        <v>1.9E-3</v>
      </c>
      <c r="D421" s="41">
        <v>32</v>
      </c>
      <c r="E421" s="41">
        <v>30</v>
      </c>
      <c r="F421" s="41">
        <v>0</v>
      </c>
      <c r="G421" s="41" t="s">
        <v>2448</v>
      </c>
      <c r="H421" s="41">
        <v>2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2508</v>
      </c>
      <c r="P421" s="109">
        <v>193786</v>
      </c>
      <c r="Q421" s="107"/>
      <c r="R421" s="111"/>
      <c r="S421" s="110"/>
      <c r="T421"/>
      <c r="U421"/>
      <c r="V421"/>
    </row>
    <row r="422" spans="1:22">
      <c r="A422" s="105">
        <v>1804</v>
      </c>
      <c r="B422" s="41">
        <v>120000000</v>
      </c>
      <c r="C422" s="41">
        <v>2.0999999999999999E-3</v>
      </c>
      <c r="D422" s="41">
        <v>1.4141999999999999</v>
      </c>
      <c r="E422" s="41">
        <v>30</v>
      </c>
      <c r="F422" s="41">
        <v>0</v>
      </c>
      <c r="G422" s="41" t="s">
        <v>2448</v>
      </c>
      <c r="H422" s="41">
        <v>2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2509</v>
      </c>
      <c r="P422" s="109">
        <v>193786</v>
      </c>
      <c r="Q422" s="107"/>
      <c r="R422" s="111"/>
      <c r="S422" s="110"/>
      <c r="T422"/>
      <c r="U422"/>
      <c r="V422"/>
    </row>
    <row r="423" spans="1:22">
      <c r="A423" s="105">
        <v>1805</v>
      </c>
      <c r="B423" s="41">
        <v>120000000</v>
      </c>
      <c r="C423" s="41">
        <v>2.0999999999999999E-3</v>
      </c>
      <c r="D423" s="41">
        <v>2</v>
      </c>
      <c r="E423" s="41">
        <v>30</v>
      </c>
      <c r="F423" s="41">
        <v>0</v>
      </c>
      <c r="G423" s="41" t="s">
        <v>2448</v>
      </c>
      <c r="H423" s="41">
        <v>2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2510</v>
      </c>
      <c r="P423" s="109">
        <v>193786</v>
      </c>
      <c r="Q423" s="107"/>
      <c r="R423" s="111"/>
      <c r="S423" s="110"/>
      <c r="T423"/>
      <c r="U423"/>
      <c r="V423"/>
    </row>
    <row r="424" spans="1:22">
      <c r="A424" s="105">
        <v>1806</v>
      </c>
      <c r="B424" s="41">
        <v>120000000</v>
      </c>
      <c r="C424" s="41">
        <v>2.0999999999999999E-3</v>
      </c>
      <c r="D424" s="41">
        <v>2.8283999999999998</v>
      </c>
      <c r="E424" s="41">
        <v>30</v>
      </c>
      <c r="F424" s="41">
        <v>0</v>
      </c>
      <c r="G424" s="41" t="s">
        <v>2448</v>
      </c>
      <c r="H424" s="41">
        <v>2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2511</v>
      </c>
      <c r="P424" s="109">
        <v>193786</v>
      </c>
      <c r="Q424" s="107"/>
      <c r="R424" s="111"/>
      <c r="S424" s="110"/>
      <c r="T424"/>
      <c r="U424"/>
      <c r="V424"/>
    </row>
    <row r="425" spans="1:22">
      <c r="A425" s="105">
        <v>1807</v>
      </c>
      <c r="B425" s="41">
        <v>120000000</v>
      </c>
      <c r="C425" s="41">
        <v>2.0999999999999999E-3</v>
      </c>
      <c r="D425" s="41">
        <v>4</v>
      </c>
      <c r="E425" s="41">
        <v>30</v>
      </c>
      <c r="F425" s="41">
        <v>0</v>
      </c>
      <c r="G425" s="41" t="s">
        <v>2448</v>
      </c>
      <c r="H425" s="41">
        <v>2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2512</v>
      </c>
      <c r="P425" s="109">
        <v>194161</v>
      </c>
      <c r="Q425" s="107"/>
      <c r="R425" s="111"/>
      <c r="S425" s="110" t="s">
        <v>2267</v>
      </c>
      <c r="T425"/>
      <c r="U425"/>
      <c r="V425"/>
    </row>
    <row r="426" spans="1:22">
      <c r="A426" s="105">
        <v>1808</v>
      </c>
      <c r="B426" s="41">
        <v>120000000</v>
      </c>
      <c r="C426" s="41">
        <v>2.0999999999999999E-3</v>
      </c>
      <c r="D426" s="41">
        <v>5.6569000000000003</v>
      </c>
      <c r="E426" s="41">
        <v>30</v>
      </c>
      <c r="F426" s="41">
        <v>0</v>
      </c>
      <c r="G426" s="41" t="s">
        <v>2448</v>
      </c>
      <c r="H426" s="41">
        <v>2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2513</v>
      </c>
      <c r="P426" s="109">
        <v>194161</v>
      </c>
      <c r="Q426" s="107"/>
      <c r="R426" s="111"/>
      <c r="S426" s="110"/>
      <c r="T426"/>
      <c r="U426"/>
      <c r="V426"/>
    </row>
    <row r="427" spans="1:22">
      <c r="A427" s="105">
        <v>1809</v>
      </c>
      <c r="B427" s="41">
        <v>120000000</v>
      </c>
      <c r="C427" s="41">
        <v>2.0999999999999999E-3</v>
      </c>
      <c r="D427" s="41">
        <v>8</v>
      </c>
      <c r="E427" s="41">
        <v>30</v>
      </c>
      <c r="F427" s="41">
        <v>0</v>
      </c>
      <c r="G427" s="41" t="s">
        <v>2448</v>
      </c>
      <c r="H427" s="41">
        <v>2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2514</v>
      </c>
      <c r="P427" s="109">
        <v>194161</v>
      </c>
      <c r="Q427" s="107"/>
      <c r="R427" s="111"/>
      <c r="S427" s="110"/>
      <c r="T427"/>
      <c r="U427"/>
      <c r="V427"/>
    </row>
    <row r="428" spans="1:22">
      <c r="A428" s="105">
        <v>1810</v>
      </c>
      <c r="B428" s="41">
        <v>120000000</v>
      </c>
      <c r="C428" s="41">
        <v>2.0999999999999999E-3</v>
      </c>
      <c r="D428" s="41">
        <v>11.313700000000001</v>
      </c>
      <c r="E428" s="41">
        <v>30</v>
      </c>
      <c r="F428" s="41">
        <v>0</v>
      </c>
      <c r="G428" s="41" t="s">
        <v>2448</v>
      </c>
      <c r="H428" s="41">
        <v>2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2515</v>
      </c>
      <c r="P428" s="109">
        <v>194161</v>
      </c>
      <c r="Q428" s="107"/>
      <c r="R428" s="111"/>
      <c r="S428" s="110"/>
      <c r="T428"/>
      <c r="U428"/>
      <c r="V428"/>
    </row>
    <row r="429" spans="1:22">
      <c r="A429" s="105">
        <v>1811</v>
      </c>
      <c r="B429" s="41">
        <v>120000000</v>
      </c>
      <c r="C429" s="41">
        <v>2.0999999999999999E-3</v>
      </c>
      <c r="D429" s="41">
        <v>16</v>
      </c>
      <c r="E429" s="41">
        <v>30</v>
      </c>
      <c r="F429" s="41">
        <v>0</v>
      </c>
      <c r="G429" s="41" t="s">
        <v>2448</v>
      </c>
      <c r="H429" s="41">
        <v>2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2516</v>
      </c>
      <c r="P429" s="109">
        <v>194161</v>
      </c>
      <c r="Q429" s="107"/>
      <c r="R429" s="111"/>
      <c r="S429" s="110"/>
      <c r="T429"/>
      <c r="U429"/>
      <c r="V429"/>
    </row>
    <row r="430" spans="1:22">
      <c r="A430" s="105">
        <v>1812</v>
      </c>
      <c r="B430" s="41">
        <v>120000000</v>
      </c>
      <c r="C430" s="41">
        <v>2.0999999999999999E-3</v>
      </c>
      <c r="D430" s="41">
        <v>22.627400000000002</v>
      </c>
      <c r="E430" s="41">
        <v>30</v>
      </c>
      <c r="F430" s="41">
        <v>0</v>
      </c>
      <c r="G430" s="41" t="s">
        <v>2448</v>
      </c>
      <c r="H430" s="41">
        <v>2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2517</v>
      </c>
      <c r="P430" s="109">
        <v>194161</v>
      </c>
      <c r="Q430" s="107"/>
      <c r="R430" s="111"/>
      <c r="S430" s="110"/>
      <c r="T430"/>
      <c r="U430"/>
      <c r="V430"/>
    </row>
    <row r="431" spans="1:22">
      <c r="A431" s="105">
        <v>1813</v>
      </c>
      <c r="B431" s="41">
        <v>120000000</v>
      </c>
      <c r="C431" s="41">
        <v>2.0999999999999999E-3</v>
      </c>
      <c r="D431" s="41">
        <v>32</v>
      </c>
      <c r="E431" s="41">
        <v>30</v>
      </c>
      <c r="F431" s="41">
        <v>0</v>
      </c>
      <c r="G431" s="41" t="s">
        <v>2448</v>
      </c>
      <c r="H431" s="41">
        <v>2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2518</v>
      </c>
      <c r="P431" s="109">
        <v>194161</v>
      </c>
      <c r="Q431" s="107"/>
      <c r="R431" s="111"/>
      <c r="S431" s="110"/>
      <c r="T431"/>
      <c r="U431"/>
      <c r="V431"/>
    </row>
    <row r="432" spans="1:22">
      <c r="A432" s="105">
        <v>1814</v>
      </c>
      <c r="B432" s="41">
        <v>120000000</v>
      </c>
      <c r="C432" s="41">
        <v>2.3E-3</v>
      </c>
      <c r="D432" s="41">
        <v>2</v>
      </c>
      <c r="E432" s="41">
        <v>30</v>
      </c>
      <c r="F432" s="41">
        <v>0</v>
      </c>
      <c r="G432" s="41" t="s">
        <v>2448</v>
      </c>
      <c r="H432" s="41">
        <v>2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2519</v>
      </c>
      <c r="P432" s="109">
        <v>194161</v>
      </c>
      <c r="Q432" s="107"/>
      <c r="R432" s="111"/>
      <c r="S432" s="110"/>
      <c r="T432"/>
      <c r="U432"/>
      <c r="V432"/>
    </row>
    <row r="433" spans="1:22">
      <c r="A433" s="105">
        <v>1815</v>
      </c>
      <c r="B433" s="41">
        <v>120000000</v>
      </c>
      <c r="C433" s="41">
        <v>2.3E-3</v>
      </c>
      <c r="D433" s="41">
        <v>2.8283999999999998</v>
      </c>
      <c r="E433" s="41">
        <v>30</v>
      </c>
      <c r="F433" s="41">
        <v>0</v>
      </c>
      <c r="G433" s="41" t="s">
        <v>2448</v>
      </c>
      <c r="H433" s="41">
        <v>2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2520</v>
      </c>
      <c r="P433" s="109">
        <v>194161</v>
      </c>
      <c r="Q433" s="107"/>
      <c r="R433" s="111"/>
      <c r="S433" s="110"/>
      <c r="T433"/>
      <c r="U433"/>
      <c r="V433"/>
    </row>
    <row r="434" spans="1:22">
      <c r="A434" s="105">
        <v>1816</v>
      </c>
      <c r="B434" s="41">
        <v>120000000</v>
      </c>
      <c r="C434" s="41">
        <v>2.3E-3</v>
      </c>
      <c r="D434" s="41">
        <v>4</v>
      </c>
      <c r="E434" s="41">
        <v>30</v>
      </c>
      <c r="F434" s="41">
        <v>0</v>
      </c>
      <c r="G434" s="41" t="s">
        <v>2448</v>
      </c>
      <c r="H434" s="41">
        <v>2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2521</v>
      </c>
      <c r="P434" s="109">
        <v>194161</v>
      </c>
      <c r="Q434" s="107"/>
      <c r="R434" s="111"/>
      <c r="S434" s="110"/>
      <c r="T434"/>
      <c r="U434"/>
      <c r="V434"/>
    </row>
    <row r="435" spans="1:22">
      <c r="A435" s="105">
        <v>1817</v>
      </c>
      <c r="B435" s="41">
        <v>120000000</v>
      </c>
      <c r="C435" s="41">
        <v>2.3E-3</v>
      </c>
      <c r="D435" s="41">
        <v>5.6569000000000003</v>
      </c>
      <c r="E435" s="41">
        <v>30</v>
      </c>
      <c r="F435" s="41">
        <v>0</v>
      </c>
      <c r="G435" s="41" t="s">
        <v>2448</v>
      </c>
      <c r="H435" s="41">
        <v>2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2522</v>
      </c>
      <c r="P435" s="109">
        <v>194161</v>
      </c>
      <c r="Q435" s="107"/>
      <c r="R435" s="111"/>
      <c r="S435" s="110"/>
      <c r="T435"/>
      <c r="U435"/>
      <c r="V435"/>
    </row>
    <row r="436" spans="1:22">
      <c r="A436" s="105">
        <v>1818</v>
      </c>
      <c r="B436" s="41">
        <v>120000000</v>
      </c>
      <c r="C436" s="41">
        <v>2.3E-3</v>
      </c>
      <c r="D436" s="41">
        <v>8</v>
      </c>
      <c r="E436" s="41">
        <v>30</v>
      </c>
      <c r="F436" s="41">
        <v>0</v>
      </c>
      <c r="G436" s="41" t="s">
        <v>2448</v>
      </c>
      <c r="H436" s="41">
        <v>2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2523</v>
      </c>
      <c r="P436" s="109">
        <v>194161</v>
      </c>
      <c r="Q436" s="107"/>
      <c r="R436" s="111"/>
      <c r="S436" s="110"/>
      <c r="T436"/>
      <c r="U436"/>
      <c r="V436"/>
    </row>
    <row r="437" spans="1:22">
      <c r="A437" s="105">
        <v>1819</v>
      </c>
      <c r="B437" s="41">
        <v>120000000</v>
      </c>
      <c r="C437" s="41">
        <v>2.3E-3</v>
      </c>
      <c r="D437" s="41">
        <v>11.313700000000001</v>
      </c>
      <c r="E437" s="41">
        <v>30</v>
      </c>
      <c r="F437" s="41">
        <v>0</v>
      </c>
      <c r="G437" s="41" t="s">
        <v>2448</v>
      </c>
      <c r="H437" s="41">
        <v>2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2524</v>
      </c>
      <c r="P437" s="109">
        <v>194161</v>
      </c>
      <c r="Q437" s="107"/>
      <c r="R437" s="111"/>
      <c r="S437" s="110"/>
      <c r="T437"/>
      <c r="U437"/>
      <c r="V437"/>
    </row>
    <row r="438" spans="1:22">
      <c r="A438" s="105">
        <v>1820</v>
      </c>
      <c r="B438" s="41">
        <v>120000000</v>
      </c>
      <c r="C438" s="41">
        <v>2.3E-3</v>
      </c>
      <c r="D438" s="41">
        <v>16</v>
      </c>
      <c r="E438" s="41">
        <v>30</v>
      </c>
      <c r="F438" s="41">
        <v>0</v>
      </c>
      <c r="G438" s="41" t="s">
        <v>2448</v>
      </c>
      <c r="H438" s="41">
        <v>2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2525</v>
      </c>
      <c r="P438" s="109">
        <v>194161</v>
      </c>
      <c r="Q438" s="107"/>
      <c r="R438" s="111"/>
      <c r="S438" s="110"/>
      <c r="T438"/>
      <c r="U438"/>
      <c r="V438"/>
    </row>
    <row r="439" spans="1:22">
      <c r="A439" s="105">
        <v>1821</v>
      </c>
      <c r="B439" s="41">
        <v>120000000</v>
      </c>
      <c r="C439" s="41">
        <v>2.3E-3</v>
      </c>
      <c r="D439" s="41">
        <v>22.627400000000002</v>
      </c>
      <c r="E439" s="41">
        <v>30</v>
      </c>
      <c r="F439" s="41">
        <v>0</v>
      </c>
      <c r="G439" s="41" t="s">
        <v>2448</v>
      </c>
      <c r="H439" s="41">
        <v>2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2526</v>
      </c>
      <c r="P439" s="109">
        <v>194161</v>
      </c>
      <c r="Q439" s="107"/>
      <c r="R439" s="111"/>
      <c r="S439" s="110"/>
      <c r="T439"/>
      <c r="U439"/>
      <c r="V439"/>
    </row>
    <row r="440" spans="1:22">
      <c r="A440" s="105">
        <v>1822</v>
      </c>
      <c r="B440" s="41">
        <v>120000000</v>
      </c>
      <c r="C440" s="41">
        <v>2.3E-3</v>
      </c>
      <c r="D440" s="41">
        <v>32</v>
      </c>
      <c r="E440" s="41">
        <v>30</v>
      </c>
      <c r="F440" s="41">
        <v>0</v>
      </c>
      <c r="G440" s="41" t="s">
        <v>2448</v>
      </c>
      <c r="H440" s="41">
        <v>2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2527</v>
      </c>
      <c r="P440" s="109">
        <v>194161</v>
      </c>
      <c r="Q440" s="107"/>
      <c r="R440" s="111"/>
      <c r="S440" s="110"/>
      <c r="T440"/>
      <c r="U440"/>
      <c r="V440"/>
    </row>
    <row r="441" spans="1:22">
      <c r="A441" s="105">
        <v>1823</v>
      </c>
      <c r="B441" s="41">
        <v>120000000</v>
      </c>
      <c r="C441" s="41">
        <v>2.3E-3</v>
      </c>
      <c r="D441" s="41">
        <v>45.254800000000003</v>
      </c>
      <c r="E441" s="41">
        <v>30</v>
      </c>
      <c r="F441" s="41">
        <v>0</v>
      </c>
      <c r="G441" s="41" t="s">
        <v>2448</v>
      </c>
      <c r="H441" s="41">
        <v>2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2528</v>
      </c>
      <c r="P441" s="109">
        <v>194161</v>
      </c>
      <c r="Q441" s="107"/>
      <c r="R441" s="111"/>
      <c r="S441" s="110"/>
      <c r="T441"/>
      <c r="U441"/>
      <c r="V441"/>
    </row>
    <row r="442" spans="1:22">
      <c r="A442" s="105">
        <v>1824</v>
      </c>
      <c r="B442" s="41">
        <v>120000000</v>
      </c>
      <c r="C442" s="41">
        <v>2.5000000000000001E-3</v>
      </c>
      <c r="D442" s="41">
        <v>2</v>
      </c>
      <c r="E442" s="41">
        <v>30</v>
      </c>
      <c r="F442" s="41">
        <v>0</v>
      </c>
      <c r="G442" s="41" t="s">
        <v>2448</v>
      </c>
      <c r="H442" s="41">
        <v>2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2529</v>
      </c>
      <c r="P442" s="109">
        <v>194161</v>
      </c>
      <c r="Q442" s="107"/>
      <c r="R442" s="111"/>
      <c r="S442" s="110"/>
      <c r="T442"/>
      <c r="U442"/>
      <c r="V442"/>
    </row>
    <row r="443" spans="1:22">
      <c r="A443" s="105">
        <v>1825</v>
      </c>
      <c r="B443" s="41">
        <v>120000000</v>
      </c>
      <c r="C443" s="41">
        <v>2.5000000000000001E-3</v>
      </c>
      <c r="D443" s="41">
        <v>2.8283999999999998</v>
      </c>
      <c r="E443" s="41">
        <v>30</v>
      </c>
      <c r="F443" s="41">
        <v>0</v>
      </c>
      <c r="G443" s="41" t="s">
        <v>2448</v>
      </c>
      <c r="H443" s="41">
        <v>2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2530</v>
      </c>
      <c r="P443" s="109">
        <v>194161</v>
      </c>
      <c r="Q443" s="107"/>
      <c r="R443" s="111"/>
      <c r="S443" s="110"/>
      <c r="T443"/>
      <c r="U443"/>
      <c r="V443"/>
    </row>
    <row r="444" spans="1:22">
      <c r="A444" s="105">
        <v>1826</v>
      </c>
      <c r="B444" s="41">
        <v>120000000</v>
      </c>
      <c r="C444" s="41">
        <v>2.5000000000000001E-3</v>
      </c>
      <c r="D444" s="41">
        <v>4</v>
      </c>
      <c r="E444" s="41">
        <v>30</v>
      </c>
      <c r="F444" s="41">
        <v>0</v>
      </c>
      <c r="G444" s="41" t="s">
        <v>2448</v>
      </c>
      <c r="H444" s="41">
        <v>2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2531</v>
      </c>
      <c r="P444" s="109">
        <v>194161</v>
      </c>
      <c r="Q444" s="107"/>
      <c r="R444" s="111"/>
      <c r="S444" s="110"/>
      <c r="T444"/>
      <c r="U444"/>
      <c r="V444"/>
    </row>
    <row r="445" spans="1:22">
      <c r="A445" s="105">
        <v>1827</v>
      </c>
      <c r="B445" s="41">
        <v>120000000</v>
      </c>
      <c r="C445" s="41">
        <v>2.5000000000000001E-3</v>
      </c>
      <c r="D445" s="41">
        <v>5.6569000000000003</v>
      </c>
      <c r="E445" s="41">
        <v>30</v>
      </c>
      <c r="F445" s="41">
        <v>0</v>
      </c>
      <c r="G445" s="41" t="s">
        <v>2448</v>
      </c>
      <c r="H445" s="41">
        <v>2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2532</v>
      </c>
      <c r="P445" s="109">
        <v>194161</v>
      </c>
      <c r="Q445" s="107"/>
      <c r="R445" s="111"/>
      <c r="S445" s="110"/>
      <c r="T445"/>
      <c r="U445"/>
      <c r="V445"/>
    </row>
    <row r="446" spans="1:22">
      <c r="A446" s="105">
        <v>1828</v>
      </c>
      <c r="B446" s="41">
        <v>120000000</v>
      </c>
      <c r="C446" s="41">
        <v>2.5000000000000001E-3</v>
      </c>
      <c r="D446" s="41">
        <v>8</v>
      </c>
      <c r="E446" s="41">
        <v>30</v>
      </c>
      <c r="F446" s="41">
        <v>0</v>
      </c>
      <c r="G446" s="41" t="s">
        <v>2448</v>
      </c>
      <c r="H446" s="41">
        <v>2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2533</v>
      </c>
      <c r="P446" s="109">
        <v>194161</v>
      </c>
      <c r="Q446" s="107"/>
      <c r="R446" s="111"/>
      <c r="S446" s="110"/>
      <c r="T446"/>
      <c r="U446"/>
      <c r="V446"/>
    </row>
    <row r="447" spans="1:22">
      <c r="A447" s="105">
        <v>1829</v>
      </c>
      <c r="B447" s="41">
        <v>120000000</v>
      </c>
      <c r="C447" s="41">
        <v>2.5000000000000001E-3</v>
      </c>
      <c r="D447" s="41">
        <v>11.313700000000001</v>
      </c>
      <c r="E447" s="41">
        <v>30</v>
      </c>
      <c r="F447" s="41">
        <v>0</v>
      </c>
      <c r="G447" s="41" t="s">
        <v>2448</v>
      </c>
      <c r="H447" s="41">
        <v>2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2534</v>
      </c>
      <c r="P447" s="109">
        <v>194161</v>
      </c>
      <c r="Q447" s="107"/>
      <c r="R447" s="111"/>
      <c r="S447" s="110"/>
      <c r="T447"/>
      <c r="U447"/>
      <c r="V447"/>
    </row>
    <row r="448" spans="1:22">
      <c r="A448" s="105">
        <v>1830</v>
      </c>
      <c r="B448" s="41">
        <v>120000000</v>
      </c>
      <c r="C448" s="41">
        <v>2.5000000000000001E-3</v>
      </c>
      <c r="D448" s="41">
        <v>16</v>
      </c>
      <c r="E448" s="41">
        <v>30</v>
      </c>
      <c r="F448" s="41">
        <v>0</v>
      </c>
      <c r="G448" s="41" t="s">
        <v>2448</v>
      </c>
      <c r="H448" s="41">
        <v>2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2535</v>
      </c>
      <c r="P448" s="109">
        <v>194161</v>
      </c>
      <c r="Q448" s="107"/>
      <c r="R448" s="111"/>
      <c r="S448" s="110"/>
      <c r="T448"/>
      <c r="U448"/>
      <c r="V448"/>
    </row>
    <row r="449" spans="1:22">
      <c r="A449" s="105">
        <v>1831</v>
      </c>
      <c r="B449" s="41">
        <v>120000000</v>
      </c>
      <c r="C449" s="41">
        <v>2.5000000000000001E-3</v>
      </c>
      <c r="D449" s="41">
        <v>22.627400000000002</v>
      </c>
      <c r="E449" s="41">
        <v>30</v>
      </c>
      <c r="F449" s="41">
        <v>0</v>
      </c>
      <c r="G449" s="41" t="s">
        <v>2448</v>
      </c>
      <c r="H449" s="41">
        <v>2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2536</v>
      </c>
      <c r="P449" s="109">
        <v>194161</v>
      </c>
      <c r="Q449" s="107"/>
      <c r="R449" s="111"/>
      <c r="S449" s="110"/>
      <c r="T449"/>
      <c r="U449"/>
      <c r="V449"/>
    </row>
    <row r="450" spans="1:22">
      <c r="A450" s="105">
        <v>1832</v>
      </c>
      <c r="B450" s="41">
        <v>120000000</v>
      </c>
      <c r="C450" s="41">
        <v>2.5000000000000001E-3</v>
      </c>
      <c r="D450" s="41">
        <v>32</v>
      </c>
      <c r="E450" s="41">
        <v>30</v>
      </c>
      <c r="F450" s="41">
        <v>0</v>
      </c>
      <c r="G450" s="41" t="s">
        <v>2448</v>
      </c>
      <c r="H450" s="41">
        <v>2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2537</v>
      </c>
      <c r="P450" s="109">
        <v>194161</v>
      </c>
      <c r="Q450" s="107"/>
      <c r="R450" s="111"/>
      <c r="S450" s="110"/>
      <c r="T450"/>
      <c r="U450"/>
      <c r="V450"/>
    </row>
    <row r="451" spans="1:22">
      <c r="A451" s="105">
        <v>1833</v>
      </c>
      <c r="B451" s="41">
        <v>120000000</v>
      </c>
      <c r="C451" s="41">
        <v>2.5000000000000001E-3</v>
      </c>
      <c r="D451" s="41">
        <v>45.254800000000003</v>
      </c>
      <c r="E451" s="41">
        <v>30</v>
      </c>
      <c r="F451" s="41">
        <v>0</v>
      </c>
      <c r="G451" s="41" t="s">
        <v>2448</v>
      </c>
      <c r="H451" s="41">
        <v>2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2538</v>
      </c>
      <c r="P451" s="109">
        <v>194161</v>
      </c>
      <c r="Q451" s="107"/>
      <c r="R451" s="111"/>
      <c r="S451" s="110"/>
      <c r="T451"/>
      <c r="U451"/>
      <c r="V451"/>
    </row>
    <row r="452" spans="1:22">
      <c r="A452" s="105">
        <v>1834</v>
      </c>
      <c r="B452" s="41">
        <v>120000000</v>
      </c>
      <c r="C452" s="41">
        <v>2.7000000000000001E-3</v>
      </c>
      <c r="D452" s="41">
        <v>2.8283999999999998</v>
      </c>
      <c r="E452" s="41">
        <v>30</v>
      </c>
      <c r="F452" s="41">
        <v>0</v>
      </c>
      <c r="G452" s="41" t="s">
        <v>2448</v>
      </c>
      <c r="H452" s="41">
        <v>2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2539</v>
      </c>
      <c r="P452" s="109">
        <v>194356</v>
      </c>
      <c r="Q452" s="107"/>
      <c r="R452" s="111"/>
      <c r="S452" s="110"/>
      <c r="T452"/>
      <c r="U452"/>
      <c r="V452"/>
    </row>
    <row r="453" spans="1:22">
      <c r="A453" s="105">
        <v>1835</v>
      </c>
      <c r="B453" s="41">
        <v>120000000</v>
      </c>
      <c r="C453" s="41">
        <v>2.7000000000000001E-3</v>
      </c>
      <c r="D453" s="41">
        <v>4</v>
      </c>
      <c r="E453" s="41">
        <v>30</v>
      </c>
      <c r="F453" s="41">
        <v>0</v>
      </c>
      <c r="G453" s="41" t="s">
        <v>2448</v>
      </c>
      <c r="H453" s="41">
        <v>2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2540</v>
      </c>
      <c r="P453" s="109">
        <v>194356</v>
      </c>
      <c r="Q453" s="107"/>
      <c r="R453" s="111"/>
      <c r="S453" s="110"/>
      <c r="T453"/>
      <c r="U453"/>
      <c r="V453"/>
    </row>
    <row r="454" spans="1:22">
      <c r="A454" s="105">
        <v>1836</v>
      </c>
      <c r="B454" s="41">
        <v>120000000</v>
      </c>
      <c r="C454" s="41">
        <v>2.7000000000000001E-3</v>
      </c>
      <c r="D454" s="41">
        <v>5.6569000000000003</v>
      </c>
      <c r="E454" s="41">
        <v>30</v>
      </c>
      <c r="F454" s="41">
        <v>0</v>
      </c>
      <c r="G454" s="41" t="s">
        <v>2448</v>
      </c>
      <c r="H454" s="41">
        <v>2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2541</v>
      </c>
      <c r="P454" s="109">
        <v>194356</v>
      </c>
      <c r="Q454" s="107"/>
      <c r="R454" s="111"/>
      <c r="S454" s="110"/>
      <c r="T454"/>
      <c r="U454"/>
      <c r="V454"/>
    </row>
    <row r="455" spans="1:22">
      <c r="A455" s="105">
        <v>1837</v>
      </c>
      <c r="B455" s="41">
        <v>120000000</v>
      </c>
      <c r="C455" s="41">
        <v>2.7000000000000001E-3</v>
      </c>
      <c r="D455" s="41">
        <v>8</v>
      </c>
      <c r="E455" s="41">
        <v>30</v>
      </c>
      <c r="F455" s="41">
        <v>0</v>
      </c>
      <c r="G455" s="41" t="s">
        <v>2448</v>
      </c>
      <c r="H455" s="41">
        <v>2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2542</v>
      </c>
      <c r="P455" s="109">
        <v>194356</v>
      </c>
      <c r="Q455" s="107"/>
      <c r="R455" s="111"/>
      <c r="S455" s="110"/>
      <c r="T455"/>
      <c r="U455"/>
      <c r="V455"/>
    </row>
    <row r="456" spans="1:22">
      <c r="A456" s="105">
        <v>1838</v>
      </c>
      <c r="B456" s="41">
        <v>120000000</v>
      </c>
      <c r="C456" s="41">
        <v>2.7000000000000001E-3</v>
      </c>
      <c r="D456" s="41">
        <v>11.313700000000001</v>
      </c>
      <c r="E456" s="41">
        <v>30</v>
      </c>
      <c r="F456" s="41">
        <v>0</v>
      </c>
      <c r="G456" s="41" t="s">
        <v>2448</v>
      </c>
      <c r="H456" s="41">
        <v>2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2543</v>
      </c>
      <c r="P456" s="109">
        <v>194356</v>
      </c>
      <c r="Q456" s="107"/>
      <c r="R456" s="111"/>
      <c r="S456" s="110"/>
      <c r="T456"/>
      <c r="U456"/>
      <c r="V456"/>
    </row>
    <row r="457" spans="1:22">
      <c r="A457" s="105">
        <v>1839</v>
      </c>
      <c r="B457" s="41">
        <v>120000000</v>
      </c>
      <c r="C457" s="41">
        <v>2.7000000000000001E-3</v>
      </c>
      <c r="D457" s="41">
        <v>16</v>
      </c>
      <c r="E457" s="41">
        <v>30</v>
      </c>
      <c r="F457" s="41">
        <v>0</v>
      </c>
      <c r="G457" s="41" t="s">
        <v>2448</v>
      </c>
      <c r="H457" s="41">
        <v>2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2544</v>
      </c>
      <c r="P457" s="109">
        <v>194356</v>
      </c>
      <c r="Q457" s="107"/>
      <c r="R457" s="111"/>
      <c r="S457" s="110"/>
      <c r="T457"/>
      <c r="U457"/>
      <c r="V457"/>
    </row>
    <row r="458" spans="1:22">
      <c r="A458" s="105">
        <v>1840</v>
      </c>
      <c r="B458" s="41">
        <v>120000000</v>
      </c>
      <c r="C458" s="41">
        <v>2.7000000000000001E-3</v>
      </c>
      <c r="D458" s="41">
        <v>22.627400000000002</v>
      </c>
      <c r="E458" s="41">
        <v>30</v>
      </c>
      <c r="F458" s="41">
        <v>0</v>
      </c>
      <c r="G458" s="41" t="s">
        <v>2448</v>
      </c>
      <c r="H458" s="41">
        <v>2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2545</v>
      </c>
      <c r="P458" s="109">
        <v>194356</v>
      </c>
      <c r="Q458" s="107"/>
      <c r="R458" s="111"/>
      <c r="S458" s="110"/>
      <c r="T458"/>
      <c r="U458"/>
      <c r="V458"/>
    </row>
    <row r="459" spans="1:22">
      <c r="A459" s="105">
        <v>1841</v>
      </c>
      <c r="B459" s="41">
        <v>120000000</v>
      </c>
      <c r="C459" s="41">
        <v>2.7000000000000001E-3</v>
      </c>
      <c r="D459" s="41">
        <v>32</v>
      </c>
      <c r="E459" s="41">
        <v>30</v>
      </c>
      <c r="F459" s="41">
        <v>0</v>
      </c>
      <c r="G459" s="41" t="s">
        <v>2448</v>
      </c>
      <c r="H459" s="41">
        <v>2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2546</v>
      </c>
      <c r="P459" s="109">
        <v>194356</v>
      </c>
      <c r="Q459" s="107"/>
      <c r="R459" s="111"/>
      <c r="S459" s="110"/>
      <c r="T459"/>
      <c r="U459"/>
      <c r="V459"/>
    </row>
    <row r="460" spans="1:22">
      <c r="A460" s="105">
        <v>1842</v>
      </c>
      <c r="B460" s="41">
        <v>120000000</v>
      </c>
      <c r="C460" s="41">
        <v>2.7000000000000001E-3</v>
      </c>
      <c r="D460" s="41">
        <v>45.254800000000003</v>
      </c>
      <c r="E460" s="41">
        <v>30</v>
      </c>
      <c r="F460" s="41">
        <v>0</v>
      </c>
      <c r="G460" s="41" t="s">
        <v>2448</v>
      </c>
      <c r="H460" s="41">
        <v>2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2547</v>
      </c>
      <c r="P460" s="109">
        <v>194356</v>
      </c>
      <c r="Q460" s="107"/>
      <c r="R460" s="111"/>
      <c r="S460" s="110"/>
      <c r="T460"/>
      <c r="U460"/>
      <c r="V460"/>
    </row>
    <row r="461" spans="1:22">
      <c r="A461" s="105">
        <v>1843</v>
      </c>
      <c r="B461" s="41">
        <v>120000000</v>
      </c>
      <c r="C461" s="41">
        <v>2.8999999999999998E-3</v>
      </c>
      <c r="D461" s="41">
        <v>2.8283999999999998</v>
      </c>
      <c r="E461" s="41">
        <v>30</v>
      </c>
      <c r="F461" s="41">
        <v>0</v>
      </c>
      <c r="G461" s="41" t="s">
        <v>2448</v>
      </c>
      <c r="H461" s="41">
        <v>2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2548</v>
      </c>
      <c r="P461" s="109">
        <v>194356</v>
      </c>
      <c r="Q461" s="107"/>
      <c r="R461" s="111"/>
      <c r="S461" s="110"/>
      <c r="T461"/>
      <c r="U461"/>
      <c r="V461"/>
    </row>
    <row r="462" spans="1:22">
      <c r="A462" s="105">
        <v>1844</v>
      </c>
      <c r="B462" s="41">
        <v>120000000</v>
      </c>
      <c r="C462" s="41">
        <v>2.8999999999999998E-3</v>
      </c>
      <c r="D462" s="41">
        <v>4</v>
      </c>
      <c r="E462" s="41">
        <v>30</v>
      </c>
      <c r="F462" s="41">
        <v>0</v>
      </c>
      <c r="G462" s="41" t="s">
        <v>2448</v>
      </c>
      <c r="H462" s="41">
        <v>2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2549</v>
      </c>
      <c r="P462" s="109">
        <v>194356</v>
      </c>
      <c r="Q462" s="107"/>
      <c r="R462" s="111"/>
      <c r="S462" s="110"/>
      <c r="T462"/>
      <c r="U462"/>
      <c r="V462"/>
    </row>
    <row r="463" spans="1:22">
      <c r="A463" s="105">
        <v>1845</v>
      </c>
      <c r="B463" s="41">
        <v>120000000</v>
      </c>
      <c r="C463" s="41">
        <v>2.8999999999999998E-3</v>
      </c>
      <c r="D463" s="41">
        <v>5.6569000000000003</v>
      </c>
      <c r="E463" s="41">
        <v>30</v>
      </c>
      <c r="F463" s="41">
        <v>0</v>
      </c>
      <c r="G463" s="41" t="s">
        <v>2448</v>
      </c>
      <c r="H463" s="41">
        <v>2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2550</v>
      </c>
      <c r="P463" s="109">
        <v>194356</v>
      </c>
      <c r="Q463" s="107"/>
      <c r="R463" s="111"/>
      <c r="S463" s="110"/>
      <c r="T463"/>
      <c r="U463"/>
      <c r="V463"/>
    </row>
    <row r="464" spans="1:22">
      <c r="A464" s="105">
        <v>1846</v>
      </c>
      <c r="B464" s="41">
        <v>120000000</v>
      </c>
      <c r="C464" s="41">
        <v>2.8999999999999998E-3</v>
      </c>
      <c r="D464" s="41">
        <v>8</v>
      </c>
      <c r="E464" s="41">
        <v>30</v>
      </c>
      <c r="F464" s="41">
        <v>0</v>
      </c>
      <c r="G464" s="41" t="s">
        <v>2448</v>
      </c>
      <c r="H464" s="41">
        <v>2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2551</v>
      </c>
      <c r="P464" s="109">
        <v>194356</v>
      </c>
      <c r="Q464" s="107"/>
      <c r="R464" s="111"/>
      <c r="S464" s="110"/>
      <c r="T464"/>
      <c r="U464"/>
      <c r="V464"/>
    </row>
    <row r="465" spans="1:22">
      <c r="A465" s="105">
        <v>1847</v>
      </c>
      <c r="B465" s="41">
        <v>120000000</v>
      </c>
      <c r="C465" s="41">
        <v>2.8999999999999998E-3</v>
      </c>
      <c r="D465" s="41">
        <v>11.313700000000001</v>
      </c>
      <c r="E465" s="41">
        <v>30</v>
      </c>
      <c r="F465" s="41">
        <v>0</v>
      </c>
      <c r="G465" s="41" t="s">
        <v>2448</v>
      </c>
      <c r="H465" s="41">
        <v>2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2552</v>
      </c>
      <c r="P465" s="109">
        <v>194356</v>
      </c>
      <c r="Q465" s="107"/>
      <c r="R465" s="111"/>
      <c r="S465" s="110"/>
      <c r="T465"/>
      <c r="U465"/>
      <c r="V465"/>
    </row>
    <row r="466" spans="1:22">
      <c r="A466" s="105">
        <v>1848</v>
      </c>
      <c r="B466" s="41">
        <v>120000000</v>
      </c>
      <c r="C466" s="41">
        <v>2.8999999999999998E-3</v>
      </c>
      <c r="D466" s="41">
        <v>16</v>
      </c>
      <c r="E466" s="41">
        <v>30</v>
      </c>
      <c r="F466" s="41">
        <v>0</v>
      </c>
      <c r="G466" s="41" t="s">
        <v>2448</v>
      </c>
      <c r="H466" s="41">
        <v>2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2553</v>
      </c>
      <c r="P466" s="109">
        <v>194356</v>
      </c>
      <c r="Q466" s="107"/>
      <c r="R466" s="111"/>
      <c r="S466" s="110"/>
      <c r="T466"/>
      <c r="U466"/>
      <c r="V466"/>
    </row>
    <row r="467" spans="1:22">
      <c r="A467" s="105">
        <v>1849</v>
      </c>
      <c r="B467" s="41">
        <v>120000000</v>
      </c>
      <c r="C467" s="41">
        <v>2.8999999999999998E-3</v>
      </c>
      <c r="D467" s="41">
        <v>22.627400000000002</v>
      </c>
      <c r="E467" s="41">
        <v>30</v>
      </c>
      <c r="F467" s="41">
        <v>0</v>
      </c>
      <c r="G467" s="41" t="s">
        <v>2448</v>
      </c>
      <c r="H467" s="41">
        <v>2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2554</v>
      </c>
      <c r="P467" s="109">
        <v>194356</v>
      </c>
      <c r="Q467" s="107"/>
      <c r="R467" s="111"/>
      <c r="S467" s="110"/>
      <c r="T467"/>
      <c r="U467"/>
      <c r="V467"/>
    </row>
    <row r="468" spans="1:22">
      <c r="A468" s="105">
        <v>1850</v>
      </c>
      <c r="B468" s="41">
        <v>120000000</v>
      </c>
      <c r="C468" s="41">
        <v>2.8999999999999998E-3</v>
      </c>
      <c r="D468" s="41">
        <v>32</v>
      </c>
      <c r="E468" s="41">
        <v>30</v>
      </c>
      <c r="F468" s="41">
        <v>0</v>
      </c>
      <c r="G468" s="41" t="s">
        <v>2448</v>
      </c>
      <c r="H468" s="41">
        <v>2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2555</v>
      </c>
      <c r="P468" s="109">
        <v>194356</v>
      </c>
      <c r="Q468" s="107"/>
      <c r="R468" s="111"/>
      <c r="S468" s="110"/>
      <c r="T468"/>
      <c r="U468"/>
      <c r="V468"/>
    </row>
    <row r="469" spans="1:22">
      <c r="A469" s="105">
        <v>1851</v>
      </c>
      <c r="B469" s="41">
        <v>120000000</v>
      </c>
      <c r="C469" s="41">
        <v>2.8999999999999998E-3</v>
      </c>
      <c r="D469" s="41">
        <v>45.254800000000003</v>
      </c>
      <c r="E469" s="41">
        <v>30</v>
      </c>
      <c r="F469" s="41">
        <v>0</v>
      </c>
      <c r="G469" s="41" t="s">
        <v>2448</v>
      </c>
      <c r="H469" s="41">
        <v>2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2556</v>
      </c>
      <c r="P469" s="109">
        <v>194356</v>
      </c>
      <c r="Q469" s="107"/>
      <c r="R469" s="111"/>
      <c r="S469" s="110"/>
      <c r="T469"/>
      <c r="U469"/>
      <c r="V469"/>
    </row>
    <row r="470" spans="1:22">
      <c r="A470" s="105">
        <v>1852</v>
      </c>
      <c r="B470" s="41">
        <v>120000000</v>
      </c>
      <c r="C470" s="41">
        <v>3.2000000000000002E-3</v>
      </c>
      <c r="D470" s="41">
        <v>4</v>
      </c>
      <c r="E470" s="41">
        <v>30</v>
      </c>
      <c r="F470" s="41">
        <v>0</v>
      </c>
      <c r="G470" s="41" t="s">
        <v>2448</v>
      </c>
      <c r="H470" s="41">
        <v>2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2557</v>
      </c>
      <c r="P470" s="109">
        <v>194356</v>
      </c>
      <c r="Q470" s="107"/>
      <c r="R470" s="111"/>
      <c r="S470" s="110"/>
      <c r="T470"/>
      <c r="U470"/>
      <c r="V470"/>
    </row>
    <row r="471" spans="1:22">
      <c r="A471" s="105">
        <v>1853</v>
      </c>
      <c r="B471" s="41">
        <v>120000000</v>
      </c>
      <c r="C471" s="41">
        <v>3.2000000000000002E-3</v>
      </c>
      <c r="D471" s="41">
        <v>5.6569000000000003</v>
      </c>
      <c r="E471" s="41">
        <v>30</v>
      </c>
      <c r="F471" s="41">
        <v>0</v>
      </c>
      <c r="G471" s="41" t="s">
        <v>2448</v>
      </c>
      <c r="H471" s="41">
        <v>2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2558</v>
      </c>
      <c r="P471" s="109">
        <v>194356</v>
      </c>
      <c r="Q471" s="107"/>
      <c r="R471" s="111"/>
      <c r="S471" s="110"/>
      <c r="T471"/>
      <c r="U471"/>
      <c r="V471"/>
    </row>
    <row r="472" spans="1:22">
      <c r="A472" s="105">
        <v>1854</v>
      </c>
      <c r="B472" s="41">
        <v>120000000</v>
      </c>
      <c r="C472" s="41">
        <v>3.2000000000000002E-3</v>
      </c>
      <c r="D472" s="41">
        <v>8</v>
      </c>
      <c r="E472" s="41">
        <v>30</v>
      </c>
      <c r="F472" s="41">
        <v>0</v>
      </c>
      <c r="G472" s="41" t="s">
        <v>2448</v>
      </c>
      <c r="H472" s="41">
        <v>2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2559</v>
      </c>
      <c r="P472" s="109">
        <v>194356</v>
      </c>
      <c r="Q472" s="107"/>
      <c r="R472" s="111"/>
      <c r="S472" s="110"/>
      <c r="T472"/>
      <c r="U472"/>
      <c r="V472"/>
    </row>
    <row r="473" spans="1:22">
      <c r="A473" s="105">
        <v>1855</v>
      </c>
      <c r="B473" s="41">
        <v>120000000</v>
      </c>
      <c r="C473" s="41">
        <v>3.2000000000000002E-3</v>
      </c>
      <c r="D473" s="41">
        <v>11.313700000000001</v>
      </c>
      <c r="E473" s="41">
        <v>30</v>
      </c>
      <c r="F473" s="41">
        <v>0</v>
      </c>
      <c r="G473" s="41" t="s">
        <v>2448</v>
      </c>
      <c r="H473" s="41">
        <v>2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2560</v>
      </c>
      <c r="P473" s="109">
        <v>194356</v>
      </c>
      <c r="Q473" s="107"/>
      <c r="R473" s="111"/>
      <c r="S473" s="110"/>
      <c r="T473"/>
      <c r="U473"/>
      <c r="V473"/>
    </row>
    <row r="474" spans="1:22">
      <c r="A474" s="105">
        <v>1856</v>
      </c>
      <c r="B474" s="41">
        <v>120000000</v>
      </c>
      <c r="C474" s="41">
        <v>3.2000000000000002E-3</v>
      </c>
      <c r="D474" s="41">
        <v>16</v>
      </c>
      <c r="E474" s="41">
        <v>30</v>
      </c>
      <c r="F474" s="41">
        <v>0</v>
      </c>
      <c r="G474" s="41" t="s">
        <v>2448</v>
      </c>
      <c r="H474" s="41">
        <v>2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2561</v>
      </c>
      <c r="P474" s="109">
        <v>194356</v>
      </c>
      <c r="Q474" s="107"/>
      <c r="R474" s="111"/>
      <c r="S474" s="110"/>
      <c r="T474"/>
      <c r="U474"/>
      <c r="V474"/>
    </row>
    <row r="475" spans="1:22">
      <c r="A475" s="105">
        <v>1857</v>
      </c>
      <c r="B475" s="41">
        <v>120000000</v>
      </c>
      <c r="C475" s="41">
        <v>3.2000000000000002E-3</v>
      </c>
      <c r="D475" s="41">
        <v>22.627400000000002</v>
      </c>
      <c r="E475" s="41">
        <v>30</v>
      </c>
      <c r="F475" s="41">
        <v>0</v>
      </c>
      <c r="G475" s="41" t="s">
        <v>2448</v>
      </c>
      <c r="H475" s="41">
        <v>2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2562</v>
      </c>
      <c r="P475" s="109">
        <v>194356</v>
      </c>
      <c r="Q475" s="107"/>
      <c r="R475" s="111"/>
      <c r="S475" s="110"/>
      <c r="T475"/>
      <c r="U475"/>
      <c r="V475"/>
    </row>
    <row r="476" spans="1:22">
      <c r="A476" s="105">
        <v>1858</v>
      </c>
      <c r="B476" s="41">
        <v>120000000</v>
      </c>
      <c r="C476" s="41">
        <v>3.2000000000000002E-3</v>
      </c>
      <c r="D476" s="41">
        <v>32</v>
      </c>
      <c r="E476" s="41">
        <v>30</v>
      </c>
      <c r="F476" s="41">
        <v>0</v>
      </c>
      <c r="G476" s="41" t="s">
        <v>2448</v>
      </c>
      <c r="H476" s="41">
        <v>2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2563</v>
      </c>
      <c r="P476" s="109">
        <v>194356</v>
      </c>
      <c r="Q476" s="107"/>
      <c r="R476" s="111"/>
      <c r="S476" s="110"/>
      <c r="T476"/>
      <c r="U476"/>
      <c r="V476"/>
    </row>
    <row r="477" spans="1:22">
      <c r="A477" s="105">
        <v>1859</v>
      </c>
      <c r="B477" s="41">
        <v>120000000</v>
      </c>
      <c r="C477" s="41">
        <v>3.2000000000000002E-3</v>
      </c>
      <c r="D477" s="41">
        <v>45.254800000000003</v>
      </c>
      <c r="E477" s="41">
        <v>30</v>
      </c>
      <c r="F477" s="41">
        <v>0</v>
      </c>
      <c r="G477" s="41" t="s">
        <v>2448</v>
      </c>
      <c r="H477" s="41">
        <v>2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2564</v>
      </c>
      <c r="P477" s="109">
        <v>194356</v>
      </c>
      <c r="Q477" s="107"/>
      <c r="R477" s="111"/>
      <c r="S477" s="110"/>
      <c r="T477"/>
      <c r="U477"/>
      <c r="V477"/>
    </row>
    <row r="478" spans="1:22">
      <c r="A478" s="105">
        <v>1860</v>
      </c>
      <c r="B478" s="41">
        <v>120000000</v>
      </c>
      <c r="C478" s="41">
        <v>3.5000000000000001E-3</v>
      </c>
      <c r="D478" s="41">
        <v>4</v>
      </c>
      <c r="E478" s="41">
        <v>30</v>
      </c>
      <c r="F478" s="41">
        <v>0</v>
      </c>
      <c r="G478" s="41" t="s">
        <v>2448</v>
      </c>
      <c r="H478" s="41">
        <v>2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2565</v>
      </c>
      <c r="P478" s="109">
        <v>194356</v>
      </c>
      <c r="Q478" s="107"/>
      <c r="R478" s="111"/>
      <c r="S478" s="110"/>
      <c r="T478"/>
      <c r="U478"/>
      <c r="V478"/>
    </row>
    <row r="479" spans="1:22">
      <c r="A479" s="105">
        <v>1861</v>
      </c>
      <c r="B479" s="41">
        <v>120000000</v>
      </c>
      <c r="C479" s="41">
        <v>3.5000000000000001E-3</v>
      </c>
      <c r="D479" s="41">
        <v>5.6569000000000003</v>
      </c>
      <c r="E479" s="41">
        <v>30</v>
      </c>
      <c r="F479" s="41">
        <v>0</v>
      </c>
      <c r="G479" s="41" t="s">
        <v>2448</v>
      </c>
      <c r="H479" s="41">
        <v>2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2566</v>
      </c>
      <c r="P479" s="109">
        <v>194356</v>
      </c>
      <c r="Q479" s="107"/>
      <c r="R479" s="111"/>
      <c r="S479" s="110"/>
      <c r="T479"/>
      <c r="U479"/>
      <c r="V479"/>
    </row>
    <row r="480" spans="1:22">
      <c r="A480" s="105">
        <v>1862</v>
      </c>
      <c r="B480" s="41">
        <v>120000000</v>
      </c>
      <c r="C480" s="41">
        <v>3.5000000000000001E-3</v>
      </c>
      <c r="D480" s="41">
        <v>8</v>
      </c>
      <c r="E480" s="41">
        <v>30</v>
      </c>
      <c r="F480" s="41">
        <v>0</v>
      </c>
      <c r="G480" s="41" t="s">
        <v>2448</v>
      </c>
      <c r="H480" s="41">
        <v>2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2567</v>
      </c>
      <c r="P480" s="109">
        <v>194356</v>
      </c>
      <c r="Q480" s="107"/>
      <c r="R480" s="111"/>
      <c r="S480" s="110"/>
      <c r="T480"/>
      <c r="U480"/>
      <c r="V480"/>
    </row>
    <row r="481" spans="1:22">
      <c r="A481" s="105">
        <v>1863</v>
      </c>
      <c r="B481" s="41">
        <v>120000000</v>
      </c>
      <c r="C481" s="41">
        <v>3.5000000000000001E-3</v>
      </c>
      <c r="D481" s="41">
        <v>11.313700000000001</v>
      </c>
      <c r="E481" s="41">
        <v>30</v>
      </c>
      <c r="F481" s="41">
        <v>0</v>
      </c>
      <c r="G481" s="41" t="s">
        <v>2448</v>
      </c>
      <c r="H481" s="41">
        <v>2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2568</v>
      </c>
      <c r="P481" s="109">
        <v>194356</v>
      </c>
      <c r="Q481" s="107"/>
      <c r="R481" s="111"/>
      <c r="S481" s="110"/>
      <c r="T481"/>
      <c r="U481"/>
      <c r="V481"/>
    </row>
    <row r="482" spans="1:22">
      <c r="A482" s="105">
        <v>1864</v>
      </c>
      <c r="B482" s="41">
        <v>120000000</v>
      </c>
      <c r="C482" s="41">
        <v>3.5000000000000001E-3</v>
      </c>
      <c r="D482" s="41">
        <v>16</v>
      </c>
      <c r="E482" s="41">
        <v>30</v>
      </c>
      <c r="F482" s="41">
        <v>0</v>
      </c>
      <c r="G482" s="41" t="s">
        <v>2448</v>
      </c>
      <c r="H482" s="41">
        <v>2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2569</v>
      </c>
      <c r="P482" s="109">
        <v>194356</v>
      </c>
      <c r="Q482" s="107"/>
      <c r="R482" s="111"/>
      <c r="S482" s="110"/>
      <c r="T482"/>
      <c r="U482"/>
      <c r="V482"/>
    </row>
    <row r="483" spans="1:22">
      <c r="A483" s="105">
        <v>1865</v>
      </c>
      <c r="B483" s="41">
        <v>120000000</v>
      </c>
      <c r="C483" s="41">
        <v>3.5000000000000001E-3</v>
      </c>
      <c r="D483" s="41">
        <v>22.627400000000002</v>
      </c>
      <c r="E483" s="41">
        <v>30</v>
      </c>
      <c r="F483" s="41">
        <v>0</v>
      </c>
      <c r="G483" s="41" t="s">
        <v>2448</v>
      </c>
      <c r="H483" s="41">
        <v>2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2570</v>
      </c>
      <c r="P483" s="109">
        <v>194356</v>
      </c>
      <c r="Q483" s="107"/>
      <c r="R483" s="111"/>
      <c r="S483" s="110"/>
      <c r="T483"/>
      <c r="U483"/>
      <c r="V483"/>
    </row>
    <row r="484" spans="1:22">
      <c r="A484" s="105">
        <v>1866</v>
      </c>
      <c r="B484" s="41">
        <v>120000000</v>
      </c>
      <c r="C484" s="41">
        <v>3.5000000000000001E-3</v>
      </c>
      <c r="D484" s="41">
        <v>32</v>
      </c>
      <c r="E484" s="41">
        <v>30</v>
      </c>
      <c r="F484" s="41">
        <v>0</v>
      </c>
      <c r="G484" s="41" t="s">
        <v>2448</v>
      </c>
      <c r="H484" s="41">
        <v>2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2571</v>
      </c>
      <c r="P484" s="109">
        <v>194356</v>
      </c>
      <c r="Q484" s="107"/>
      <c r="R484" s="111"/>
      <c r="S484" s="110"/>
      <c r="T484"/>
      <c r="U484"/>
      <c r="V484"/>
    </row>
    <row r="485" spans="1:22">
      <c r="A485" s="105">
        <v>1867</v>
      </c>
      <c r="B485" s="41">
        <v>120000000</v>
      </c>
      <c r="C485" s="41">
        <v>3.5000000000000001E-3</v>
      </c>
      <c r="D485" s="41">
        <v>45.254800000000003</v>
      </c>
      <c r="E485" s="41">
        <v>30</v>
      </c>
      <c r="F485" s="41">
        <v>0</v>
      </c>
      <c r="G485" s="41" t="s">
        <v>2448</v>
      </c>
      <c r="H485" s="41">
        <v>2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2572</v>
      </c>
      <c r="P485" s="109">
        <v>194356</v>
      </c>
      <c r="Q485" s="107"/>
      <c r="R485" s="111"/>
      <c r="S485" s="110"/>
      <c r="T485"/>
      <c r="U485"/>
      <c r="V485"/>
    </row>
    <row r="486" spans="1:22">
      <c r="A486" s="105">
        <v>1868</v>
      </c>
      <c r="B486" s="41">
        <v>120000000</v>
      </c>
      <c r="C486" s="41">
        <v>3.8E-3</v>
      </c>
      <c r="D486" s="41">
        <v>5.6569000000000003</v>
      </c>
      <c r="E486" s="41">
        <v>30</v>
      </c>
      <c r="F486" s="41">
        <v>0</v>
      </c>
      <c r="G486" s="41" t="s">
        <v>2448</v>
      </c>
      <c r="H486" s="41">
        <v>2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2573</v>
      </c>
      <c r="P486" s="109">
        <v>194356</v>
      </c>
      <c r="Q486" s="107"/>
      <c r="R486" s="111"/>
      <c r="S486" s="110"/>
      <c r="T486"/>
      <c r="U486"/>
      <c r="V486"/>
    </row>
    <row r="487" spans="1:22">
      <c r="A487" s="105">
        <v>1869</v>
      </c>
      <c r="B487" s="41">
        <v>120000000</v>
      </c>
      <c r="C487" s="41">
        <v>3.8E-3</v>
      </c>
      <c r="D487" s="41">
        <v>8</v>
      </c>
      <c r="E487" s="41">
        <v>30</v>
      </c>
      <c r="F487" s="41">
        <v>0</v>
      </c>
      <c r="G487" s="41" t="s">
        <v>2448</v>
      </c>
      <c r="H487" s="41">
        <v>2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2574</v>
      </c>
      <c r="P487" s="109">
        <v>194356</v>
      </c>
      <c r="Q487" s="107"/>
      <c r="R487" s="111"/>
      <c r="S487" s="110"/>
      <c r="T487"/>
      <c r="U487"/>
      <c r="V487"/>
    </row>
    <row r="488" spans="1:22">
      <c r="A488" s="105">
        <v>1870</v>
      </c>
      <c r="B488" s="41">
        <v>120000000</v>
      </c>
      <c r="C488" s="41">
        <v>3.8E-3</v>
      </c>
      <c r="D488" s="41">
        <v>11.313700000000001</v>
      </c>
      <c r="E488" s="41">
        <v>30</v>
      </c>
      <c r="F488" s="41">
        <v>0</v>
      </c>
      <c r="G488" s="41" t="s">
        <v>2448</v>
      </c>
      <c r="H488" s="41">
        <v>2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2575</v>
      </c>
      <c r="P488" s="109">
        <v>194356</v>
      </c>
      <c r="Q488" s="107"/>
      <c r="R488" s="111"/>
      <c r="S488" s="110"/>
      <c r="T488"/>
      <c r="U488"/>
      <c r="V488"/>
    </row>
    <row r="489" spans="1:22">
      <c r="A489" s="105">
        <v>1871</v>
      </c>
      <c r="B489" s="41">
        <v>120000000</v>
      </c>
      <c r="C489" s="41">
        <v>3.8E-3</v>
      </c>
      <c r="D489" s="41">
        <v>16</v>
      </c>
      <c r="E489" s="41">
        <v>30</v>
      </c>
      <c r="F489" s="41">
        <v>0</v>
      </c>
      <c r="G489" s="41" t="s">
        <v>2448</v>
      </c>
      <c r="H489" s="41">
        <v>2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2576</v>
      </c>
      <c r="P489" s="109">
        <v>194356</v>
      </c>
      <c r="Q489" s="107"/>
      <c r="R489" s="111"/>
      <c r="S489" s="110"/>
      <c r="T489"/>
      <c r="U489"/>
      <c r="V489"/>
    </row>
    <row r="490" spans="1:22">
      <c r="A490" s="105">
        <v>1872</v>
      </c>
      <c r="B490" s="41">
        <v>120000000</v>
      </c>
      <c r="C490" s="41">
        <v>3.8E-3</v>
      </c>
      <c r="D490" s="41">
        <v>22.627400000000002</v>
      </c>
      <c r="E490" s="41">
        <v>30</v>
      </c>
      <c r="F490" s="41">
        <v>0</v>
      </c>
      <c r="G490" s="41" t="s">
        <v>2448</v>
      </c>
      <c r="H490" s="41">
        <v>2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2577</v>
      </c>
      <c r="P490" s="109">
        <v>194356</v>
      </c>
      <c r="Q490" s="107"/>
      <c r="R490" s="111"/>
      <c r="S490" s="110"/>
      <c r="T490"/>
      <c r="U490"/>
      <c r="V490"/>
    </row>
    <row r="491" spans="1:22">
      <c r="A491" s="105">
        <v>1873</v>
      </c>
      <c r="B491" s="41">
        <v>120000000</v>
      </c>
      <c r="C491" s="41">
        <v>3.8E-3</v>
      </c>
      <c r="D491" s="41">
        <v>32</v>
      </c>
      <c r="E491" s="41">
        <v>30</v>
      </c>
      <c r="F491" s="41">
        <v>0</v>
      </c>
      <c r="G491" s="41" t="s">
        <v>2448</v>
      </c>
      <c r="H491" s="41">
        <v>2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2578</v>
      </c>
      <c r="P491" s="109">
        <v>194356</v>
      </c>
      <c r="Q491" s="107"/>
      <c r="R491" s="111"/>
      <c r="S491" s="110"/>
      <c r="T491"/>
      <c r="U491"/>
      <c r="V491"/>
    </row>
    <row r="492" spans="1:22">
      <c r="A492" s="105">
        <v>1874</v>
      </c>
      <c r="B492" s="41">
        <v>120000000</v>
      </c>
      <c r="C492" s="41">
        <v>3.8E-3</v>
      </c>
      <c r="D492" s="41">
        <v>45.254800000000003</v>
      </c>
      <c r="E492" s="41">
        <v>30</v>
      </c>
      <c r="F492" s="41">
        <v>0</v>
      </c>
      <c r="G492" s="41" t="s">
        <v>2448</v>
      </c>
      <c r="H492" s="41">
        <v>2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2579</v>
      </c>
      <c r="P492" s="109">
        <v>194357</v>
      </c>
      <c r="Q492" s="107"/>
      <c r="R492" s="111"/>
      <c r="S492" s="110"/>
      <c r="T492"/>
      <c r="U492"/>
      <c r="V492"/>
    </row>
    <row r="493" spans="1:22">
      <c r="A493" s="105">
        <v>1875</v>
      </c>
      <c r="B493" s="41">
        <v>120000000</v>
      </c>
      <c r="C493" s="41">
        <v>4.1999999999999997E-3</v>
      </c>
      <c r="D493" s="41">
        <v>5.6569000000000003</v>
      </c>
      <c r="E493" s="41">
        <v>30</v>
      </c>
      <c r="F493" s="41">
        <v>0</v>
      </c>
      <c r="G493" s="41" t="s">
        <v>2448</v>
      </c>
      <c r="H493" s="41">
        <v>2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2580</v>
      </c>
      <c r="P493" s="109">
        <v>194357</v>
      </c>
      <c r="Q493" s="107"/>
      <c r="R493" s="111"/>
      <c r="S493" s="110"/>
      <c r="T493"/>
      <c r="U493"/>
      <c r="V493"/>
    </row>
    <row r="494" spans="1:22">
      <c r="A494" s="105">
        <v>1876</v>
      </c>
      <c r="B494" s="41">
        <v>120000000</v>
      </c>
      <c r="C494" s="41">
        <v>4.1999999999999997E-3</v>
      </c>
      <c r="D494" s="41">
        <v>8</v>
      </c>
      <c r="E494" s="41">
        <v>30</v>
      </c>
      <c r="F494" s="41">
        <v>0</v>
      </c>
      <c r="G494" s="41" t="s">
        <v>2448</v>
      </c>
      <c r="H494" s="41">
        <v>2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2581</v>
      </c>
      <c r="P494" s="109">
        <v>194357</v>
      </c>
      <c r="Q494" s="107"/>
      <c r="R494" s="111"/>
      <c r="S494" s="110"/>
      <c r="T494"/>
      <c r="U494"/>
      <c r="V494"/>
    </row>
    <row r="495" spans="1:22">
      <c r="A495" s="105">
        <v>1877</v>
      </c>
      <c r="B495" s="41">
        <v>120000000</v>
      </c>
      <c r="C495" s="41">
        <v>4.1999999999999997E-3</v>
      </c>
      <c r="D495" s="41">
        <v>11.313700000000001</v>
      </c>
      <c r="E495" s="41">
        <v>30</v>
      </c>
      <c r="F495" s="41">
        <v>0</v>
      </c>
      <c r="G495" s="41" t="s">
        <v>2448</v>
      </c>
      <c r="H495" s="41">
        <v>2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2582</v>
      </c>
      <c r="P495" s="109">
        <v>194357</v>
      </c>
      <c r="Q495" s="107"/>
      <c r="R495" s="111"/>
      <c r="S495" s="110"/>
      <c r="T495"/>
      <c r="U495"/>
      <c r="V495"/>
    </row>
    <row r="496" spans="1:22">
      <c r="A496" s="105">
        <v>1878</v>
      </c>
      <c r="B496" s="41">
        <v>120000000</v>
      </c>
      <c r="C496" s="41">
        <v>4.1999999999999997E-3</v>
      </c>
      <c r="D496" s="41">
        <v>16</v>
      </c>
      <c r="E496" s="41">
        <v>30</v>
      </c>
      <c r="F496" s="41">
        <v>0</v>
      </c>
      <c r="G496" s="41" t="s">
        <v>2448</v>
      </c>
      <c r="H496" s="41">
        <v>2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2583</v>
      </c>
      <c r="P496" s="109">
        <v>194357</v>
      </c>
      <c r="Q496" s="107"/>
      <c r="R496" s="111"/>
      <c r="S496" s="110"/>
      <c r="T496"/>
      <c r="U496"/>
      <c r="V496"/>
    </row>
    <row r="497" spans="1:22">
      <c r="A497" s="105">
        <v>1879</v>
      </c>
      <c r="B497" s="41">
        <v>120000000</v>
      </c>
      <c r="C497" s="41">
        <v>4.1999999999999997E-3</v>
      </c>
      <c r="D497" s="41">
        <v>22.627400000000002</v>
      </c>
      <c r="E497" s="41">
        <v>30</v>
      </c>
      <c r="F497" s="41">
        <v>0</v>
      </c>
      <c r="G497" s="41" t="s">
        <v>2448</v>
      </c>
      <c r="H497" s="41">
        <v>2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2584</v>
      </c>
      <c r="P497" s="109">
        <v>194357</v>
      </c>
      <c r="Q497" s="107"/>
      <c r="R497" s="111"/>
      <c r="S497" s="110"/>
      <c r="T497"/>
      <c r="U497"/>
      <c r="V497"/>
    </row>
    <row r="498" spans="1:22">
      <c r="A498" s="105">
        <v>1880</v>
      </c>
      <c r="B498" s="41">
        <v>120000000</v>
      </c>
      <c r="C498" s="41">
        <v>4.1999999999999997E-3</v>
      </c>
      <c r="D498" s="41">
        <v>32</v>
      </c>
      <c r="E498" s="41">
        <v>30</v>
      </c>
      <c r="F498" s="41">
        <v>0</v>
      </c>
      <c r="G498" s="41" t="s">
        <v>2448</v>
      </c>
      <c r="H498" s="41">
        <v>2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2585</v>
      </c>
      <c r="P498" s="109">
        <v>194357</v>
      </c>
      <c r="Q498" s="107"/>
      <c r="R498" s="111"/>
      <c r="S498" s="110"/>
      <c r="T498"/>
      <c r="U498"/>
      <c r="V498"/>
    </row>
    <row r="499" spans="1:22">
      <c r="A499" s="105">
        <v>1881</v>
      </c>
      <c r="B499" s="41">
        <v>120000000</v>
      </c>
      <c r="C499" s="41">
        <v>4.1999999999999997E-3</v>
      </c>
      <c r="D499" s="41">
        <v>45.254800000000003</v>
      </c>
      <c r="E499" s="41">
        <v>30</v>
      </c>
      <c r="F499" s="41">
        <v>0</v>
      </c>
      <c r="G499" s="41" t="s">
        <v>2448</v>
      </c>
      <c r="H499" s="41">
        <v>2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2586</v>
      </c>
      <c r="P499" s="109">
        <v>194357</v>
      </c>
      <c r="Q499" s="107"/>
      <c r="R499" s="111"/>
      <c r="S499" s="110"/>
      <c r="T499"/>
      <c r="U499"/>
      <c r="V499"/>
    </row>
    <row r="500" spans="1:22">
      <c r="A500" s="105">
        <v>1882</v>
      </c>
      <c r="B500" s="41">
        <v>120000000</v>
      </c>
      <c r="C500" s="41">
        <v>4.4999999999999997E-3</v>
      </c>
      <c r="D500" s="41">
        <v>8</v>
      </c>
      <c r="E500" s="41">
        <v>30</v>
      </c>
      <c r="F500" s="41">
        <v>0</v>
      </c>
      <c r="G500" s="41" t="s">
        <v>2448</v>
      </c>
      <c r="H500" s="41">
        <v>2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2587</v>
      </c>
      <c r="P500" s="109">
        <v>194357</v>
      </c>
      <c r="Q500" s="107"/>
      <c r="R500" s="111"/>
      <c r="S500" s="110"/>
      <c r="T500"/>
      <c r="U500"/>
      <c r="V500"/>
    </row>
    <row r="501" spans="1:22">
      <c r="A501" s="105">
        <v>1883</v>
      </c>
      <c r="B501" s="41">
        <v>120000000</v>
      </c>
      <c r="C501" s="41">
        <v>4.4999999999999997E-3</v>
      </c>
      <c r="D501" s="41">
        <v>11.313700000000001</v>
      </c>
      <c r="E501" s="41">
        <v>30</v>
      </c>
      <c r="F501" s="41">
        <v>0</v>
      </c>
      <c r="G501" s="41" t="s">
        <v>2448</v>
      </c>
      <c r="H501" s="41">
        <v>2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2588</v>
      </c>
      <c r="P501" s="109">
        <v>194357</v>
      </c>
      <c r="Q501" s="107"/>
      <c r="R501" s="111"/>
      <c r="S501" s="110"/>
      <c r="T501"/>
      <c r="U501"/>
      <c r="V501"/>
    </row>
    <row r="502" spans="1:22">
      <c r="A502" s="105">
        <v>1884</v>
      </c>
      <c r="B502" s="41">
        <v>120000000</v>
      </c>
      <c r="C502" s="41">
        <v>4.4999999999999997E-3</v>
      </c>
      <c r="D502" s="41">
        <v>16</v>
      </c>
      <c r="E502" s="41">
        <v>30</v>
      </c>
      <c r="F502" s="41">
        <v>0</v>
      </c>
      <c r="G502" s="41" t="s">
        <v>2448</v>
      </c>
      <c r="H502" s="41">
        <v>2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2589</v>
      </c>
      <c r="P502" s="109">
        <v>194357</v>
      </c>
      <c r="Q502" s="107"/>
      <c r="R502" s="111"/>
      <c r="S502" s="110"/>
      <c r="T502"/>
      <c r="U502"/>
      <c r="V502"/>
    </row>
    <row r="503" spans="1:22">
      <c r="A503" s="105">
        <v>1885</v>
      </c>
      <c r="B503" s="41">
        <v>120000000</v>
      </c>
      <c r="C503" s="41">
        <v>4.4999999999999997E-3</v>
      </c>
      <c r="D503" s="41">
        <v>22.627400000000002</v>
      </c>
      <c r="E503" s="41">
        <v>30</v>
      </c>
      <c r="F503" s="41">
        <v>0</v>
      </c>
      <c r="G503" s="41" t="s">
        <v>2448</v>
      </c>
      <c r="H503" s="41">
        <v>2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2590</v>
      </c>
      <c r="P503" s="109">
        <v>194357</v>
      </c>
      <c r="Q503" s="107"/>
      <c r="R503" s="111"/>
      <c r="S503" s="110"/>
      <c r="T503"/>
      <c r="U503"/>
      <c r="V503"/>
    </row>
    <row r="504" spans="1:22">
      <c r="A504" s="105">
        <v>1886</v>
      </c>
      <c r="B504" s="41">
        <v>120000000</v>
      </c>
      <c r="C504" s="41">
        <v>4.4999999999999997E-3</v>
      </c>
      <c r="D504" s="41">
        <v>32</v>
      </c>
      <c r="E504" s="41">
        <v>30</v>
      </c>
      <c r="F504" s="41">
        <v>0</v>
      </c>
      <c r="G504" s="41" t="s">
        <v>2448</v>
      </c>
      <c r="H504" s="41">
        <v>2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2591</v>
      </c>
      <c r="P504" s="109">
        <v>194357</v>
      </c>
      <c r="Q504" s="107"/>
      <c r="R504" s="111"/>
      <c r="S504" s="110"/>
      <c r="T504"/>
      <c r="U504"/>
      <c r="V504"/>
    </row>
    <row r="505" spans="1:22">
      <c r="A505" s="105">
        <v>1887</v>
      </c>
      <c r="B505" s="41">
        <v>120000000</v>
      </c>
      <c r="C505" s="41">
        <v>4.4999999999999997E-3</v>
      </c>
      <c r="D505" s="41">
        <v>45.254800000000003</v>
      </c>
      <c r="E505" s="41">
        <v>30</v>
      </c>
      <c r="F505" s="41">
        <v>0</v>
      </c>
      <c r="G505" s="41" t="s">
        <v>2448</v>
      </c>
      <c r="H505" s="41">
        <v>2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2592</v>
      </c>
      <c r="P505" s="109">
        <v>194357</v>
      </c>
      <c r="Q505" s="107"/>
      <c r="R505" s="111"/>
      <c r="S505" s="110"/>
      <c r="T505"/>
      <c r="U505"/>
      <c r="V505"/>
    </row>
    <row r="506" spans="1:22">
      <c r="A506" s="105">
        <v>1888</v>
      </c>
      <c r="B506" s="41">
        <v>120000000</v>
      </c>
      <c r="C506" s="41">
        <v>4.8999999999999998E-3</v>
      </c>
      <c r="D506" s="41">
        <v>8</v>
      </c>
      <c r="E506" s="41">
        <v>30</v>
      </c>
      <c r="F506" s="41">
        <v>0</v>
      </c>
      <c r="G506" s="41" t="s">
        <v>2448</v>
      </c>
      <c r="H506" s="41">
        <v>2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2593</v>
      </c>
      <c r="P506" s="109">
        <v>194357</v>
      </c>
      <c r="Q506" s="107"/>
      <c r="R506" s="111"/>
      <c r="S506" s="110"/>
      <c r="T506"/>
      <c r="U506"/>
      <c r="V506"/>
    </row>
    <row r="507" spans="1:22">
      <c r="A507" s="105">
        <v>1889</v>
      </c>
      <c r="B507" s="41">
        <v>120000000</v>
      </c>
      <c r="C507" s="41">
        <v>4.8999999999999998E-3</v>
      </c>
      <c r="D507" s="41">
        <v>11.313700000000001</v>
      </c>
      <c r="E507" s="41">
        <v>30</v>
      </c>
      <c r="F507" s="41">
        <v>0</v>
      </c>
      <c r="G507" s="41" t="s">
        <v>2448</v>
      </c>
      <c r="H507" s="41">
        <v>2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2594</v>
      </c>
      <c r="P507" s="109">
        <v>194357</v>
      </c>
      <c r="Q507" s="107"/>
      <c r="R507" s="111"/>
      <c r="S507" s="110"/>
      <c r="T507"/>
      <c r="U507"/>
      <c r="V507"/>
    </row>
    <row r="508" spans="1:22">
      <c r="A508" s="105">
        <v>1890</v>
      </c>
      <c r="B508" s="41">
        <v>120000000</v>
      </c>
      <c r="C508" s="41">
        <v>4.8999999999999998E-3</v>
      </c>
      <c r="D508" s="41">
        <v>16</v>
      </c>
      <c r="E508" s="41">
        <v>30</v>
      </c>
      <c r="F508" s="41">
        <v>0</v>
      </c>
      <c r="G508" s="41" t="s">
        <v>2448</v>
      </c>
      <c r="H508" s="41">
        <v>2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2595</v>
      </c>
      <c r="P508" s="109">
        <v>194357</v>
      </c>
      <c r="Q508" s="107"/>
      <c r="R508" s="111"/>
      <c r="S508" s="110"/>
      <c r="T508"/>
      <c r="U508"/>
      <c r="V508"/>
    </row>
    <row r="509" spans="1:22">
      <c r="A509" s="105">
        <v>1891</v>
      </c>
      <c r="B509" s="41">
        <v>120000000</v>
      </c>
      <c r="C509" s="41">
        <v>4.8999999999999998E-3</v>
      </c>
      <c r="D509" s="41">
        <v>22.627400000000002</v>
      </c>
      <c r="E509" s="41">
        <v>30</v>
      </c>
      <c r="F509" s="41">
        <v>0</v>
      </c>
      <c r="G509" s="41" t="s">
        <v>2448</v>
      </c>
      <c r="H509" s="41">
        <v>2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2596</v>
      </c>
      <c r="P509" s="109">
        <v>194357</v>
      </c>
      <c r="Q509" s="107"/>
      <c r="R509" s="111"/>
      <c r="S509" s="110"/>
      <c r="T509"/>
      <c r="U509"/>
      <c r="V509"/>
    </row>
    <row r="510" spans="1:22">
      <c r="A510" s="105">
        <v>1892</v>
      </c>
      <c r="B510" s="41">
        <v>120000000</v>
      </c>
      <c r="C510" s="41">
        <v>4.8999999999999998E-3</v>
      </c>
      <c r="D510" s="41">
        <v>32</v>
      </c>
      <c r="E510" s="41">
        <v>30</v>
      </c>
      <c r="F510" s="41">
        <v>0</v>
      </c>
      <c r="G510" s="41" t="s">
        <v>2448</v>
      </c>
      <c r="H510" s="41">
        <v>2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2597</v>
      </c>
      <c r="P510" s="109">
        <v>194357</v>
      </c>
      <c r="Q510" s="107"/>
      <c r="R510" s="111"/>
      <c r="S510" s="110"/>
      <c r="T510"/>
      <c r="U510"/>
      <c r="V510"/>
    </row>
    <row r="511" spans="1:22">
      <c r="A511" s="105">
        <v>1893</v>
      </c>
      <c r="B511" s="41">
        <v>120000000</v>
      </c>
      <c r="C511" s="41">
        <v>4.8999999999999998E-3</v>
      </c>
      <c r="D511" s="41">
        <v>45.254800000000003</v>
      </c>
      <c r="E511" s="41">
        <v>30</v>
      </c>
      <c r="F511" s="41">
        <v>0</v>
      </c>
      <c r="G511" s="41" t="s">
        <v>2448</v>
      </c>
      <c r="H511" s="41">
        <v>2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2598</v>
      </c>
      <c r="P511" s="109">
        <v>194357</v>
      </c>
      <c r="Q511" s="107"/>
      <c r="R511" s="111"/>
      <c r="S511" s="110"/>
      <c r="T511"/>
      <c r="U511"/>
      <c r="V511"/>
    </row>
    <row r="512" spans="1:22">
      <c r="A512" s="105">
        <v>1894</v>
      </c>
      <c r="B512" s="41">
        <v>120000000</v>
      </c>
      <c r="C512" s="41">
        <v>5.4000000000000003E-3</v>
      </c>
      <c r="D512" s="41">
        <v>11.313700000000001</v>
      </c>
      <c r="E512" s="41">
        <v>30</v>
      </c>
      <c r="F512" s="41">
        <v>0</v>
      </c>
      <c r="G512" s="41" t="s">
        <v>2448</v>
      </c>
      <c r="H512" s="41">
        <v>2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2599</v>
      </c>
      <c r="P512" s="109">
        <v>194357</v>
      </c>
      <c r="Q512" s="107"/>
      <c r="R512" s="111"/>
      <c r="S512" s="110"/>
      <c r="T512"/>
      <c r="U512"/>
      <c r="V512"/>
    </row>
    <row r="513" spans="1:22">
      <c r="A513" s="105">
        <v>1895</v>
      </c>
      <c r="B513" s="41">
        <v>120000000</v>
      </c>
      <c r="C513" s="41">
        <v>5.4000000000000003E-3</v>
      </c>
      <c r="D513" s="41">
        <v>16</v>
      </c>
      <c r="E513" s="41">
        <v>30</v>
      </c>
      <c r="F513" s="41">
        <v>0</v>
      </c>
      <c r="G513" s="41" t="s">
        <v>2448</v>
      </c>
      <c r="H513" s="41">
        <v>2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2600</v>
      </c>
      <c r="P513" s="109">
        <v>194357</v>
      </c>
      <c r="Q513" s="107"/>
      <c r="R513" s="111"/>
      <c r="S513" s="110"/>
      <c r="T513"/>
      <c r="U513"/>
      <c r="V513"/>
    </row>
    <row r="514" spans="1:22">
      <c r="A514" s="105">
        <v>1896</v>
      </c>
      <c r="B514" s="41">
        <v>120000000</v>
      </c>
      <c r="C514" s="41">
        <v>5.4000000000000003E-3</v>
      </c>
      <c r="D514" s="41">
        <v>22.627400000000002</v>
      </c>
      <c r="E514" s="41">
        <v>30</v>
      </c>
      <c r="F514" s="41">
        <v>0</v>
      </c>
      <c r="G514" s="41" t="s">
        <v>2448</v>
      </c>
      <c r="H514" s="41">
        <v>2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2601</v>
      </c>
      <c r="P514" s="109">
        <v>194357</v>
      </c>
      <c r="Q514" s="107"/>
      <c r="R514" s="111"/>
      <c r="S514" s="110"/>
      <c r="T514"/>
      <c r="U514"/>
      <c r="V514"/>
    </row>
    <row r="515" spans="1:22">
      <c r="A515" s="105">
        <v>1897</v>
      </c>
      <c r="B515" s="41">
        <v>120000000</v>
      </c>
      <c r="C515" s="41">
        <v>5.4000000000000003E-3</v>
      </c>
      <c r="D515" s="41">
        <v>32</v>
      </c>
      <c r="E515" s="41">
        <v>30</v>
      </c>
      <c r="F515" s="41">
        <v>0</v>
      </c>
      <c r="G515" s="41" t="s">
        <v>2448</v>
      </c>
      <c r="H515" s="41">
        <v>2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2602</v>
      </c>
      <c r="P515" s="109">
        <v>194357</v>
      </c>
      <c r="Q515" s="107"/>
      <c r="R515" s="111"/>
      <c r="S515" s="110"/>
      <c r="T515"/>
      <c r="U515"/>
      <c r="V515"/>
    </row>
    <row r="516" spans="1:22">
      <c r="A516" s="105">
        <v>1898</v>
      </c>
      <c r="B516" s="41">
        <v>120000000</v>
      </c>
      <c r="C516" s="41">
        <v>5.4000000000000003E-3</v>
      </c>
      <c r="D516" s="41">
        <v>45.254800000000003</v>
      </c>
      <c r="E516" s="41">
        <v>30</v>
      </c>
      <c r="F516" s="41">
        <v>0</v>
      </c>
      <c r="G516" s="41" t="s">
        <v>2448</v>
      </c>
      <c r="H516" s="41">
        <v>2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2603</v>
      </c>
      <c r="P516" s="109">
        <v>194357</v>
      </c>
      <c r="Q516" s="107"/>
      <c r="R516" s="111"/>
      <c r="S516" s="110"/>
      <c r="T516"/>
      <c r="U516"/>
      <c r="V516"/>
    </row>
    <row r="517" spans="1:22">
      <c r="A517" s="105">
        <v>1899</v>
      </c>
      <c r="B517" s="41">
        <v>120000000</v>
      </c>
      <c r="C517" s="41">
        <v>5.8999999999999999E-3</v>
      </c>
      <c r="D517" s="41">
        <v>11.313700000000001</v>
      </c>
      <c r="E517" s="41">
        <v>30</v>
      </c>
      <c r="F517" s="41">
        <v>0</v>
      </c>
      <c r="G517" s="41" t="s">
        <v>2448</v>
      </c>
      <c r="H517" s="41">
        <v>2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2604</v>
      </c>
      <c r="P517" s="109">
        <v>194357</v>
      </c>
      <c r="Q517" s="107"/>
      <c r="R517" s="111"/>
      <c r="S517" s="110"/>
      <c r="T517"/>
      <c r="U517"/>
      <c r="V517"/>
    </row>
    <row r="518" spans="1:22">
      <c r="A518" s="105">
        <v>1900</v>
      </c>
      <c r="B518" s="41">
        <v>120000000</v>
      </c>
      <c r="C518" s="41">
        <v>5.8999999999999999E-3</v>
      </c>
      <c r="D518" s="41">
        <v>16</v>
      </c>
      <c r="E518" s="41">
        <v>30</v>
      </c>
      <c r="F518" s="41">
        <v>0</v>
      </c>
      <c r="G518" s="41" t="s">
        <v>2448</v>
      </c>
      <c r="H518" s="41">
        <v>2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2605</v>
      </c>
      <c r="P518" s="109">
        <v>194357</v>
      </c>
      <c r="Q518" s="107"/>
      <c r="R518" s="111"/>
      <c r="S518" s="110"/>
      <c r="T518"/>
      <c r="U518"/>
      <c r="V518"/>
    </row>
    <row r="519" spans="1:22">
      <c r="A519" s="105">
        <v>1901</v>
      </c>
      <c r="B519" s="41">
        <v>120000000</v>
      </c>
      <c r="C519" s="41">
        <v>5.8999999999999999E-3</v>
      </c>
      <c r="D519" s="41">
        <v>22.627400000000002</v>
      </c>
      <c r="E519" s="41">
        <v>30</v>
      </c>
      <c r="F519" s="41">
        <v>0</v>
      </c>
      <c r="G519" s="41" t="s">
        <v>2448</v>
      </c>
      <c r="H519" s="41">
        <v>2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2606</v>
      </c>
      <c r="P519" s="109">
        <v>194357</v>
      </c>
      <c r="Q519" s="107"/>
      <c r="R519" s="111"/>
      <c r="S519" s="110"/>
      <c r="T519"/>
      <c r="U519"/>
      <c r="V519"/>
    </row>
    <row r="520" spans="1:22">
      <c r="A520" s="105">
        <v>1902</v>
      </c>
      <c r="B520" s="41">
        <v>120000000</v>
      </c>
      <c r="C520" s="41">
        <v>5.8999999999999999E-3</v>
      </c>
      <c r="D520" s="41">
        <v>32</v>
      </c>
      <c r="E520" s="41">
        <v>30</v>
      </c>
      <c r="F520" s="41">
        <v>0</v>
      </c>
      <c r="G520" s="41" t="s">
        <v>2448</v>
      </c>
      <c r="H520" s="41">
        <v>2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2607</v>
      </c>
      <c r="P520" s="109">
        <v>194357</v>
      </c>
      <c r="Q520" s="107"/>
      <c r="R520" s="111"/>
      <c r="S520" s="110"/>
      <c r="T520"/>
      <c r="U520"/>
      <c r="V520"/>
    </row>
    <row r="521" spans="1:22">
      <c r="A521" s="105">
        <v>1903</v>
      </c>
      <c r="B521" s="41">
        <v>120000000</v>
      </c>
      <c r="C521" s="41">
        <v>5.8999999999999999E-3</v>
      </c>
      <c r="D521" s="41">
        <v>45.254800000000003</v>
      </c>
      <c r="E521" s="41">
        <v>30</v>
      </c>
      <c r="F521" s="41">
        <v>0</v>
      </c>
      <c r="G521" s="41" t="s">
        <v>2448</v>
      </c>
      <c r="H521" s="41">
        <v>2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2608</v>
      </c>
      <c r="P521" s="109">
        <v>194357</v>
      </c>
      <c r="Q521" s="107"/>
      <c r="R521" s="111"/>
      <c r="S521" s="110"/>
      <c r="T521"/>
      <c r="U521"/>
      <c r="V521"/>
    </row>
    <row r="522" spans="1:22">
      <c r="A522" s="105">
        <v>1904</v>
      </c>
      <c r="B522" s="41">
        <v>120000000</v>
      </c>
      <c r="C522" s="41">
        <v>6.4000000000000003E-3</v>
      </c>
      <c r="D522" s="41">
        <v>16</v>
      </c>
      <c r="E522" s="41">
        <v>30</v>
      </c>
      <c r="F522" s="41">
        <v>0</v>
      </c>
      <c r="G522" s="41" t="s">
        <v>2448</v>
      </c>
      <c r="H522" s="41">
        <v>2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2609</v>
      </c>
      <c r="P522" s="109">
        <v>194357</v>
      </c>
      <c r="Q522" s="107"/>
      <c r="R522" s="111"/>
      <c r="S522" s="110"/>
      <c r="T522"/>
      <c r="U522"/>
      <c r="V522"/>
    </row>
    <row r="523" spans="1:22">
      <c r="A523" s="105">
        <v>1905</v>
      </c>
      <c r="B523" s="41">
        <v>120000000</v>
      </c>
      <c r="C523" s="41">
        <v>6.4000000000000003E-3</v>
      </c>
      <c r="D523" s="41">
        <v>22.627400000000002</v>
      </c>
      <c r="E523" s="41">
        <v>30</v>
      </c>
      <c r="F523" s="41">
        <v>0</v>
      </c>
      <c r="G523" s="41" t="s">
        <v>2448</v>
      </c>
      <c r="H523" s="41">
        <v>2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2610</v>
      </c>
      <c r="P523" s="109">
        <v>194357</v>
      </c>
      <c r="Q523" s="107"/>
      <c r="R523" s="111"/>
      <c r="S523" s="110"/>
      <c r="T523"/>
      <c r="U523"/>
      <c r="V523"/>
    </row>
    <row r="524" spans="1:22">
      <c r="A524" s="105">
        <v>1906</v>
      </c>
      <c r="B524" s="41">
        <v>120000000</v>
      </c>
      <c r="C524" s="41">
        <v>6.4000000000000003E-3</v>
      </c>
      <c r="D524" s="41">
        <v>32</v>
      </c>
      <c r="E524" s="41">
        <v>30</v>
      </c>
      <c r="F524" s="41">
        <v>0</v>
      </c>
      <c r="G524" s="41" t="s">
        <v>2448</v>
      </c>
      <c r="H524" s="41">
        <v>2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2611</v>
      </c>
      <c r="P524" s="109">
        <v>194357</v>
      </c>
      <c r="Q524" s="107"/>
      <c r="R524" s="111"/>
      <c r="S524" s="110"/>
      <c r="T524"/>
      <c r="U524"/>
      <c r="V524"/>
    </row>
    <row r="525" spans="1:22">
      <c r="A525" s="105">
        <v>1907</v>
      </c>
      <c r="B525" s="41">
        <v>120000000</v>
      </c>
      <c r="C525" s="41">
        <v>6.4000000000000003E-3</v>
      </c>
      <c r="D525" s="41">
        <v>45.254800000000003</v>
      </c>
      <c r="E525" s="41">
        <v>30</v>
      </c>
      <c r="F525" s="41">
        <v>0</v>
      </c>
      <c r="G525" s="41" t="s">
        <v>2448</v>
      </c>
      <c r="H525" s="41">
        <v>2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2612</v>
      </c>
      <c r="P525" s="109">
        <v>194357</v>
      </c>
      <c r="Q525" s="107"/>
      <c r="R525" s="111"/>
      <c r="S525" s="110"/>
      <c r="T525"/>
      <c r="U525"/>
      <c r="V525"/>
    </row>
    <row r="526" spans="1:22">
      <c r="A526" s="105">
        <v>1908</v>
      </c>
      <c r="B526" s="41">
        <v>120000000</v>
      </c>
      <c r="C526" s="41">
        <v>7.0000000000000001E-3</v>
      </c>
      <c r="D526" s="41">
        <v>16</v>
      </c>
      <c r="E526" s="41">
        <v>30</v>
      </c>
      <c r="F526" s="41">
        <v>0</v>
      </c>
      <c r="G526" s="41" t="s">
        <v>2448</v>
      </c>
      <c r="H526" s="41">
        <v>2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2613</v>
      </c>
      <c r="P526" s="109">
        <v>194357</v>
      </c>
      <c r="Q526" s="107"/>
      <c r="R526" s="111"/>
      <c r="S526" s="110"/>
      <c r="T526"/>
      <c r="U526"/>
      <c r="V526"/>
    </row>
    <row r="527" spans="1:22">
      <c r="A527" s="105">
        <v>1909</v>
      </c>
      <c r="B527" s="41">
        <v>120000000</v>
      </c>
      <c r="C527" s="41">
        <v>7.0000000000000001E-3</v>
      </c>
      <c r="D527" s="41">
        <v>22.627400000000002</v>
      </c>
      <c r="E527" s="41">
        <v>30</v>
      </c>
      <c r="F527" s="41">
        <v>0</v>
      </c>
      <c r="G527" s="41" t="s">
        <v>2448</v>
      </c>
      <c r="H527" s="41">
        <v>2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2614</v>
      </c>
      <c r="P527" s="109">
        <v>194357</v>
      </c>
      <c r="Q527" s="107"/>
      <c r="R527" s="111"/>
      <c r="S527" s="110"/>
      <c r="T527"/>
      <c r="U527"/>
      <c r="V527"/>
    </row>
    <row r="528" spans="1:22">
      <c r="A528" s="105">
        <v>1910</v>
      </c>
      <c r="B528" s="41">
        <v>120000000</v>
      </c>
      <c r="C528" s="41">
        <v>7.0000000000000001E-3</v>
      </c>
      <c r="D528" s="41">
        <v>32</v>
      </c>
      <c r="E528" s="41">
        <v>30</v>
      </c>
      <c r="F528" s="41">
        <v>0</v>
      </c>
      <c r="G528" s="41" t="s">
        <v>2448</v>
      </c>
      <c r="H528" s="41">
        <v>2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2615</v>
      </c>
      <c r="P528" s="109">
        <v>194357</v>
      </c>
      <c r="Q528" s="107"/>
      <c r="R528" s="111"/>
      <c r="S528" s="110"/>
      <c r="T528"/>
      <c r="U528"/>
      <c r="V528"/>
    </row>
    <row r="529" spans="1:22">
      <c r="A529" s="105">
        <v>1911</v>
      </c>
      <c r="B529" s="41">
        <v>120000000</v>
      </c>
      <c r="C529" s="41">
        <v>7.0000000000000001E-3</v>
      </c>
      <c r="D529" s="41">
        <v>45.254800000000003</v>
      </c>
      <c r="E529" s="41">
        <v>30</v>
      </c>
      <c r="F529" s="41">
        <v>0</v>
      </c>
      <c r="G529" s="41" t="s">
        <v>2448</v>
      </c>
      <c r="H529" s="41">
        <v>2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2616</v>
      </c>
      <c r="P529" s="109">
        <v>194357</v>
      </c>
      <c r="Q529" s="107"/>
      <c r="R529" s="111"/>
      <c r="S529" s="110"/>
      <c r="T529"/>
      <c r="U529"/>
      <c r="V529"/>
    </row>
    <row r="530" spans="1:22">
      <c r="A530" s="105">
        <v>1912</v>
      </c>
      <c r="B530" s="41">
        <v>120000000</v>
      </c>
      <c r="C530" s="41">
        <v>7.6E-3</v>
      </c>
      <c r="D530" s="41">
        <v>22.627400000000002</v>
      </c>
      <c r="E530" s="41">
        <v>30</v>
      </c>
      <c r="F530" s="41">
        <v>0</v>
      </c>
      <c r="G530" s="41" t="s">
        <v>2448</v>
      </c>
      <c r="H530" s="41">
        <v>2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2617</v>
      </c>
      <c r="P530" s="109">
        <v>194357</v>
      </c>
      <c r="Q530" s="107"/>
      <c r="R530" s="111"/>
      <c r="S530" s="110"/>
      <c r="T530"/>
      <c r="U530"/>
      <c r="V530"/>
    </row>
    <row r="531" spans="1:22">
      <c r="A531" s="105">
        <v>1913</v>
      </c>
      <c r="B531" s="41">
        <v>120000000</v>
      </c>
      <c r="C531" s="41">
        <v>7.6E-3</v>
      </c>
      <c r="D531" s="41">
        <v>32</v>
      </c>
      <c r="E531" s="41">
        <v>30</v>
      </c>
      <c r="F531" s="41">
        <v>0</v>
      </c>
      <c r="G531" s="41" t="s">
        <v>2448</v>
      </c>
      <c r="H531" s="41">
        <v>2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2618</v>
      </c>
      <c r="P531" s="109">
        <v>194357</v>
      </c>
      <c r="Q531" s="107"/>
      <c r="R531" s="111"/>
      <c r="S531" s="110"/>
      <c r="T531"/>
      <c r="U531"/>
      <c r="V531"/>
    </row>
    <row r="532" spans="1:22">
      <c r="A532" s="105">
        <v>1914</v>
      </c>
      <c r="B532" s="41">
        <v>120000000</v>
      </c>
      <c r="C532" s="41">
        <v>7.6E-3</v>
      </c>
      <c r="D532" s="41">
        <v>45.254800000000003</v>
      </c>
      <c r="E532" s="41">
        <v>30</v>
      </c>
      <c r="F532" s="41">
        <v>0</v>
      </c>
      <c r="G532" s="41" t="s">
        <v>2448</v>
      </c>
      <c r="H532" s="41">
        <v>2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2619</v>
      </c>
      <c r="P532" s="109">
        <v>194378</v>
      </c>
      <c r="Q532" s="107"/>
      <c r="R532" s="111"/>
      <c r="S532" s="110"/>
      <c r="T532"/>
      <c r="U532"/>
      <c r="V532"/>
    </row>
    <row r="533" spans="1:22">
      <c r="A533" s="105">
        <v>1915</v>
      </c>
      <c r="B533" s="41">
        <v>120000000</v>
      </c>
      <c r="C533" s="41">
        <v>8.3000000000000001E-3</v>
      </c>
      <c r="D533" s="41">
        <v>22.627400000000002</v>
      </c>
      <c r="E533" s="41">
        <v>30</v>
      </c>
      <c r="F533" s="41">
        <v>0</v>
      </c>
      <c r="G533" s="41" t="s">
        <v>2448</v>
      </c>
      <c r="H533" s="41">
        <v>2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2620</v>
      </c>
      <c r="P533" s="109">
        <v>194378</v>
      </c>
      <c r="Q533" s="107"/>
      <c r="R533" s="111"/>
      <c r="S533" s="110"/>
      <c r="T533"/>
      <c r="U533"/>
      <c r="V533"/>
    </row>
    <row r="534" spans="1:22">
      <c r="A534" s="105">
        <v>1916</v>
      </c>
      <c r="B534" s="41">
        <v>120000000</v>
      </c>
      <c r="C534" s="41">
        <v>8.3000000000000001E-3</v>
      </c>
      <c r="D534" s="41">
        <v>32</v>
      </c>
      <c r="E534" s="41">
        <v>30</v>
      </c>
      <c r="F534" s="41">
        <v>0</v>
      </c>
      <c r="G534" s="41" t="s">
        <v>2448</v>
      </c>
      <c r="H534" s="41">
        <v>2</v>
      </c>
      <c r="I534" s="41">
        <v>1</v>
      </c>
      <c r="J534" s="108">
        <v>0</v>
      </c>
      <c r="K534" s="41">
        <v>0</v>
      </c>
      <c r="L534" s="41">
        <v>55</v>
      </c>
      <c r="M534" s="41">
        <v>-1</v>
      </c>
      <c r="N534" s="41">
        <v>4</v>
      </c>
      <c r="O534" s="110" t="s">
        <v>2621</v>
      </c>
      <c r="P534" s="109">
        <v>194378</v>
      </c>
      <c r="Q534" s="107"/>
      <c r="R534" s="111"/>
      <c r="S534" s="110"/>
      <c r="T534"/>
      <c r="U534"/>
      <c r="V534"/>
    </row>
    <row r="535" spans="1:22">
      <c r="A535" s="105">
        <v>1917</v>
      </c>
      <c r="B535" s="41">
        <v>120000000</v>
      </c>
      <c r="C535" s="41">
        <v>8.3000000000000001E-3</v>
      </c>
      <c r="D535" s="41">
        <v>45.254800000000003</v>
      </c>
      <c r="E535" s="41">
        <v>30</v>
      </c>
      <c r="F535" s="41">
        <v>0</v>
      </c>
      <c r="G535" s="41" t="s">
        <v>2448</v>
      </c>
      <c r="H535" s="41">
        <v>2</v>
      </c>
      <c r="I535" s="41">
        <v>1</v>
      </c>
      <c r="J535" s="108">
        <v>0</v>
      </c>
      <c r="K535" s="41">
        <v>0</v>
      </c>
      <c r="L535" s="41">
        <v>55</v>
      </c>
      <c r="M535" s="41">
        <v>-1</v>
      </c>
      <c r="N535" s="41">
        <v>4</v>
      </c>
      <c r="O535" s="110" t="s">
        <v>2622</v>
      </c>
      <c r="P535" s="109">
        <v>194378</v>
      </c>
      <c r="Q535" s="107"/>
      <c r="R535" s="111"/>
      <c r="S535" s="110"/>
      <c r="T535"/>
      <c r="U535"/>
      <c r="V535"/>
    </row>
    <row r="536" spans="1:22">
      <c r="A536" s="105">
        <v>1918</v>
      </c>
      <c r="B536" s="41">
        <v>120000000</v>
      </c>
      <c r="C536" s="41">
        <v>9.1000000000000004E-3</v>
      </c>
      <c r="D536" s="41">
        <v>32</v>
      </c>
      <c r="E536" s="41">
        <v>30</v>
      </c>
      <c r="F536" s="41">
        <v>0</v>
      </c>
      <c r="G536" s="41" t="s">
        <v>2448</v>
      </c>
      <c r="H536" s="41">
        <v>2</v>
      </c>
      <c r="I536" s="41">
        <v>1</v>
      </c>
      <c r="J536" s="108">
        <v>0</v>
      </c>
      <c r="K536" s="41">
        <v>0</v>
      </c>
      <c r="L536" s="41">
        <v>55</v>
      </c>
      <c r="M536" s="41">
        <v>-1</v>
      </c>
      <c r="N536" s="41">
        <v>4</v>
      </c>
      <c r="O536" s="110" t="s">
        <v>2623</v>
      </c>
      <c r="P536" s="109">
        <v>194378</v>
      </c>
      <c r="Q536" s="107"/>
      <c r="R536" s="111"/>
      <c r="S536" s="110"/>
      <c r="T536"/>
      <c r="U536"/>
      <c r="V536"/>
    </row>
    <row r="537" spans="1:22">
      <c r="A537" s="105">
        <v>1919</v>
      </c>
      <c r="B537" s="41">
        <v>120000000</v>
      </c>
      <c r="C537" s="41">
        <v>9.1000000000000004E-3</v>
      </c>
      <c r="D537" s="41">
        <v>45.254800000000003</v>
      </c>
      <c r="E537" s="41">
        <v>30</v>
      </c>
      <c r="F537" s="41">
        <v>0</v>
      </c>
      <c r="G537" s="41" t="s">
        <v>2448</v>
      </c>
      <c r="H537" s="41">
        <v>2</v>
      </c>
      <c r="I537" s="41">
        <v>1</v>
      </c>
      <c r="J537" s="108">
        <v>0</v>
      </c>
      <c r="K537" s="41">
        <v>0</v>
      </c>
      <c r="L537" s="41">
        <v>55</v>
      </c>
      <c r="M537" s="41">
        <v>-1</v>
      </c>
      <c r="N537" s="41">
        <v>4</v>
      </c>
      <c r="O537" s="110" t="s">
        <v>2624</v>
      </c>
      <c r="P537" s="109">
        <v>194378</v>
      </c>
      <c r="Q537" s="107"/>
      <c r="R537" s="111"/>
      <c r="S537" s="110"/>
      <c r="T537"/>
      <c r="U537"/>
      <c r="V537"/>
    </row>
    <row r="538" spans="1:22">
      <c r="A538" s="105">
        <v>1920</v>
      </c>
      <c r="B538" s="41">
        <v>120000000</v>
      </c>
      <c r="C538" s="41">
        <v>9.9000000000000008E-3</v>
      </c>
      <c r="D538" s="41">
        <v>32</v>
      </c>
      <c r="E538" s="41">
        <v>30</v>
      </c>
      <c r="F538" s="41">
        <v>0</v>
      </c>
      <c r="G538" s="41" t="s">
        <v>2448</v>
      </c>
      <c r="H538" s="41">
        <v>2</v>
      </c>
      <c r="I538" s="41">
        <v>1</v>
      </c>
      <c r="J538" s="108">
        <v>0</v>
      </c>
      <c r="K538" s="41">
        <v>0</v>
      </c>
      <c r="L538" s="41">
        <v>55</v>
      </c>
      <c r="M538" s="41">
        <v>-1</v>
      </c>
      <c r="N538" s="41">
        <v>4</v>
      </c>
      <c r="O538" s="110" t="s">
        <v>2625</v>
      </c>
      <c r="P538" s="109">
        <v>194378</v>
      </c>
      <c r="Q538" s="107"/>
      <c r="R538" s="111"/>
      <c r="S538" s="110"/>
      <c r="T538"/>
      <c r="U538"/>
      <c r="V538"/>
    </row>
    <row r="539" spans="1:22">
      <c r="A539" s="105">
        <v>1921</v>
      </c>
      <c r="B539" s="41">
        <v>120000000</v>
      </c>
      <c r="C539" s="41">
        <v>9.9000000000000008E-3</v>
      </c>
      <c r="D539" s="41">
        <v>45.254800000000003</v>
      </c>
      <c r="E539" s="41">
        <v>30</v>
      </c>
      <c r="F539" s="41">
        <v>0</v>
      </c>
      <c r="G539" s="41" t="s">
        <v>2448</v>
      </c>
      <c r="H539" s="41">
        <v>2</v>
      </c>
      <c r="I539" s="41">
        <v>1</v>
      </c>
      <c r="J539" s="108">
        <v>0</v>
      </c>
      <c r="K539" s="41">
        <v>0</v>
      </c>
      <c r="L539" s="41">
        <v>55</v>
      </c>
      <c r="M539" s="41">
        <v>-1</v>
      </c>
      <c r="N539" s="41">
        <v>4</v>
      </c>
      <c r="O539" s="110" t="s">
        <v>2626</v>
      </c>
      <c r="P539" s="109">
        <v>194378</v>
      </c>
      <c r="Q539" s="107"/>
      <c r="R539" s="111"/>
      <c r="S539" s="110"/>
      <c r="T539"/>
      <c r="U539"/>
      <c r="V539"/>
    </row>
    <row r="540" spans="1:22">
      <c r="A540" s="105">
        <v>1922</v>
      </c>
      <c r="B540" s="41">
        <v>120000000</v>
      </c>
      <c r="C540" s="41">
        <v>1.0800000000000001E-2</v>
      </c>
      <c r="D540" s="41">
        <v>45.254800000000003</v>
      </c>
      <c r="E540" s="41">
        <v>30</v>
      </c>
      <c r="F540" s="41">
        <v>0</v>
      </c>
      <c r="G540" s="41" t="s">
        <v>2448</v>
      </c>
      <c r="H540" s="41">
        <v>2</v>
      </c>
      <c r="I540" s="41">
        <v>1</v>
      </c>
      <c r="J540" s="108">
        <v>0</v>
      </c>
      <c r="K540" s="41">
        <v>0</v>
      </c>
      <c r="L540" s="41">
        <v>55</v>
      </c>
      <c r="M540" s="41">
        <v>-1</v>
      </c>
      <c r="N540" s="41">
        <v>4</v>
      </c>
      <c r="O540" s="110" t="s">
        <v>2627</v>
      </c>
      <c r="P540" s="109">
        <v>194378</v>
      </c>
      <c r="Q540" s="107"/>
      <c r="R540" s="111"/>
      <c r="S540" s="110"/>
      <c r="T540"/>
      <c r="U540"/>
      <c r="V540"/>
    </row>
    <row r="541" spans="1:22">
      <c r="A541" s="105">
        <v>1923</v>
      </c>
      <c r="B541" s="41">
        <v>120000000</v>
      </c>
      <c r="C541" s="41">
        <v>1.18E-2</v>
      </c>
      <c r="D541" s="41">
        <v>45.254800000000003</v>
      </c>
      <c r="E541" s="41">
        <v>30</v>
      </c>
      <c r="F541" s="41">
        <v>0</v>
      </c>
      <c r="G541" s="41" t="s">
        <v>2448</v>
      </c>
      <c r="H541" s="41">
        <v>2</v>
      </c>
      <c r="I541" s="41">
        <v>1</v>
      </c>
      <c r="J541" s="108">
        <v>0</v>
      </c>
      <c r="K541" s="41">
        <v>0</v>
      </c>
      <c r="L541" s="41">
        <v>55</v>
      </c>
      <c r="M541" s="41">
        <v>-1</v>
      </c>
      <c r="N541" s="41">
        <v>4</v>
      </c>
      <c r="O541" s="110" t="s">
        <v>2628</v>
      </c>
      <c r="P541" s="109">
        <v>194378</v>
      </c>
      <c r="Q541" s="107"/>
      <c r="R541" s="111"/>
      <c r="S541" s="110"/>
      <c r="T541"/>
      <c r="U541"/>
      <c r="V541"/>
    </row>
    <row r="542" spans="1:22">
      <c r="A542" s="105">
        <v>1924</v>
      </c>
      <c r="B542" s="41">
        <v>120000000</v>
      </c>
      <c r="C542" s="41">
        <v>1.1999999999999999E-3</v>
      </c>
      <c r="D542" s="41">
        <v>0.5</v>
      </c>
      <c r="E542" s="41">
        <v>30</v>
      </c>
      <c r="F542" s="41">
        <v>0</v>
      </c>
      <c r="G542" s="41" t="s">
        <v>505</v>
      </c>
      <c r="H542" s="41">
        <v>2</v>
      </c>
      <c r="I542" s="41">
        <v>1</v>
      </c>
      <c r="J542" s="108">
        <v>0</v>
      </c>
      <c r="K542" s="41">
        <v>0</v>
      </c>
      <c r="L542" s="41">
        <v>55</v>
      </c>
      <c r="M542" s="41">
        <v>-1</v>
      </c>
      <c r="N542" s="41">
        <v>4</v>
      </c>
      <c r="O542" s="110" t="s">
        <v>2629</v>
      </c>
      <c r="P542" s="109">
        <v>194220</v>
      </c>
      <c r="Q542" s="107"/>
      <c r="R542" s="111"/>
      <c r="S542" s="110" t="s">
        <v>2267</v>
      </c>
      <c r="T542"/>
      <c r="U542"/>
      <c r="V542"/>
    </row>
    <row r="543" spans="1:22">
      <c r="A543" s="105">
        <v>1925</v>
      </c>
      <c r="B543" s="41">
        <v>120000000</v>
      </c>
      <c r="C543" s="41">
        <v>1.1999999999999999E-3</v>
      </c>
      <c r="D543" s="41">
        <v>0.70709999999999995</v>
      </c>
      <c r="E543" s="41">
        <v>30</v>
      </c>
      <c r="F543" s="41">
        <v>0</v>
      </c>
      <c r="G543" s="41" t="s">
        <v>505</v>
      </c>
      <c r="H543" s="41">
        <v>2</v>
      </c>
      <c r="I543" s="41">
        <v>1</v>
      </c>
      <c r="J543" s="108">
        <v>0</v>
      </c>
      <c r="K543" s="41">
        <v>0</v>
      </c>
      <c r="L543" s="41">
        <v>55</v>
      </c>
      <c r="M543" s="41">
        <v>-1</v>
      </c>
      <c r="N543" s="41">
        <v>4</v>
      </c>
      <c r="O543" s="110" t="s">
        <v>2630</v>
      </c>
      <c r="P543" s="109">
        <v>194220</v>
      </c>
      <c r="Q543" s="107"/>
      <c r="R543" s="111"/>
      <c r="S543" s="110"/>
      <c r="T543"/>
      <c r="U543"/>
      <c r="V543"/>
    </row>
    <row r="544" spans="1:22">
      <c r="A544" s="105">
        <v>1926</v>
      </c>
      <c r="B544" s="41">
        <v>120000000</v>
      </c>
      <c r="C544" s="41">
        <v>1.1999999999999999E-3</v>
      </c>
      <c r="D544" s="41">
        <v>1</v>
      </c>
      <c r="E544" s="41">
        <v>30</v>
      </c>
      <c r="F544" s="41">
        <v>0</v>
      </c>
      <c r="G544" s="41" t="s">
        <v>505</v>
      </c>
      <c r="H544" s="41">
        <v>2</v>
      </c>
      <c r="I544" s="41">
        <v>1</v>
      </c>
      <c r="J544" s="108">
        <v>0</v>
      </c>
      <c r="K544" s="41">
        <v>0</v>
      </c>
      <c r="L544" s="41">
        <v>55</v>
      </c>
      <c r="M544" s="41">
        <v>-1</v>
      </c>
      <c r="N544" s="41">
        <v>4</v>
      </c>
      <c r="O544" s="110" t="s">
        <v>2631</v>
      </c>
      <c r="P544" s="109">
        <v>194220</v>
      </c>
      <c r="Q544" s="107"/>
      <c r="R544" s="111"/>
      <c r="S544" s="110"/>
      <c r="T544"/>
      <c r="U544"/>
      <c r="V544"/>
    </row>
    <row r="545" spans="1:22">
      <c r="A545" s="105">
        <v>1927</v>
      </c>
      <c r="B545" s="41">
        <v>120000000</v>
      </c>
      <c r="C545" s="41">
        <v>1.1999999999999999E-3</v>
      </c>
      <c r="D545" s="41">
        <v>1.4141999999999999</v>
      </c>
      <c r="E545" s="41">
        <v>30</v>
      </c>
      <c r="F545" s="41">
        <v>0</v>
      </c>
      <c r="G545" s="41" t="s">
        <v>505</v>
      </c>
      <c r="H545" s="41">
        <v>2</v>
      </c>
      <c r="I545" s="41">
        <v>1</v>
      </c>
      <c r="J545" s="108">
        <v>0</v>
      </c>
      <c r="K545" s="41">
        <v>0</v>
      </c>
      <c r="L545" s="41">
        <v>55</v>
      </c>
      <c r="M545" s="41">
        <v>-1</v>
      </c>
      <c r="N545" s="41">
        <v>4</v>
      </c>
      <c r="O545" s="110" t="s">
        <v>2632</v>
      </c>
      <c r="P545" s="109">
        <v>194220</v>
      </c>
      <c r="Q545" s="107"/>
      <c r="R545" s="111"/>
      <c r="S545" s="110"/>
      <c r="T545"/>
      <c r="U545"/>
      <c r="V545"/>
    </row>
    <row r="546" spans="1:22">
      <c r="A546" s="105">
        <v>1928</v>
      </c>
      <c r="B546" s="41">
        <v>120000000</v>
      </c>
      <c r="C546" s="41">
        <v>1.1999999999999999E-3</v>
      </c>
      <c r="D546" s="41">
        <v>2</v>
      </c>
      <c r="E546" s="41">
        <v>30</v>
      </c>
      <c r="F546" s="41">
        <v>0</v>
      </c>
      <c r="G546" s="41" t="s">
        <v>505</v>
      </c>
      <c r="H546" s="41">
        <v>2</v>
      </c>
      <c r="I546" s="41">
        <v>1</v>
      </c>
      <c r="J546" s="108">
        <v>0</v>
      </c>
      <c r="K546" s="41">
        <v>0</v>
      </c>
      <c r="L546" s="41">
        <v>55</v>
      </c>
      <c r="M546" s="41">
        <v>-1</v>
      </c>
      <c r="N546" s="41">
        <v>4</v>
      </c>
      <c r="O546" s="110" t="s">
        <v>2633</v>
      </c>
      <c r="P546" s="109">
        <v>194220</v>
      </c>
      <c r="Q546" s="107"/>
      <c r="R546" s="111"/>
      <c r="S546" s="110"/>
      <c r="T546"/>
      <c r="U546"/>
      <c r="V546"/>
    </row>
    <row r="547" spans="1:22">
      <c r="A547" s="105">
        <v>1929</v>
      </c>
      <c r="B547" s="41">
        <v>120000000</v>
      </c>
      <c r="C547" s="41">
        <v>1.1999999999999999E-3</v>
      </c>
      <c r="D547" s="41">
        <v>2.8283999999999998</v>
      </c>
      <c r="E547" s="41">
        <v>30</v>
      </c>
      <c r="F547" s="41">
        <v>0</v>
      </c>
      <c r="G547" s="41" t="s">
        <v>505</v>
      </c>
      <c r="H547" s="41">
        <v>2</v>
      </c>
      <c r="I547" s="41">
        <v>1</v>
      </c>
      <c r="J547" s="108">
        <v>0</v>
      </c>
      <c r="K547" s="41">
        <v>0</v>
      </c>
      <c r="L547" s="41">
        <v>55</v>
      </c>
      <c r="M547" s="41">
        <v>-1</v>
      </c>
      <c r="N547" s="41">
        <v>4</v>
      </c>
      <c r="O547" s="110" t="s">
        <v>2634</v>
      </c>
      <c r="P547" s="109">
        <v>194220</v>
      </c>
      <c r="Q547" s="107"/>
      <c r="R547" s="111"/>
      <c r="S547" s="110"/>
      <c r="T547"/>
      <c r="U547"/>
      <c r="V547"/>
    </row>
    <row r="548" spans="1:22">
      <c r="A548" s="105">
        <v>1930</v>
      </c>
      <c r="B548" s="41">
        <v>120000000</v>
      </c>
      <c r="C548" s="41">
        <v>1.1999999999999999E-3</v>
      </c>
      <c r="D548" s="41">
        <v>4</v>
      </c>
      <c r="E548" s="41">
        <v>30</v>
      </c>
      <c r="F548" s="41">
        <v>0</v>
      </c>
      <c r="G548" s="41" t="s">
        <v>505</v>
      </c>
      <c r="H548" s="41">
        <v>2</v>
      </c>
      <c r="I548" s="41">
        <v>1</v>
      </c>
      <c r="J548" s="108">
        <v>0</v>
      </c>
      <c r="K548" s="41">
        <v>0</v>
      </c>
      <c r="L548" s="41">
        <v>55</v>
      </c>
      <c r="M548" s="41">
        <v>-1</v>
      </c>
      <c r="N548" s="41">
        <v>4</v>
      </c>
      <c r="O548" s="110" t="s">
        <v>2635</v>
      </c>
      <c r="P548" s="109">
        <v>194220</v>
      </c>
      <c r="Q548" s="107"/>
      <c r="R548" s="111"/>
      <c r="S548" s="110"/>
      <c r="T548"/>
      <c r="U548"/>
      <c r="V548"/>
    </row>
    <row r="549" spans="1:22">
      <c r="A549" s="105">
        <v>1931</v>
      </c>
      <c r="B549" s="41">
        <v>120000000</v>
      </c>
      <c r="C549" s="41">
        <v>1.1999999999999999E-3</v>
      </c>
      <c r="D549" s="41">
        <v>5.6569000000000003</v>
      </c>
      <c r="E549" s="41">
        <v>30</v>
      </c>
      <c r="F549" s="41">
        <v>0</v>
      </c>
      <c r="G549" s="41" t="s">
        <v>505</v>
      </c>
      <c r="H549" s="41">
        <v>2</v>
      </c>
      <c r="I549" s="41">
        <v>1</v>
      </c>
      <c r="J549" s="108">
        <v>0</v>
      </c>
      <c r="K549" s="41">
        <v>0</v>
      </c>
      <c r="L549" s="41">
        <v>55</v>
      </c>
      <c r="M549" s="41">
        <v>-1</v>
      </c>
      <c r="N549" s="41">
        <v>4</v>
      </c>
      <c r="O549" s="110" t="s">
        <v>2636</v>
      </c>
      <c r="P549" s="109">
        <v>194220</v>
      </c>
      <c r="Q549" s="107"/>
      <c r="R549" s="111"/>
      <c r="S549" s="110"/>
      <c r="T549"/>
      <c r="U549"/>
      <c r="V549"/>
    </row>
    <row r="550" spans="1:22">
      <c r="A550" s="105">
        <v>1932</v>
      </c>
      <c r="B550" s="41">
        <v>120000000</v>
      </c>
      <c r="C550" s="41">
        <v>1.1999999999999999E-3</v>
      </c>
      <c r="D550" s="41">
        <v>8</v>
      </c>
      <c r="E550" s="41">
        <v>30</v>
      </c>
      <c r="F550" s="41">
        <v>0</v>
      </c>
      <c r="G550" s="41" t="s">
        <v>505</v>
      </c>
      <c r="H550" s="41">
        <v>2</v>
      </c>
      <c r="I550" s="41">
        <v>1</v>
      </c>
      <c r="J550" s="108">
        <v>0</v>
      </c>
      <c r="K550" s="41">
        <v>0</v>
      </c>
      <c r="L550" s="41">
        <v>55</v>
      </c>
      <c r="M550" s="41">
        <v>-1</v>
      </c>
      <c r="N550" s="41">
        <v>4</v>
      </c>
      <c r="O550" s="110" t="s">
        <v>2637</v>
      </c>
      <c r="P550" s="109">
        <v>194220</v>
      </c>
      <c r="Q550" s="107"/>
      <c r="R550" s="111"/>
      <c r="S550" s="110"/>
      <c r="T550"/>
      <c r="U550"/>
      <c r="V550"/>
    </row>
    <row r="551" spans="1:22">
      <c r="A551" s="105">
        <v>1933</v>
      </c>
      <c r="B551" s="41">
        <v>120000000</v>
      </c>
      <c r="C551" s="41">
        <v>1.1999999999999999E-3</v>
      </c>
      <c r="D551" s="41">
        <v>11.313700000000001</v>
      </c>
      <c r="E551" s="41">
        <v>30</v>
      </c>
      <c r="F551" s="41">
        <v>0</v>
      </c>
      <c r="G551" s="41" t="s">
        <v>505</v>
      </c>
      <c r="H551" s="41">
        <v>2</v>
      </c>
      <c r="I551" s="41">
        <v>1</v>
      </c>
      <c r="J551" s="108">
        <v>0</v>
      </c>
      <c r="K551" s="41">
        <v>0</v>
      </c>
      <c r="L551" s="41">
        <v>55</v>
      </c>
      <c r="M551" s="41">
        <v>-1</v>
      </c>
      <c r="N551" s="41">
        <v>4</v>
      </c>
      <c r="O551" s="110" t="s">
        <v>2638</v>
      </c>
      <c r="P551" s="109">
        <v>194220</v>
      </c>
      <c r="Q551" s="107"/>
      <c r="R551" s="111"/>
      <c r="S551" s="110"/>
      <c r="T551"/>
      <c r="U551"/>
      <c r="V551"/>
    </row>
    <row r="552" spans="1:22">
      <c r="A552" s="105">
        <v>1934</v>
      </c>
      <c r="B552" s="41">
        <v>120000000</v>
      </c>
      <c r="C552" s="41">
        <v>1.2999999999999999E-3</v>
      </c>
      <c r="D552" s="41">
        <v>0.70709999999999995</v>
      </c>
      <c r="E552" s="41">
        <v>30</v>
      </c>
      <c r="F552" s="41">
        <v>0</v>
      </c>
      <c r="G552" s="41" t="s">
        <v>505</v>
      </c>
      <c r="H552" s="41">
        <v>2</v>
      </c>
      <c r="I552" s="41">
        <v>1</v>
      </c>
      <c r="J552" s="108">
        <v>0</v>
      </c>
      <c r="K552" s="41">
        <v>0</v>
      </c>
      <c r="L552" s="41">
        <v>55</v>
      </c>
      <c r="M552" s="41">
        <v>-1</v>
      </c>
      <c r="N552" s="41">
        <v>4</v>
      </c>
      <c r="O552" s="110" t="s">
        <v>2639</v>
      </c>
      <c r="P552" s="109">
        <v>194220</v>
      </c>
      <c r="Q552" s="107"/>
      <c r="R552" s="111"/>
      <c r="S552" s="110"/>
      <c r="T552"/>
      <c r="U552"/>
      <c r="V552"/>
    </row>
    <row r="553" spans="1:22">
      <c r="A553" s="105">
        <v>1935</v>
      </c>
      <c r="B553" s="41">
        <v>120000000</v>
      </c>
      <c r="C553" s="41">
        <v>1.2999999999999999E-3</v>
      </c>
      <c r="D553" s="41">
        <v>1</v>
      </c>
      <c r="E553" s="41">
        <v>30</v>
      </c>
      <c r="F553" s="41">
        <v>0</v>
      </c>
      <c r="G553" s="41" t="s">
        <v>505</v>
      </c>
      <c r="H553" s="41">
        <v>2</v>
      </c>
      <c r="I553" s="41">
        <v>1</v>
      </c>
      <c r="J553" s="108">
        <v>0</v>
      </c>
      <c r="K553" s="41">
        <v>0</v>
      </c>
      <c r="L553" s="41">
        <v>55</v>
      </c>
      <c r="M553" s="41">
        <v>-1</v>
      </c>
      <c r="N553" s="41">
        <v>4</v>
      </c>
      <c r="O553" s="110" t="s">
        <v>2640</v>
      </c>
      <c r="P553" s="109">
        <v>194220</v>
      </c>
      <c r="Q553" s="107"/>
      <c r="R553" s="111"/>
      <c r="S553" s="110"/>
      <c r="T553"/>
      <c r="U553"/>
      <c r="V553"/>
    </row>
    <row r="554" spans="1:22">
      <c r="A554" s="105">
        <v>1936</v>
      </c>
      <c r="B554" s="41">
        <v>120000000</v>
      </c>
      <c r="C554" s="41">
        <v>1.2999999999999999E-3</v>
      </c>
      <c r="D554" s="41">
        <v>1.4141999999999999</v>
      </c>
      <c r="E554" s="41">
        <v>30</v>
      </c>
      <c r="F554" s="41">
        <v>0</v>
      </c>
      <c r="G554" s="41" t="s">
        <v>505</v>
      </c>
      <c r="H554" s="41">
        <v>2</v>
      </c>
      <c r="I554" s="41">
        <v>1</v>
      </c>
      <c r="J554" s="108">
        <v>0</v>
      </c>
      <c r="K554" s="41">
        <v>0</v>
      </c>
      <c r="L554" s="41">
        <v>55</v>
      </c>
      <c r="M554" s="41">
        <v>-1</v>
      </c>
      <c r="N554" s="41">
        <v>4</v>
      </c>
      <c r="O554" s="110" t="s">
        <v>2641</v>
      </c>
      <c r="P554" s="109">
        <v>194220</v>
      </c>
      <c r="Q554" s="107"/>
      <c r="R554" s="111"/>
      <c r="S554" s="110"/>
      <c r="T554"/>
      <c r="U554"/>
      <c r="V554"/>
    </row>
    <row r="555" spans="1:22">
      <c r="A555" s="105">
        <v>1937</v>
      </c>
      <c r="B555" s="41">
        <v>120000000</v>
      </c>
      <c r="C555" s="41">
        <v>1.2999999999999999E-3</v>
      </c>
      <c r="D555" s="41">
        <v>2</v>
      </c>
      <c r="E555" s="41">
        <v>30</v>
      </c>
      <c r="F555" s="41">
        <v>0</v>
      </c>
      <c r="G555" s="41" t="s">
        <v>505</v>
      </c>
      <c r="H555" s="41">
        <v>2</v>
      </c>
      <c r="I555" s="41">
        <v>1</v>
      </c>
      <c r="J555" s="108">
        <v>0</v>
      </c>
      <c r="K555" s="41">
        <v>0</v>
      </c>
      <c r="L555" s="41">
        <v>55</v>
      </c>
      <c r="M555" s="41">
        <v>-1</v>
      </c>
      <c r="N555" s="41">
        <v>4</v>
      </c>
      <c r="O555" s="110" t="s">
        <v>2642</v>
      </c>
      <c r="P555" s="109">
        <v>194220</v>
      </c>
      <c r="Q555" s="107"/>
      <c r="R555" s="111"/>
      <c r="S555" s="110"/>
      <c r="T555"/>
      <c r="U555"/>
      <c r="V555"/>
    </row>
    <row r="556" spans="1:22">
      <c r="A556" s="105">
        <v>1938</v>
      </c>
      <c r="B556" s="41">
        <v>120000000</v>
      </c>
      <c r="C556" s="41">
        <v>1.2999999999999999E-3</v>
      </c>
      <c r="D556" s="41">
        <v>2.8283999999999998</v>
      </c>
      <c r="E556" s="41">
        <v>30</v>
      </c>
      <c r="F556" s="41">
        <v>0</v>
      </c>
      <c r="G556" s="41" t="s">
        <v>505</v>
      </c>
      <c r="H556" s="41">
        <v>2</v>
      </c>
      <c r="I556" s="41">
        <v>1</v>
      </c>
      <c r="J556" s="108">
        <v>0</v>
      </c>
      <c r="K556" s="41">
        <v>0</v>
      </c>
      <c r="L556" s="41">
        <v>55</v>
      </c>
      <c r="M556" s="41">
        <v>-1</v>
      </c>
      <c r="N556" s="41">
        <v>4</v>
      </c>
      <c r="O556" s="110" t="s">
        <v>2643</v>
      </c>
      <c r="P556" s="109">
        <v>194220</v>
      </c>
      <c r="Q556" s="107"/>
      <c r="R556" s="111"/>
      <c r="S556" s="110"/>
      <c r="T556"/>
      <c r="U556"/>
      <c r="V556"/>
    </row>
    <row r="557" spans="1:22">
      <c r="A557" s="105">
        <v>1939</v>
      </c>
      <c r="B557" s="41">
        <v>120000000</v>
      </c>
      <c r="C557" s="41">
        <v>1.2999999999999999E-3</v>
      </c>
      <c r="D557" s="41">
        <v>4</v>
      </c>
      <c r="E557" s="41">
        <v>30</v>
      </c>
      <c r="F557" s="41">
        <v>0</v>
      </c>
      <c r="G557" s="41" t="s">
        <v>505</v>
      </c>
      <c r="H557" s="41">
        <v>2</v>
      </c>
      <c r="I557" s="41">
        <v>1</v>
      </c>
      <c r="J557" s="108">
        <v>0</v>
      </c>
      <c r="K557" s="41">
        <v>0</v>
      </c>
      <c r="L557" s="41">
        <v>55</v>
      </c>
      <c r="M557" s="41">
        <v>-1</v>
      </c>
      <c r="N557" s="41">
        <v>4</v>
      </c>
      <c r="O557" s="110" t="s">
        <v>2644</v>
      </c>
      <c r="P557" s="109">
        <v>194220</v>
      </c>
      <c r="Q557" s="107"/>
      <c r="R557" s="111"/>
      <c r="S557" s="110"/>
      <c r="T557"/>
      <c r="U557"/>
      <c r="V557"/>
    </row>
    <row r="558" spans="1:22">
      <c r="A558" s="105">
        <v>1940</v>
      </c>
      <c r="B558" s="41">
        <v>120000000</v>
      </c>
      <c r="C558" s="41">
        <v>1.2999999999999999E-3</v>
      </c>
      <c r="D558" s="41">
        <v>5.6569000000000003</v>
      </c>
      <c r="E558" s="41">
        <v>30</v>
      </c>
      <c r="F558" s="41">
        <v>0</v>
      </c>
      <c r="G558" s="41" t="s">
        <v>505</v>
      </c>
      <c r="H558" s="41">
        <v>2</v>
      </c>
      <c r="I558" s="41">
        <v>1</v>
      </c>
      <c r="J558" s="108">
        <v>0</v>
      </c>
      <c r="K558" s="41">
        <v>0</v>
      </c>
      <c r="L558" s="41">
        <v>55</v>
      </c>
      <c r="M558" s="41">
        <v>-1</v>
      </c>
      <c r="N558" s="41">
        <v>4</v>
      </c>
      <c r="O558" s="110" t="s">
        <v>2645</v>
      </c>
      <c r="P558" s="109">
        <v>194220</v>
      </c>
      <c r="Q558" s="107"/>
      <c r="R558" s="111"/>
      <c r="S558" s="110"/>
      <c r="T558"/>
      <c r="U558"/>
      <c r="V558"/>
    </row>
    <row r="559" spans="1:22">
      <c r="A559" s="105">
        <v>1941</v>
      </c>
      <c r="B559" s="41">
        <v>120000000</v>
      </c>
      <c r="C559" s="41">
        <v>1.2999999999999999E-3</v>
      </c>
      <c r="D559" s="41">
        <v>8</v>
      </c>
      <c r="E559" s="41">
        <v>30</v>
      </c>
      <c r="F559" s="41">
        <v>0</v>
      </c>
      <c r="G559" s="41" t="s">
        <v>505</v>
      </c>
      <c r="H559" s="41">
        <v>2</v>
      </c>
      <c r="I559" s="41">
        <v>1</v>
      </c>
      <c r="J559" s="108">
        <v>0</v>
      </c>
      <c r="K559" s="41">
        <v>0</v>
      </c>
      <c r="L559" s="41">
        <v>55</v>
      </c>
      <c r="M559" s="41">
        <v>-1</v>
      </c>
      <c r="N559" s="41">
        <v>4</v>
      </c>
      <c r="O559" s="110" t="s">
        <v>2646</v>
      </c>
      <c r="P559" s="109">
        <v>194220</v>
      </c>
      <c r="Q559" s="107"/>
      <c r="R559" s="111"/>
      <c r="S559" s="110"/>
      <c r="T559"/>
      <c r="U559"/>
      <c r="V559"/>
    </row>
    <row r="560" spans="1:22">
      <c r="A560" s="105">
        <v>1942</v>
      </c>
      <c r="B560" s="41">
        <v>120000000</v>
      </c>
      <c r="C560" s="41">
        <v>1.2999999999999999E-3</v>
      </c>
      <c r="D560" s="41">
        <v>11.313700000000001</v>
      </c>
      <c r="E560" s="41">
        <v>30</v>
      </c>
      <c r="F560" s="41">
        <v>0</v>
      </c>
      <c r="G560" s="41" t="s">
        <v>505</v>
      </c>
      <c r="H560" s="41">
        <v>2</v>
      </c>
      <c r="I560" s="41">
        <v>1</v>
      </c>
      <c r="J560" s="108">
        <v>0</v>
      </c>
      <c r="K560" s="41">
        <v>0</v>
      </c>
      <c r="L560" s="41">
        <v>55</v>
      </c>
      <c r="M560" s="41">
        <v>-1</v>
      </c>
      <c r="N560" s="41">
        <v>4</v>
      </c>
      <c r="O560" s="110" t="s">
        <v>2647</v>
      </c>
      <c r="P560" s="109">
        <v>194220</v>
      </c>
      <c r="Q560" s="107"/>
      <c r="R560" s="111"/>
      <c r="S560" s="110"/>
      <c r="T560"/>
      <c r="U560"/>
      <c r="V560"/>
    </row>
    <row r="561" spans="1:22">
      <c r="A561" s="105">
        <v>1943</v>
      </c>
      <c r="B561" s="41">
        <v>120000000</v>
      </c>
      <c r="C561" s="41">
        <v>1.2999999999999999E-3</v>
      </c>
      <c r="D561" s="41">
        <v>16</v>
      </c>
      <c r="E561" s="41">
        <v>30</v>
      </c>
      <c r="F561" s="41">
        <v>0</v>
      </c>
      <c r="G561" s="41" t="s">
        <v>505</v>
      </c>
      <c r="H561" s="41">
        <v>2</v>
      </c>
      <c r="I561" s="41">
        <v>1</v>
      </c>
      <c r="J561" s="108">
        <v>0</v>
      </c>
      <c r="K561" s="41">
        <v>0</v>
      </c>
      <c r="L561" s="41">
        <v>55</v>
      </c>
      <c r="M561" s="41">
        <v>-1</v>
      </c>
      <c r="N561" s="41">
        <v>4</v>
      </c>
      <c r="O561" s="110" t="s">
        <v>2648</v>
      </c>
      <c r="P561" s="109">
        <v>194220</v>
      </c>
      <c r="Q561" s="107"/>
      <c r="R561" s="111"/>
      <c r="S561" s="110"/>
      <c r="T561"/>
      <c r="U561"/>
      <c r="V561"/>
    </row>
    <row r="562" spans="1:22">
      <c r="A562" s="105">
        <v>1944</v>
      </c>
      <c r="B562" s="41">
        <v>120000000</v>
      </c>
      <c r="C562" s="41">
        <v>1.5E-3</v>
      </c>
      <c r="D562" s="41">
        <v>0.70709999999999995</v>
      </c>
      <c r="E562" s="41">
        <v>30</v>
      </c>
      <c r="F562" s="41">
        <v>0</v>
      </c>
      <c r="G562" s="41" t="s">
        <v>505</v>
      </c>
      <c r="H562" s="41">
        <v>2</v>
      </c>
      <c r="I562" s="41">
        <v>1</v>
      </c>
      <c r="J562" s="108">
        <v>0</v>
      </c>
      <c r="K562" s="41">
        <v>0</v>
      </c>
      <c r="L562" s="41">
        <v>55</v>
      </c>
      <c r="M562" s="41">
        <v>-1</v>
      </c>
      <c r="N562" s="41">
        <v>4</v>
      </c>
      <c r="O562" s="110" t="s">
        <v>2649</v>
      </c>
      <c r="P562" s="109">
        <v>194220</v>
      </c>
      <c r="Q562" s="107"/>
      <c r="R562" s="111"/>
      <c r="S562" s="110"/>
      <c r="T562"/>
      <c r="U562"/>
      <c r="V562"/>
    </row>
    <row r="563" spans="1:22">
      <c r="A563" s="105">
        <v>1945</v>
      </c>
      <c r="B563" s="41">
        <v>120000000</v>
      </c>
      <c r="C563" s="41">
        <v>1.5E-3</v>
      </c>
      <c r="D563" s="41">
        <v>1</v>
      </c>
      <c r="E563" s="41">
        <v>30</v>
      </c>
      <c r="F563" s="41">
        <v>0</v>
      </c>
      <c r="G563" s="41" t="s">
        <v>505</v>
      </c>
      <c r="H563" s="41">
        <v>2</v>
      </c>
      <c r="I563" s="41">
        <v>1</v>
      </c>
      <c r="J563" s="108">
        <v>0</v>
      </c>
      <c r="K563" s="41">
        <v>0</v>
      </c>
      <c r="L563" s="41">
        <v>55</v>
      </c>
      <c r="M563" s="41">
        <v>-1</v>
      </c>
      <c r="N563" s="41">
        <v>4</v>
      </c>
      <c r="O563" s="110" t="s">
        <v>2650</v>
      </c>
      <c r="P563" s="109">
        <v>194220</v>
      </c>
      <c r="Q563" s="107"/>
      <c r="R563" s="111"/>
      <c r="S563" s="110"/>
      <c r="T563"/>
      <c r="U563"/>
      <c r="V563"/>
    </row>
    <row r="564" spans="1:22">
      <c r="A564" s="105">
        <v>1946</v>
      </c>
      <c r="B564" s="41">
        <v>120000000</v>
      </c>
      <c r="C564" s="41">
        <v>1.5E-3</v>
      </c>
      <c r="D564" s="41">
        <v>1.4141999999999999</v>
      </c>
      <c r="E564" s="41">
        <v>30</v>
      </c>
      <c r="F564" s="41">
        <v>0</v>
      </c>
      <c r="G564" s="41" t="s">
        <v>505</v>
      </c>
      <c r="H564" s="41">
        <v>2</v>
      </c>
      <c r="I564" s="41">
        <v>1</v>
      </c>
      <c r="J564" s="108">
        <v>0</v>
      </c>
      <c r="K564" s="41">
        <v>0</v>
      </c>
      <c r="L564" s="41">
        <v>55</v>
      </c>
      <c r="M564" s="41">
        <v>-1</v>
      </c>
      <c r="N564" s="41">
        <v>4</v>
      </c>
      <c r="O564" s="110" t="s">
        <v>2651</v>
      </c>
      <c r="P564" s="109">
        <v>194220</v>
      </c>
      <c r="Q564" s="107"/>
      <c r="R564" s="111"/>
      <c r="S564" s="110"/>
      <c r="T564"/>
      <c r="U564"/>
      <c r="V564"/>
    </row>
    <row r="565" spans="1:22">
      <c r="A565" s="105">
        <v>1947</v>
      </c>
      <c r="B565" s="41">
        <v>120000000</v>
      </c>
      <c r="C565" s="41">
        <v>1.5E-3</v>
      </c>
      <c r="D565" s="41">
        <v>2</v>
      </c>
      <c r="E565" s="41">
        <v>30</v>
      </c>
      <c r="F565" s="41">
        <v>0</v>
      </c>
      <c r="G565" s="41" t="s">
        <v>505</v>
      </c>
      <c r="H565" s="41">
        <v>2</v>
      </c>
      <c r="I565" s="41">
        <v>1</v>
      </c>
      <c r="J565" s="108">
        <v>0</v>
      </c>
      <c r="K565" s="41">
        <v>0</v>
      </c>
      <c r="L565" s="41">
        <v>55</v>
      </c>
      <c r="M565" s="41">
        <v>-1</v>
      </c>
      <c r="N565" s="41">
        <v>4</v>
      </c>
      <c r="O565" s="110" t="s">
        <v>2652</v>
      </c>
      <c r="P565" s="109">
        <v>194220</v>
      </c>
      <c r="Q565" s="107"/>
      <c r="R565" s="111"/>
      <c r="S565" s="110"/>
      <c r="T565"/>
      <c r="U565"/>
      <c r="V565"/>
    </row>
    <row r="566" spans="1:22">
      <c r="A566" s="105">
        <v>1948</v>
      </c>
      <c r="B566" s="41">
        <v>120000000</v>
      </c>
      <c r="C566" s="41">
        <v>1.5E-3</v>
      </c>
      <c r="D566" s="41">
        <v>2.8283999999999998</v>
      </c>
      <c r="E566" s="41">
        <v>30</v>
      </c>
      <c r="F566" s="41">
        <v>0</v>
      </c>
      <c r="G566" s="41" t="s">
        <v>505</v>
      </c>
      <c r="H566" s="41">
        <v>2</v>
      </c>
      <c r="I566" s="41">
        <v>1</v>
      </c>
      <c r="J566" s="108">
        <v>0</v>
      </c>
      <c r="K566" s="41">
        <v>0</v>
      </c>
      <c r="L566" s="41">
        <v>55</v>
      </c>
      <c r="M566" s="41">
        <v>-1</v>
      </c>
      <c r="N566" s="41">
        <v>4</v>
      </c>
      <c r="O566" s="110" t="s">
        <v>2653</v>
      </c>
      <c r="P566" s="109">
        <v>194220</v>
      </c>
      <c r="Q566" s="107"/>
      <c r="R566" s="111"/>
      <c r="S566" s="110"/>
      <c r="T566"/>
      <c r="U566"/>
      <c r="V566"/>
    </row>
    <row r="567" spans="1:22">
      <c r="A567" s="105">
        <v>1949</v>
      </c>
      <c r="B567" s="41">
        <v>120000000</v>
      </c>
      <c r="C567" s="41">
        <v>1.5E-3</v>
      </c>
      <c r="D567" s="41">
        <v>4</v>
      </c>
      <c r="E567" s="41">
        <v>30</v>
      </c>
      <c r="F567" s="41">
        <v>0</v>
      </c>
      <c r="G567" s="41" t="s">
        <v>505</v>
      </c>
      <c r="H567" s="41">
        <v>2</v>
      </c>
      <c r="I567" s="41">
        <v>1</v>
      </c>
      <c r="J567" s="108">
        <v>0</v>
      </c>
      <c r="K567" s="41">
        <v>0</v>
      </c>
      <c r="L567" s="41">
        <v>55</v>
      </c>
      <c r="M567" s="41">
        <v>-1</v>
      </c>
      <c r="N567" s="41">
        <v>4</v>
      </c>
      <c r="O567" s="110" t="s">
        <v>2654</v>
      </c>
      <c r="P567" s="109">
        <v>194220</v>
      </c>
      <c r="Q567" s="107"/>
      <c r="R567" s="111"/>
      <c r="S567" s="110"/>
      <c r="T567"/>
      <c r="U567"/>
      <c r="V567"/>
    </row>
    <row r="568" spans="1:22">
      <c r="A568" s="105">
        <v>1950</v>
      </c>
      <c r="B568" s="41">
        <v>120000000</v>
      </c>
      <c r="C568" s="41">
        <v>1.5E-3</v>
      </c>
      <c r="D568" s="41">
        <v>5.6569000000000003</v>
      </c>
      <c r="E568" s="41">
        <v>30</v>
      </c>
      <c r="F568" s="41">
        <v>0</v>
      </c>
      <c r="G568" s="41" t="s">
        <v>505</v>
      </c>
      <c r="H568" s="41">
        <v>2</v>
      </c>
      <c r="I568" s="41">
        <v>1</v>
      </c>
      <c r="J568" s="108">
        <v>0</v>
      </c>
      <c r="K568" s="41">
        <v>0</v>
      </c>
      <c r="L568" s="41">
        <v>55</v>
      </c>
      <c r="M568" s="41">
        <v>-1</v>
      </c>
      <c r="N568" s="41">
        <v>4</v>
      </c>
      <c r="O568" s="110" t="s">
        <v>2655</v>
      </c>
      <c r="P568" s="109">
        <v>194220</v>
      </c>
      <c r="Q568" s="107"/>
      <c r="R568" s="111"/>
      <c r="S568" s="110"/>
      <c r="T568"/>
      <c r="U568"/>
      <c r="V568"/>
    </row>
    <row r="569" spans="1:22">
      <c r="A569" s="105">
        <v>1951</v>
      </c>
      <c r="B569" s="41">
        <v>120000000</v>
      </c>
      <c r="C569" s="41">
        <v>1.5E-3</v>
      </c>
      <c r="D569" s="41">
        <v>8</v>
      </c>
      <c r="E569" s="41">
        <v>30</v>
      </c>
      <c r="F569" s="41">
        <v>0</v>
      </c>
      <c r="G569" s="41" t="s">
        <v>505</v>
      </c>
      <c r="H569" s="41">
        <v>2</v>
      </c>
      <c r="I569" s="41">
        <v>1</v>
      </c>
      <c r="J569" s="108">
        <v>0</v>
      </c>
      <c r="K569" s="41">
        <v>0</v>
      </c>
      <c r="L569" s="41">
        <v>55</v>
      </c>
      <c r="M569" s="41">
        <v>-1</v>
      </c>
      <c r="N569" s="41">
        <v>4</v>
      </c>
      <c r="O569" s="110" t="s">
        <v>2656</v>
      </c>
      <c r="P569" s="109">
        <v>194220</v>
      </c>
      <c r="Q569" s="107"/>
      <c r="R569" s="111"/>
      <c r="S569" s="110"/>
      <c r="T569"/>
      <c r="U569"/>
      <c r="V569"/>
    </row>
    <row r="570" spans="1:22">
      <c r="A570" s="105">
        <v>1952</v>
      </c>
      <c r="B570" s="41">
        <v>120000000</v>
      </c>
      <c r="C570" s="41">
        <v>1.5E-3</v>
      </c>
      <c r="D570" s="41">
        <v>11.313700000000001</v>
      </c>
      <c r="E570" s="41">
        <v>30</v>
      </c>
      <c r="F570" s="41">
        <v>0</v>
      </c>
      <c r="G570" s="41" t="s">
        <v>505</v>
      </c>
      <c r="H570" s="41">
        <v>2</v>
      </c>
      <c r="I570" s="41">
        <v>1</v>
      </c>
      <c r="J570" s="108">
        <v>0</v>
      </c>
      <c r="K570" s="41">
        <v>0</v>
      </c>
      <c r="L570" s="41">
        <v>55</v>
      </c>
      <c r="M570" s="41">
        <v>-1</v>
      </c>
      <c r="N570" s="41">
        <v>4</v>
      </c>
      <c r="O570" s="110" t="s">
        <v>2657</v>
      </c>
      <c r="P570" s="109">
        <v>194220</v>
      </c>
      <c r="Q570" s="107"/>
      <c r="R570" s="111"/>
      <c r="S570" s="110"/>
      <c r="T570"/>
      <c r="U570"/>
      <c r="V570"/>
    </row>
    <row r="571" spans="1:22">
      <c r="A571" s="105">
        <v>1953</v>
      </c>
      <c r="B571" s="41">
        <v>120000000</v>
      </c>
      <c r="C571" s="41">
        <v>1.5E-3</v>
      </c>
      <c r="D571" s="41">
        <v>16</v>
      </c>
      <c r="E571" s="41">
        <v>30</v>
      </c>
      <c r="F571" s="41">
        <v>0</v>
      </c>
      <c r="G571" s="41" t="s">
        <v>505</v>
      </c>
      <c r="H571" s="41">
        <v>2</v>
      </c>
      <c r="I571" s="41">
        <v>1</v>
      </c>
      <c r="J571" s="108">
        <v>0</v>
      </c>
      <c r="K571" s="41">
        <v>0</v>
      </c>
      <c r="L571" s="41">
        <v>55</v>
      </c>
      <c r="M571" s="41">
        <v>-1</v>
      </c>
      <c r="N571" s="41">
        <v>4</v>
      </c>
      <c r="O571" s="110" t="s">
        <v>2658</v>
      </c>
      <c r="P571" s="109">
        <v>194220</v>
      </c>
      <c r="Q571" s="107"/>
      <c r="R571" s="111"/>
      <c r="S571" s="110"/>
      <c r="T571"/>
      <c r="U571"/>
      <c r="V571"/>
    </row>
    <row r="572" spans="1:22">
      <c r="A572" s="105">
        <v>1954</v>
      </c>
      <c r="B572" s="41">
        <v>120000000</v>
      </c>
      <c r="C572" s="41">
        <v>1.6000000000000001E-3</v>
      </c>
      <c r="D572" s="41">
        <v>1</v>
      </c>
      <c r="E572" s="41">
        <v>30</v>
      </c>
      <c r="F572" s="41">
        <v>0</v>
      </c>
      <c r="G572" s="41" t="s">
        <v>505</v>
      </c>
      <c r="H572" s="41">
        <v>2</v>
      </c>
      <c r="I572" s="41">
        <v>1</v>
      </c>
      <c r="J572" s="108">
        <v>0</v>
      </c>
      <c r="K572" s="41">
        <v>0</v>
      </c>
      <c r="L572" s="41">
        <v>55</v>
      </c>
      <c r="M572" s="41">
        <v>-1</v>
      </c>
      <c r="N572" s="41">
        <v>4</v>
      </c>
      <c r="O572" s="110" t="s">
        <v>2659</v>
      </c>
      <c r="P572" s="109">
        <v>194220</v>
      </c>
      <c r="Q572" s="107"/>
      <c r="R572" s="111"/>
      <c r="S572" s="110"/>
      <c r="T572"/>
      <c r="U572"/>
      <c r="V572"/>
    </row>
    <row r="573" spans="1:22">
      <c r="A573" s="105">
        <v>1955</v>
      </c>
      <c r="B573" s="41">
        <v>120000000</v>
      </c>
      <c r="C573" s="41">
        <v>1.6000000000000001E-3</v>
      </c>
      <c r="D573" s="41">
        <v>1.4141999999999999</v>
      </c>
      <c r="E573" s="41">
        <v>30</v>
      </c>
      <c r="F573" s="41">
        <v>0</v>
      </c>
      <c r="G573" s="41" t="s">
        <v>505</v>
      </c>
      <c r="H573" s="41">
        <v>2</v>
      </c>
      <c r="I573" s="41">
        <v>1</v>
      </c>
      <c r="J573" s="108">
        <v>0</v>
      </c>
      <c r="K573" s="41">
        <v>0</v>
      </c>
      <c r="L573" s="41">
        <v>55</v>
      </c>
      <c r="M573" s="41">
        <v>-1</v>
      </c>
      <c r="N573" s="41">
        <v>4</v>
      </c>
      <c r="O573" s="110" t="s">
        <v>2660</v>
      </c>
      <c r="P573" s="109">
        <v>194220</v>
      </c>
      <c r="Q573" s="107"/>
      <c r="R573" s="111"/>
      <c r="S573" s="110"/>
      <c r="T573"/>
      <c r="U573"/>
      <c r="V573"/>
    </row>
    <row r="574" spans="1:22">
      <c r="A574" s="105">
        <v>1956</v>
      </c>
      <c r="B574" s="41">
        <v>120000000</v>
      </c>
      <c r="C574" s="41">
        <v>1.6000000000000001E-3</v>
      </c>
      <c r="D574" s="41">
        <v>2</v>
      </c>
      <c r="E574" s="41">
        <v>30</v>
      </c>
      <c r="F574" s="41">
        <v>0</v>
      </c>
      <c r="G574" s="41" t="s">
        <v>505</v>
      </c>
      <c r="H574" s="41">
        <v>2</v>
      </c>
      <c r="I574" s="41">
        <v>1</v>
      </c>
      <c r="J574" s="108">
        <v>0</v>
      </c>
      <c r="K574" s="41">
        <v>0</v>
      </c>
      <c r="L574" s="41">
        <v>55</v>
      </c>
      <c r="M574" s="41">
        <v>-1</v>
      </c>
      <c r="N574" s="41">
        <v>4</v>
      </c>
      <c r="O574" s="110" t="s">
        <v>2661</v>
      </c>
      <c r="P574" s="109">
        <v>194220</v>
      </c>
      <c r="Q574" s="107"/>
      <c r="R574" s="111"/>
      <c r="S574" s="110"/>
      <c r="T574"/>
      <c r="U574"/>
      <c r="V574"/>
    </row>
    <row r="575" spans="1:22">
      <c r="A575" s="105">
        <v>1957</v>
      </c>
      <c r="B575" s="41">
        <v>120000000</v>
      </c>
      <c r="C575" s="41">
        <v>1.6000000000000001E-3</v>
      </c>
      <c r="D575" s="41">
        <v>2.8283999999999998</v>
      </c>
      <c r="E575" s="41">
        <v>30</v>
      </c>
      <c r="F575" s="41">
        <v>0</v>
      </c>
      <c r="G575" s="41" t="s">
        <v>505</v>
      </c>
      <c r="H575" s="41">
        <v>2</v>
      </c>
      <c r="I575" s="41">
        <v>1</v>
      </c>
      <c r="J575" s="108">
        <v>0</v>
      </c>
      <c r="K575" s="41">
        <v>0</v>
      </c>
      <c r="L575" s="41">
        <v>55</v>
      </c>
      <c r="M575" s="41">
        <v>-1</v>
      </c>
      <c r="N575" s="41">
        <v>4</v>
      </c>
      <c r="O575" s="110" t="s">
        <v>2662</v>
      </c>
      <c r="P575" s="109">
        <v>194220</v>
      </c>
      <c r="Q575" s="107"/>
      <c r="R575" s="111"/>
      <c r="S575" s="110"/>
      <c r="T575"/>
      <c r="U575"/>
      <c r="V575"/>
    </row>
    <row r="576" spans="1:22">
      <c r="A576" s="105">
        <v>1958</v>
      </c>
      <c r="B576" s="41">
        <v>120000000</v>
      </c>
      <c r="C576" s="41">
        <v>1.6000000000000001E-3</v>
      </c>
      <c r="D576" s="41">
        <v>4</v>
      </c>
      <c r="E576" s="41">
        <v>30</v>
      </c>
      <c r="F576" s="41">
        <v>0</v>
      </c>
      <c r="G576" s="41" t="s">
        <v>505</v>
      </c>
      <c r="H576" s="41">
        <v>2</v>
      </c>
      <c r="I576" s="41">
        <v>1</v>
      </c>
      <c r="J576" s="108">
        <v>0</v>
      </c>
      <c r="K576" s="41">
        <v>0</v>
      </c>
      <c r="L576" s="41">
        <v>55</v>
      </c>
      <c r="M576" s="41">
        <v>-1</v>
      </c>
      <c r="N576" s="41">
        <v>4</v>
      </c>
      <c r="O576" s="110" t="s">
        <v>2663</v>
      </c>
      <c r="P576" s="109">
        <v>194220</v>
      </c>
      <c r="Q576" s="107"/>
      <c r="R576" s="111"/>
      <c r="S576" s="110"/>
      <c r="T576"/>
      <c r="U576"/>
      <c r="V576"/>
    </row>
    <row r="577" spans="1:22">
      <c r="A577" s="105">
        <v>1959</v>
      </c>
      <c r="B577" s="41">
        <v>120000000</v>
      </c>
      <c r="C577" s="41">
        <v>1.6000000000000001E-3</v>
      </c>
      <c r="D577" s="41">
        <v>5.6569000000000003</v>
      </c>
      <c r="E577" s="41">
        <v>30</v>
      </c>
      <c r="F577" s="41">
        <v>0</v>
      </c>
      <c r="G577" s="41" t="s">
        <v>505</v>
      </c>
      <c r="H577" s="41">
        <v>2</v>
      </c>
      <c r="I577" s="41">
        <v>1</v>
      </c>
      <c r="J577" s="108">
        <v>0</v>
      </c>
      <c r="K577" s="41">
        <v>0</v>
      </c>
      <c r="L577" s="41">
        <v>55</v>
      </c>
      <c r="M577" s="41">
        <v>-1</v>
      </c>
      <c r="N577" s="41">
        <v>4</v>
      </c>
      <c r="O577" s="110" t="s">
        <v>2664</v>
      </c>
      <c r="P577" s="109">
        <v>194220</v>
      </c>
      <c r="Q577" s="107"/>
      <c r="R577" s="111"/>
      <c r="S577" s="110"/>
      <c r="T577"/>
      <c r="U577"/>
      <c r="V577"/>
    </row>
    <row r="578" spans="1:22">
      <c r="A578" s="105">
        <v>1960</v>
      </c>
      <c r="B578" s="41">
        <v>120000000</v>
      </c>
      <c r="C578" s="41">
        <v>1.6000000000000001E-3</v>
      </c>
      <c r="D578" s="41">
        <v>8</v>
      </c>
      <c r="E578" s="41">
        <v>30</v>
      </c>
      <c r="F578" s="41">
        <v>0</v>
      </c>
      <c r="G578" s="41" t="s">
        <v>505</v>
      </c>
      <c r="H578" s="41">
        <v>2</v>
      </c>
      <c r="I578" s="41">
        <v>1</v>
      </c>
      <c r="J578" s="108">
        <v>0</v>
      </c>
      <c r="K578" s="41">
        <v>0</v>
      </c>
      <c r="L578" s="41">
        <v>55</v>
      </c>
      <c r="M578" s="41">
        <v>-1</v>
      </c>
      <c r="N578" s="41">
        <v>4</v>
      </c>
      <c r="O578" s="110" t="s">
        <v>2665</v>
      </c>
      <c r="P578" s="109">
        <v>194220</v>
      </c>
      <c r="Q578" s="107"/>
      <c r="R578" s="111"/>
      <c r="S578" s="110"/>
      <c r="T578"/>
      <c r="U578"/>
      <c r="V578"/>
    </row>
    <row r="579" spans="1:22">
      <c r="A579" s="105">
        <v>1961</v>
      </c>
      <c r="B579" s="41">
        <v>120000000</v>
      </c>
      <c r="C579" s="41">
        <v>1.6000000000000001E-3</v>
      </c>
      <c r="D579" s="41">
        <v>11.313700000000001</v>
      </c>
      <c r="E579" s="41">
        <v>30</v>
      </c>
      <c r="F579" s="41">
        <v>0</v>
      </c>
      <c r="G579" s="41" t="s">
        <v>505</v>
      </c>
      <c r="H579" s="41">
        <v>2</v>
      </c>
      <c r="I579" s="41">
        <v>1</v>
      </c>
      <c r="J579" s="108">
        <v>0</v>
      </c>
      <c r="K579" s="41">
        <v>0</v>
      </c>
      <c r="L579" s="41">
        <v>55</v>
      </c>
      <c r="M579" s="41">
        <v>-1</v>
      </c>
      <c r="N579" s="41">
        <v>4</v>
      </c>
      <c r="O579" s="110" t="s">
        <v>2666</v>
      </c>
      <c r="P579" s="109">
        <v>194220</v>
      </c>
      <c r="Q579" s="107"/>
      <c r="R579" s="111"/>
      <c r="S579" s="110"/>
      <c r="T579"/>
      <c r="U579"/>
      <c r="V579"/>
    </row>
    <row r="580" spans="1:22">
      <c r="A580" s="105">
        <v>1962</v>
      </c>
      <c r="B580" s="41">
        <v>120000000</v>
      </c>
      <c r="C580" s="41">
        <v>1.6000000000000001E-3</v>
      </c>
      <c r="D580" s="41">
        <v>16</v>
      </c>
      <c r="E580" s="41">
        <v>30</v>
      </c>
      <c r="F580" s="41">
        <v>0</v>
      </c>
      <c r="G580" s="41" t="s">
        <v>505</v>
      </c>
      <c r="H580" s="41">
        <v>2</v>
      </c>
      <c r="I580" s="41">
        <v>1</v>
      </c>
      <c r="J580" s="108">
        <v>0</v>
      </c>
      <c r="K580" s="41">
        <v>0</v>
      </c>
      <c r="L580" s="41">
        <v>55</v>
      </c>
      <c r="M580" s="41">
        <v>-1</v>
      </c>
      <c r="N580" s="41">
        <v>4</v>
      </c>
      <c r="O580" s="110" t="s">
        <v>2667</v>
      </c>
      <c r="P580" s="109">
        <v>194220</v>
      </c>
      <c r="Q580" s="107"/>
      <c r="R580" s="111"/>
      <c r="S580" s="110"/>
      <c r="T580"/>
      <c r="U580"/>
      <c r="V580"/>
    </row>
    <row r="581" spans="1:22">
      <c r="A581" s="105">
        <v>1963</v>
      </c>
      <c r="B581" s="41">
        <v>120000000</v>
      </c>
      <c r="C581" s="41">
        <v>1.6000000000000001E-3</v>
      </c>
      <c r="D581" s="41">
        <v>22.627400000000002</v>
      </c>
      <c r="E581" s="41">
        <v>30</v>
      </c>
      <c r="F581" s="41">
        <v>0</v>
      </c>
      <c r="G581" s="41" t="s">
        <v>505</v>
      </c>
      <c r="H581" s="41">
        <v>2</v>
      </c>
      <c r="I581" s="41">
        <v>1</v>
      </c>
      <c r="J581" s="108">
        <v>0</v>
      </c>
      <c r="K581" s="41">
        <v>0</v>
      </c>
      <c r="L581" s="41">
        <v>55</v>
      </c>
      <c r="M581" s="41">
        <v>-1</v>
      </c>
      <c r="N581" s="41">
        <v>4</v>
      </c>
      <c r="O581" s="110" t="s">
        <v>2668</v>
      </c>
      <c r="P581" s="109">
        <v>194220</v>
      </c>
      <c r="Q581" s="107"/>
      <c r="R581" s="111"/>
      <c r="S581" s="110"/>
      <c r="T581"/>
      <c r="U581"/>
      <c r="V581"/>
    </row>
    <row r="582" spans="1:22">
      <c r="A582" s="105">
        <v>1964</v>
      </c>
      <c r="B582" s="41">
        <v>120000000</v>
      </c>
      <c r="C582" s="41">
        <v>1.6999999999999999E-3</v>
      </c>
      <c r="D582" s="41">
        <v>1</v>
      </c>
      <c r="E582" s="41">
        <v>30</v>
      </c>
      <c r="F582" s="41">
        <v>0</v>
      </c>
      <c r="G582" s="41" t="s">
        <v>505</v>
      </c>
      <c r="H582" s="41">
        <v>2</v>
      </c>
      <c r="I582" s="41">
        <v>1</v>
      </c>
      <c r="J582" s="108">
        <v>0</v>
      </c>
      <c r="K582" s="41">
        <v>0</v>
      </c>
      <c r="L582" s="41">
        <v>55</v>
      </c>
      <c r="M582" s="41">
        <v>-1</v>
      </c>
      <c r="N582" s="41">
        <v>4</v>
      </c>
      <c r="O582" s="110" t="s">
        <v>2669</v>
      </c>
      <c r="P582" s="109">
        <v>194260</v>
      </c>
      <c r="Q582" s="107"/>
      <c r="R582" s="111"/>
      <c r="S582" s="110" t="s">
        <v>2267</v>
      </c>
      <c r="T582"/>
      <c r="U582"/>
      <c r="V582"/>
    </row>
    <row r="583" spans="1:22">
      <c r="A583" s="105">
        <v>1965</v>
      </c>
      <c r="B583" s="41">
        <v>120000000</v>
      </c>
      <c r="C583" s="41">
        <v>1.6999999999999999E-3</v>
      </c>
      <c r="D583" s="41">
        <v>1.4141999999999999</v>
      </c>
      <c r="E583" s="41">
        <v>30</v>
      </c>
      <c r="F583" s="41">
        <v>0</v>
      </c>
      <c r="G583" s="41" t="s">
        <v>505</v>
      </c>
      <c r="H583" s="41">
        <v>2</v>
      </c>
      <c r="I583" s="41">
        <v>1</v>
      </c>
      <c r="J583" s="108">
        <v>0</v>
      </c>
      <c r="K583" s="41">
        <v>0</v>
      </c>
      <c r="L583" s="41">
        <v>55</v>
      </c>
      <c r="M583" s="41">
        <v>-1</v>
      </c>
      <c r="N583" s="41">
        <v>4</v>
      </c>
      <c r="O583" s="110" t="s">
        <v>2670</v>
      </c>
      <c r="P583" s="109">
        <v>194260</v>
      </c>
      <c r="Q583" s="107"/>
      <c r="R583" s="111"/>
      <c r="S583" s="110"/>
      <c r="T583"/>
      <c r="U583"/>
      <c r="V583"/>
    </row>
    <row r="584" spans="1:22">
      <c r="A584" s="105">
        <v>1966</v>
      </c>
      <c r="B584" s="41">
        <v>120000000</v>
      </c>
      <c r="C584" s="41">
        <v>1.6999999999999999E-3</v>
      </c>
      <c r="D584" s="41">
        <v>2</v>
      </c>
      <c r="E584" s="41">
        <v>30</v>
      </c>
      <c r="F584" s="41">
        <v>0</v>
      </c>
      <c r="G584" s="41" t="s">
        <v>505</v>
      </c>
      <c r="H584" s="41">
        <v>2</v>
      </c>
      <c r="I584" s="41">
        <v>1</v>
      </c>
      <c r="J584" s="108">
        <v>0</v>
      </c>
      <c r="K584" s="41">
        <v>0</v>
      </c>
      <c r="L584" s="41">
        <v>55</v>
      </c>
      <c r="M584" s="41">
        <v>-1</v>
      </c>
      <c r="N584" s="41">
        <v>4</v>
      </c>
      <c r="O584" s="110" t="s">
        <v>2671</v>
      </c>
      <c r="P584" s="109">
        <v>194260</v>
      </c>
      <c r="Q584" s="107"/>
      <c r="R584" s="111"/>
      <c r="S584" s="110"/>
      <c r="T584"/>
      <c r="U584"/>
      <c r="V584"/>
    </row>
    <row r="585" spans="1:22">
      <c r="A585" s="105">
        <v>1967</v>
      </c>
      <c r="B585" s="41">
        <v>120000000</v>
      </c>
      <c r="C585" s="41">
        <v>1.6999999999999999E-3</v>
      </c>
      <c r="D585" s="41">
        <v>2.8283999999999998</v>
      </c>
      <c r="E585" s="41">
        <v>30</v>
      </c>
      <c r="F585" s="41">
        <v>0</v>
      </c>
      <c r="G585" s="41" t="s">
        <v>505</v>
      </c>
      <c r="H585" s="41">
        <v>2</v>
      </c>
      <c r="I585" s="41">
        <v>1</v>
      </c>
      <c r="J585" s="108">
        <v>0</v>
      </c>
      <c r="K585" s="41">
        <v>0</v>
      </c>
      <c r="L585" s="41">
        <v>55</v>
      </c>
      <c r="M585" s="41">
        <v>-1</v>
      </c>
      <c r="N585" s="41">
        <v>4</v>
      </c>
      <c r="O585" s="110" t="s">
        <v>2672</v>
      </c>
      <c r="P585" s="109">
        <v>194260</v>
      </c>
      <c r="Q585" s="107"/>
      <c r="R585" s="111"/>
      <c r="S585" s="110"/>
      <c r="T585"/>
      <c r="U585"/>
      <c r="V585"/>
    </row>
    <row r="586" spans="1:22">
      <c r="A586" s="105">
        <v>1968</v>
      </c>
      <c r="B586" s="41">
        <v>120000000</v>
      </c>
      <c r="C586" s="41">
        <v>1.6999999999999999E-3</v>
      </c>
      <c r="D586" s="41">
        <v>4</v>
      </c>
      <c r="E586" s="41">
        <v>30</v>
      </c>
      <c r="F586" s="41">
        <v>0</v>
      </c>
      <c r="G586" s="41" t="s">
        <v>505</v>
      </c>
      <c r="H586" s="41">
        <v>2</v>
      </c>
      <c r="I586" s="41">
        <v>1</v>
      </c>
      <c r="J586" s="108">
        <v>0</v>
      </c>
      <c r="K586" s="41">
        <v>0</v>
      </c>
      <c r="L586" s="41">
        <v>55</v>
      </c>
      <c r="M586" s="41">
        <v>-1</v>
      </c>
      <c r="N586" s="41">
        <v>4</v>
      </c>
      <c r="O586" s="110" t="s">
        <v>2673</v>
      </c>
      <c r="P586" s="109">
        <v>194260</v>
      </c>
      <c r="Q586" s="107"/>
      <c r="R586" s="111"/>
      <c r="S586" s="110"/>
      <c r="T586"/>
      <c r="U586"/>
      <c r="V586"/>
    </row>
    <row r="587" spans="1:22">
      <c r="A587" s="105">
        <v>1969</v>
      </c>
      <c r="B587" s="41">
        <v>120000000</v>
      </c>
      <c r="C587" s="41">
        <v>1.6999999999999999E-3</v>
      </c>
      <c r="D587" s="41">
        <v>5.6569000000000003</v>
      </c>
      <c r="E587" s="41">
        <v>30</v>
      </c>
      <c r="F587" s="41">
        <v>0</v>
      </c>
      <c r="G587" s="41" t="s">
        <v>505</v>
      </c>
      <c r="H587" s="41">
        <v>2</v>
      </c>
      <c r="I587" s="41">
        <v>1</v>
      </c>
      <c r="J587" s="108">
        <v>0</v>
      </c>
      <c r="K587" s="41">
        <v>0</v>
      </c>
      <c r="L587" s="41">
        <v>55</v>
      </c>
      <c r="M587" s="41">
        <v>-1</v>
      </c>
      <c r="N587" s="41">
        <v>4</v>
      </c>
      <c r="O587" s="110" t="s">
        <v>2674</v>
      </c>
      <c r="P587" s="109">
        <v>194260</v>
      </c>
      <c r="Q587" s="107"/>
      <c r="R587" s="111"/>
      <c r="S587" s="110"/>
      <c r="T587"/>
      <c r="U587"/>
      <c r="V587"/>
    </row>
    <row r="588" spans="1:22">
      <c r="A588" s="105">
        <v>1970</v>
      </c>
      <c r="B588" s="41">
        <v>120000000</v>
      </c>
      <c r="C588" s="41">
        <v>1.6999999999999999E-3</v>
      </c>
      <c r="D588" s="41">
        <v>8</v>
      </c>
      <c r="E588" s="41">
        <v>30</v>
      </c>
      <c r="F588" s="41">
        <v>0</v>
      </c>
      <c r="G588" s="41" t="s">
        <v>505</v>
      </c>
      <c r="H588" s="41">
        <v>2</v>
      </c>
      <c r="I588" s="41">
        <v>1</v>
      </c>
      <c r="J588" s="108">
        <v>0</v>
      </c>
      <c r="K588" s="41">
        <v>0</v>
      </c>
      <c r="L588" s="41">
        <v>55</v>
      </c>
      <c r="M588" s="41">
        <v>-1</v>
      </c>
      <c r="N588" s="41">
        <v>4</v>
      </c>
      <c r="O588" s="110" t="s">
        <v>2675</v>
      </c>
      <c r="P588" s="109">
        <v>194260</v>
      </c>
      <c r="Q588" s="107"/>
      <c r="R588" s="111"/>
      <c r="S588" s="110"/>
      <c r="T588"/>
      <c r="U588"/>
      <c r="V588"/>
    </row>
    <row r="589" spans="1:22">
      <c r="A589" s="105">
        <v>1971</v>
      </c>
      <c r="B589" s="41">
        <v>120000000</v>
      </c>
      <c r="C589" s="41">
        <v>1.6999999999999999E-3</v>
      </c>
      <c r="D589" s="41">
        <v>11.313700000000001</v>
      </c>
      <c r="E589" s="41">
        <v>30</v>
      </c>
      <c r="F589" s="41">
        <v>0</v>
      </c>
      <c r="G589" s="41" t="s">
        <v>505</v>
      </c>
      <c r="H589" s="41">
        <v>2</v>
      </c>
      <c r="I589" s="41">
        <v>1</v>
      </c>
      <c r="J589" s="108">
        <v>0</v>
      </c>
      <c r="K589" s="41">
        <v>0</v>
      </c>
      <c r="L589" s="41">
        <v>55</v>
      </c>
      <c r="M589" s="41">
        <v>-1</v>
      </c>
      <c r="N589" s="41">
        <v>4</v>
      </c>
      <c r="O589" s="110" t="s">
        <v>2676</v>
      </c>
      <c r="P589" s="109">
        <v>194260</v>
      </c>
      <c r="Q589" s="107"/>
      <c r="R589" s="111"/>
      <c r="S589" s="110"/>
      <c r="T589"/>
      <c r="U589"/>
      <c r="V589"/>
    </row>
    <row r="590" spans="1:22">
      <c r="A590" s="105">
        <v>1972</v>
      </c>
      <c r="B590" s="41">
        <v>120000000</v>
      </c>
      <c r="C590" s="41">
        <v>1.6999999999999999E-3</v>
      </c>
      <c r="D590" s="41">
        <v>16</v>
      </c>
      <c r="E590" s="41">
        <v>30</v>
      </c>
      <c r="F590" s="41">
        <v>0</v>
      </c>
      <c r="G590" s="41" t="s">
        <v>505</v>
      </c>
      <c r="H590" s="41">
        <v>2</v>
      </c>
      <c r="I590" s="41">
        <v>1</v>
      </c>
      <c r="J590" s="108">
        <v>0</v>
      </c>
      <c r="K590" s="41">
        <v>0</v>
      </c>
      <c r="L590" s="41">
        <v>55</v>
      </c>
      <c r="M590" s="41">
        <v>-1</v>
      </c>
      <c r="N590" s="41">
        <v>4</v>
      </c>
      <c r="O590" s="110" t="s">
        <v>2677</v>
      </c>
      <c r="P590" s="109">
        <v>194260</v>
      </c>
      <c r="Q590" s="107"/>
      <c r="R590" s="111"/>
      <c r="S590" s="110"/>
      <c r="T590"/>
      <c r="U590"/>
      <c r="V590"/>
    </row>
    <row r="591" spans="1:22">
      <c r="A591" s="105">
        <v>1973</v>
      </c>
      <c r="B591" s="41">
        <v>120000000</v>
      </c>
      <c r="C591" s="41">
        <v>1.6999999999999999E-3</v>
      </c>
      <c r="D591" s="41">
        <v>22.627400000000002</v>
      </c>
      <c r="E591" s="41">
        <v>30</v>
      </c>
      <c r="F591" s="41">
        <v>0</v>
      </c>
      <c r="G591" s="41" t="s">
        <v>505</v>
      </c>
      <c r="H591" s="41">
        <v>2</v>
      </c>
      <c r="I591" s="41">
        <v>1</v>
      </c>
      <c r="J591" s="108">
        <v>0</v>
      </c>
      <c r="K591" s="41">
        <v>0</v>
      </c>
      <c r="L591" s="41">
        <v>55</v>
      </c>
      <c r="M591" s="41">
        <v>-1</v>
      </c>
      <c r="N591" s="41">
        <v>4</v>
      </c>
      <c r="O591" s="110" t="s">
        <v>2678</v>
      </c>
      <c r="P591" s="109">
        <v>194260</v>
      </c>
      <c r="Q591" s="107"/>
      <c r="R591" s="111"/>
      <c r="S591" s="110"/>
      <c r="T591"/>
      <c r="U591"/>
      <c r="V591"/>
    </row>
    <row r="592" spans="1:22">
      <c r="A592" s="105">
        <v>1974</v>
      </c>
      <c r="B592" s="41">
        <v>120000000</v>
      </c>
      <c r="C592" s="41">
        <v>1.9E-3</v>
      </c>
      <c r="D592" s="41">
        <v>1.4141999999999999</v>
      </c>
      <c r="E592" s="41">
        <v>30</v>
      </c>
      <c r="F592" s="41">
        <v>0</v>
      </c>
      <c r="G592" s="41" t="s">
        <v>505</v>
      </c>
      <c r="H592" s="41">
        <v>2</v>
      </c>
      <c r="I592" s="41">
        <v>1</v>
      </c>
      <c r="J592" s="108">
        <v>0</v>
      </c>
      <c r="K592" s="41">
        <v>0</v>
      </c>
      <c r="L592" s="41">
        <v>55</v>
      </c>
      <c r="M592" s="41">
        <v>-1</v>
      </c>
      <c r="N592" s="41">
        <v>4</v>
      </c>
      <c r="O592" s="110" t="s">
        <v>2679</v>
      </c>
      <c r="P592" s="109">
        <v>194260</v>
      </c>
      <c r="Q592" s="107"/>
      <c r="R592" s="111"/>
      <c r="S592" s="110"/>
      <c r="T592"/>
      <c r="U592"/>
      <c r="V592"/>
    </row>
    <row r="593" spans="1:22">
      <c r="A593" s="105">
        <v>1975</v>
      </c>
      <c r="B593" s="41">
        <v>120000000</v>
      </c>
      <c r="C593" s="41">
        <v>1.9E-3</v>
      </c>
      <c r="D593" s="41">
        <v>2</v>
      </c>
      <c r="E593" s="41">
        <v>30</v>
      </c>
      <c r="F593" s="41">
        <v>0</v>
      </c>
      <c r="G593" s="41" t="s">
        <v>505</v>
      </c>
      <c r="H593" s="41">
        <v>2</v>
      </c>
      <c r="I593" s="41">
        <v>1</v>
      </c>
      <c r="J593" s="108">
        <v>0</v>
      </c>
      <c r="K593" s="41">
        <v>0</v>
      </c>
      <c r="L593" s="41">
        <v>55</v>
      </c>
      <c r="M593" s="41">
        <v>-1</v>
      </c>
      <c r="N593" s="41">
        <v>4</v>
      </c>
      <c r="O593" s="110" t="s">
        <v>2680</v>
      </c>
      <c r="P593" s="109">
        <v>194260</v>
      </c>
      <c r="Q593" s="107"/>
      <c r="R593" s="111"/>
      <c r="S593" s="110"/>
      <c r="T593"/>
      <c r="U593"/>
      <c r="V593"/>
    </row>
    <row r="594" spans="1:22">
      <c r="A594" s="105">
        <v>1976</v>
      </c>
      <c r="B594" s="41">
        <v>120000000</v>
      </c>
      <c r="C594" s="41">
        <v>1.9E-3</v>
      </c>
      <c r="D594" s="41">
        <v>2.8283999999999998</v>
      </c>
      <c r="E594" s="41">
        <v>30</v>
      </c>
      <c r="F594" s="41">
        <v>0</v>
      </c>
      <c r="G594" s="41" t="s">
        <v>505</v>
      </c>
      <c r="H594" s="41">
        <v>2</v>
      </c>
      <c r="I594" s="41">
        <v>1</v>
      </c>
      <c r="J594" s="108">
        <v>0</v>
      </c>
      <c r="K594" s="41">
        <v>0</v>
      </c>
      <c r="L594" s="41">
        <v>55</v>
      </c>
      <c r="M594" s="41">
        <v>-1</v>
      </c>
      <c r="N594" s="41">
        <v>4</v>
      </c>
      <c r="O594" s="110" t="s">
        <v>2681</v>
      </c>
      <c r="P594" s="109">
        <v>194260</v>
      </c>
      <c r="Q594" s="107"/>
      <c r="R594" s="111"/>
      <c r="S594" s="110"/>
      <c r="T594"/>
      <c r="U594"/>
      <c r="V594"/>
    </row>
    <row r="595" spans="1:22">
      <c r="A595" s="105">
        <v>1977</v>
      </c>
      <c r="B595" s="41">
        <v>120000000</v>
      </c>
      <c r="C595" s="41">
        <v>1.9E-3</v>
      </c>
      <c r="D595" s="41">
        <v>4</v>
      </c>
      <c r="E595" s="41">
        <v>30</v>
      </c>
      <c r="F595" s="41">
        <v>0</v>
      </c>
      <c r="G595" s="41" t="s">
        <v>505</v>
      </c>
      <c r="H595" s="41">
        <v>2</v>
      </c>
      <c r="I595" s="41">
        <v>1</v>
      </c>
      <c r="J595" s="108">
        <v>0</v>
      </c>
      <c r="K595" s="41">
        <v>0</v>
      </c>
      <c r="L595" s="41">
        <v>55</v>
      </c>
      <c r="M595" s="41">
        <v>-1</v>
      </c>
      <c r="N595" s="41">
        <v>4</v>
      </c>
      <c r="O595" s="110" t="s">
        <v>2682</v>
      </c>
      <c r="P595" s="109">
        <v>194260</v>
      </c>
      <c r="Q595" s="107"/>
      <c r="R595" s="111"/>
      <c r="S595" s="110"/>
      <c r="T595"/>
      <c r="U595"/>
      <c r="V595"/>
    </row>
    <row r="596" spans="1:22">
      <c r="A596" s="105">
        <v>1978</v>
      </c>
      <c r="B596" s="41">
        <v>120000000</v>
      </c>
      <c r="C596" s="41">
        <v>1.9E-3</v>
      </c>
      <c r="D596" s="41">
        <v>5.6569000000000003</v>
      </c>
      <c r="E596" s="41">
        <v>30</v>
      </c>
      <c r="F596" s="41">
        <v>0</v>
      </c>
      <c r="G596" s="41" t="s">
        <v>505</v>
      </c>
      <c r="H596" s="41">
        <v>2</v>
      </c>
      <c r="I596" s="41">
        <v>1</v>
      </c>
      <c r="J596" s="108">
        <v>0</v>
      </c>
      <c r="K596" s="41">
        <v>0</v>
      </c>
      <c r="L596" s="41">
        <v>55</v>
      </c>
      <c r="M596" s="41">
        <v>-1</v>
      </c>
      <c r="N596" s="41">
        <v>4</v>
      </c>
      <c r="O596" s="110" t="s">
        <v>2683</v>
      </c>
      <c r="P596" s="109">
        <v>194260</v>
      </c>
      <c r="Q596" s="107"/>
      <c r="R596" s="111"/>
      <c r="S596" s="110"/>
      <c r="T596"/>
      <c r="U596"/>
      <c r="V596"/>
    </row>
    <row r="597" spans="1:22">
      <c r="A597" s="105">
        <v>1979</v>
      </c>
      <c r="B597" s="41">
        <v>120000000</v>
      </c>
      <c r="C597" s="41">
        <v>1.9E-3</v>
      </c>
      <c r="D597" s="41">
        <v>8</v>
      </c>
      <c r="E597" s="41">
        <v>30</v>
      </c>
      <c r="F597" s="41">
        <v>0</v>
      </c>
      <c r="G597" s="41" t="s">
        <v>505</v>
      </c>
      <c r="H597" s="41">
        <v>2</v>
      </c>
      <c r="I597" s="41">
        <v>1</v>
      </c>
      <c r="J597" s="108">
        <v>0</v>
      </c>
      <c r="K597" s="41">
        <v>0</v>
      </c>
      <c r="L597" s="41">
        <v>55</v>
      </c>
      <c r="M597" s="41">
        <v>-1</v>
      </c>
      <c r="N597" s="41">
        <v>4</v>
      </c>
      <c r="O597" s="110" t="s">
        <v>2684</v>
      </c>
      <c r="P597" s="109">
        <v>194260</v>
      </c>
      <c r="Q597" s="107"/>
      <c r="R597" s="111"/>
      <c r="S597" s="110"/>
      <c r="T597"/>
      <c r="U597"/>
      <c r="V597"/>
    </row>
    <row r="598" spans="1:22">
      <c r="A598" s="105">
        <v>1980</v>
      </c>
      <c r="B598" s="41">
        <v>120000000</v>
      </c>
      <c r="C598" s="41">
        <v>1.9E-3</v>
      </c>
      <c r="D598" s="41">
        <v>11.313700000000001</v>
      </c>
      <c r="E598" s="41">
        <v>30</v>
      </c>
      <c r="F598" s="41">
        <v>0</v>
      </c>
      <c r="G598" s="41" t="s">
        <v>505</v>
      </c>
      <c r="H598" s="41">
        <v>2</v>
      </c>
      <c r="I598" s="41">
        <v>1</v>
      </c>
      <c r="J598" s="108">
        <v>0</v>
      </c>
      <c r="K598" s="41">
        <v>0</v>
      </c>
      <c r="L598" s="41">
        <v>55</v>
      </c>
      <c r="M598" s="41">
        <v>-1</v>
      </c>
      <c r="N598" s="41">
        <v>4</v>
      </c>
      <c r="O598" s="110" t="s">
        <v>2685</v>
      </c>
      <c r="P598" s="109">
        <v>194260</v>
      </c>
      <c r="Q598" s="107"/>
      <c r="R598" s="111"/>
      <c r="S598" s="110"/>
      <c r="T598"/>
      <c r="U598"/>
      <c r="V598"/>
    </row>
    <row r="599" spans="1:22">
      <c r="A599" s="105">
        <v>1981</v>
      </c>
      <c r="B599" s="41">
        <v>120000000</v>
      </c>
      <c r="C599" s="41">
        <v>1.9E-3</v>
      </c>
      <c r="D599" s="41">
        <v>16</v>
      </c>
      <c r="E599" s="41">
        <v>30</v>
      </c>
      <c r="F599" s="41">
        <v>0</v>
      </c>
      <c r="G599" s="41" t="s">
        <v>505</v>
      </c>
      <c r="H599" s="41">
        <v>2</v>
      </c>
      <c r="I599" s="41">
        <v>1</v>
      </c>
      <c r="J599" s="108">
        <v>0</v>
      </c>
      <c r="K599" s="41">
        <v>0</v>
      </c>
      <c r="L599" s="41">
        <v>55</v>
      </c>
      <c r="M599" s="41">
        <v>-1</v>
      </c>
      <c r="N599" s="41">
        <v>4</v>
      </c>
      <c r="O599" s="110" t="s">
        <v>2686</v>
      </c>
      <c r="P599" s="109">
        <v>194260</v>
      </c>
      <c r="Q599" s="107"/>
      <c r="R599" s="111"/>
      <c r="S599" s="110"/>
      <c r="T599"/>
      <c r="U599"/>
      <c r="V599"/>
    </row>
    <row r="600" spans="1:22">
      <c r="A600" s="105">
        <v>1982</v>
      </c>
      <c r="B600" s="41">
        <v>120000000</v>
      </c>
      <c r="C600" s="41">
        <v>1.9E-3</v>
      </c>
      <c r="D600" s="41">
        <v>22.627400000000002</v>
      </c>
      <c r="E600" s="41">
        <v>30</v>
      </c>
      <c r="F600" s="41">
        <v>0</v>
      </c>
      <c r="G600" s="41" t="s">
        <v>505</v>
      </c>
      <c r="H600" s="41">
        <v>2</v>
      </c>
      <c r="I600" s="41">
        <v>1</v>
      </c>
      <c r="J600" s="108">
        <v>0</v>
      </c>
      <c r="K600" s="41">
        <v>0</v>
      </c>
      <c r="L600" s="41">
        <v>55</v>
      </c>
      <c r="M600" s="41">
        <v>-1</v>
      </c>
      <c r="N600" s="41">
        <v>4</v>
      </c>
      <c r="O600" s="110" t="s">
        <v>2687</v>
      </c>
      <c r="P600" s="109">
        <v>194260</v>
      </c>
      <c r="Q600" s="107"/>
      <c r="R600" s="111"/>
      <c r="S600" s="110"/>
      <c r="T600"/>
      <c r="U600"/>
      <c r="V600"/>
    </row>
    <row r="601" spans="1:22">
      <c r="A601" s="105">
        <v>1983</v>
      </c>
      <c r="B601" s="41">
        <v>120000000</v>
      </c>
      <c r="C601" s="41">
        <v>1.9E-3</v>
      </c>
      <c r="D601" s="41">
        <v>32</v>
      </c>
      <c r="E601" s="41">
        <v>30</v>
      </c>
      <c r="F601" s="41">
        <v>0</v>
      </c>
      <c r="G601" s="41" t="s">
        <v>505</v>
      </c>
      <c r="H601" s="41">
        <v>2</v>
      </c>
      <c r="I601" s="41">
        <v>1</v>
      </c>
      <c r="J601" s="108">
        <v>0</v>
      </c>
      <c r="K601" s="41">
        <v>0</v>
      </c>
      <c r="L601" s="41">
        <v>55</v>
      </c>
      <c r="M601" s="41">
        <v>-1</v>
      </c>
      <c r="N601" s="41">
        <v>4</v>
      </c>
      <c r="O601" s="110" t="s">
        <v>2688</v>
      </c>
      <c r="P601" s="109">
        <v>194260</v>
      </c>
      <c r="Q601" s="107"/>
      <c r="R601" s="111"/>
      <c r="S601" s="110"/>
      <c r="T601"/>
      <c r="U601"/>
      <c r="V601"/>
    </row>
    <row r="602" spans="1:22">
      <c r="A602" s="105">
        <v>1984</v>
      </c>
      <c r="B602" s="41">
        <v>120000000</v>
      </c>
      <c r="C602" s="41">
        <v>2.0999999999999999E-3</v>
      </c>
      <c r="D602" s="41">
        <v>1.4141999999999999</v>
      </c>
      <c r="E602" s="41">
        <v>30</v>
      </c>
      <c r="F602" s="41">
        <v>0</v>
      </c>
      <c r="G602" s="41" t="s">
        <v>505</v>
      </c>
      <c r="H602" s="41">
        <v>2</v>
      </c>
      <c r="I602" s="41">
        <v>1</v>
      </c>
      <c r="J602" s="108">
        <v>0</v>
      </c>
      <c r="K602" s="41">
        <v>0</v>
      </c>
      <c r="L602" s="41">
        <v>55</v>
      </c>
      <c r="M602" s="41">
        <v>-1</v>
      </c>
      <c r="N602" s="41">
        <v>4</v>
      </c>
      <c r="O602" s="110" t="s">
        <v>2689</v>
      </c>
      <c r="P602" s="109">
        <v>194260</v>
      </c>
      <c r="Q602" s="107"/>
      <c r="R602" s="111"/>
      <c r="S602" s="110"/>
      <c r="T602"/>
      <c r="U602"/>
      <c r="V602"/>
    </row>
    <row r="603" spans="1:22">
      <c r="A603" s="105">
        <v>1985</v>
      </c>
      <c r="B603" s="41">
        <v>120000000</v>
      </c>
      <c r="C603" s="41">
        <v>2.0999999999999999E-3</v>
      </c>
      <c r="D603" s="41">
        <v>2</v>
      </c>
      <c r="E603" s="41">
        <v>30</v>
      </c>
      <c r="F603" s="41">
        <v>0</v>
      </c>
      <c r="G603" s="41" t="s">
        <v>505</v>
      </c>
      <c r="H603" s="41">
        <v>2</v>
      </c>
      <c r="I603" s="41">
        <v>1</v>
      </c>
      <c r="J603" s="108">
        <v>0</v>
      </c>
      <c r="K603" s="41">
        <v>0</v>
      </c>
      <c r="L603" s="41">
        <v>55</v>
      </c>
      <c r="M603" s="41">
        <v>-1</v>
      </c>
      <c r="N603" s="41">
        <v>4</v>
      </c>
      <c r="O603" s="110" t="s">
        <v>2690</v>
      </c>
      <c r="P603" s="109">
        <v>194260</v>
      </c>
      <c r="Q603" s="107"/>
      <c r="R603" s="111"/>
      <c r="S603" s="110"/>
      <c r="T603"/>
      <c r="U603"/>
      <c r="V603"/>
    </row>
    <row r="604" spans="1:22">
      <c r="A604" s="105">
        <v>1986</v>
      </c>
      <c r="B604" s="41">
        <v>120000000</v>
      </c>
      <c r="C604" s="41">
        <v>2.0999999999999999E-3</v>
      </c>
      <c r="D604" s="41">
        <v>2.8283999999999998</v>
      </c>
      <c r="E604" s="41">
        <v>30</v>
      </c>
      <c r="F604" s="41">
        <v>0</v>
      </c>
      <c r="G604" s="41" t="s">
        <v>505</v>
      </c>
      <c r="H604" s="41">
        <v>2</v>
      </c>
      <c r="I604" s="41">
        <v>1</v>
      </c>
      <c r="J604" s="108">
        <v>0</v>
      </c>
      <c r="K604" s="41">
        <v>0</v>
      </c>
      <c r="L604" s="41">
        <v>55</v>
      </c>
      <c r="M604" s="41">
        <v>-1</v>
      </c>
      <c r="N604" s="41">
        <v>4</v>
      </c>
      <c r="O604" s="110" t="s">
        <v>2691</v>
      </c>
      <c r="P604" s="109">
        <v>194260</v>
      </c>
      <c r="Q604" s="107"/>
      <c r="R604" s="111"/>
      <c r="S604" s="110"/>
      <c r="T604"/>
      <c r="U604"/>
      <c r="V604"/>
    </row>
    <row r="605" spans="1:22">
      <c r="A605" s="105">
        <v>1987</v>
      </c>
      <c r="B605" s="41">
        <v>120000000</v>
      </c>
      <c r="C605" s="41">
        <v>2.0999999999999999E-3</v>
      </c>
      <c r="D605" s="41">
        <v>4</v>
      </c>
      <c r="E605" s="41">
        <v>30</v>
      </c>
      <c r="F605" s="41">
        <v>0</v>
      </c>
      <c r="G605" s="41" t="s">
        <v>505</v>
      </c>
      <c r="H605" s="41">
        <v>2</v>
      </c>
      <c r="I605" s="41">
        <v>1</v>
      </c>
      <c r="J605" s="108">
        <v>0</v>
      </c>
      <c r="K605" s="41">
        <v>0</v>
      </c>
      <c r="L605" s="41">
        <v>55</v>
      </c>
      <c r="M605" s="41">
        <v>-1</v>
      </c>
      <c r="N605" s="41">
        <v>4</v>
      </c>
      <c r="O605" s="110" t="s">
        <v>2692</v>
      </c>
      <c r="P605" s="109">
        <v>194260</v>
      </c>
      <c r="Q605" s="107"/>
      <c r="R605" s="111"/>
      <c r="S605" s="110"/>
      <c r="T605"/>
      <c r="U605"/>
      <c r="V605"/>
    </row>
    <row r="606" spans="1:22">
      <c r="A606" s="105">
        <v>1988</v>
      </c>
      <c r="B606" s="41">
        <v>120000000</v>
      </c>
      <c r="C606" s="41">
        <v>2.0999999999999999E-3</v>
      </c>
      <c r="D606" s="41">
        <v>5.6569000000000003</v>
      </c>
      <c r="E606" s="41">
        <v>30</v>
      </c>
      <c r="F606" s="41">
        <v>0</v>
      </c>
      <c r="G606" s="41" t="s">
        <v>505</v>
      </c>
      <c r="H606" s="41">
        <v>2</v>
      </c>
      <c r="I606" s="41">
        <v>1</v>
      </c>
      <c r="J606" s="108">
        <v>0</v>
      </c>
      <c r="K606" s="41">
        <v>0</v>
      </c>
      <c r="L606" s="41">
        <v>55</v>
      </c>
      <c r="M606" s="41">
        <v>-1</v>
      </c>
      <c r="N606" s="41">
        <v>4</v>
      </c>
      <c r="O606" s="110" t="s">
        <v>2693</v>
      </c>
      <c r="P606" s="109">
        <v>194260</v>
      </c>
      <c r="Q606" s="107"/>
      <c r="R606" s="111"/>
      <c r="S606" s="110"/>
      <c r="T606"/>
      <c r="U606"/>
      <c r="V606"/>
    </row>
    <row r="607" spans="1:22">
      <c r="A607" s="105">
        <v>1989</v>
      </c>
      <c r="B607" s="41">
        <v>120000000</v>
      </c>
      <c r="C607" s="41">
        <v>2.0999999999999999E-3</v>
      </c>
      <c r="D607" s="41">
        <v>8</v>
      </c>
      <c r="E607" s="41">
        <v>30</v>
      </c>
      <c r="F607" s="41">
        <v>0</v>
      </c>
      <c r="G607" s="41" t="s">
        <v>505</v>
      </c>
      <c r="H607" s="41">
        <v>2</v>
      </c>
      <c r="I607" s="41">
        <v>1</v>
      </c>
      <c r="J607" s="108">
        <v>0</v>
      </c>
      <c r="K607" s="41">
        <v>0</v>
      </c>
      <c r="L607" s="41">
        <v>55</v>
      </c>
      <c r="M607" s="41">
        <v>-1</v>
      </c>
      <c r="N607" s="41">
        <v>4</v>
      </c>
      <c r="O607" s="110" t="s">
        <v>2694</v>
      </c>
      <c r="P607" s="109">
        <v>194260</v>
      </c>
      <c r="Q607" s="107"/>
      <c r="R607" s="111"/>
      <c r="S607" s="110"/>
      <c r="T607"/>
      <c r="U607"/>
      <c r="V607"/>
    </row>
    <row r="608" spans="1:22">
      <c r="A608" s="105">
        <v>1990</v>
      </c>
      <c r="B608" s="41">
        <v>120000000</v>
      </c>
      <c r="C608" s="41">
        <v>2.0999999999999999E-3</v>
      </c>
      <c r="D608" s="41">
        <v>11.313700000000001</v>
      </c>
      <c r="E608" s="41">
        <v>30</v>
      </c>
      <c r="F608" s="41">
        <v>0</v>
      </c>
      <c r="G608" s="41" t="s">
        <v>505</v>
      </c>
      <c r="H608" s="41">
        <v>2</v>
      </c>
      <c r="I608" s="41">
        <v>1</v>
      </c>
      <c r="J608" s="108">
        <v>0</v>
      </c>
      <c r="K608" s="41">
        <v>0</v>
      </c>
      <c r="L608" s="41">
        <v>55</v>
      </c>
      <c r="M608" s="41">
        <v>-1</v>
      </c>
      <c r="N608" s="41">
        <v>4</v>
      </c>
      <c r="O608" s="110" t="s">
        <v>2695</v>
      </c>
      <c r="P608" s="109">
        <v>194260</v>
      </c>
      <c r="Q608" s="107"/>
      <c r="R608" s="111"/>
      <c r="S608" s="110"/>
      <c r="T608"/>
      <c r="U608"/>
      <c r="V608"/>
    </row>
    <row r="609" spans="1:22">
      <c r="A609" s="105">
        <v>1991</v>
      </c>
      <c r="B609" s="41">
        <v>120000000</v>
      </c>
      <c r="C609" s="41">
        <v>2.0999999999999999E-3</v>
      </c>
      <c r="D609" s="41">
        <v>16</v>
      </c>
      <c r="E609" s="41">
        <v>30</v>
      </c>
      <c r="F609" s="41">
        <v>0</v>
      </c>
      <c r="G609" s="41" t="s">
        <v>505</v>
      </c>
      <c r="H609" s="41">
        <v>2</v>
      </c>
      <c r="I609" s="41">
        <v>1</v>
      </c>
      <c r="J609" s="108">
        <v>0</v>
      </c>
      <c r="K609" s="41">
        <v>0</v>
      </c>
      <c r="L609" s="41">
        <v>55</v>
      </c>
      <c r="M609" s="41">
        <v>-1</v>
      </c>
      <c r="N609" s="41">
        <v>4</v>
      </c>
      <c r="O609" s="110" t="s">
        <v>2696</v>
      </c>
      <c r="P609" s="109">
        <v>194260</v>
      </c>
      <c r="Q609" s="107"/>
      <c r="R609" s="111"/>
      <c r="S609" s="110"/>
      <c r="T609"/>
      <c r="U609"/>
      <c r="V609"/>
    </row>
    <row r="610" spans="1:22">
      <c r="A610" s="105">
        <v>1992</v>
      </c>
      <c r="B610" s="41">
        <v>120000000</v>
      </c>
      <c r="C610" s="41">
        <v>2.0999999999999999E-3</v>
      </c>
      <c r="D610" s="41">
        <v>22.627400000000002</v>
      </c>
      <c r="E610" s="41">
        <v>30</v>
      </c>
      <c r="F610" s="41">
        <v>0</v>
      </c>
      <c r="G610" s="41" t="s">
        <v>505</v>
      </c>
      <c r="H610" s="41">
        <v>2</v>
      </c>
      <c r="I610" s="41">
        <v>1</v>
      </c>
      <c r="J610" s="108">
        <v>0</v>
      </c>
      <c r="K610" s="41">
        <v>0</v>
      </c>
      <c r="L610" s="41">
        <v>55</v>
      </c>
      <c r="M610" s="41">
        <v>-1</v>
      </c>
      <c r="N610" s="41">
        <v>4</v>
      </c>
      <c r="O610" s="110" t="s">
        <v>2697</v>
      </c>
      <c r="P610" s="109">
        <v>194260</v>
      </c>
      <c r="Q610" s="107"/>
      <c r="R610" s="111"/>
      <c r="S610" s="110"/>
      <c r="T610"/>
      <c r="U610"/>
      <c r="V610"/>
    </row>
    <row r="611" spans="1:22">
      <c r="A611" s="105">
        <v>1993</v>
      </c>
      <c r="B611" s="41">
        <v>120000000</v>
      </c>
      <c r="C611" s="41">
        <v>2.0999999999999999E-3</v>
      </c>
      <c r="D611" s="41">
        <v>32</v>
      </c>
      <c r="E611" s="41">
        <v>30</v>
      </c>
      <c r="F611" s="41">
        <v>0</v>
      </c>
      <c r="G611" s="41" t="s">
        <v>505</v>
      </c>
      <c r="H611" s="41">
        <v>2</v>
      </c>
      <c r="I611" s="41">
        <v>1</v>
      </c>
      <c r="J611" s="108">
        <v>0</v>
      </c>
      <c r="K611" s="41">
        <v>0</v>
      </c>
      <c r="L611" s="41">
        <v>55</v>
      </c>
      <c r="M611" s="41">
        <v>-1</v>
      </c>
      <c r="N611" s="41">
        <v>4</v>
      </c>
      <c r="O611" s="110" t="s">
        <v>2698</v>
      </c>
      <c r="P611" s="109">
        <v>194260</v>
      </c>
      <c r="Q611" s="107"/>
      <c r="R611" s="111"/>
      <c r="S611" s="110"/>
      <c r="T611"/>
      <c r="U611"/>
      <c r="V611"/>
    </row>
    <row r="612" spans="1:22">
      <c r="A612" s="105">
        <v>1994</v>
      </c>
      <c r="B612" s="41">
        <v>120000000</v>
      </c>
      <c r="C612" s="41">
        <v>2.3E-3</v>
      </c>
      <c r="D612" s="41">
        <v>2</v>
      </c>
      <c r="E612" s="41">
        <v>30</v>
      </c>
      <c r="F612" s="41">
        <v>0</v>
      </c>
      <c r="G612" s="41" t="s">
        <v>505</v>
      </c>
      <c r="H612" s="41">
        <v>2</v>
      </c>
      <c r="I612" s="41">
        <v>1</v>
      </c>
      <c r="J612" s="108">
        <v>0</v>
      </c>
      <c r="K612" s="41">
        <v>0</v>
      </c>
      <c r="L612" s="41">
        <v>55</v>
      </c>
      <c r="M612" s="41">
        <v>-1</v>
      </c>
      <c r="N612" s="41">
        <v>4</v>
      </c>
      <c r="O612" s="110" t="s">
        <v>2699</v>
      </c>
      <c r="P612" s="109">
        <v>194260</v>
      </c>
      <c r="Q612" s="107"/>
      <c r="R612" s="111"/>
      <c r="S612" s="110"/>
      <c r="T612"/>
      <c r="U612"/>
      <c r="V612"/>
    </row>
    <row r="613" spans="1:22">
      <c r="A613" s="105">
        <v>1995</v>
      </c>
      <c r="B613" s="41">
        <v>120000000</v>
      </c>
      <c r="C613" s="41">
        <v>2.3E-3</v>
      </c>
      <c r="D613" s="41">
        <v>2.8283999999999998</v>
      </c>
      <c r="E613" s="41">
        <v>30</v>
      </c>
      <c r="F613" s="41">
        <v>0</v>
      </c>
      <c r="G613" s="41" t="s">
        <v>505</v>
      </c>
      <c r="H613" s="41">
        <v>2</v>
      </c>
      <c r="I613" s="41">
        <v>1</v>
      </c>
      <c r="J613" s="108">
        <v>0</v>
      </c>
      <c r="K613" s="41">
        <v>0</v>
      </c>
      <c r="L613" s="41">
        <v>55</v>
      </c>
      <c r="M613" s="41">
        <v>-1</v>
      </c>
      <c r="N613" s="41">
        <v>4</v>
      </c>
      <c r="O613" s="110" t="s">
        <v>2700</v>
      </c>
      <c r="P613" s="109">
        <v>194260</v>
      </c>
      <c r="Q613" s="107"/>
      <c r="R613" s="111"/>
      <c r="S613" s="110"/>
      <c r="T613"/>
      <c r="U613"/>
      <c r="V613"/>
    </row>
    <row r="614" spans="1:22">
      <c r="A614" s="105">
        <v>1996</v>
      </c>
      <c r="B614" s="41">
        <v>120000000</v>
      </c>
      <c r="C614" s="41">
        <v>2.3E-3</v>
      </c>
      <c r="D614" s="41">
        <v>4</v>
      </c>
      <c r="E614" s="41">
        <v>30</v>
      </c>
      <c r="F614" s="41">
        <v>0</v>
      </c>
      <c r="G614" s="41" t="s">
        <v>505</v>
      </c>
      <c r="H614" s="41">
        <v>2</v>
      </c>
      <c r="I614" s="41">
        <v>1</v>
      </c>
      <c r="J614" s="108">
        <v>0</v>
      </c>
      <c r="K614" s="41">
        <v>0</v>
      </c>
      <c r="L614" s="41">
        <v>55</v>
      </c>
      <c r="M614" s="41">
        <v>-1</v>
      </c>
      <c r="N614" s="41">
        <v>4</v>
      </c>
      <c r="O614" s="110" t="s">
        <v>2701</v>
      </c>
      <c r="P614" s="109">
        <v>194260</v>
      </c>
      <c r="Q614" s="107"/>
      <c r="R614" s="111"/>
      <c r="S614" s="110"/>
      <c r="T614"/>
      <c r="U614"/>
      <c r="V614"/>
    </row>
    <row r="615" spans="1:22">
      <c r="A615" s="105">
        <v>1997</v>
      </c>
      <c r="B615" s="41">
        <v>120000000</v>
      </c>
      <c r="C615" s="41">
        <v>2.3E-3</v>
      </c>
      <c r="D615" s="41">
        <v>5.6569000000000003</v>
      </c>
      <c r="E615" s="41">
        <v>30</v>
      </c>
      <c r="F615" s="41">
        <v>0</v>
      </c>
      <c r="G615" s="41" t="s">
        <v>505</v>
      </c>
      <c r="H615" s="41">
        <v>2</v>
      </c>
      <c r="I615" s="41">
        <v>1</v>
      </c>
      <c r="J615" s="108">
        <v>0</v>
      </c>
      <c r="K615" s="41">
        <v>0</v>
      </c>
      <c r="L615" s="41">
        <v>55</v>
      </c>
      <c r="M615" s="41">
        <v>-1</v>
      </c>
      <c r="N615" s="41">
        <v>4</v>
      </c>
      <c r="O615" s="110" t="s">
        <v>2702</v>
      </c>
      <c r="P615" s="109">
        <v>194260</v>
      </c>
      <c r="Q615" s="107"/>
      <c r="R615" s="111"/>
      <c r="S615" s="110"/>
      <c r="T615"/>
      <c r="U615"/>
      <c r="V615"/>
    </row>
    <row r="616" spans="1:22">
      <c r="A616" s="105">
        <v>1998</v>
      </c>
      <c r="B616" s="41">
        <v>120000000</v>
      </c>
      <c r="C616" s="41">
        <v>2.3E-3</v>
      </c>
      <c r="D616" s="41">
        <v>8</v>
      </c>
      <c r="E616" s="41">
        <v>30</v>
      </c>
      <c r="F616" s="41">
        <v>0</v>
      </c>
      <c r="G616" s="41" t="s">
        <v>505</v>
      </c>
      <c r="H616" s="41">
        <v>2</v>
      </c>
      <c r="I616" s="41">
        <v>1</v>
      </c>
      <c r="J616" s="108">
        <v>0</v>
      </c>
      <c r="K616" s="41">
        <v>0</v>
      </c>
      <c r="L616" s="41">
        <v>55</v>
      </c>
      <c r="M616" s="41">
        <v>-1</v>
      </c>
      <c r="N616" s="41">
        <v>4</v>
      </c>
      <c r="O616" s="110" t="s">
        <v>2703</v>
      </c>
      <c r="P616" s="109">
        <v>194260</v>
      </c>
      <c r="Q616" s="107"/>
      <c r="R616" s="111"/>
      <c r="S616" s="110"/>
      <c r="T616"/>
      <c r="U616"/>
      <c r="V616"/>
    </row>
    <row r="617" spans="1:22">
      <c r="A617" s="105">
        <v>1999</v>
      </c>
      <c r="B617" s="41">
        <v>120000000</v>
      </c>
      <c r="C617" s="41">
        <v>2.3E-3</v>
      </c>
      <c r="D617" s="41">
        <v>11.313700000000001</v>
      </c>
      <c r="E617" s="41">
        <v>30</v>
      </c>
      <c r="F617" s="41">
        <v>0</v>
      </c>
      <c r="G617" s="41" t="s">
        <v>505</v>
      </c>
      <c r="H617" s="41">
        <v>2</v>
      </c>
      <c r="I617" s="41">
        <v>1</v>
      </c>
      <c r="J617" s="108">
        <v>0</v>
      </c>
      <c r="K617" s="41">
        <v>0</v>
      </c>
      <c r="L617" s="41">
        <v>55</v>
      </c>
      <c r="M617" s="41">
        <v>-1</v>
      </c>
      <c r="N617" s="41">
        <v>4</v>
      </c>
      <c r="O617" s="110" t="s">
        <v>2704</v>
      </c>
      <c r="P617" s="109">
        <v>194260</v>
      </c>
      <c r="Q617" s="107"/>
      <c r="R617" s="111"/>
      <c r="S617" s="110"/>
      <c r="T617"/>
      <c r="U617"/>
      <c r="V617"/>
    </row>
    <row r="618" spans="1:22">
      <c r="A618" s="105">
        <v>2000</v>
      </c>
      <c r="B618" s="41">
        <v>120000000</v>
      </c>
      <c r="C618" s="41">
        <v>2.3E-3</v>
      </c>
      <c r="D618" s="41">
        <v>16</v>
      </c>
      <c r="E618" s="41">
        <v>30</v>
      </c>
      <c r="F618" s="41">
        <v>0</v>
      </c>
      <c r="G618" s="41" t="s">
        <v>505</v>
      </c>
      <c r="H618" s="41">
        <v>2</v>
      </c>
      <c r="I618" s="41">
        <v>1</v>
      </c>
      <c r="J618" s="108">
        <v>0</v>
      </c>
      <c r="K618" s="41">
        <v>0</v>
      </c>
      <c r="L618" s="41">
        <v>55</v>
      </c>
      <c r="M618" s="41">
        <v>-1</v>
      </c>
      <c r="N618" s="41">
        <v>4</v>
      </c>
      <c r="O618" s="110" t="s">
        <v>2705</v>
      </c>
      <c r="P618" s="109">
        <v>194260</v>
      </c>
      <c r="Q618" s="107"/>
      <c r="R618" s="111"/>
      <c r="S618" s="110"/>
      <c r="T618"/>
      <c r="U618"/>
      <c r="V618"/>
    </row>
    <row r="619" spans="1:22">
      <c r="A619" s="105">
        <v>2001</v>
      </c>
      <c r="B619" s="41">
        <v>120000000</v>
      </c>
      <c r="C619" s="41">
        <v>2.3E-3</v>
      </c>
      <c r="D619" s="41">
        <v>22.627400000000002</v>
      </c>
      <c r="E619" s="41">
        <v>30</v>
      </c>
      <c r="F619" s="41">
        <v>0</v>
      </c>
      <c r="G619" s="41" t="s">
        <v>505</v>
      </c>
      <c r="H619" s="41">
        <v>2</v>
      </c>
      <c r="I619" s="41">
        <v>1</v>
      </c>
      <c r="J619" s="108">
        <v>0</v>
      </c>
      <c r="K619" s="41">
        <v>0</v>
      </c>
      <c r="L619" s="41">
        <v>55</v>
      </c>
      <c r="M619" s="41">
        <v>-1</v>
      </c>
      <c r="N619" s="41">
        <v>4</v>
      </c>
      <c r="O619" s="110" t="s">
        <v>2706</v>
      </c>
      <c r="P619" s="109">
        <v>194260</v>
      </c>
      <c r="Q619" s="107"/>
      <c r="R619" s="111"/>
      <c r="S619" s="110"/>
      <c r="T619"/>
      <c r="U619"/>
      <c r="V619"/>
    </row>
    <row r="620" spans="1:22">
      <c r="A620" s="105">
        <v>2002</v>
      </c>
      <c r="B620" s="41">
        <v>120000000</v>
      </c>
      <c r="C620" s="41">
        <v>2.3E-3</v>
      </c>
      <c r="D620" s="41">
        <v>32</v>
      </c>
      <c r="E620" s="41">
        <v>30</v>
      </c>
      <c r="F620" s="41">
        <v>0</v>
      </c>
      <c r="G620" s="41" t="s">
        <v>505</v>
      </c>
      <c r="H620" s="41">
        <v>2</v>
      </c>
      <c r="I620" s="41">
        <v>1</v>
      </c>
      <c r="J620" s="108">
        <v>0</v>
      </c>
      <c r="K620" s="41">
        <v>0</v>
      </c>
      <c r="L620" s="41">
        <v>55</v>
      </c>
      <c r="M620" s="41">
        <v>-1</v>
      </c>
      <c r="N620" s="41">
        <v>4</v>
      </c>
      <c r="O620" s="110" t="s">
        <v>2707</v>
      </c>
      <c r="P620" s="109">
        <v>194260</v>
      </c>
      <c r="Q620" s="107"/>
      <c r="R620" s="111"/>
      <c r="S620" s="110"/>
      <c r="T620"/>
      <c r="U620"/>
      <c r="V620"/>
    </row>
    <row r="621" spans="1:22">
      <c r="A621" s="105">
        <v>2003</v>
      </c>
      <c r="B621" s="41">
        <v>120000000</v>
      </c>
      <c r="C621" s="41">
        <v>2.3E-3</v>
      </c>
      <c r="D621" s="41">
        <v>45.254800000000003</v>
      </c>
      <c r="E621" s="41">
        <v>30</v>
      </c>
      <c r="F621" s="41">
        <v>0</v>
      </c>
      <c r="G621" s="41" t="s">
        <v>505</v>
      </c>
      <c r="H621" s="41">
        <v>2</v>
      </c>
      <c r="I621" s="41">
        <v>1</v>
      </c>
      <c r="J621" s="108">
        <v>0</v>
      </c>
      <c r="K621" s="41">
        <v>0</v>
      </c>
      <c r="L621" s="41">
        <v>55</v>
      </c>
      <c r="M621" s="41">
        <v>-1</v>
      </c>
      <c r="N621" s="41">
        <v>4</v>
      </c>
      <c r="O621" s="110" t="s">
        <v>2708</v>
      </c>
      <c r="P621" s="109">
        <v>194260</v>
      </c>
      <c r="Q621" s="107"/>
      <c r="R621" s="111"/>
      <c r="S621" s="110"/>
      <c r="T621"/>
      <c r="U621"/>
      <c r="V621"/>
    </row>
    <row r="622" spans="1:22">
      <c r="A622" s="105">
        <v>2004</v>
      </c>
      <c r="B622" s="41">
        <v>120000000</v>
      </c>
      <c r="C622" s="41">
        <v>2.5000000000000001E-3</v>
      </c>
      <c r="D622" s="41">
        <v>2</v>
      </c>
      <c r="E622" s="41">
        <v>30</v>
      </c>
      <c r="F622" s="41">
        <v>0</v>
      </c>
      <c r="G622" s="41" t="s">
        <v>505</v>
      </c>
      <c r="H622" s="41">
        <v>2</v>
      </c>
      <c r="I622" s="41">
        <v>1</v>
      </c>
      <c r="J622" s="108">
        <v>0</v>
      </c>
      <c r="K622" s="41">
        <v>0</v>
      </c>
      <c r="L622" s="41">
        <v>55</v>
      </c>
      <c r="M622" s="41">
        <v>-1</v>
      </c>
      <c r="N622" s="41">
        <v>4</v>
      </c>
      <c r="O622" s="110" t="s">
        <v>2709</v>
      </c>
      <c r="P622" s="109">
        <v>194272</v>
      </c>
      <c r="Q622" s="107"/>
      <c r="R622" s="111"/>
      <c r="S622" s="110" t="s">
        <v>2267</v>
      </c>
      <c r="T622"/>
      <c r="U622"/>
      <c r="V622"/>
    </row>
    <row r="623" spans="1:22">
      <c r="A623" s="105">
        <v>2005</v>
      </c>
      <c r="B623" s="41">
        <v>120000000</v>
      </c>
      <c r="C623" s="41">
        <v>2.5000000000000001E-3</v>
      </c>
      <c r="D623" s="41">
        <v>2.8283999999999998</v>
      </c>
      <c r="E623" s="41">
        <v>30</v>
      </c>
      <c r="F623" s="41">
        <v>0</v>
      </c>
      <c r="G623" s="41" t="s">
        <v>505</v>
      </c>
      <c r="H623" s="41">
        <v>2</v>
      </c>
      <c r="I623" s="41">
        <v>1</v>
      </c>
      <c r="J623" s="108">
        <v>0</v>
      </c>
      <c r="K623" s="41">
        <v>0</v>
      </c>
      <c r="L623" s="41">
        <v>55</v>
      </c>
      <c r="M623" s="41">
        <v>-1</v>
      </c>
      <c r="N623" s="41">
        <v>4</v>
      </c>
      <c r="O623" s="110" t="s">
        <v>2710</v>
      </c>
      <c r="P623" s="109">
        <v>194272</v>
      </c>
      <c r="Q623" s="107"/>
      <c r="R623" s="111"/>
      <c r="S623" s="110"/>
      <c r="T623"/>
      <c r="U623"/>
      <c r="V623"/>
    </row>
    <row r="624" spans="1:22">
      <c r="A624" s="105">
        <v>2006</v>
      </c>
      <c r="B624" s="41">
        <v>120000000</v>
      </c>
      <c r="C624" s="41">
        <v>2.5000000000000001E-3</v>
      </c>
      <c r="D624" s="41">
        <v>4</v>
      </c>
      <c r="E624" s="41">
        <v>30</v>
      </c>
      <c r="F624" s="41">
        <v>0</v>
      </c>
      <c r="G624" s="41" t="s">
        <v>505</v>
      </c>
      <c r="H624" s="41">
        <v>2</v>
      </c>
      <c r="I624" s="41">
        <v>1</v>
      </c>
      <c r="J624" s="108">
        <v>0</v>
      </c>
      <c r="K624" s="41">
        <v>0</v>
      </c>
      <c r="L624" s="41">
        <v>55</v>
      </c>
      <c r="M624" s="41">
        <v>-1</v>
      </c>
      <c r="N624" s="41">
        <v>4</v>
      </c>
      <c r="O624" s="110" t="s">
        <v>2711</v>
      </c>
      <c r="P624" s="109">
        <v>194272</v>
      </c>
      <c r="Q624" s="107"/>
      <c r="R624" s="111"/>
      <c r="S624" s="110"/>
      <c r="T624"/>
      <c r="U624"/>
      <c r="V624"/>
    </row>
    <row r="625" spans="1:22">
      <c r="A625" s="105">
        <v>2007</v>
      </c>
      <c r="B625" s="41">
        <v>120000000</v>
      </c>
      <c r="C625" s="41">
        <v>2.5000000000000001E-3</v>
      </c>
      <c r="D625" s="41">
        <v>5.6569000000000003</v>
      </c>
      <c r="E625" s="41">
        <v>30</v>
      </c>
      <c r="F625" s="41">
        <v>0</v>
      </c>
      <c r="G625" s="41" t="s">
        <v>505</v>
      </c>
      <c r="H625" s="41">
        <v>2</v>
      </c>
      <c r="I625" s="41">
        <v>1</v>
      </c>
      <c r="J625" s="108">
        <v>0</v>
      </c>
      <c r="K625" s="41">
        <v>0</v>
      </c>
      <c r="L625" s="41">
        <v>55</v>
      </c>
      <c r="M625" s="41">
        <v>-1</v>
      </c>
      <c r="N625" s="41">
        <v>4</v>
      </c>
      <c r="O625" s="110" t="s">
        <v>2712</v>
      </c>
      <c r="P625" s="109">
        <v>194272</v>
      </c>
      <c r="Q625" s="107"/>
      <c r="R625" s="111"/>
      <c r="S625" s="110"/>
      <c r="T625"/>
      <c r="U625"/>
      <c r="V625"/>
    </row>
    <row r="626" spans="1:22">
      <c r="A626" s="105">
        <v>2008</v>
      </c>
      <c r="B626" s="41">
        <v>120000000</v>
      </c>
      <c r="C626" s="41">
        <v>2.5000000000000001E-3</v>
      </c>
      <c r="D626" s="41">
        <v>8</v>
      </c>
      <c r="E626" s="41">
        <v>30</v>
      </c>
      <c r="F626" s="41">
        <v>0</v>
      </c>
      <c r="G626" s="41" t="s">
        <v>505</v>
      </c>
      <c r="H626" s="41">
        <v>2</v>
      </c>
      <c r="I626" s="41">
        <v>1</v>
      </c>
      <c r="J626" s="108">
        <v>0</v>
      </c>
      <c r="K626" s="41">
        <v>0</v>
      </c>
      <c r="L626" s="41">
        <v>55</v>
      </c>
      <c r="M626" s="41">
        <v>-1</v>
      </c>
      <c r="N626" s="41">
        <v>4</v>
      </c>
      <c r="O626" s="110" t="s">
        <v>2713</v>
      </c>
      <c r="P626" s="109">
        <v>194272</v>
      </c>
      <c r="Q626" s="107"/>
      <c r="R626" s="111"/>
      <c r="S626" s="110"/>
      <c r="T626"/>
      <c r="U626"/>
      <c r="V626"/>
    </row>
    <row r="627" spans="1:22">
      <c r="A627" s="105">
        <v>2009</v>
      </c>
      <c r="B627" s="41">
        <v>120000000</v>
      </c>
      <c r="C627" s="41">
        <v>2.5000000000000001E-3</v>
      </c>
      <c r="D627" s="41">
        <v>11.313700000000001</v>
      </c>
      <c r="E627" s="41">
        <v>30</v>
      </c>
      <c r="F627" s="41">
        <v>0</v>
      </c>
      <c r="G627" s="41" t="s">
        <v>505</v>
      </c>
      <c r="H627" s="41">
        <v>2</v>
      </c>
      <c r="I627" s="41">
        <v>1</v>
      </c>
      <c r="J627" s="108">
        <v>0</v>
      </c>
      <c r="K627" s="41">
        <v>0</v>
      </c>
      <c r="L627" s="41">
        <v>55</v>
      </c>
      <c r="M627" s="41">
        <v>-1</v>
      </c>
      <c r="N627" s="41">
        <v>4</v>
      </c>
      <c r="O627" s="110" t="s">
        <v>2714</v>
      </c>
      <c r="P627" s="109">
        <v>194272</v>
      </c>
      <c r="Q627" s="107"/>
      <c r="R627" s="111"/>
      <c r="S627" s="110"/>
      <c r="T627"/>
      <c r="U627"/>
      <c r="V627"/>
    </row>
    <row r="628" spans="1:22">
      <c r="A628" s="105">
        <v>2010</v>
      </c>
      <c r="B628" s="41">
        <v>120000000</v>
      </c>
      <c r="C628" s="41">
        <v>2.5000000000000001E-3</v>
      </c>
      <c r="D628" s="41">
        <v>16</v>
      </c>
      <c r="E628" s="41">
        <v>30</v>
      </c>
      <c r="F628" s="41">
        <v>0</v>
      </c>
      <c r="G628" s="41" t="s">
        <v>505</v>
      </c>
      <c r="H628" s="41">
        <v>2</v>
      </c>
      <c r="I628" s="41">
        <v>1</v>
      </c>
      <c r="J628" s="108">
        <v>0</v>
      </c>
      <c r="K628" s="41">
        <v>0</v>
      </c>
      <c r="L628" s="41">
        <v>55</v>
      </c>
      <c r="M628" s="41">
        <v>-1</v>
      </c>
      <c r="N628" s="41">
        <v>4</v>
      </c>
      <c r="O628" s="110" t="s">
        <v>2715</v>
      </c>
      <c r="P628" s="109">
        <v>194272</v>
      </c>
      <c r="Q628" s="107"/>
      <c r="R628" s="111"/>
      <c r="S628" s="110"/>
      <c r="T628"/>
      <c r="U628"/>
      <c r="V628"/>
    </row>
    <row r="629" spans="1:22">
      <c r="A629" s="105">
        <v>2011</v>
      </c>
      <c r="B629" s="41">
        <v>120000000</v>
      </c>
      <c r="C629" s="41">
        <v>2.5000000000000001E-3</v>
      </c>
      <c r="D629" s="41">
        <v>22.627400000000002</v>
      </c>
      <c r="E629" s="41">
        <v>30</v>
      </c>
      <c r="F629" s="41">
        <v>0</v>
      </c>
      <c r="G629" s="41" t="s">
        <v>505</v>
      </c>
      <c r="H629" s="41">
        <v>2</v>
      </c>
      <c r="I629" s="41">
        <v>1</v>
      </c>
      <c r="J629" s="108">
        <v>0</v>
      </c>
      <c r="K629" s="41">
        <v>0</v>
      </c>
      <c r="L629" s="41">
        <v>55</v>
      </c>
      <c r="M629" s="41">
        <v>-1</v>
      </c>
      <c r="N629" s="41">
        <v>4</v>
      </c>
      <c r="O629" s="110" t="s">
        <v>2716</v>
      </c>
      <c r="P629" s="109">
        <v>194272</v>
      </c>
      <c r="Q629" s="107"/>
      <c r="R629" s="111"/>
      <c r="S629" s="110"/>
      <c r="T629"/>
      <c r="U629"/>
      <c r="V629"/>
    </row>
    <row r="630" spans="1:22">
      <c r="A630" s="105">
        <v>2012</v>
      </c>
      <c r="B630" s="41">
        <v>120000000</v>
      </c>
      <c r="C630" s="41">
        <v>2.5000000000000001E-3</v>
      </c>
      <c r="D630" s="41">
        <v>32</v>
      </c>
      <c r="E630" s="41">
        <v>30</v>
      </c>
      <c r="F630" s="41">
        <v>0</v>
      </c>
      <c r="G630" s="41" t="s">
        <v>505</v>
      </c>
      <c r="H630" s="41">
        <v>2</v>
      </c>
      <c r="I630" s="41">
        <v>1</v>
      </c>
      <c r="J630" s="108">
        <v>0</v>
      </c>
      <c r="K630" s="41">
        <v>0</v>
      </c>
      <c r="L630" s="41">
        <v>55</v>
      </c>
      <c r="M630" s="41">
        <v>-1</v>
      </c>
      <c r="N630" s="41">
        <v>4</v>
      </c>
      <c r="O630" s="110" t="s">
        <v>2717</v>
      </c>
      <c r="P630" s="109">
        <v>194272</v>
      </c>
      <c r="Q630" s="107"/>
      <c r="R630" s="111"/>
      <c r="S630" s="110"/>
      <c r="T630"/>
      <c r="U630"/>
      <c r="V630"/>
    </row>
    <row r="631" spans="1:22">
      <c r="A631" s="105">
        <v>2013</v>
      </c>
      <c r="B631" s="41">
        <v>120000000</v>
      </c>
      <c r="C631" s="41">
        <v>2.5000000000000001E-3</v>
      </c>
      <c r="D631" s="41">
        <v>45.254800000000003</v>
      </c>
      <c r="E631" s="41">
        <v>30</v>
      </c>
      <c r="F631" s="41">
        <v>0</v>
      </c>
      <c r="G631" s="41" t="s">
        <v>505</v>
      </c>
      <c r="H631" s="41">
        <v>2</v>
      </c>
      <c r="I631" s="41">
        <v>1</v>
      </c>
      <c r="J631" s="108">
        <v>0</v>
      </c>
      <c r="K631" s="41">
        <v>0</v>
      </c>
      <c r="L631" s="41">
        <v>55</v>
      </c>
      <c r="M631" s="41">
        <v>-1</v>
      </c>
      <c r="N631" s="41">
        <v>4</v>
      </c>
      <c r="O631" s="110" t="s">
        <v>2718</v>
      </c>
      <c r="P631" s="109">
        <v>194272</v>
      </c>
      <c r="Q631" s="107"/>
      <c r="R631" s="111"/>
      <c r="S631" s="110"/>
      <c r="T631"/>
      <c r="U631"/>
      <c r="V631"/>
    </row>
    <row r="632" spans="1:22">
      <c r="A632" s="105">
        <v>2014</v>
      </c>
      <c r="B632" s="41">
        <v>120000000</v>
      </c>
      <c r="C632" s="41">
        <v>2.7000000000000001E-3</v>
      </c>
      <c r="D632" s="41">
        <v>2.8283999999999998</v>
      </c>
      <c r="E632" s="41">
        <v>30</v>
      </c>
      <c r="F632" s="41">
        <v>0</v>
      </c>
      <c r="G632" s="41" t="s">
        <v>505</v>
      </c>
      <c r="H632" s="41">
        <v>2</v>
      </c>
      <c r="I632" s="41">
        <v>1</v>
      </c>
      <c r="J632" s="108">
        <v>0</v>
      </c>
      <c r="K632" s="41">
        <v>0</v>
      </c>
      <c r="L632" s="41">
        <v>55</v>
      </c>
      <c r="M632" s="41">
        <v>-1</v>
      </c>
      <c r="N632" s="41">
        <v>4</v>
      </c>
      <c r="O632" s="110" t="s">
        <v>2719</v>
      </c>
      <c r="P632" s="109">
        <v>194272</v>
      </c>
      <c r="Q632" s="107"/>
      <c r="R632" s="111"/>
      <c r="S632" s="110"/>
      <c r="T632"/>
      <c r="U632"/>
      <c r="V632"/>
    </row>
    <row r="633" spans="1:22">
      <c r="A633" s="105">
        <v>2015</v>
      </c>
      <c r="B633" s="41">
        <v>120000000</v>
      </c>
      <c r="C633" s="41">
        <v>2.7000000000000001E-3</v>
      </c>
      <c r="D633" s="41">
        <v>4</v>
      </c>
      <c r="E633" s="41">
        <v>30</v>
      </c>
      <c r="F633" s="41">
        <v>0</v>
      </c>
      <c r="G633" s="41" t="s">
        <v>505</v>
      </c>
      <c r="H633" s="41">
        <v>2</v>
      </c>
      <c r="I633" s="41">
        <v>1</v>
      </c>
      <c r="J633" s="108">
        <v>0</v>
      </c>
      <c r="K633" s="41">
        <v>0</v>
      </c>
      <c r="L633" s="41">
        <v>55</v>
      </c>
      <c r="M633" s="41">
        <v>-1</v>
      </c>
      <c r="N633" s="41">
        <v>4</v>
      </c>
      <c r="O633" s="110" t="s">
        <v>2720</v>
      </c>
      <c r="P633" s="109">
        <v>194272</v>
      </c>
      <c r="Q633" s="107"/>
      <c r="R633" s="111"/>
      <c r="S633" s="110"/>
      <c r="T633"/>
      <c r="U633"/>
      <c r="V633"/>
    </row>
    <row r="634" spans="1:22">
      <c r="A634" s="105">
        <v>2016</v>
      </c>
      <c r="B634" s="41">
        <v>120000000</v>
      </c>
      <c r="C634" s="41">
        <v>2.7000000000000001E-3</v>
      </c>
      <c r="D634" s="41">
        <v>5.6569000000000003</v>
      </c>
      <c r="E634" s="41">
        <v>30</v>
      </c>
      <c r="F634" s="41">
        <v>0</v>
      </c>
      <c r="G634" s="41" t="s">
        <v>505</v>
      </c>
      <c r="H634" s="41">
        <v>2</v>
      </c>
      <c r="I634" s="41">
        <v>1</v>
      </c>
      <c r="J634" s="108">
        <v>0</v>
      </c>
      <c r="K634" s="41">
        <v>0</v>
      </c>
      <c r="L634" s="41">
        <v>55</v>
      </c>
      <c r="M634" s="41">
        <v>-1</v>
      </c>
      <c r="N634" s="41">
        <v>4</v>
      </c>
      <c r="O634" s="110" t="s">
        <v>2721</v>
      </c>
      <c r="P634" s="109">
        <v>194272</v>
      </c>
      <c r="Q634" s="107"/>
      <c r="R634" s="111"/>
      <c r="S634" s="110"/>
      <c r="T634"/>
      <c r="U634"/>
      <c r="V634"/>
    </row>
    <row r="635" spans="1:22">
      <c r="A635" s="105">
        <v>2017</v>
      </c>
      <c r="B635" s="41">
        <v>120000000</v>
      </c>
      <c r="C635" s="41">
        <v>2.7000000000000001E-3</v>
      </c>
      <c r="D635" s="41">
        <v>8</v>
      </c>
      <c r="E635" s="41">
        <v>30</v>
      </c>
      <c r="F635" s="41">
        <v>0</v>
      </c>
      <c r="G635" s="41" t="s">
        <v>505</v>
      </c>
      <c r="H635" s="41">
        <v>2</v>
      </c>
      <c r="I635" s="41">
        <v>1</v>
      </c>
      <c r="J635" s="108">
        <v>0</v>
      </c>
      <c r="K635" s="41">
        <v>0</v>
      </c>
      <c r="L635" s="41">
        <v>55</v>
      </c>
      <c r="M635" s="41">
        <v>-1</v>
      </c>
      <c r="N635" s="41">
        <v>4</v>
      </c>
      <c r="O635" s="110" t="s">
        <v>2722</v>
      </c>
      <c r="P635" s="109">
        <v>194272</v>
      </c>
      <c r="Q635" s="107"/>
      <c r="R635" s="111"/>
      <c r="S635" s="110"/>
      <c r="T635"/>
      <c r="U635"/>
      <c r="V635"/>
    </row>
    <row r="636" spans="1:22">
      <c r="A636" s="105">
        <v>2018</v>
      </c>
      <c r="B636" s="41">
        <v>120000000</v>
      </c>
      <c r="C636" s="41">
        <v>2.7000000000000001E-3</v>
      </c>
      <c r="D636" s="41">
        <v>11.313700000000001</v>
      </c>
      <c r="E636" s="41">
        <v>30</v>
      </c>
      <c r="F636" s="41">
        <v>0</v>
      </c>
      <c r="G636" s="41" t="s">
        <v>505</v>
      </c>
      <c r="H636" s="41">
        <v>2</v>
      </c>
      <c r="I636" s="41">
        <v>1</v>
      </c>
      <c r="J636" s="108">
        <v>0</v>
      </c>
      <c r="K636" s="41">
        <v>0</v>
      </c>
      <c r="L636" s="41">
        <v>55</v>
      </c>
      <c r="M636" s="41">
        <v>-1</v>
      </c>
      <c r="N636" s="41">
        <v>4</v>
      </c>
      <c r="O636" s="110" t="s">
        <v>2723</v>
      </c>
      <c r="P636" s="109">
        <v>194272</v>
      </c>
      <c r="Q636" s="107"/>
      <c r="R636" s="111"/>
      <c r="S636" s="110"/>
      <c r="T636"/>
      <c r="U636"/>
      <c r="V636"/>
    </row>
    <row r="637" spans="1:22">
      <c r="A637" s="105">
        <v>2019</v>
      </c>
      <c r="B637" s="41">
        <v>120000000</v>
      </c>
      <c r="C637" s="41">
        <v>2.7000000000000001E-3</v>
      </c>
      <c r="D637" s="41">
        <v>16</v>
      </c>
      <c r="E637" s="41">
        <v>30</v>
      </c>
      <c r="F637" s="41">
        <v>0</v>
      </c>
      <c r="G637" s="41" t="s">
        <v>505</v>
      </c>
      <c r="H637" s="41">
        <v>2</v>
      </c>
      <c r="I637" s="41">
        <v>1</v>
      </c>
      <c r="J637" s="108">
        <v>0</v>
      </c>
      <c r="K637" s="41">
        <v>0</v>
      </c>
      <c r="L637" s="41">
        <v>55</v>
      </c>
      <c r="M637" s="41">
        <v>-1</v>
      </c>
      <c r="N637" s="41">
        <v>4</v>
      </c>
      <c r="O637" s="110" t="s">
        <v>2724</v>
      </c>
      <c r="P637" s="109">
        <v>194272</v>
      </c>
      <c r="Q637" s="107"/>
      <c r="R637" s="111"/>
      <c r="S637" s="110"/>
      <c r="T637"/>
      <c r="U637"/>
      <c r="V637"/>
    </row>
    <row r="638" spans="1:22">
      <c r="A638" s="105">
        <v>2020</v>
      </c>
      <c r="B638" s="41">
        <v>120000000</v>
      </c>
      <c r="C638" s="41">
        <v>2.7000000000000001E-3</v>
      </c>
      <c r="D638" s="41">
        <v>22.627400000000002</v>
      </c>
      <c r="E638" s="41">
        <v>30</v>
      </c>
      <c r="F638" s="41">
        <v>0</v>
      </c>
      <c r="G638" s="41" t="s">
        <v>505</v>
      </c>
      <c r="H638" s="41">
        <v>2</v>
      </c>
      <c r="I638" s="41">
        <v>1</v>
      </c>
      <c r="J638" s="108">
        <v>0</v>
      </c>
      <c r="K638" s="41">
        <v>0</v>
      </c>
      <c r="L638" s="41">
        <v>55</v>
      </c>
      <c r="M638" s="41">
        <v>-1</v>
      </c>
      <c r="N638" s="41">
        <v>4</v>
      </c>
      <c r="O638" s="110" t="s">
        <v>2725</v>
      </c>
      <c r="P638" s="109">
        <v>194272</v>
      </c>
      <c r="Q638" s="107"/>
      <c r="R638" s="111"/>
      <c r="S638" s="110"/>
      <c r="T638"/>
      <c r="U638"/>
      <c r="V638"/>
    </row>
    <row r="639" spans="1:22">
      <c r="A639" s="105">
        <v>2021</v>
      </c>
      <c r="B639" s="41">
        <v>120000000</v>
      </c>
      <c r="C639" s="41">
        <v>2.7000000000000001E-3</v>
      </c>
      <c r="D639" s="41">
        <v>32</v>
      </c>
      <c r="E639" s="41">
        <v>30</v>
      </c>
      <c r="F639" s="41">
        <v>0</v>
      </c>
      <c r="G639" s="41" t="s">
        <v>505</v>
      </c>
      <c r="H639" s="41">
        <v>2</v>
      </c>
      <c r="I639" s="41">
        <v>1</v>
      </c>
      <c r="J639" s="108">
        <v>0</v>
      </c>
      <c r="K639" s="41">
        <v>0</v>
      </c>
      <c r="L639" s="41">
        <v>55</v>
      </c>
      <c r="M639" s="41">
        <v>-1</v>
      </c>
      <c r="N639" s="41">
        <v>4</v>
      </c>
      <c r="O639" s="110" t="s">
        <v>2726</v>
      </c>
      <c r="P639" s="109">
        <v>194272</v>
      </c>
      <c r="Q639" s="107"/>
      <c r="R639" s="111"/>
      <c r="S639" s="110"/>
      <c r="T639"/>
      <c r="U639"/>
      <c r="V639"/>
    </row>
    <row r="640" spans="1:22">
      <c r="A640" s="105">
        <v>2022</v>
      </c>
      <c r="B640" s="41">
        <v>120000000</v>
      </c>
      <c r="C640" s="41">
        <v>2.7000000000000001E-3</v>
      </c>
      <c r="D640" s="41">
        <v>45.254800000000003</v>
      </c>
      <c r="E640" s="41">
        <v>30</v>
      </c>
      <c r="F640" s="41">
        <v>0</v>
      </c>
      <c r="G640" s="41" t="s">
        <v>505</v>
      </c>
      <c r="H640" s="41">
        <v>2</v>
      </c>
      <c r="I640" s="41">
        <v>1</v>
      </c>
      <c r="J640" s="108">
        <v>0</v>
      </c>
      <c r="K640" s="41">
        <v>0</v>
      </c>
      <c r="L640" s="41">
        <v>55</v>
      </c>
      <c r="M640" s="41">
        <v>-1</v>
      </c>
      <c r="N640" s="41">
        <v>4</v>
      </c>
      <c r="O640" s="110" t="s">
        <v>2727</v>
      </c>
      <c r="P640" s="109">
        <v>194272</v>
      </c>
      <c r="Q640" s="107"/>
      <c r="R640" s="111"/>
      <c r="S640" s="110"/>
      <c r="T640"/>
      <c r="U640"/>
      <c r="V640"/>
    </row>
    <row r="641" spans="1:22">
      <c r="A641" s="105">
        <v>2023</v>
      </c>
      <c r="B641" s="41">
        <v>120000000</v>
      </c>
      <c r="C641" s="41">
        <v>2.8999999999999998E-3</v>
      </c>
      <c r="D641" s="41">
        <v>2.8283999999999998</v>
      </c>
      <c r="E641" s="41">
        <v>30</v>
      </c>
      <c r="F641" s="41">
        <v>0</v>
      </c>
      <c r="G641" s="41" t="s">
        <v>505</v>
      </c>
      <c r="H641" s="41">
        <v>2</v>
      </c>
      <c r="I641" s="41">
        <v>1</v>
      </c>
      <c r="J641" s="108">
        <v>0</v>
      </c>
      <c r="K641" s="41">
        <v>0</v>
      </c>
      <c r="L641" s="41">
        <v>55</v>
      </c>
      <c r="M641" s="41">
        <v>-1</v>
      </c>
      <c r="N641" s="41">
        <v>4</v>
      </c>
      <c r="O641" s="110" t="s">
        <v>2728</v>
      </c>
      <c r="P641" s="109">
        <v>194272</v>
      </c>
      <c r="Q641" s="107"/>
      <c r="R641" s="111"/>
      <c r="S641" s="110"/>
      <c r="T641"/>
      <c r="U641"/>
      <c r="V641"/>
    </row>
    <row r="642" spans="1:22">
      <c r="A642" s="105">
        <v>2024</v>
      </c>
      <c r="B642" s="41">
        <v>120000000</v>
      </c>
      <c r="C642" s="41">
        <v>2.8999999999999998E-3</v>
      </c>
      <c r="D642" s="41">
        <v>4</v>
      </c>
      <c r="E642" s="41">
        <v>30</v>
      </c>
      <c r="F642" s="41">
        <v>0</v>
      </c>
      <c r="G642" s="41" t="s">
        <v>505</v>
      </c>
      <c r="H642" s="41">
        <v>2</v>
      </c>
      <c r="I642" s="41">
        <v>1</v>
      </c>
      <c r="J642" s="108">
        <v>0</v>
      </c>
      <c r="K642" s="41">
        <v>0</v>
      </c>
      <c r="L642" s="41">
        <v>55</v>
      </c>
      <c r="M642" s="41">
        <v>-1</v>
      </c>
      <c r="N642" s="41">
        <v>4</v>
      </c>
      <c r="O642" s="110" t="s">
        <v>2729</v>
      </c>
      <c r="P642" s="109">
        <v>194272</v>
      </c>
      <c r="Q642" s="107"/>
      <c r="R642" s="111"/>
      <c r="S642" s="110"/>
      <c r="T642"/>
      <c r="U642"/>
      <c r="V642"/>
    </row>
    <row r="643" spans="1:22">
      <c r="A643" s="105">
        <v>2025</v>
      </c>
      <c r="B643" s="41">
        <v>120000000</v>
      </c>
      <c r="C643" s="41">
        <v>2.8999999999999998E-3</v>
      </c>
      <c r="D643" s="41">
        <v>5.6569000000000003</v>
      </c>
      <c r="E643" s="41">
        <v>30</v>
      </c>
      <c r="F643" s="41">
        <v>0</v>
      </c>
      <c r="G643" s="41" t="s">
        <v>505</v>
      </c>
      <c r="H643" s="41">
        <v>2</v>
      </c>
      <c r="I643" s="41">
        <v>1</v>
      </c>
      <c r="J643" s="108">
        <v>0</v>
      </c>
      <c r="K643" s="41">
        <v>0</v>
      </c>
      <c r="L643" s="41">
        <v>55</v>
      </c>
      <c r="M643" s="41">
        <v>-1</v>
      </c>
      <c r="N643" s="41">
        <v>4</v>
      </c>
      <c r="O643" s="110" t="s">
        <v>2730</v>
      </c>
      <c r="P643" s="109">
        <v>194272</v>
      </c>
      <c r="Q643" s="107"/>
      <c r="R643" s="111"/>
      <c r="S643" s="110"/>
      <c r="T643"/>
      <c r="U643"/>
      <c r="V643"/>
    </row>
    <row r="644" spans="1:22">
      <c r="A644" s="105">
        <v>2026</v>
      </c>
      <c r="B644" s="41">
        <v>120000000</v>
      </c>
      <c r="C644" s="41">
        <v>2.8999999999999998E-3</v>
      </c>
      <c r="D644" s="41">
        <v>8</v>
      </c>
      <c r="E644" s="41">
        <v>30</v>
      </c>
      <c r="F644" s="41">
        <v>0</v>
      </c>
      <c r="G644" s="41" t="s">
        <v>505</v>
      </c>
      <c r="H644" s="41">
        <v>2</v>
      </c>
      <c r="I644" s="41">
        <v>1</v>
      </c>
      <c r="J644" s="108">
        <v>0</v>
      </c>
      <c r="K644" s="41">
        <v>0</v>
      </c>
      <c r="L644" s="41">
        <v>55</v>
      </c>
      <c r="M644" s="41">
        <v>-1</v>
      </c>
      <c r="N644" s="41">
        <v>4</v>
      </c>
      <c r="O644" s="110" t="s">
        <v>2731</v>
      </c>
      <c r="P644" s="109">
        <v>194272</v>
      </c>
      <c r="Q644" s="107"/>
      <c r="R644" s="111"/>
      <c r="S644" s="110"/>
      <c r="T644"/>
      <c r="U644"/>
      <c r="V644"/>
    </row>
    <row r="645" spans="1:22">
      <c r="A645" s="105">
        <v>2027</v>
      </c>
      <c r="B645" s="41">
        <v>120000000</v>
      </c>
      <c r="C645" s="41">
        <v>2.8999999999999998E-3</v>
      </c>
      <c r="D645" s="41">
        <v>11.313700000000001</v>
      </c>
      <c r="E645" s="41">
        <v>30</v>
      </c>
      <c r="F645" s="41">
        <v>0</v>
      </c>
      <c r="G645" s="41" t="s">
        <v>505</v>
      </c>
      <c r="H645" s="41">
        <v>2</v>
      </c>
      <c r="I645" s="41">
        <v>1</v>
      </c>
      <c r="J645" s="108">
        <v>0</v>
      </c>
      <c r="K645" s="41">
        <v>0</v>
      </c>
      <c r="L645" s="41">
        <v>55</v>
      </c>
      <c r="M645" s="41">
        <v>-1</v>
      </c>
      <c r="N645" s="41">
        <v>4</v>
      </c>
      <c r="O645" s="110" t="s">
        <v>2732</v>
      </c>
      <c r="P645" s="109">
        <v>194272</v>
      </c>
      <c r="Q645" s="107"/>
      <c r="R645" s="111"/>
      <c r="S645" s="110"/>
      <c r="T645"/>
      <c r="U645"/>
      <c r="V645"/>
    </row>
    <row r="646" spans="1:22">
      <c r="A646" s="105">
        <v>2028</v>
      </c>
      <c r="B646" s="41">
        <v>120000000</v>
      </c>
      <c r="C646" s="41">
        <v>2.8999999999999998E-3</v>
      </c>
      <c r="D646" s="41">
        <v>16</v>
      </c>
      <c r="E646" s="41">
        <v>30</v>
      </c>
      <c r="F646" s="41">
        <v>0</v>
      </c>
      <c r="G646" s="41" t="s">
        <v>505</v>
      </c>
      <c r="H646" s="41">
        <v>2</v>
      </c>
      <c r="I646" s="41">
        <v>1</v>
      </c>
      <c r="J646" s="108">
        <v>0</v>
      </c>
      <c r="K646" s="41">
        <v>0</v>
      </c>
      <c r="L646" s="41">
        <v>55</v>
      </c>
      <c r="M646" s="41">
        <v>-1</v>
      </c>
      <c r="N646" s="41">
        <v>4</v>
      </c>
      <c r="O646" s="110" t="s">
        <v>2733</v>
      </c>
      <c r="P646" s="109">
        <v>194272</v>
      </c>
      <c r="Q646" s="107"/>
      <c r="R646" s="111"/>
      <c r="S646" s="110"/>
      <c r="T646"/>
      <c r="U646"/>
      <c r="V646"/>
    </row>
    <row r="647" spans="1:22">
      <c r="A647" s="105">
        <v>2029</v>
      </c>
      <c r="B647" s="41">
        <v>120000000</v>
      </c>
      <c r="C647" s="41">
        <v>2.8999999999999998E-3</v>
      </c>
      <c r="D647" s="41">
        <v>22.627400000000002</v>
      </c>
      <c r="E647" s="41">
        <v>30</v>
      </c>
      <c r="F647" s="41">
        <v>0</v>
      </c>
      <c r="G647" s="41" t="s">
        <v>505</v>
      </c>
      <c r="H647" s="41">
        <v>2</v>
      </c>
      <c r="I647" s="41">
        <v>1</v>
      </c>
      <c r="J647" s="108">
        <v>0</v>
      </c>
      <c r="K647" s="41">
        <v>0</v>
      </c>
      <c r="L647" s="41">
        <v>55</v>
      </c>
      <c r="M647" s="41">
        <v>-1</v>
      </c>
      <c r="N647" s="41">
        <v>4</v>
      </c>
      <c r="O647" s="110" t="s">
        <v>2734</v>
      </c>
      <c r="P647" s="109">
        <v>194272</v>
      </c>
      <c r="Q647" s="107"/>
      <c r="R647" s="111"/>
      <c r="S647" s="110"/>
      <c r="T647"/>
      <c r="U647"/>
      <c r="V647"/>
    </row>
    <row r="648" spans="1:22">
      <c r="A648" s="105">
        <v>2030</v>
      </c>
      <c r="B648" s="41">
        <v>120000000</v>
      </c>
      <c r="C648" s="41">
        <v>2.8999999999999998E-3</v>
      </c>
      <c r="D648" s="41">
        <v>32</v>
      </c>
      <c r="E648" s="41">
        <v>30</v>
      </c>
      <c r="F648" s="41">
        <v>0</v>
      </c>
      <c r="G648" s="41" t="s">
        <v>505</v>
      </c>
      <c r="H648" s="41">
        <v>2</v>
      </c>
      <c r="I648" s="41">
        <v>1</v>
      </c>
      <c r="J648" s="108">
        <v>0</v>
      </c>
      <c r="K648" s="41">
        <v>0</v>
      </c>
      <c r="L648" s="41">
        <v>55</v>
      </c>
      <c r="M648" s="41">
        <v>-1</v>
      </c>
      <c r="N648" s="41">
        <v>4</v>
      </c>
      <c r="O648" s="110" t="s">
        <v>2735</v>
      </c>
      <c r="P648" s="109">
        <v>194272</v>
      </c>
      <c r="Q648" s="107"/>
      <c r="R648" s="111"/>
      <c r="S648" s="110"/>
      <c r="T648"/>
      <c r="U648"/>
      <c r="V648"/>
    </row>
    <row r="649" spans="1:22">
      <c r="A649" s="105">
        <v>2031</v>
      </c>
      <c r="B649" s="41">
        <v>120000000</v>
      </c>
      <c r="C649" s="41">
        <v>2.8999999999999998E-3</v>
      </c>
      <c r="D649" s="41">
        <v>45.254800000000003</v>
      </c>
      <c r="E649" s="41">
        <v>30</v>
      </c>
      <c r="F649" s="41">
        <v>0</v>
      </c>
      <c r="G649" s="41" t="s">
        <v>505</v>
      </c>
      <c r="H649" s="41">
        <v>2</v>
      </c>
      <c r="I649" s="41">
        <v>1</v>
      </c>
      <c r="J649" s="108">
        <v>0</v>
      </c>
      <c r="K649" s="41">
        <v>0</v>
      </c>
      <c r="L649" s="41">
        <v>55</v>
      </c>
      <c r="M649" s="41">
        <v>-1</v>
      </c>
      <c r="N649" s="41">
        <v>4</v>
      </c>
      <c r="O649" s="110" t="s">
        <v>2736</v>
      </c>
      <c r="P649" s="109">
        <v>194272</v>
      </c>
      <c r="Q649" s="107"/>
      <c r="R649" s="111"/>
      <c r="S649" s="110"/>
      <c r="T649"/>
      <c r="U649"/>
      <c r="V649"/>
    </row>
    <row r="650" spans="1:22">
      <c r="A650" s="105">
        <v>2032</v>
      </c>
      <c r="B650" s="41">
        <v>120000000</v>
      </c>
      <c r="C650" s="41">
        <v>3.2000000000000002E-3</v>
      </c>
      <c r="D650" s="41">
        <v>4</v>
      </c>
      <c r="E650" s="41">
        <v>30</v>
      </c>
      <c r="F650" s="41">
        <v>0</v>
      </c>
      <c r="G650" s="41" t="s">
        <v>505</v>
      </c>
      <c r="H650" s="41">
        <v>2</v>
      </c>
      <c r="I650" s="41">
        <v>1</v>
      </c>
      <c r="J650" s="108">
        <v>0</v>
      </c>
      <c r="K650" s="41">
        <v>0</v>
      </c>
      <c r="L650" s="41">
        <v>55</v>
      </c>
      <c r="M650" s="41">
        <v>-1</v>
      </c>
      <c r="N650" s="41">
        <v>4</v>
      </c>
      <c r="O650" s="110" t="s">
        <v>2737</v>
      </c>
      <c r="P650" s="109">
        <v>194272</v>
      </c>
      <c r="Q650" s="107"/>
      <c r="R650" s="111"/>
      <c r="S650" s="110"/>
      <c r="T650"/>
      <c r="U650"/>
      <c r="V650"/>
    </row>
    <row r="651" spans="1:22">
      <c r="A651" s="105">
        <v>2033</v>
      </c>
      <c r="B651" s="41">
        <v>120000000</v>
      </c>
      <c r="C651" s="41">
        <v>3.2000000000000002E-3</v>
      </c>
      <c r="D651" s="41">
        <v>5.6569000000000003</v>
      </c>
      <c r="E651" s="41">
        <v>30</v>
      </c>
      <c r="F651" s="41">
        <v>0</v>
      </c>
      <c r="G651" s="41" t="s">
        <v>505</v>
      </c>
      <c r="H651" s="41">
        <v>2</v>
      </c>
      <c r="I651" s="41">
        <v>1</v>
      </c>
      <c r="J651" s="108">
        <v>0</v>
      </c>
      <c r="K651" s="41">
        <v>0</v>
      </c>
      <c r="L651" s="41">
        <v>55</v>
      </c>
      <c r="M651" s="41">
        <v>-1</v>
      </c>
      <c r="N651" s="41">
        <v>4</v>
      </c>
      <c r="O651" s="110" t="s">
        <v>2738</v>
      </c>
      <c r="P651" s="109">
        <v>194272</v>
      </c>
      <c r="Q651" s="107"/>
      <c r="R651" s="111"/>
      <c r="S651" s="110"/>
      <c r="T651"/>
      <c r="U651"/>
      <c r="V651"/>
    </row>
    <row r="652" spans="1:22">
      <c r="A652" s="105">
        <v>2034</v>
      </c>
      <c r="B652" s="41">
        <v>120000000</v>
      </c>
      <c r="C652" s="41">
        <v>3.2000000000000002E-3</v>
      </c>
      <c r="D652" s="41">
        <v>8</v>
      </c>
      <c r="E652" s="41">
        <v>30</v>
      </c>
      <c r="F652" s="41">
        <v>0</v>
      </c>
      <c r="G652" s="41" t="s">
        <v>505</v>
      </c>
      <c r="H652" s="41">
        <v>2</v>
      </c>
      <c r="I652" s="41">
        <v>1</v>
      </c>
      <c r="J652" s="108">
        <v>0</v>
      </c>
      <c r="K652" s="41">
        <v>0</v>
      </c>
      <c r="L652" s="41">
        <v>55</v>
      </c>
      <c r="M652" s="41">
        <v>-1</v>
      </c>
      <c r="N652" s="41">
        <v>4</v>
      </c>
      <c r="O652" s="110" t="s">
        <v>2739</v>
      </c>
      <c r="P652" s="109">
        <v>194272</v>
      </c>
      <c r="Q652" s="107"/>
      <c r="R652" s="111"/>
      <c r="S652" s="110"/>
      <c r="T652"/>
      <c r="U652"/>
      <c r="V652"/>
    </row>
    <row r="653" spans="1:22">
      <c r="A653" s="105">
        <v>2035</v>
      </c>
      <c r="B653" s="41">
        <v>120000000</v>
      </c>
      <c r="C653" s="41">
        <v>3.2000000000000002E-3</v>
      </c>
      <c r="D653" s="41">
        <v>11.313700000000001</v>
      </c>
      <c r="E653" s="41">
        <v>30</v>
      </c>
      <c r="F653" s="41">
        <v>0</v>
      </c>
      <c r="G653" s="41" t="s">
        <v>505</v>
      </c>
      <c r="H653" s="41">
        <v>2</v>
      </c>
      <c r="I653" s="41">
        <v>1</v>
      </c>
      <c r="J653" s="108">
        <v>0</v>
      </c>
      <c r="K653" s="41">
        <v>0</v>
      </c>
      <c r="L653" s="41">
        <v>55</v>
      </c>
      <c r="M653" s="41">
        <v>-1</v>
      </c>
      <c r="N653" s="41">
        <v>4</v>
      </c>
      <c r="O653" s="110" t="s">
        <v>2740</v>
      </c>
      <c r="P653" s="109">
        <v>194272</v>
      </c>
      <c r="Q653" s="107"/>
      <c r="R653" s="111"/>
      <c r="S653" s="110"/>
      <c r="T653"/>
      <c r="U653"/>
      <c r="V653"/>
    </row>
    <row r="654" spans="1:22">
      <c r="A654" s="105">
        <v>2036</v>
      </c>
      <c r="B654" s="41">
        <v>120000000</v>
      </c>
      <c r="C654" s="41">
        <v>3.2000000000000002E-3</v>
      </c>
      <c r="D654" s="41">
        <v>16</v>
      </c>
      <c r="E654" s="41">
        <v>30</v>
      </c>
      <c r="F654" s="41">
        <v>0</v>
      </c>
      <c r="G654" s="41" t="s">
        <v>505</v>
      </c>
      <c r="H654" s="41">
        <v>2</v>
      </c>
      <c r="I654" s="41">
        <v>1</v>
      </c>
      <c r="J654" s="108">
        <v>0</v>
      </c>
      <c r="K654" s="41">
        <v>0</v>
      </c>
      <c r="L654" s="41">
        <v>55</v>
      </c>
      <c r="M654" s="41">
        <v>-1</v>
      </c>
      <c r="N654" s="41">
        <v>4</v>
      </c>
      <c r="O654" s="110" t="s">
        <v>2741</v>
      </c>
      <c r="P654" s="109">
        <v>194272</v>
      </c>
      <c r="Q654" s="107"/>
      <c r="R654" s="111"/>
      <c r="S654" s="110"/>
      <c r="T654"/>
      <c r="U654"/>
      <c r="V654"/>
    </row>
    <row r="655" spans="1:22">
      <c r="A655" s="105">
        <v>2037</v>
      </c>
      <c r="B655" s="41">
        <v>120000000</v>
      </c>
      <c r="C655" s="41">
        <v>3.2000000000000002E-3</v>
      </c>
      <c r="D655" s="41">
        <v>22.627400000000002</v>
      </c>
      <c r="E655" s="41">
        <v>30</v>
      </c>
      <c r="F655" s="41">
        <v>0</v>
      </c>
      <c r="G655" s="41" t="s">
        <v>505</v>
      </c>
      <c r="H655" s="41">
        <v>2</v>
      </c>
      <c r="I655" s="41">
        <v>1</v>
      </c>
      <c r="J655" s="108">
        <v>0</v>
      </c>
      <c r="K655" s="41">
        <v>0</v>
      </c>
      <c r="L655" s="41">
        <v>55</v>
      </c>
      <c r="M655" s="41">
        <v>-1</v>
      </c>
      <c r="N655" s="41">
        <v>4</v>
      </c>
      <c r="O655" s="110" t="s">
        <v>2742</v>
      </c>
      <c r="P655" s="109">
        <v>194272</v>
      </c>
      <c r="Q655" s="107"/>
      <c r="R655" s="111"/>
      <c r="S655" s="110"/>
      <c r="T655"/>
      <c r="U655"/>
      <c r="V655"/>
    </row>
    <row r="656" spans="1:22">
      <c r="A656" s="105">
        <v>2038</v>
      </c>
      <c r="B656" s="41">
        <v>120000000</v>
      </c>
      <c r="C656" s="41">
        <v>3.2000000000000002E-3</v>
      </c>
      <c r="D656" s="41">
        <v>32</v>
      </c>
      <c r="E656" s="41">
        <v>30</v>
      </c>
      <c r="F656" s="41">
        <v>0</v>
      </c>
      <c r="G656" s="41" t="s">
        <v>505</v>
      </c>
      <c r="H656" s="41">
        <v>2</v>
      </c>
      <c r="I656" s="41">
        <v>1</v>
      </c>
      <c r="J656" s="108">
        <v>0</v>
      </c>
      <c r="K656" s="41">
        <v>0</v>
      </c>
      <c r="L656" s="41">
        <v>55</v>
      </c>
      <c r="M656" s="41">
        <v>-1</v>
      </c>
      <c r="N656" s="41">
        <v>4</v>
      </c>
      <c r="O656" s="110" t="s">
        <v>2743</v>
      </c>
      <c r="P656" s="109">
        <v>194272</v>
      </c>
      <c r="Q656" s="107"/>
      <c r="R656" s="111"/>
      <c r="S656" s="110"/>
      <c r="T656"/>
      <c r="U656"/>
      <c r="V656"/>
    </row>
    <row r="657" spans="1:22">
      <c r="A657" s="105">
        <v>2039</v>
      </c>
      <c r="B657" s="41">
        <v>120000000</v>
      </c>
      <c r="C657" s="41">
        <v>3.2000000000000002E-3</v>
      </c>
      <c r="D657" s="41">
        <v>45.254800000000003</v>
      </c>
      <c r="E657" s="41">
        <v>30</v>
      </c>
      <c r="F657" s="41">
        <v>0</v>
      </c>
      <c r="G657" s="41" t="s">
        <v>505</v>
      </c>
      <c r="H657" s="41">
        <v>2</v>
      </c>
      <c r="I657" s="41">
        <v>1</v>
      </c>
      <c r="J657" s="108">
        <v>0</v>
      </c>
      <c r="K657" s="41">
        <v>0</v>
      </c>
      <c r="L657" s="41">
        <v>55</v>
      </c>
      <c r="M657" s="41">
        <v>-1</v>
      </c>
      <c r="N657" s="41">
        <v>4</v>
      </c>
      <c r="O657" s="110" t="s">
        <v>2744</v>
      </c>
      <c r="P657" s="109">
        <v>194272</v>
      </c>
      <c r="Q657" s="107"/>
      <c r="R657" s="111"/>
      <c r="S657" s="110"/>
      <c r="T657"/>
      <c r="U657"/>
      <c r="V657"/>
    </row>
    <row r="658" spans="1:22">
      <c r="A658" s="105">
        <v>2040</v>
      </c>
      <c r="B658" s="41">
        <v>120000000</v>
      </c>
      <c r="C658" s="41">
        <v>3.5000000000000001E-3</v>
      </c>
      <c r="D658" s="41">
        <v>4</v>
      </c>
      <c r="E658" s="41">
        <v>30</v>
      </c>
      <c r="F658" s="41">
        <v>0</v>
      </c>
      <c r="G658" s="41" t="s">
        <v>505</v>
      </c>
      <c r="H658" s="41">
        <v>2</v>
      </c>
      <c r="I658" s="41">
        <v>1</v>
      </c>
      <c r="J658" s="108">
        <v>0</v>
      </c>
      <c r="K658" s="41">
        <v>0</v>
      </c>
      <c r="L658" s="41">
        <v>55</v>
      </c>
      <c r="M658" s="41">
        <v>-1</v>
      </c>
      <c r="N658" s="41">
        <v>4</v>
      </c>
      <c r="O658" s="110" t="s">
        <v>2745</v>
      </c>
      <c r="P658" s="109">
        <v>194272</v>
      </c>
      <c r="Q658" s="107"/>
      <c r="R658" s="111"/>
      <c r="S658" s="110"/>
      <c r="T658"/>
      <c r="U658"/>
      <c r="V658"/>
    </row>
    <row r="659" spans="1:22">
      <c r="A659" s="105">
        <v>2041</v>
      </c>
      <c r="B659" s="41">
        <v>120000000</v>
      </c>
      <c r="C659" s="41">
        <v>3.5000000000000001E-3</v>
      </c>
      <c r="D659" s="41">
        <v>5.6569000000000003</v>
      </c>
      <c r="E659" s="41">
        <v>30</v>
      </c>
      <c r="F659" s="41">
        <v>0</v>
      </c>
      <c r="G659" s="41" t="s">
        <v>505</v>
      </c>
      <c r="H659" s="41">
        <v>2</v>
      </c>
      <c r="I659" s="41">
        <v>1</v>
      </c>
      <c r="J659" s="108">
        <v>0</v>
      </c>
      <c r="K659" s="41">
        <v>0</v>
      </c>
      <c r="L659" s="41">
        <v>55</v>
      </c>
      <c r="M659" s="41">
        <v>-1</v>
      </c>
      <c r="N659" s="41">
        <v>4</v>
      </c>
      <c r="O659" s="110" t="s">
        <v>2746</v>
      </c>
      <c r="P659" s="109">
        <v>194272</v>
      </c>
      <c r="Q659" s="107"/>
      <c r="R659" s="111"/>
      <c r="S659" s="110"/>
      <c r="T659"/>
      <c r="U659"/>
      <c r="V659"/>
    </row>
    <row r="660" spans="1:22">
      <c r="A660" s="105">
        <v>2042</v>
      </c>
      <c r="B660" s="41">
        <v>120000000</v>
      </c>
      <c r="C660" s="41">
        <v>3.5000000000000001E-3</v>
      </c>
      <c r="D660" s="41">
        <v>8</v>
      </c>
      <c r="E660" s="41">
        <v>30</v>
      </c>
      <c r="F660" s="41">
        <v>0</v>
      </c>
      <c r="G660" s="41" t="s">
        <v>505</v>
      </c>
      <c r="H660" s="41">
        <v>2</v>
      </c>
      <c r="I660" s="41">
        <v>1</v>
      </c>
      <c r="J660" s="108">
        <v>0</v>
      </c>
      <c r="K660" s="41">
        <v>0</v>
      </c>
      <c r="L660" s="41">
        <v>55</v>
      </c>
      <c r="M660" s="41">
        <v>-1</v>
      </c>
      <c r="N660" s="41">
        <v>4</v>
      </c>
      <c r="O660" s="110" t="s">
        <v>2747</v>
      </c>
      <c r="P660" s="109">
        <v>194355</v>
      </c>
      <c r="Q660" s="107"/>
      <c r="R660" s="111"/>
      <c r="S660" s="110"/>
      <c r="T660"/>
      <c r="U660"/>
      <c r="V660"/>
    </row>
    <row r="661" spans="1:22">
      <c r="A661" s="105">
        <v>2043</v>
      </c>
      <c r="B661" s="41">
        <v>120000000</v>
      </c>
      <c r="C661" s="41">
        <v>3.5000000000000001E-3</v>
      </c>
      <c r="D661" s="41">
        <v>11.313700000000001</v>
      </c>
      <c r="E661" s="41">
        <v>30</v>
      </c>
      <c r="F661" s="41">
        <v>0</v>
      </c>
      <c r="G661" s="41" t="s">
        <v>505</v>
      </c>
      <c r="H661" s="41">
        <v>2</v>
      </c>
      <c r="I661" s="41">
        <v>1</v>
      </c>
      <c r="J661" s="108">
        <v>0</v>
      </c>
      <c r="K661" s="41">
        <v>0</v>
      </c>
      <c r="L661" s="41">
        <v>55</v>
      </c>
      <c r="M661" s="41">
        <v>-1</v>
      </c>
      <c r="N661" s="41">
        <v>4</v>
      </c>
      <c r="O661" s="110" t="s">
        <v>2748</v>
      </c>
      <c r="P661" s="109">
        <v>194355</v>
      </c>
      <c r="Q661" s="107"/>
      <c r="R661" s="111"/>
      <c r="S661" s="110"/>
      <c r="T661"/>
      <c r="U661"/>
      <c r="V661"/>
    </row>
    <row r="662" spans="1:22">
      <c r="A662" s="105">
        <v>2044</v>
      </c>
      <c r="B662" s="41">
        <v>120000000</v>
      </c>
      <c r="C662" s="41">
        <v>3.5000000000000001E-3</v>
      </c>
      <c r="D662" s="41">
        <v>16</v>
      </c>
      <c r="E662" s="41">
        <v>30</v>
      </c>
      <c r="F662" s="41">
        <v>0</v>
      </c>
      <c r="G662" s="41" t="s">
        <v>505</v>
      </c>
      <c r="H662" s="41">
        <v>2</v>
      </c>
      <c r="I662" s="41">
        <v>1</v>
      </c>
      <c r="J662" s="108">
        <v>0</v>
      </c>
      <c r="K662" s="41">
        <v>0</v>
      </c>
      <c r="L662" s="41">
        <v>55</v>
      </c>
      <c r="M662" s="41">
        <v>-1</v>
      </c>
      <c r="N662" s="41">
        <v>4</v>
      </c>
      <c r="O662" s="110" t="s">
        <v>2749</v>
      </c>
      <c r="P662" s="109">
        <v>194381</v>
      </c>
      <c r="Q662" s="107"/>
      <c r="R662" s="111"/>
      <c r="S662" s="110" t="s">
        <v>2267</v>
      </c>
      <c r="T662"/>
      <c r="U662"/>
      <c r="V662"/>
    </row>
    <row r="663" spans="1:22">
      <c r="A663" s="105">
        <v>2045</v>
      </c>
      <c r="B663" s="41">
        <v>120000000</v>
      </c>
      <c r="C663" s="41">
        <v>3.5000000000000001E-3</v>
      </c>
      <c r="D663" s="41">
        <v>22.627400000000002</v>
      </c>
      <c r="E663" s="41">
        <v>30</v>
      </c>
      <c r="F663" s="41">
        <v>0</v>
      </c>
      <c r="G663" s="41" t="s">
        <v>505</v>
      </c>
      <c r="H663" s="41">
        <v>2</v>
      </c>
      <c r="I663" s="41">
        <v>1</v>
      </c>
      <c r="J663" s="108">
        <v>0</v>
      </c>
      <c r="K663" s="41">
        <v>0</v>
      </c>
      <c r="L663" s="41">
        <v>55</v>
      </c>
      <c r="M663" s="41">
        <v>-1</v>
      </c>
      <c r="N663" s="41">
        <v>4</v>
      </c>
      <c r="O663" s="110" t="s">
        <v>2750</v>
      </c>
      <c r="P663" s="109">
        <v>194381</v>
      </c>
      <c r="Q663" s="107"/>
      <c r="R663" s="111"/>
      <c r="S663" s="110"/>
      <c r="T663"/>
      <c r="U663"/>
      <c r="V663"/>
    </row>
    <row r="664" spans="1:22">
      <c r="A664" s="105">
        <v>2046</v>
      </c>
      <c r="B664" s="41">
        <v>120000000</v>
      </c>
      <c r="C664" s="41">
        <v>3.5000000000000001E-3</v>
      </c>
      <c r="D664" s="41">
        <v>32</v>
      </c>
      <c r="E664" s="41">
        <v>30</v>
      </c>
      <c r="F664" s="41">
        <v>0</v>
      </c>
      <c r="G664" s="41" t="s">
        <v>505</v>
      </c>
      <c r="H664" s="41">
        <v>2</v>
      </c>
      <c r="I664" s="41">
        <v>1</v>
      </c>
      <c r="J664" s="108">
        <v>0</v>
      </c>
      <c r="K664" s="41">
        <v>0</v>
      </c>
      <c r="L664" s="41">
        <v>55</v>
      </c>
      <c r="M664" s="41">
        <v>-1</v>
      </c>
      <c r="N664" s="41">
        <v>4</v>
      </c>
      <c r="O664" s="110" t="s">
        <v>2751</v>
      </c>
      <c r="P664" s="109">
        <v>194341</v>
      </c>
      <c r="Q664" s="107"/>
      <c r="R664" s="111"/>
      <c r="S664" s="110" t="s">
        <v>2267</v>
      </c>
      <c r="T664"/>
      <c r="U664"/>
      <c r="V664"/>
    </row>
    <row r="665" spans="1:22">
      <c r="A665" s="105">
        <v>2047</v>
      </c>
      <c r="B665" s="41">
        <v>120000000</v>
      </c>
      <c r="C665" s="41">
        <v>3.5000000000000001E-3</v>
      </c>
      <c r="D665" s="41">
        <v>45.254800000000003</v>
      </c>
      <c r="E665" s="41">
        <v>30</v>
      </c>
      <c r="F665" s="41">
        <v>0</v>
      </c>
      <c r="G665" s="41" t="s">
        <v>505</v>
      </c>
      <c r="H665" s="41">
        <v>2</v>
      </c>
      <c r="I665" s="41">
        <v>1</v>
      </c>
      <c r="J665" s="108">
        <v>0</v>
      </c>
      <c r="K665" s="41">
        <v>0</v>
      </c>
      <c r="L665" s="41">
        <v>55</v>
      </c>
      <c r="M665" s="41">
        <v>-1</v>
      </c>
      <c r="N665" s="41">
        <v>4</v>
      </c>
      <c r="O665" s="110" t="s">
        <v>2752</v>
      </c>
      <c r="P665" s="109">
        <v>194341</v>
      </c>
      <c r="Q665" s="107"/>
      <c r="R665" s="111"/>
      <c r="S665" s="110"/>
      <c r="T665"/>
      <c r="U665"/>
      <c r="V665"/>
    </row>
    <row r="666" spans="1:22">
      <c r="A666" s="105">
        <v>2048</v>
      </c>
      <c r="B666" s="41">
        <v>120000000</v>
      </c>
      <c r="C666" s="41">
        <v>3.8E-3</v>
      </c>
      <c r="D666" s="41">
        <v>5.6569000000000003</v>
      </c>
      <c r="E666" s="41">
        <v>30</v>
      </c>
      <c r="F666" s="41">
        <v>0</v>
      </c>
      <c r="G666" s="41" t="s">
        <v>505</v>
      </c>
      <c r="H666" s="41">
        <v>2</v>
      </c>
      <c r="I666" s="41">
        <v>1</v>
      </c>
      <c r="J666" s="108">
        <v>0</v>
      </c>
      <c r="K666" s="41">
        <v>0</v>
      </c>
      <c r="L666" s="41">
        <v>55</v>
      </c>
      <c r="M666" s="41">
        <v>-1</v>
      </c>
      <c r="N666" s="41">
        <v>4</v>
      </c>
      <c r="O666" s="110" t="s">
        <v>2753</v>
      </c>
      <c r="P666" s="109">
        <v>194341</v>
      </c>
      <c r="Q666" s="107"/>
      <c r="R666" s="111"/>
      <c r="S666" s="110"/>
      <c r="T666"/>
      <c r="U666"/>
      <c r="V666"/>
    </row>
    <row r="667" spans="1:22">
      <c r="A667" s="105">
        <v>2049</v>
      </c>
      <c r="B667" s="41">
        <v>120000000</v>
      </c>
      <c r="C667" s="41">
        <v>3.8E-3</v>
      </c>
      <c r="D667" s="41">
        <v>8</v>
      </c>
      <c r="E667" s="41">
        <v>30</v>
      </c>
      <c r="F667" s="41">
        <v>0</v>
      </c>
      <c r="G667" s="41" t="s">
        <v>505</v>
      </c>
      <c r="H667" s="41">
        <v>2</v>
      </c>
      <c r="I667" s="41">
        <v>1</v>
      </c>
      <c r="J667" s="108">
        <v>0</v>
      </c>
      <c r="K667" s="41">
        <v>0</v>
      </c>
      <c r="L667" s="41">
        <v>55</v>
      </c>
      <c r="M667" s="41">
        <v>-1</v>
      </c>
      <c r="N667" s="41">
        <v>4</v>
      </c>
      <c r="O667" s="110" t="s">
        <v>2754</v>
      </c>
      <c r="P667" s="109">
        <v>194341</v>
      </c>
      <c r="Q667" s="107"/>
      <c r="R667" s="111"/>
      <c r="S667" s="110"/>
      <c r="T667"/>
      <c r="U667"/>
      <c r="V667"/>
    </row>
    <row r="668" spans="1:22">
      <c r="A668" s="105">
        <v>2050</v>
      </c>
      <c r="B668" s="41">
        <v>120000000</v>
      </c>
      <c r="C668" s="41">
        <v>3.8E-3</v>
      </c>
      <c r="D668" s="41">
        <v>11.313700000000001</v>
      </c>
      <c r="E668" s="41">
        <v>30</v>
      </c>
      <c r="F668" s="41">
        <v>0</v>
      </c>
      <c r="G668" s="41" t="s">
        <v>505</v>
      </c>
      <c r="H668" s="41">
        <v>2</v>
      </c>
      <c r="I668" s="41">
        <v>1</v>
      </c>
      <c r="J668" s="108">
        <v>0</v>
      </c>
      <c r="K668" s="41">
        <v>0</v>
      </c>
      <c r="L668" s="41">
        <v>55</v>
      </c>
      <c r="M668" s="41">
        <v>-1</v>
      </c>
      <c r="N668" s="41">
        <v>4</v>
      </c>
      <c r="O668" s="110" t="s">
        <v>2755</v>
      </c>
      <c r="P668" s="109">
        <v>194341</v>
      </c>
      <c r="Q668" s="107"/>
      <c r="R668" s="111"/>
      <c r="S668" s="110"/>
      <c r="T668"/>
      <c r="U668"/>
      <c r="V668"/>
    </row>
    <row r="669" spans="1:22">
      <c r="A669" s="105">
        <v>2051</v>
      </c>
      <c r="B669" s="41">
        <v>120000000</v>
      </c>
      <c r="C669" s="41">
        <v>3.8E-3</v>
      </c>
      <c r="D669" s="41">
        <v>16</v>
      </c>
      <c r="E669" s="41">
        <v>30</v>
      </c>
      <c r="F669" s="41">
        <v>0</v>
      </c>
      <c r="G669" s="41" t="s">
        <v>505</v>
      </c>
      <c r="H669" s="41">
        <v>2</v>
      </c>
      <c r="I669" s="41">
        <v>1</v>
      </c>
      <c r="J669" s="108">
        <v>0</v>
      </c>
      <c r="K669" s="41">
        <v>0</v>
      </c>
      <c r="L669" s="41">
        <v>55</v>
      </c>
      <c r="M669" s="41">
        <v>-1</v>
      </c>
      <c r="N669" s="41">
        <v>4</v>
      </c>
      <c r="O669" s="110" t="s">
        <v>2756</v>
      </c>
      <c r="P669" s="109">
        <v>194341</v>
      </c>
      <c r="Q669" s="107"/>
      <c r="R669" s="111"/>
      <c r="S669" s="110"/>
      <c r="T669"/>
      <c r="U669"/>
      <c r="V669"/>
    </row>
    <row r="670" spans="1:22">
      <c r="A670" s="105">
        <v>2052</v>
      </c>
      <c r="B670" s="41">
        <v>120000000</v>
      </c>
      <c r="C670" s="41">
        <v>3.8E-3</v>
      </c>
      <c r="D670" s="41">
        <v>22.627400000000002</v>
      </c>
      <c r="E670" s="41">
        <v>30</v>
      </c>
      <c r="F670" s="41">
        <v>0</v>
      </c>
      <c r="G670" s="41" t="s">
        <v>505</v>
      </c>
      <c r="H670" s="41">
        <v>2</v>
      </c>
      <c r="I670" s="41">
        <v>1</v>
      </c>
      <c r="J670" s="108">
        <v>0</v>
      </c>
      <c r="K670" s="41">
        <v>0</v>
      </c>
      <c r="L670" s="41">
        <v>55</v>
      </c>
      <c r="M670" s="41">
        <v>-1</v>
      </c>
      <c r="N670" s="41">
        <v>4</v>
      </c>
      <c r="O670" s="110" t="s">
        <v>2757</v>
      </c>
      <c r="P670" s="109">
        <v>194341</v>
      </c>
      <c r="Q670" s="107"/>
      <c r="R670" s="111"/>
      <c r="S670" s="110"/>
      <c r="T670"/>
      <c r="U670"/>
      <c r="V670"/>
    </row>
    <row r="671" spans="1:22">
      <c r="A671" s="105">
        <v>2053</v>
      </c>
      <c r="B671" s="41">
        <v>120000000</v>
      </c>
      <c r="C671" s="41">
        <v>3.8E-3</v>
      </c>
      <c r="D671" s="41">
        <v>32</v>
      </c>
      <c r="E671" s="41">
        <v>30</v>
      </c>
      <c r="F671" s="41">
        <v>0</v>
      </c>
      <c r="G671" s="41" t="s">
        <v>505</v>
      </c>
      <c r="H671" s="41">
        <v>2</v>
      </c>
      <c r="I671" s="41">
        <v>1</v>
      </c>
      <c r="J671" s="108">
        <v>0</v>
      </c>
      <c r="K671" s="41">
        <v>0</v>
      </c>
      <c r="L671" s="41">
        <v>55</v>
      </c>
      <c r="M671" s="41">
        <v>-1</v>
      </c>
      <c r="N671" s="41">
        <v>4</v>
      </c>
      <c r="O671" s="110" t="s">
        <v>2758</v>
      </c>
      <c r="P671" s="109">
        <v>194341</v>
      </c>
      <c r="Q671" s="107"/>
      <c r="R671" s="111"/>
      <c r="S671" s="110"/>
      <c r="T671"/>
      <c r="U671"/>
      <c r="V671"/>
    </row>
    <row r="672" spans="1:22">
      <c r="A672" s="105">
        <v>2054</v>
      </c>
      <c r="B672" s="41">
        <v>120000000</v>
      </c>
      <c r="C672" s="41">
        <v>3.8E-3</v>
      </c>
      <c r="D672" s="41">
        <v>45.254800000000003</v>
      </c>
      <c r="E672" s="41">
        <v>30</v>
      </c>
      <c r="F672" s="41">
        <v>0</v>
      </c>
      <c r="G672" s="41" t="s">
        <v>505</v>
      </c>
      <c r="H672" s="41">
        <v>2</v>
      </c>
      <c r="I672" s="41">
        <v>1</v>
      </c>
      <c r="J672" s="108">
        <v>0</v>
      </c>
      <c r="K672" s="41">
        <v>0</v>
      </c>
      <c r="L672" s="41">
        <v>55</v>
      </c>
      <c r="M672" s="41">
        <v>-1</v>
      </c>
      <c r="N672" s="41">
        <v>4</v>
      </c>
      <c r="O672" s="110" t="s">
        <v>2759</v>
      </c>
      <c r="P672" s="109">
        <v>194341</v>
      </c>
      <c r="Q672" s="107"/>
      <c r="R672" s="111"/>
      <c r="S672" s="110"/>
      <c r="T672"/>
      <c r="U672"/>
      <c r="V672"/>
    </row>
    <row r="673" spans="1:22">
      <c r="A673" s="105">
        <v>2055</v>
      </c>
      <c r="B673" s="41">
        <v>120000000</v>
      </c>
      <c r="C673" s="41">
        <v>4.1999999999999997E-3</v>
      </c>
      <c r="D673" s="41">
        <v>5.6569000000000003</v>
      </c>
      <c r="E673" s="41">
        <v>30</v>
      </c>
      <c r="F673" s="41">
        <v>0</v>
      </c>
      <c r="G673" s="41" t="s">
        <v>505</v>
      </c>
      <c r="H673" s="41">
        <v>2</v>
      </c>
      <c r="I673" s="41">
        <v>1</v>
      </c>
      <c r="J673" s="108">
        <v>0</v>
      </c>
      <c r="K673" s="41">
        <v>0</v>
      </c>
      <c r="L673" s="41">
        <v>55</v>
      </c>
      <c r="M673" s="41">
        <v>-1</v>
      </c>
      <c r="N673" s="41">
        <v>4</v>
      </c>
      <c r="O673" s="110" t="s">
        <v>2760</v>
      </c>
      <c r="P673" s="109">
        <v>194341</v>
      </c>
      <c r="Q673" s="107"/>
      <c r="R673" s="111"/>
      <c r="S673" s="110"/>
      <c r="T673"/>
      <c r="U673"/>
      <c r="V673"/>
    </row>
    <row r="674" spans="1:22">
      <c r="A674" s="105">
        <v>2056</v>
      </c>
      <c r="B674" s="41">
        <v>120000000</v>
      </c>
      <c r="C674" s="41">
        <v>4.1999999999999997E-3</v>
      </c>
      <c r="D674" s="41">
        <v>8</v>
      </c>
      <c r="E674" s="41">
        <v>30</v>
      </c>
      <c r="F674" s="41">
        <v>0</v>
      </c>
      <c r="G674" s="41" t="s">
        <v>505</v>
      </c>
      <c r="H674" s="41">
        <v>2</v>
      </c>
      <c r="I674" s="41">
        <v>1</v>
      </c>
      <c r="J674" s="108">
        <v>0</v>
      </c>
      <c r="K674" s="41">
        <v>0</v>
      </c>
      <c r="L674" s="41">
        <v>55</v>
      </c>
      <c r="M674" s="41">
        <v>-1</v>
      </c>
      <c r="N674" s="41">
        <v>4</v>
      </c>
      <c r="O674" s="110" t="s">
        <v>2761</v>
      </c>
      <c r="P674" s="109">
        <v>194341</v>
      </c>
      <c r="Q674" s="107"/>
      <c r="R674" s="111"/>
      <c r="S674" s="110"/>
      <c r="T674"/>
      <c r="U674"/>
      <c r="V674"/>
    </row>
    <row r="675" spans="1:22">
      <c r="A675" s="105">
        <v>2057</v>
      </c>
      <c r="B675" s="41">
        <v>120000000</v>
      </c>
      <c r="C675" s="41">
        <v>4.1999999999999997E-3</v>
      </c>
      <c r="D675" s="41">
        <v>11.313700000000001</v>
      </c>
      <c r="E675" s="41">
        <v>30</v>
      </c>
      <c r="F675" s="41">
        <v>0</v>
      </c>
      <c r="G675" s="41" t="s">
        <v>505</v>
      </c>
      <c r="H675" s="41">
        <v>2</v>
      </c>
      <c r="I675" s="41">
        <v>1</v>
      </c>
      <c r="J675" s="108">
        <v>0</v>
      </c>
      <c r="K675" s="41">
        <v>0</v>
      </c>
      <c r="L675" s="41">
        <v>55</v>
      </c>
      <c r="M675" s="41">
        <v>-1</v>
      </c>
      <c r="N675" s="41">
        <v>4</v>
      </c>
      <c r="O675" s="110" t="s">
        <v>2762</v>
      </c>
      <c r="P675" s="109">
        <v>194341</v>
      </c>
      <c r="Q675" s="107"/>
      <c r="R675" s="111"/>
      <c r="S675" s="110"/>
      <c r="T675"/>
      <c r="U675"/>
      <c r="V675"/>
    </row>
    <row r="676" spans="1:22">
      <c r="A676" s="105">
        <v>2058</v>
      </c>
      <c r="B676" s="41">
        <v>120000000</v>
      </c>
      <c r="C676" s="41">
        <v>4.1999999999999997E-3</v>
      </c>
      <c r="D676" s="41">
        <v>16</v>
      </c>
      <c r="E676" s="41">
        <v>30</v>
      </c>
      <c r="F676" s="41">
        <v>0</v>
      </c>
      <c r="G676" s="41" t="s">
        <v>505</v>
      </c>
      <c r="H676" s="41">
        <v>2</v>
      </c>
      <c r="I676" s="41">
        <v>1</v>
      </c>
      <c r="J676" s="108">
        <v>0</v>
      </c>
      <c r="K676" s="41">
        <v>0</v>
      </c>
      <c r="L676" s="41">
        <v>55</v>
      </c>
      <c r="M676" s="41">
        <v>-1</v>
      </c>
      <c r="N676" s="41">
        <v>4</v>
      </c>
      <c r="O676" s="110" t="s">
        <v>2763</v>
      </c>
      <c r="P676" s="109">
        <v>194341</v>
      </c>
      <c r="Q676" s="107"/>
      <c r="R676" s="111"/>
      <c r="S676" s="110"/>
      <c r="T676"/>
      <c r="U676"/>
      <c r="V676"/>
    </row>
    <row r="677" spans="1:22">
      <c r="A677" s="105">
        <v>2059</v>
      </c>
      <c r="B677" s="41">
        <v>120000000</v>
      </c>
      <c r="C677" s="41">
        <v>4.1999999999999997E-3</v>
      </c>
      <c r="D677" s="41">
        <v>22.627400000000002</v>
      </c>
      <c r="E677" s="41">
        <v>30</v>
      </c>
      <c r="F677" s="41">
        <v>0</v>
      </c>
      <c r="G677" s="41" t="s">
        <v>505</v>
      </c>
      <c r="H677" s="41">
        <v>2</v>
      </c>
      <c r="I677" s="41">
        <v>1</v>
      </c>
      <c r="J677" s="108">
        <v>0</v>
      </c>
      <c r="K677" s="41">
        <v>0</v>
      </c>
      <c r="L677" s="41">
        <v>55</v>
      </c>
      <c r="M677" s="41">
        <v>-1</v>
      </c>
      <c r="N677" s="41">
        <v>4</v>
      </c>
      <c r="O677" s="110" t="s">
        <v>2764</v>
      </c>
      <c r="P677" s="109">
        <v>194341</v>
      </c>
      <c r="Q677" s="107"/>
      <c r="R677" s="111"/>
      <c r="S677" s="110"/>
      <c r="T677"/>
      <c r="U677"/>
      <c r="V677"/>
    </row>
    <row r="678" spans="1:22">
      <c r="A678" s="105">
        <v>2060</v>
      </c>
      <c r="B678" s="41">
        <v>120000000</v>
      </c>
      <c r="C678" s="41">
        <v>4.1999999999999997E-3</v>
      </c>
      <c r="D678" s="41">
        <v>32</v>
      </c>
      <c r="E678" s="41">
        <v>30</v>
      </c>
      <c r="F678" s="41">
        <v>0</v>
      </c>
      <c r="G678" s="41" t="s">
        <v>505</v>
      </c>
      <c r="H678" s="41">
        <v>2</v>
      </c>
      <c r="I678" s="41">
        <v>1</v>
      </c>
      <c r="J678" s="108">
        <v>0</v>
      </c>
      <c r="K678" s="41">
        <v>0</v>
      </c>
      <c r="L678" s="41">
        <v>55</v>
      </c>
      <c r="M678" s="41">
        <v>-1</v>
      </c>
      <c r="N678" s="41">
        <v>4</v>
      </c>
      <c r="O678" s="110" t="s">
        <v>2765</v>
      </c>
      <c r="P678" s="109">
        <v>194341</v>
      </c>
      <c r="Q678" s="107"/>
      <c r="R678" s="111"/>
      <c r="S678" s="110"/>
      <c r="T678"/>
      <c r="U678"/>
      <c r="V678"/>
    </row>
    <row r="679" spans="1:22">
      <c r="A679" s="105">
        <v>2061</v>
      </c>
      <c r="B679" s="41">
        <v>120000000</v>
      </c>
      <c r="C679" s="41">
        <v>4.1999999999999997E-3</v>
      </c>
      <c r="D679" s="41">
        <v>45.254800000000003</v>
      </c>
      <c r="E679" s="41">
        <v>30</v>
      </c>
      <c r="F679" s="41">
        <v>0</v>
      </c>
      <c r="G679" s="41" t="s">
        <v>505</v>
      </c>
      <c r="H679" s="41">
        <v>2</v>
      </c>
      <c r="I679" s="41">
        <v>1</v>
      </c>
      <c r="J679" s="108">
        <v>0</v>
      </c>
      <c r="K679" s="41">
        <v>0</v>
      </c>
      <c r="L679" s="41">
        <v>55</v>
      </c>
      <c r="M679" s="41">
        <v>-1</v>
      </c>
      <c r="N679" s="41">
        <v>4</v>
      </c>
      <c r="O679" s="110" t="s">
        <v>2766</v>
      </c>
      <c r="P679" s="109">
        <v>194341</v>
      </c>
      <c r="Q679" s="107"/>
      <c r="R679" s="111"/>
      <c r="S679" s="110"/>
      <c r="T679"/>
      <c r="U679"/>
      <c r="V679"/>
    </row>
    <row r="680" spans="1:22">
      <c r="A680" s="105">
        <v>2062</v>
      </c>
      <c r="B680" s="41">
        <v>120000000</v>
      </c>
      <c r="C680" s="41">
        <v>4.4999999999999997E-3</v>
      </c>
      <c r="D680" s="41">
        <v>8</v>
      </c>
      <c r="E680" s="41">
        <v>30</v>
      </c>
      <c r="F680" s="41">
        <v>0</v>
      </c>
      <c r="G680" s="41" t="s">
        <v>505</v>
      </c>
      <c r="H680" s="41">
        <v>2</v>
      </c>
      <c r="I680" s="41">
        <v>1</v>
      </c>
      <c r="J680" s="108">
        <v>0</v>
      </c>
      <c r="K680" s="41">
        <v>0</v>
      </c>
      <c r="L680" s="41">
        <v>55</v>
      </c>
      <c r="M680" s="41">
        <v>-1</v>
      </c>
      <c r="N680" s="41">
        <v>4</v>
      </c>
      <c r="O680" s="110" t="s">
        <v>2767</v>
      </c>
      <c r="P680" s="109">
        <v>194341</v>
      </c>
      <c r="Q680" s="107"/>
      <c r="R680" s="111"/>
      <c r="S680" s="110"/>
      <c r="T680"/>
      <c r="U680"/>
      <c r="V680"/>
    </row>
    <row r="681" spans="1:22">
      <c r="A681" s="105">
        <v>2063</v>
      </c>
      <c r="B681" s="41">
        <v>120000000</v>
      </c>
      <c r="C681" s="41">
        <v>4.4999999999999997E-3</v>
      </c>
      <c r="D681" s="41">
        <v>11.313700000000001</v>
      </c>
      <c r="E681" s="41">
        <v>30</v>
      </c>
      <c r="F681" s="41">
        <v>0</v>
      </c>
      <c r="G681" s="41" t="s">
        <v>505</v>
      </c>
      <c r="H681" s="41">
        <v>2</v>
      </c>
      <c r="I681" s="41">
        <v>1</v>
      </c>
      <c r="J681" s="108">
        <v>0</v>
      </c>
      <c r="K681" s="41">
        <v>0</v>
      </c>
      <c r="L681" s="41">
        <v>55</v>
      </c>
      <c r="M681" s="41">
        <v>-1</v>
      </c>
      <c r="N681" s="41">
        <v>4</v>
      </c>
      <c r="O681" s="110" t="s">
        <v>2768</v>
      </c>
      <c r="P681" s="109">
        <v>194341</v>
      </c>
      <c r="Q681" s="107"/>
      <c r="R681" s="111"/>
      <c r="S681" s="110"/>
      <c r="T681"/>
      <c r="U681"/>
      <c r="V681"/>
    </row>
    <row r="682" spans="1:22">
      <c r="A682" s="105">
        <v>2064</v>
      </c>
      <c r="B682" s="41">
        <v>120000000</v>
      </c>
      <c r="C682" s="41">
        <v>4.4999999999999997E-3</v>
      </c>
      <c r="D682" s="41">
        <v>16</v>
      </c>
      <c r="E682" s="41">
        <v>30</v>
      </c>
      <c r="F682" s="41">
        <v>0</v>
      </c>
      <c r="G682" s="41" t="s">
        <v>505</v>
      </c>
      <c r="H682" s="41">
        <v>2</v>
      </c>
      <c r="I682" s="41">
        <v>1</v>
      </c>
      <c r="J682" s="108">
        <v>0</v>
      </c>
      <c r="K682" s="41">
        <v>0</v>
      </c>
      <c r="L682" s="41">
        <v>55</v>
      </c>
      <c r="M682" s="41">
        <v>-1</v>
      </c>
      <c r="N682" s="41">
        <v>4</v>
      </c>
      <c r="O682" s="110" t="s">
        <v>2769</v>
      </c>
      <c r="P682" s="109">
        <v>194341</v>
      </c>
      <c r="Q682" s="107"/>
      <c r="R682" s="111"/>
      <c r="S682" s="110"/>
      <c r="T682"/>
      <c r="U682"/>
      <c r="V682"/>
    </row>
    <row r="683" spans="1:22">
      <c r="A683" s="105">
        <v>2065</v>
      </c>
      <c r="B683" s="41">
        <v>120000000</v>
      </c>
      <c r="C683" s="41">
        <v>4.4999999999999997E-3</v>
      </c>
      <c r="D683" s="41">
        <v>22.627400000000002</v>
      </c>
      <c r="E683" s="41">
        <v>30</v>
      </c>
      <c r="F683" s="41">
        <v>0</v>
      </c>
      <c r="G683" s="41" t="s">
        <v>505</v>
      </c>
      <c r="H683" s="41">
        <v>2</v>
      </c>
      <c r="I683" s="41">
        <v>1</v>
      </c>
      <c r="J683" s="108">
        <v>0</v>
      </c>
      <c r="K683" s="41">
        <v>0</v>
      </c>
      <c r="L683" s="41">
        <v>55</v>
      </c>
      <c r="M683" s="41">
        <v>-1</v>
      </c>
      <c r="N683" s="41">
        <v>4</v>
      </c>
      <c r="O683" s="110" t="s">
        <v>2770</v>
      </c>
      <c r="P683" s="109">
        <v>194341</v>
      </c>
      <c r="Q683" s="107"/>
      <c r="R683" s="111"/>
      <c r="S683" s="110"/>
      <c r="T683"/>
      <c r="U683"/>
      <c r="V683"/>
    </row>
    <row r="684" spans="1:22">
      <c r="A684" s="105">
        <v>2066</v>
      </c>
      <c r="B684" s="41">
        <v>120000000</v>
      </c>
      <c r="C684" s="41">
        <v>4.4999999999999997E-3</v>
      </c>
      <c r="D684" s="41">
        <v>32</v>
      </c>
      <c r="E684" s="41">
        <v>30</v>
      </c>
      <c r="F684" s="41">
        <v>0</v>
      </c>
      <c r="G684" s="41" t="s">
        <v>505</v>
      </c>
      <c r="H684" s="41">
        <v>2</v>
      </c>
      <c r="I684" s="41">
        <v>1</v>
      </c>
      <c r="J684" s="108">
        <v>0</v>
      </c>
      <c r="K684" s="41">
        <v>0</v>
      </c>
      <c r="L684" s="41">
        <v>55</v>
      </c>
      <c r="M684" s="41">
        <v>-1</v>
      </c>
      <c r="N684" s="41">
        <v>4</v>
      </c>
      <c r="O684" s="110" t="s">
        <v>2771</v>
      </c>
      <c r="P684" s="109">
        <v>194341</v>
      </c>
      <c r="Q684" s="107"/>
      <c r="R684" s="111"/>
      <c r="S684" s="110"/>
      <c r="T684"/>
      <c r="U684"/>
      <c r="V684"/>
    </row>
    <row r="685" spans="1:22">
      <c r="A685" s="105">
        <v>2067</v>
      </c>
      <c r="B685" s="41">
        <v>120000000</v>
      </c>
      <c r="C685" s="41">
        <v>4.4999999999999997E-3</v>
      </c>
      <c r="D685" s="41">
        <v>45.254800000000003</v>
      </c>
      <c r="E685" s="41">
        <v>30</v>
      </c>
      <c r="F685" s="41">
        <v>0</v>
      </c>
      <c r="G685" s="41" t="s">
        <v>505</v>
      </c>
      <c r="H685" s="41">
        <v>2</v>
      </c>
      <c r="I685" s="41">
        <v>1</v>
      </c>
      <c r="J685" s="108">
        <v>0</v>
      </c>
      <c r="K685" s="41">
        <v>0</v>
      </c>
      <c r="L685" s="41">
        <v>55</v>
      </c>
      <c r="M685" s="41">
        <v>-1</v>
      </c>
      <c r="N685" s="41">
        <v>4</v>
      </c>
      <c r="O685" s="110" t="s">
        <v>2772</v>
      </c>
      <c r="P685" s="109">
        <v>194341</v>
      </c>
      <c r="Q685" s="107"/>
      <c r="R685" s="111"/>
      <c r="S685" s="110"/>
      <c r="T685"/>
      <c r="U685"/>
      <c r="V685"/>
    </row>
    <row r="686" spans="1:22">
      <c r="A686" s="105">
        <v>2068</v>
      </c>
      <c r="B686" s="41">
        <v>120000000</v>
      </c>
      <c r="C686" s="41">
        <v>4.8999999999999998E-3</v>
      </c>
      <c r="D686" s="41">
        <v>8</v>
      </c>
      <c r="E686" s="41">
        <v>30</v>
      </c>
      <c r="F686" s="41">
        <v>0</v>
      </c>
      <c r="G686" s="41" t="s">
        <v>505</v>
      </c>
      <c r="H686" s="41">
        <v>2</v>
      </c>
      <c r="I686" s="41">
        <v>1</v>
      </c>
      <c r="J686" s="108">
        <v>0</v>
      </c>
      <c r="K686" s="41">
        <v>0</v>
      </c>
      <c r="L686" s="41">
        <v>55</v>
      </c>
      <c r="M686" s="41">
        <v>-1</v>
      </c>
      <c r="N686" s="41">
        <v>4</v>
      </c>
      <c r="O686" s="110" t="s">
        <v>2773</v>
      </c>
      <c r="P686" s="109">
        <v>194341</v>
      </c>
      <c r="Q686" s="107"/>
      <c r="R686" s="111"/>
      <c r="S686" s="110"/>
      <c r="T686"/>
      <c r="U686"/>
      <c r="V686"/>
    </row>
    <row r="687" spans="1:22">
      <c r="A687" s="105">
        <v>2069</v>
      </c>
      <c r="B687" s="41">
        <v>120000000</v>
      </c>
      <c r="C687" s="41">
        <v>4.8999999999999998E-3</v>
      </c>
      <c r="D687" s="41">
        <v>11.313700000000001</v>
      </c>
      <c r="E687" s="41">
        <v>30</v>
      </c>
      <c r="F687" s="41">
        <v>0</v>
      </c>
      <c r="G687" s="41" t="s">
        <v>505</v>
      </c>
      <c r="H687" s="41">
        <v>2</v>
      </c>
      <c r="I687" s="41">
        <v>1</v>
      </c>
      <c r="J687" s="108">
        <v>0</v>
      </c>
      <c r="K687" s="41">
        <v>0</v>
      </c>
      <c r="L687" s="41">
        <v>55</v>
      </c>
      <c r="M687" s="41">
        <v>-1</v>
      </c>
      <c r="N687" s="41">
        <v>4</v>
      </c>
      <c r="O687" s="110" t="s">
        <v>2774</v>
      </c>
      <c r="P687" s="109">
        <v>194341</v>
      </c>
      <c r="Q687" s="107"/>
      <c r="R687" s="111"/>
      <c r="S687" s="110"/>
      <c r="T687"/>
      <c r="U687"/>
      <c r="V687"/>
    </row>
    <row r="688" spans="1:22">
      <c r="A688" s="105">
        <v>2070</v>
      </c>
      <c r="B688" s="41">
        <v>120000000</v>
      </c>
      <c r="C688" s="41">
        <v>4.8999999999999998E-3</v>
      </c>
      <c r="D688" s="41">
        <v>16</v>
      </c>
      <c r="E688" s="41">
        <v>30</v>
      </c>
      <c r="F688" s="41">
        <v>0</v>
      </c>
      <c r="G688" s="41" t="s">
        <v>505</v>
      </c>
      <c r="H688" s="41">
        <v>2</v>
      </c>
      <c r="I688" s="41">
        <v>1</v>
      </c>
      <c r="J688" s="108">
        <v>0</v>
      </c>
      <c r="K688" s="41">
        <v>0</v>
      </c>
      <c r="L688" s="41">
        <v>55</v>
      </c>
      <c r="M688" s="41">
        <v>-1</v>
      </c>
      <c r="N688" s="41">
        <v>4</v>
      </c>
      <c r="O688" s="110" t="s">
        <v>2775</v>
      </c>
      <c r="P688" s="109">
        <v>194341</v>
      </c>
      <c r="Q688" s="107"/>
      <c r="R688" s="111"/>
      <c r="S688" s="110"/>
      <c r="T688"/>
      <c r="U688"/>
      <c r="V688"/>
    </row>
    <row r="689" spans="1:22">
      <c r="A689" s="105">
        <v>2071</v>
      </c>
      <c r="B689" s="41">
        <v>120000000</v>
      </c>
      <c r="C689" s="41">
        <v>4.8999999999999998E-3</v>
      </c>
      <c r="D689" s="41">
        <v>22.627400000000002</v>
      </c>
      <c r="E689" s="41">
        <v>30</v>
      </c>
      <c r="F689" s="41">
        <v>0</v>
      </c>
      <c r="G689" s="41" t="s">
        <v>505</v>
      </c>
      <c r="H689" s="41">
        <v>2</v>
      </c>
      <c r="I689" s="41">
        <v>1</v>
      </c>
      <c r="J689" s="108">
        <v>0</v>
      </c>
      <c r="K689" s="41">
        <v>0</v>
      </c>
      <c r="L689" s="41">
        <v>55</v>
      </c>
      <c r="M689" s="41">
        <v>-1</v>
      </c>
      <c r="N689" s="41">
        <v>4</v>
      </c>
      <c r="O689" s="110" t="s">
        <v>2776</v>
      </c>
      <c r="P689" s="109">
        <v>194341</v>
      </c>
      <c r="Q689" s="107"/>
      <c r="R689" s="111"/>
      <c r="S689" s="110"/>
      <c r="T689"/>
      <c r="U689"/>
      <c r="V689"/>
    </row>
    <row r="690" spans="1:22">
      <c r="A690" s="105">
        <v>2072</v>
      </c>
      <c r="B690" s="41">
        <v>120000000</v>
      </c>
      <c r="C690" s="41">
        <v>4.8999999999999998E-3</v>
      </c>
      <c r="D690" s="41">
        <v>32</v>
      </c>
      <c r="E690" s="41">
        <v>30</v>
      </c>
      <c r="F690" s="41">
        <v>0</v>
      </c>
      <c r="G690" s="41" t="s">
        <v>505</v>
      </c>
      <c r="H690" s="41">
        <v>2</v>
      </c>
      <c r="I690" s="41">
        <v>1</v>
      </c>
      <c r="J690" s="108">
        <v>0</v>
      </c>
      <c r="K690" s="41">
        <v>0</v>
      </c>
      <c r="L690" s="41">
        <v>55</v>
      </c>
      <c r="M690" s="41">
        <v>-1</v>
      </c>
      <c r="N690" s="41">
        <v>4</v>
      </c>
      <c r="O690" s="111" t="s">
        <v>2777</v>
      </c>
      <c r="P690" s="109">
        <v>194341</v>
      </c>
      <c r="Q690" s="41"/>
      <c r="R690" s="111"/>
      <c r="S690" s="110"/>
      <c r="T690"/>
      <c r="U690"/>
      <c r="V690"/>
    </row>
    <row r="691" spans="1:22">
      <c r="A691" s="105">
        <v>2073</v>
      </c>
      <c r="B691" s="41">
        <v>120000000</v>
      </c>
      <c r="C691" s="41">
        <v>4.8999999999999998E-3</v>
      </c>
      <c r="D691" s="41">
        <v>45.254800000000003</v>
      </c>
      <c r="E691" s="41">
        <v>30</v>
      </c>
      <c r="F691" s="41">
        <v>0</v>
      </c>
      <c r="G691" s="41" t="s">
        <v>505</v>
      </c>
      <c r="H691" s="41">
        <v>2</v>
      </c>
      <c r="I691" s="41">
        <v>1</v>
      </c>
      <c r="J691" s="108">
        <v>0</v>
      </c>
      <c r="K691" s="41">
        <v>0</v>
      </c>
      <c r="L691" s="41">
        <v>55</v>
      </c>
      <c r="M691" s="41">
        <v>-1</v>
      </c>
      <c r="N691" s="41">
        <v>4</v>
      </c>
      <c r="O691" s="111" t="s">
        <v>2778</v>
      </c>
      <c r="P691" s="109">
        <v>194341</v>
      </c>
      <c r="Q691" s="41"/>
      <c r="R691" s="111"/>
      <c r="S691" s="110"/>
      <c r="T691"/>
      <c r="U691"/>
      <c r="V691"/>
    </row>
    <row r="692" spans="1:22">
      <c r="A692" s="105">
        <v>2074</v>
      </c>
      <c r="B692" s="41">
        <v>120000000</v>
      </c>
      <c r="C692" s="41">
        <v>5.4000000000000003E-3</v>
      </c>
      <c r="D692" s="41">
        <v>11.313700000000001</v>
      </c>
      <c r="E692" s="41">
        <v>30</v>
      </c>
      <c r="F692" s="41">
        <v>0</v>
      </c>
      <c r="G692" s="41" t="s">
        <v>505</v>
      </c>
      <c r="H692" s="41">
        <v>2</v>
      </c>
      <c r="I692" s="41">
        <v>1</v>
      </c>
      <c r="J692" s="108">
        <v>0</v>
      </c>
      <c r="K692" s="41">
        <v>0</v>
      </c>
      <c r="L692" s="41">
        <v>55</v>
      </c>
      <c r="M692" s="41">
        <v>-1</v>
      </c>
      <c r="N692" s="41">
        <v>4</v>
      </c>
      <c r="O692" s="111" t="s">
        <v>2779</v>
      </c>
      <c r="P692" s="109">
        <v>194341</v>
      </c>
      <c r="Q692" s="41"/>
      <c r="R692" s="111"/>
      <c r="S692" s="110"/>
      <c r="T692"/>
      <c r="U692"/>
      <c r="V692"/>
    </row>
    <row r="693" spans="1:22">
      <c r="A693" s="105">
        <v>2075</v>
      </c>
      <c r="B693" s="41">
        <v>120000000</v>
      </c>
      <c r="C693" s="41">
        <v>5.4000000000000003E-3</v>
      </c>
      <c r="D693" s="41">
        <v>16</v>
      </c>
      <c r="E693" s="41">
        <v>30</v>
      </c>
      <c r="F693" s="41">
        <v>0</v>
      </c>
      <c r="G693" s="41" t="s">
        <v>505</v>
      </c>
      <c r="H693" s="41">
        <v>2</v>
      </c>
      <c r="I693" s="41">
        <v>1</v>
      </c>
      <c r="J693" s="108">
        <v>0</v>
      </c>
      <c r="K693" s="41">
        <v>0</v>
      </c>
      <c r="L693" s="41">
        <v>55</v>
      </c>
      <c r="M693" s="41">
        <v>-1</v>
      </c>
      <c r="N693" s="41">
        <v>4</v>
      </c>
      <c r="O693" s="111" t="s">
        <v>2780</v>
      </c>
      <c r="P693" s="109">
        <v>194341</v>
      </c>
      <c r="Q693" s="41"/>
      <c r="R693" s="111"/>
      <c r="S693" s="110"/>
      <c r="T693"/>
      <c r="U693"/>
      <c r="V693"/>
    </row>
    <row r="694" spans="1:22">
      <c r="A694" s="105">
        <v>2076</v>
      </c>
      <c r="B694" s="41">
        <v>120000000</v>
      </c>
      <c r="C694" s="41">
        <v>5.4000000000000003E-3</v>
      </c>
      <c r="D694" s="41">
        <v>22.627400000000002</v>
      </c>
      <c r="E694" s="41">
        <v>30</v>
      </c>
      <c r="F694" s="41">
        <v>0</v>
      </c>
      <c r="G694" s="41" t="s">
        <v>505</v>
      </c>
      <c r="H694" s="41">
        <v>2</v>
      </c>
      <c r="I694" s="41">
        <v>1</v>
      </c>
      <c r="J694" s="108">
        <v>0</v>
      </c>
      <c r="K694" s="41">
        <v>0</v>
      </c>
      <c r="L694" s="41">
        <v>55</v>
      </c>
      <c r="M694" s="41">
        <v>-1</v>
      </c>
      <c r="N694" s="41">
        <v>4</v>
      </c>
      <c r="O694" s="111" t="s">
        <v>2781</v>
      </c>
      <c r="P694" s="109">
        <v>194341</v>
      </c>
      <c r="Q694" s="41"/>
      <c r="R694" s="111"/>
      <c r="S694" s="110"/>
      <c r="V694"/>
    </row>
    <row r="695" spans="1:22">
      <c r="A695" s="105">
        <v>2077</v>
      </c>
      <c r="B695" s="41">
        <v>120000000</v>
      </c>
      <c r="C695" s="41">
        <v>5.4000000000000003E-3</v>
      </c>
      <c r="D695" s="41">
        <v>32</v>
      </c>
      <c r="E695" s="41">
        <v>30</v>
      </c>
      <c r="F695" s="41">
        <v>0</v>
      </c>
      <c r="G695" s="41" t="s">
        <v>505</v>
      </c>
      <c r="H695" s="41">
        <v>2</v>
      </c>
      <c r="I695" s="41">
        <v>1</v>
      </c>
      <c r="J695" s="108">
        <v>0</v>
      </c>
      <c r="K695" s="41">
        <v>0</v>
      </c>
      <c r="L695" s="41">
        <v>55</v>
      </c>
      <c r="M695" s="41">
        <v>-1</v>
      </c>
      <c r="N695" s="41">
        <v>4</v>
      </c>
      <c r="O695" s="111" t="s">
        <v>2782</v>
      </c>
      <c r="P695" s="109">
        <v>194341</v>
      </c>
      <c r="Q695" s="41"/>
      <c r="R695" s="111"/>
      <c r="S695" s="110"/>
      <c r="V695"/>
    </row>
    <row r="696" spans="1:22">
      <c r="A696" s="105">
        <v>2078</v>
      </c>
      <c r="B696" s="41">
        <v>120000000</v>
      </c>
      <c r="C696" s="41">
        <v>5.4000000000000003E-3</v>
      </c>
      <c r="D696" s="41">
        <v>45.254800000000003</v>
      </c>
      <c r="E696" s="41">
        <v>30</v>
      </c>
      <c r="F696" s="41">
        <v>0</v>
      </c>
      <c r="G696" s="41" t="s">
        <v>505</v>
      </c>
      <c r="H696" s="41">
        <v>2</v>
      </c>
      <c r="I696" s="41">
        <v>1</v>
      </c>
      <c r="J696" s="108">
        <v>0</v>
      </c>
      <c r="K696" s="41">
        <v>0</v>
      </c>
      <c r="L696" s="41">
        <v>55</v>
      </c>
      <c r="M696" s="41">
        <v>-1</v>
      </c>
      <c r="N696" s="41">
        <v>4</v>
      </c>
      <c r="O696" s="111" t="s">
        <v>2783</v>
      </c>
      <c r="P696" s="109">
        <v>194341</v>
      </c>
      <c r="Q696" s="41"/>
      <c r="R696" s="111"/>
      <c r="S696" s="110"/>
      <c r="V696"/>
    </row>
    <row r="697" spans="1:22">
      <c r="A697" s="105">
        <v>2079</v>
      </c>
      <c r="B697" s="41">
        <v>120000000</v>
      </c>
      <c r="C697" s="41">
        <v>5.8999999999999999E-3</v>
      </c>
      <c r="D697" s="41">
        <v>11.313700000000001</v>
      </c>
      <c r="E697" s="41">
        <v>30</v>
      </c>
      <c r="F697" s="41">
        <v>0</v>
      </c>
      <c r="G697" s="41" t="s">
        <v>505</v>
      </c>
      <c r="H697" s="41">
        <v>2</v>
      </c>
      <c r="I697" s="41">
        <v>1</v>
      </c>
      <c r="J697" s="108">
        <v>0</v>
      </c>
      <c r="K697" s="41">
        <v>0</v>
      </c>
      <c r="L697" s="41">
        <v>55</v>
      </c>
      <c r="M697" s="41">
        <v>-1</v>
      </c>
      <c r="N697" s="41">
        <v>4</v>
      </c>
      <c r="O697" s="111" t="s">
        <v>2784</v>
      </c>
      <c r="P697" s="109">
        <v>194341</v>
      </c>
      <c r="Q697" s="41"/>
      <c r="R697" s="111"/>
      <c r="S697" s="110"/>
      <c r="V697"/>
    </row>
    <row r="698" spans="1:22">
      <c r="A698" s="105">
        <v>2080</v>
      </c>
      <c r="B698" s="41">
        <v>120000000</v>
      </c>
      <c r="C698" s="41">
        <v>5.8999999999999999E-3</v>
      </c>
      <c r="D698" s="41">
        <v>16</v>
      </c>
      <c r="E698" s="41">
        <v>30</v>
      </c>
      <c r="F698" s="41">
        <v>0</v>
      </c>
      <c r="G698" s="41" t="s">
        <v>505</v>
      </c>
      <c r="H698" s="41">
        <v>2</v>
      </c>
      <c r="I698" s="41">
        <v>1</v>
      </c>
      <c r="J698" s="108">
        <v>0</v>
      </c>
      <c r="K698" s="41">
        <v>0</v>
      </c>
      <c r="L698" s="41">
        <v>55</v>
      </c>
      <c r="M698" s="41">
        <v>-1</v>
      </c>
      <c r="N698" s="41">
        <v>4</v>
      </c>
      <c r="O698" s="111" t="s">
        <v>2785</v>
      </c>
      <c r="P698" s="109">
        <v>194341</v>
      </c>
      <c r="Q698" s="41"/>
      <c r="R698" s="111"/>
      <c r="S698" s="110"/>
      <c r="V698"/>
    </row>
    <row r="699" spans="1:22">
      <c r="A699" s="105">
        <v>2081</v>
      </c>
      <c r="B699" s="41">
        <v>120000000</v>
      </c>
      <c r="C699" s="41">
        <v>5.8999999999999999E-3</v>
      </c>
      <c r="D699" s="41">
        <v>22.627400000000002</v>
      </c>
      <c r="E699" s="41">
        <v>30</v>
      </c>
      <c r="F699" s="41">
        <v>0</v>
      </c>
      <c r="G699" s="41" t="s">
        <v>505</v>
      </c>
      <c r="H699" s="41">
        <v>2</v>
      </c>
      <c r="I699" s="41">
        <v>1</v>
      </c>
      <c r="J699" s="108">
        <v>0</v>
      </c>
      <c r="K699" s="41">
        <v>0</v>
      </c>
      <c r="L699" s="41">
        <v>55</v>
      </c>
      <c r="M699" s="41">
        <v>-1</v>
      </c>
      <c r="N699" s="41">
        <v>4</v>
      </c>
      <c r="O699" s="111" t="s">
        <v>2786</v>
      </c>
      <c r="P699" s="109">
        <v>194410</v>
      </c>
      <c r="Q699" s="41"/>
      <c r="R699" s="111"/>
      <c r="S699" s="110" t="s">
        <v>2267</v>
      </c>
      <c r="V699"/>
    </row>
    <row r="700" spans="1:22">
      <c r="A700" s="105">
        <v>2082</v>
      </c>
      <c r="B700" s="41">
        <v>120000000</v>
      </c>
      <c r="C700" s="41">
        <v>5.8999999999999999E-3</v>
      </c>
      <c r="D700" s="41">
        <v>32</v>
      </c>
      <c r="E700" s="41">
        <v>30</v>
      </c>
      <c r="F700" s="41">
        <v>0</v>
      </c>
      <c r="G700" s="41" t="s">
        <v>505</v>
      </c>
      <c r="H700" s="41">
        <v>2</v>
      </c>
      <c r="I700" s="41">
        <v>1</v>
      </c>
      <c r="J700" s="108">
        <v>0</v>
      </c>
      <c r="K700" s="41">
        <v>0</v>
      </c>
      <c r="L700" s="41">
        <v>55</v>
      </c>
      <c r="M700" s="41">
        <v>-1</v>
      </c>
      <c r="N700" s="41">
        <v>4</v>
      </c>
      <c r="O700" s="111" t="s">
        <v>2787</v>
      </c>
      <c r="P700" s="109">
        <v>194410</v>
      </c>
      <c r="Q700" s="41"/>
      <c r="R700" s="111"/>
      <c r="S700" s="110"/>
      <c r="V700"/>
    </row>
    <row r="701" spans="1:22">
      <c r="A701" s="105">
        <v>2083</v>
      </c>
      <c r="B701" s="41">
        <v>120000000</v>
      </c>
      <c r="C701" s="41">
        <v>5.8999999999999999E-3</v>
      </c>
      <c r="D701" s="41">
        <v>45.254800000000003</v>
      </c>
      <c r="E701" s="41">
        <v>30</v>
      </c>
      <c r="F701" s="41">
        <v>0</v>
      </c>
      <c r="G701" s="41" t="s">
        <v>505</v>
      </c>
      <c r="H701" s="41">
        <v>2</v>
      </c>
      <c r="I701" s="41">
        <v>1</v>
      </c>
      <c r="J701" s="108">
        <v>0</v>
      </c>
      <c r="K701" s="41">
        <v>0</v>
      </c>
      <c r="L701" s="41">
        <v>55</v>
      </c>
      <c r="M701" s="41">
        <v>-1</v>
      </c>
      <c r="N701" s="41">
        <v>4</v>
      </c>
      <c r="O701" s="111" t="s">
        <v>2788</v>
      </c>
      <c r="P701" s="109">
        <v>194410</v>
      </c>
      <c r="Q701" s="41"/>
      <c r="R701" s="111"/>
      <c r="S701" s="110"/>
      <c r="V701"/>
    </row>
    <row r="702" spans="1:22">
      <c r="A702" s="105">
        <v>2084</v>
      </c>
      <c r="B702" s="41">
        <v>120000000</v>
      </c>
      <c r="C702" s="41">
        <v>6.4000000000000003E-3</v>
      </c>
      <c r="D702" s="41">
        <v>16</v>
      </c>
      <c r="E702" s="41">
        <v>30</v>
      </c>
      <c r="F702" s="41">
        <v>0</v>
      </c>
      <c r="G702" s="41" t="s">
        <v>505</v>
      </c>
      <c r="H702" s="41">
        <v>2</v>
      </c>
      <c r="I702" s="41">
        <v>1</v>
      </c>
      <c r="J702" s="108">
        <v>0</v>
      </c>
      <c r="K702" s="41">
        <v>0</v>
      </c>
      <c r="L702" s="41">
        <v>55</v>
      </c>
      <c r="M702" s="41">
        <v>-1</v>
      </c>
      <c r="N702" s="41">
        <v>4</v>
      </c>
      <c r="O702" s="111" t="s">
        <v>2789</v>
      </c>
      <c r="P702" s="109">
        <v>194352</v>
      </c>
      <c r="Q702" s="41"/>
      <c r="R702" s="111"/>
      <c r="S702" s="110" t="s">
        <v>2267</v>
      </c>
      <c r="V702"/>
    </row>
    <row r="703" spans="1:22">
      <c r="A703" s="105">
        <v>2085</v>
      </c>
      <c r="B703" s="41">
        <v>120000000</v>
      </c>
      <c r="C703" s="41">
        <v>6.4000000000000003E-3</v>
      </c>
      <c r="D703" s="41">
        <v>22.627400000000002</v>
      </c>
      <c r="E703" s="41">
        <v>30</v>
      </c>
      <c r="F703" s="41">
        <v>0</v>
      </c>
      <c r="G703" s="41" t="s">
        <v>505</v>
      </c>
      <c r="H703" s="41">
        <v>2</v>
      </c>
      <c r="I703" s="41">
        <v>1</v>
      </c>
      <c r="J703" s="108">
        <v>0</v>
      </c>
      <c r="K703" s="41">
        <v>0</v>
      </c>
      <c r="L703" s="41">
        <v>55</v>
      </c>
      <c r="M703" s="41">
        <v>-1</v>
      </c>
      <c r="N703" s="41">
        <v>4</v>
      </c>
      <c r="O703" s="111" t="s">
        <v>2790</v>
      </c>
      <c r="P703" s="109">
        <v>194352</v>
      </c>
      <c r="Q703" s="41"/>
      <c r="R703" s="111"/>
      <c r="S703" s="110"/>
      <c r="V703"/>
    </row>
    <row r="704" spans="1:22">
      <c r="A704" s="105">
        <v>2086</v>
      </c>
      <c r="B704" s="41">
        <v>120000000</v>
      </c>
      <c r="C704" s="41">
        <v>6.4000000000000003E-3</v>
      </c>
      <c r="D704" s="41">
        <v>32</v>
      </c>
      <c r="E704" s="41">
        <v>30</v>
      </c>
      <c r="F704" s="41">
        <v>0</v>
      </c>
      <c r="G704" s="41" t="s">
        <v>505</v>
      </c>
      <c r="H704" s="41">
        <v>2</v>
      </c>
      <c r="I704" s="41">
        <v>1</v>
      </c>
      <c r="J704" s="108">
        <v>0</v>
      </c>
      <c r="K704" s="41">
        <v>0</v>
      </c>
      <c r="L704" s="41">
        <v>55</v>
      </c>
      <c r="M704" s="41">
        <v>-1</v>
      </c>
      <c r="N704" s="41">
        <v>4</v>
      </c>
      <c r="O704" s="111" t="s">
        <v>2791</v>
      </c>
      <c r="P704" s="109">
        <v>194352</v>
      </c>
      <c r="Q704" s="41"/>
      <c r="R704" s="111"/>
      <c r="S704" s="110"/>
      <c r="V704"/>
    </row>
    <row r="705" spans="1:22">
      <c r="A705" s="105">
        <v>2087</v>
      </c>
      <c r="B705" s="41">
        <v>120000000</v>
      </c>
      <c r="C705" s="41">
        <v>6.4000000000000003E-3</v>
      </c>
      <c r="D705" s="41">
        <v>45.254800000000003</v>
      </c>
      <c r="E705" s="41">
        <v>30</v>
      </c>
      <c r="F705" s="41">
        <v>0</v>
      </c>
      <c r="G705" s="41" t="s">
        <v>505</v>
      </c>
      <c r="H705" s="41">
        <v>2</v>
      </c>
      <c r="I705" s="41">
        <v>1</v>
      </c>
      <c r="J705" s="108">
        <v>0</v>
      </c>
      <c r="K705" s="41">
        <v>0</v>
      </c>
      <c r="L705" s="41">
        <v>55</v>
      </c>
      <c r="M705" s="41">
        <v>-1</v>
      </c>
      <c r="N705" s="41">
        <v>4</v>
      </c>
      <c r="O705" s="111" t="s">
        <v>2792</v>
      </c>
      <c r="P705" s="109">
        <v>194352</v>
      </c>
      <c r="Q705" s="41"/>
      <c r="R705" s="111"/>
      <c r="S705" s="110"/>
      <c r="V705"/>
    </row>
    <row r="706" spans="1:22">
      <c r="A706" s="105">
        <v>2088</v>
      </c>
      <c r="B706" s="41">
        <v>120000000</v>
      </c>
      <c r="C706" s="41">
        <v>7.0000000000000001E-3</v>
      </c>
      <c r="D706" s="41">
        <v>16</v>
      </c>
      <c r="E706" s="41">
        <v>30</v>
      </c>
      <c r="F706" s="41">
        <v>0</v>
      </c>
      <c r="G706" s="41" t="s">
        <v>505</v>
      </c>
      <c r="H706" s="41">
        <v>2</v>
      </c>
      <c r="I706" s="41">
        <v>1</v>
      </c>
      <c r="J706" s="108">
        <v>0</v>
      </c>
      <c r="K706" s="41">
        <v>0</v>
      </c>
      <c r="L706" s="41">
        <v>55</v>
      </c>
      <c r="M706" s="41">
        <v>-1</v>
      </c>
      <c r="N706" s="41">
        <v>4</v>
      </c>
      <c r="O706" s="111" t="s">
        <v>2793</v>
      </c>
      <c r="P706" s="109">
        <v>194352</v>
      </c>
      <c r="Q706" s="41"/>
      <c r="R706" s="111"/>
      <c r="S706" s="110"/>
      <c r="V706"/>
    </row>
    <row r="707" spans="1:22">
      <c r="A707" s="105">
        <v>2089</v>
      </c>
      <c r="B707" s="41">
        <v>120000000</v>
      </c>
      <c r="C707" s="41">
        <v>7.0000000000000001E-3</v>
      </c>
      <c r="D707" s="41">
        <v>22.627400000000002</v>
      </c>
      <c r="E707" s="41">
        <v>30</v>
      </c>
      <c r="F707" s="41">
        <v>0</v>
      </c>
      <c r="G707" s="41" t="s">
        <v>505</v>
      </c>
      <c r="H707" s="41">
        <v>2</v>
      </c>
      <c r="I707" s="41">
        <v>1</v>
      </c>
      <c r="J707" s="108">
        <v>0</v>
      </c>
      <c r="K707" s="41">
        <v>0</v>
      </c>
      <c r="L707" s="41">
        <v>55</v>
      </c>
      <c r="M707" s="41">
        <v>-1</v>
      </c>
      <c r="N707" s="41">
        <v>4</v>
      </c>
      <c r="O707" s="111" t="s">
        <v>2794</v>
      </c>
      <c r="P707" s="109">
        <v>194352</v>
      </c>
      <c r="Q707" s="41"/>
      <c r="R707" s="111"/>
      <c r="S707" s="110"/>
      <c r="V707"/>
    </row>
    <row r="708" spans="1:22">
      <c r="A708" s="105">
        <v>2090</v>
      </c>
      <c r="B708" s="41">
        <v>120000000</v>
      </c>
      <c r="C708" s="41">
        <v>7.0000000000000001E-3</v>
      </c>
      <c r="D708" s="41">
        <v>32</v>
      </c>
      <c r="E708" s="41">
        <v>30</v>
      </c>
      <c r="F708" s="41">
        <v>0</v>
      </c>
      <c r="G708" s="41" t="s">
        <v>505</v>
      </c>
      <c r="H708" s="41">
        <v>2</v>
      </c>
      <c r="I708" s="41">
        <v>1</v>
      </c>
      <c r="J708" s="108">
        <v>0</v>
      </c>
      <c r="K708" s="41">
        <v>0</v>
      </c>
      <c r="L708" s="41">
        <v>55</v>
      </c>
      <c r="M708" s="41">
        <v>-1</v>
      </c>
      <c r="N708" s="41">
        <v>4</v>
      </c>
      <c r="O708" s="111" t="s">
        <v>2795</v>
      </c>
      <c r="P708" s="109">
        <v>194352</v>
      </c>
      <c r="Q708" s="41"/>
      <c r="R708" s="111"/>
      <c r="S708" s="110"/>
      <c r="V708"/>
    </row>
    <row r="709" spans="1:22">
      <c r="A709" s="105">
        <v>2091</v>
      </c>
      <c r="B709" s="41">
        <v>120000000</v>
      </c>
      <c r="C709" s="41">
        <v>7.0000000000000001E-3</v>
      </c>
      <c r="D709" s="41">
        <v>45.254800000000003</v>
      </c>
      <c r="E709" s="41">
        <v>30</v>
      </c>
      <c r="F709" s="41">
        <v>0</v>
      </c>
      <c r="G709" s="41" t="s">
        <v>505</v>
      </c>
      <c r="H709" s="41">
        <v>2</v>
      </c>
      <c r="I709" s="41">
        <v>1</v>
      </c>
      <c r="J709" s="108">
        <v>0</v>
      </c>
      <c r="K709" s="41">
        <v>0</v>
      </c>
      <c r="L709" s="41">
        <v>55</v>
      </c>
      <c r="M709" s="41">
        <v>-1</v>
      </c>
      <c r="N709" s="41">
        <v>4</v>
      </c>
      <c r="O709" s="111" t="s">
        <v>2796</v>
      </c>
      <c r="P709" s="109">
        <v>194352</v>
      </c>
      <c r="Q709" s="41"/>
      <c r="R709" s="111"/>
      <c r="S709" s="110"/>
      <c r="V709"/>
    </row>
    <row r="710" spans="1:22">
      <c r="A710" s="105">
        <v>2092</v>
      </c>
      <c r="B710" s="41">
        <v>120000000</v>
      </c>
      <c r="C710" s="41">
        <v>7.6E-3</v>
      </c>
      <c r="D710" s="41">
        <v>22.627400000000002</v>
      </c>
      <c r="E710" s="41">
        <v>30</v>
      </c>
      <c r="F710" s="41">
        <v>0</v>
      </c>
      <c r="G710" s="41" t="s">
        <v>505</v>
      </c>
      <c r="H710" s="41">
        <v>2</v>
      </c>
      <c r="I710" s="41">
        <v>1</v>
      </c>
      <c r="J710" s="108">
        <v>0</v>
      </c>
      <c r="K710" s="41">
        <v>0</v>
      </c>
      <c r="L710" s="41">
        <v>55</v>
      </c>
      <c r="M710" s="41">
        <v>-1</v>
      </c>
      <c r="N710" s="41">
        <v>4</v>
      </c>
      <c r="O710" s="111" t="s">
        <v>2797</v>
      </c>
      <c r="P710" s="109">
        <v>194352</v>
      </c>
      <c r="Q710" s="41"/>
      <c r="R710" s="111"/>
      <c r="S710" s="110"/>
      <c r="V710"/>
    </row>
    <row r="711" spans="1:22">
      <c r="A711" s="105">
        <v>2093</v>
      </c>
      <c r="B711" s="41">
        <v>120000000</v>
      </c>
      <c r="C711" s="41">
        <v>7.6E-3</v>
      </c>
      <c r="D711" s="41">
        <v>32</v>
      </c>
      <c r="E711" s="41">
        <v>30</v>
      </c>
      <c r="F711" s="41">
        <v>0</v>
      </c>
      <c r="G711" s="41" t="s">
        <v>505</v>
      </c>
      <c r="H711" s="41">
        <v>2</v>
      </c>
      <c r="I711" s="41">
        <v>1</v>
      </c>
      <c r="J711" s="108">
        <v>0</v>
      </c>
      <c r="K711" s="41">
        <v>0</v>
      </c>
      <c r="L711" s="41">
        <v>55</v>
      </c>
      <c r="M711" s="41">
        <v>-1</v>
      </c>
      <c r="N711" s="41">
        <v>4</v>
      </c>
      <c r="O711" s="111" t="s">
        <v>2798</v>
      </c>
      <c r="P711" s="109">
        <v>194352</v>
      </c>
      <c r="Q711" s="41"/>
      <c r="R711" s="111"/>
      <c r="S711" s="110"/>
      <c r="V711"/>
    </row>
    <row r="712" spans="1:22">
      <c r="A712" s="105">
        <v>2094</v>
      </c>
      <c r="B712" s="41">
        <v>120000000</v>
      </c>
      <c r="C712" s="41">
        <v>7.6E-3</v>
      </c>
      <c r="D712" s="41">
        <v>45.254800000000003</v>
      </c>
      <c r="E712" s="41">
        <v>30</v>
      </c>
      <c r="F712" s="41">
        <v>0</v>
      </c>
      <c r="G712" s="41" t="s">
        <v>505</v>
      </c>
      <c r="H712" s="41">
        <v>2</v>
      </c>
      <c r="I712" s="41">
        <v>1</v>
      </c>
      <c r="J712" s="108">
        <v>0</v>
      </c>
      <c r="K712" s="41">
        <v>0</v>
      </c>
      <c r="L712" s="41">
        <v>55</v>
      </c>
      <c r="M712" s="41">
        <v>-1</v>
      </c>
      <c r="N712" s="41">
        <v>4</v>
      </c>
      <c r="O712" s="111" t="s">
        <v>2799</v>
      </c>
      <c r="P712" s="109">
        <v>194352</v>
      </c>
      <c r="Q712" s="41"/>
      <c r="R712" s="111"/>
      <c r="S712" s="110"/>
      <c r="V712"/>
    </row>
    <row r="713" spans="1:22">
      <c r="A713" s="105">
        <v>2095</v>
      </c>
      <c r="B713" s="41">
        <v>120000000</v>
      </c>
      <c r="C713" s="41">
        <v>8.3000000000000001E-3</v>
      </c>
      <c r="D713" s="41">
        <v>22.627400000000002</v>
      </c>
      <c r="E713" s="41">
        <v>30</v>
      </c>
      <c r="F713" s="41">
        <v>0</v>
      </c>
      <c r="G713" s="41" t="s">
        <v>505</v>
      </c>
      <c r="H713" s="41">
        <v>2</v>
      </c>
      <c r="I713" s="41">
        <v>1</v>
      </c>
      <c r="J713" s="108">
        <v>0</v>
      </c>
      <c r="K713" s="41">
        <v>0</v>
      </c>
      <c r="L713" s="41">
        <v>55</v>
      </c>
      <c r="M713" s="41">
        <v>-1</v>
      </c>
      <c r="N713" s="41">
        <v>4</v>
      </c>
      <c r="O713" s="111" t="s">
        <v>2800</v>
      </c>
      <c r="P713" s="109">
        <v>194352</v>
      </c>
      <c r="Q713" s="41"/>
      <c r="R713" s="111"/>
      <c r="S713" s="110"/>
      <c r="V713"/>
    </row>
    <row r="714" spans="1:22">
      <c r="A714" s="105">
        <v>2096</v>
      </c>
      <c r="B714" s="41">
        <v>120000000</v>
      </c>
      <c r="C714" s="41">
        <v>8.3000000000000001E-3</v>
      </c>
      <c r="D714" s="41">
        <v>32</v>
      </c>
      <c r="E714" s="41">
        <v>30</v>
      </c>
      <c r="F714" s="41">
        <v>0</v>
      </c>
      <c r="G714" s="41" t="s">
        <v>505</v>
      </c>
      <c r="H714" s="41">
        <v>2</v>
      </c>
      <c r="I714" s="41">
        <v>1</v>
      </c>
      <c r="J714" s="108">
        <v>0</v>
      </c>
      <c r="K714" s="41">
        <v>0</v>
      </c>
      <c r="L714" s="41">
        <v>55</v>
      </c>
      <c r="M714" s="41">
        <v>-1</v>
      </c>
      <c r="N714" s="41">
        <v>4</v>
      </c>
      <c r="O714" s="111" t="s">
        <v>2801</v>
      </c>
      <c r="P714" s="109">
        <v>194352</v>
      </c>
      <c r="Q714" s="41"/>
      <c r="R714" s="111"/>
      <c r="S714" s="110"/>
      <c r="V714"/>
    </row>
    <row r="715" spans="1:22">
      <c r="A715" s="105">
        <v>2097</v>
      </c>
      <c r="B715" s="41">
        <v>120000000</v>
      </c>
      <c r="C715" s="41">
        <v>8.3000000000000001E-3</v>
      </c>
      <c r="D715" s="41">
        <v>45.254800000000003</v>
      </c>
      <c r="E715" s="41">
        <v>30</v>
      </c>
      <c r="F715" s="41">
        <v>0</v>
      </c>
      <c r="G715" s="41" t="s">
        <v>505</v>
      </c>
      <c r="H715" s="41">
        <v>2</v>
      </c>
      <c r="I715" s="41">
        <v>1</v>
      </c>
      <c r="J715" s="108">
        <v>0</v>
      </c>
      <c r="K715" s="41">
        <v>0</v>
      </c>
      <c r="L715" s="41">
        <v>55</v>
      </c>
      <c r="M715" s="41">
        <v>-1</v>
      </c>
      <c r="N715" s="41">
        <v>4</v>
      </c>
      <c r="O715" s="111" t="s">
        <v>2802</v>
      </c>
      <c r="P715" s="109">
        <v>194352</v>
      </c>
      <c r="Q715" s="41"/>
      <c r="R715" s="111"/>
      <c r="S715" s="110"/>
      <c r="V715"/>
    </row>
    <row r="716" spans="1:22">
      <c r="A716" s="105">
        <v>2098</v>
      </c>
      <c r="B716" s="41">
        <v>120000000</v>
      </c>
      <c r="C716" s="41">
        <v>9.1000000000000004E-3</v>
      </c>
      <c r="D716" s="41">
        <v>32</v>
      </c>
      <c r="E716" s="41">
        <v>30</v>
      </c>
      <c r="F716" s="41">
        <v>0</v>
      </c>
      <c r="G716" s="41" t="s">
        <v>505</v>
      </c>
      <c r="H716" s="41">
        <v>2</v>
      </c>
      <c r="I716" s="41">
        <v>1</v>
      </c>
      <c r="J716" s="108">
        <v>0</v>
      </c>
      <c r="K716" s="41">
        <v>0</v>
      </c>
      <c r="L716" s="41">
        <v>55</v>
      </c>
      <c r="M716" s="41">
        <v>-1</v>
      </c>
      <c r="N716" s="41">
        <v>4</v>
      </c>
      <c r="O716" s="111" t="s">
        <v>2803</v>
      </c>
      <c r="P716" s="109">
        <v>194352</v>
      </c>
      <c r="Q716" s="41"/>
      <c r="R716" s="111"/>
      <c r="S716" s="110"/>
      <c r="V716"/>
    </row>
    <row r="717" spans="1:22">
      <c r="A717" s="105">
        <v>2099</v>
      </c>
      <c r="B717" s="41">
        <v>120000000</v>
      </c>
      <c r="C717" s="41">
        <v>9.1000000000000004E-3</v>
      </c>
      <c r="D717" s="41">
        <v>45.254800000000003</v>
      </c>
      <c r="E717" s="41">
        <v>30</v>
      </c>
      <c r="F717" s="41">
        <v>0</v>
      </c>
      <c r="G717" s="41" t="s">
        <v>505</v>
      </c>
      <c r="H717" s="41">
        <v>2</v>
      </c>
      <c r="I717" s="41">
        <v>1</v>
      </c>
      <c r="J717" s="108">
        <v>0</v>
      </c>
      <c r="K717" s="41">
        <v>0</v>
      </c>
      <c r="L717" s="41">
        <v>55</v>
      </c>
      <c r="M717" s="41">
        <v>-1</v>
      </c>
      <c r="N717" s="41">
        <v>4</v>
      </c>
      <c r="O717" s="111" t="s">
        <v>2804</v>
      </c>
      <c r="P717" s="109">
        <v>194352</v>
      </c>
      <c r="Q717" s="41"/>
      <c r="R717" s="111"/>
      <c r="S717" s="110"/>
      <c r="V717"/>
    </row>
    <row r="718" spans="1:22">
      <c r="A718" s="105">
        <v>2100</v>
      </c>
      <c r="B718" s="41">
        <v>120000000</v>
      </c>
      <c r="C718" s="41">
        <v>9.9000000000000008E-3</v>
      </c>
      <c r="D718" s="41">
        <v>32</v>
      </c>
      <c r="E718" s="41">
        <v>30</v>
      </c>
      <c r="F718" s="41">
        <v>0</v>
      </c>
      <c r="G718" s="41" t="s">
        <v>505</v>
      </c>
      <c r="H718" s="41">
        <v>2</v>
      </c>
      <c r="I718" s="41">
        <v>1</v>
      </c>
      <c r="J718" s="108">
        <v>0</v>
      </c>
      <c r="K718" s="41">
        <v>0</v>
      </c>
      <c r="L718" s="41">
        <v>55</v>
      </c>
      <c r="M718" s="41">
        <v>-1</v>
      </c>
      <c r="N718" s="41">
        <v>4</v>
      </c>
      <c r="O718" s="111" t="s">
        <v>2805</v>
      </c>
      <c r="P718" s="109">
        <v>194352</v>
      </c>
      <c r="Q718" s="41"/>
      <c r="R718" s="111"/>
      <c r="S718" s="110"/>
      <c r="V718"/>
    </row>
    <row r="719" spans="1:22">
      <c r="A719" s="105">
        <v>2101</v>
      </c>
      <c r="B719" s="41">
        <v>120000000</v>
      </c>
      <c r="C719" s="41">
        <v>9.9000000000000008E-3</v>
      </c>
      <c r="D719" s="41">
        <v>45.254800000000003</v>
      </c>
      <c r="E719" s="41">
        <v>30</v>
      </c>
      <c r="F719" s="41">
        <v>0</v>
      </c>
      <c r="G719" s="41" t="s">
        <v>505</v>
      </c>
      <c r="H719" s="41">
        <v>2</v>
      </c>
      <c r="I719" s="41">
        <v>1</v>
      </c>
      <c r="J719" s="108">
        <v>0</v>
      </c>
      <c r="K719" s="41">
        <v>0</v>
      </c>
      <c r="L719" s="41">
        <v>55</v>
      </c>
      <c r="M719" s="41">
        <v>-1</v>
      </c>
      <c r="N719" s="41">
        <v>4</v>
      </c>
      <c r="O719" s="111" t="s">
        <v>2806</v>
      </c>
      <c r="P719" s="109">
        <v>194352</v>
      </c>
      <c r="Q719" s="41"/>
      <c r="R719" s="111"/>
      <c r="S719" s="110"/>
      <c r="V719"/>
    </row>
    <row r="720" spans="1:22">
      <c r="A720" s="105">
        <v>2102</v>
      </c>
      <c r="B720" s="41">
        <v>120000000</v>
      </c>
      <c r="C720" s="41">
        <v>1.0800000000000001E-2</v>
      </c>
      <c r="D720" s="41">
        <v>45.254800000000003</v>
      </c>
      <c r="E720" s="41">
        <v>30</v>
      </c>
      <c r="F720" s="41">
        <v>0</v>
      </c>
      <c r="G720" s="41" t="s">
        <v>505</v>
      </c>
      <c r="H720" s="41">
        <v>2</v>
      </c>
      <c r="I720" s="41">
        <v>1</v>
      </c>
      <c r="J720" s="108">
        <v>0</v>
      </c>
      <c r="K720" s="41">
        <v>0</v>
      </c>
      <c r="L720" s="41">
        <v>55</v>
      </c>
      <c r="M720" s="41">
        <v>-1</v>
      </c>
      <c r="N720" s="41">
        <v>4</v>
      </c>
      <c r="O720" s="111" t="s">
        <v>2807</v>
      </c>
      <c r="P720" s="109">
        <v>194352</v>
      </c>
      <c r="Q720" s="41"/>
      <c r="R720" s="111"/>
      <c r="S720" s="110"/>
      <c r="V720"/>
    </row>
    <row r="721" spans="1:22">
      <c r="A721" s="105">
        <v>2103</v>
      </c>
      <c r="B721" s="41">
        <v>120000000</v>
      </c>
      <c r="C721" s="41">
        <v>1.18E-2</v>
      </c>
      <c r="D721" s="41">
        <v>45.254800000000003</v>
      </c>
      <c r="E721" s="41">
        <v>30</v>
      </c>
      <c r="F721" s="41">
        <v>0</v>
      </c>
      <c r="G721" s="41" t="s">
        <v>505</v>
      </c>
      <c r="H721" s="41">
        <v>2</v>
      </c>
      <c r="I721" s="41">
        <v>1</v>
      </c>
      <c r="J721" s="108">
        <v>0</v>
      </c>
      <c r="K721" s="41">
        <v>0</v>
      </c>
      <c r="L721" s="41">
        <v>55</v>
      </c>
      <c r="M721" s="41">
        <v>-1</v>
      </c>
      <c r="N721" s="41">
        <v>4</v>
      </c>
      <c r="O721" s="111" t="s">
        <v>2808</v>
      </c>
      <c r="P721" s="109">
        <v>194352</v>
      </c>
      <c r="Q721" s="41"/>
      <c r="R721" s="111"/>
      <c r="S721" s="110"/>
      <c r="V721"/>
    </row>
    <row r="722" spans="1:22">
      <c r="A722" s="105">
        <v>2104</v>
      </c>
      <c r="B722" s="41">
        <v>316800000</v>
      </c>
      <c r="C722" s="41">
        <v>1.1999999999999999E-3</v>
      </c>
      <c r="D722" s="41">
        <v>5.6569000000000003</v>
      </c>
      <c r="E722" s="41">
        <v>30</v>
      </c>
      <c r="F722" s="41">
        <v>0</v>
      </c>
      <c r="G722" s="41" t="s">
        <v>103</v>
      </c>
      <c r="H722" s="41">
        <v>1</v>
      </c>
      <c r="I722" s="41">
        <v>1</v>
      </c>
      <c r="J722" s="108">
        <v>0</v>
      </c>
      <c r="K722" s="41">
        <v>0</v>
      </c>
      <c r="L722" s="41">
        <v>55</v>
      </c>
      <c r="M722" s="41">
        <v>-1</v>
      </c>
      <c r="N722" s="41">
        <v>4</v>
      </c>
      <c r="O722" s="111" t="s">
        <v>2810</v>
      </c>
      <c r="P722" s="109">
        <v>194425</v>
      </c>
      <c r="Q722" s="41"/>
      <c r="R722" s="111"/>
      <c r="S722" s="110" t="s">
        <v>2267</v>
      </c>
      <c r="V722"/>
    </row>
    <row r="723" spans="1:22">
      <c r="A723" s="105">
        <v>2105</v>
      </c>
      <c r="B723" s="41">
        <v>316800000</v>
      </c>
      <c r="C723" s="41">
        <v>1.1999999999999999E-3</v>
      </c>
      <c r="D723" s="41">
        <v>8</v>
      </c>
      <c r="E723" s="41">
        <v>30</v>
      </c>
      <c r="F723" s="41">
        <v>0</v>
      </c>
      <c r="G723" s="41" t="s">
        <v>103</v>
      </c>
      <c r="H723" s="41">
        <v>1</v>
      </c>
      <c r="I723" s="41">
        <v>1</v>
      </c>
      <c r="J723" s="108">
        <v>0</v>
      </c>
      <c r="K723" s="41">
        <v>0</v>
      </c>
      <c r="L723" s="41">
        <v>55</v>
      </c>
      <c r="M723" s="41">
        <v>-1</v>
      </c>
      <c r="N723" s="41">
        <v>4</v>
      </c>
      <c r="O723" s="111" t="s">
        <v>2811</v>
      </c>
      <c r="P723" s="109">
        <v>194425</v>
      </c>
      <c r="Q723" s="41"/>
      <c r="R723" s="111"/>
      <c r="S723" s="110"/>
      <c r="V723"/>
    </row>
    <row r="724" spans="1:22">
      <c r="A724" s="105">
        <v>2106</v>
      </c>
      <c r="B724" s="41">
        <v>316800000</v>
      </c>
      <c r="C724" s="41">
        <v>1.1999999999999999E-3</v>
      </c>
      <c r="D724" s="41">
        <v>11.313700000000001</v>
      </c>
      <c r="E724" s="41">
        <v>30</v>
      </c>
      <c r="F724" s="41">
        <v>0</v>
      </c>
      <c r="G724" s="41" t="s">
        <v>103</v>
      </c>
      <c r="H724" s="41">
        <v>1</v>
      </c>
      <c r="I724" s="41">
        <v>1</v>
      </c>
      <c r="J724" s="108">
        <v>0</v>
      </c>
      <c r="K724" s="41">
        <v>0</v>
      </c>
      <c r="L724" s="41">
        <v>55</v>
      </c>
      <c r="M724" s="41">
        <v>-1</v>
      </c>
      <c r="N724" s="41">
        <v>4</v>
      </c>
      <c r="O724" s="111" t="s">
        <v>2812</v>
      </c>
      <c r="P724" s="109">
        <v>194425</v>
      </c>
      <c r="Q724" s="41"/>
      <c r="R724" s="111"/>
      <c r="S724" s="110"/>
      <c r="V724"/>
    </row>
    <row r="725" spans="1:22">
      <c r="A725" s="105">
        <v>2107</v>
      </c>
      <c r="B725" s="41">
        <v>316800000</v>
      </c>
      <c r="C725" s="41">
        <v>1.2999999999999999E-3</v>
      </c>
      <c r="D725" s="41">
        <v>5.6569000000000003</v>
      </c>
      <c r="E725" s="41">
        <v>30</v>
      </c>
      <c r="F725" s="41">
        <v>0</v>
      </c>
      <c r="G725" s="41" t="s">
        <v>103</v>
      </c>
      <c r="H725" s="41">
        <v>1</v>
      </c>
      <c r="I725" s="41">
        <v>1</v>
      </c>
      <c r="J725" s="108">
        <v>0</v>
      </c>
      <c r="K725" s="41">
        <v>0</v>
      </c>
      <c r="L725" s="41">
        <v>55</v>
      </c>
      <c r="M725" s="41">
        <v>-1</v>
      </c>
      <c r="N725" s="41">
        <v>4</v>
      </c>
      <c r="O725" s="111" t="s">
        <v>2813</v>
      </c>
      <c r="P725" s="109">
        <v>194425</v>
      </c>
      <c r="Q725" s="41"/>
      <c r="R725" s="111"/>
      <c r="S725" s="110"/>
      <c r="V725"/>
    </row>
    <row r="726" spans="1:22">
      <c r="A726" s="105">
        <v>2108</v>
      </c>
      <c r="B726" s="41">
        <v>316800000</v>
      </c>
      <c r="C726" s="41">
        <v>1.2999999999999999E-3</v>
      </c>
      <c r="D726" s="41">
        <v>8</v>
      </c>
      <c r="E726" s="41">
        <v>30</v>
      </c>
      <c r="F726" s="41">
        <v>0</v>
      </c>
      <c r="G726" s="41" t="s">
        <v>103</v>
      </c>
      <c r="H726" s="41">
        <v>1</v>
      </c>
      <c r="I726" s="41">
        <v>1</v>
      </c>
      <c r="J726" s="108">
        <v>0</v>
      </c>
      <c r="K726" s="41">
        <v>0</v>
      </c>
      <c r="L726" s="41">
        <v>55</v>
      </c>
      <c r="M726" s="41">
        <v>-1</v>
      </c>
      <c r="N726" s="41">
        <v>4</v>
      </c>
      <c r="O726" s="111" t="s">
        <v>2814</v>
      </c>
      <c r="P726" s="109">
        <v>194425</v>
      </c>
      <c r="Q726" s="41"/>
      <c r="R726" s="111"/>
      <c r="S726" s="110"/>
      <c r="V726"/>
    </row>
    <row r="727" spans="1:22">
      <c r="A727" s="105">
        <v>2109</v>
      </c>
      <c r="B727" s="41">
        <v>316800000</v>
      </c>
      <c r="C727" s="41">
        <v>1.2999999999999999E-3</v>
      </c>
      <c r="D727" s="41">
        <v>11.313700000000001</v>
      </c>
      <c r="E727" s="41">
        <v>30</v>
      </c>
      <c r="F727" s="41">
        <v>0</v>
      </c>
      <c r="G727" s="41" t="s">
        <v>103</v>
      </c>
      <c r="H727" s="41">
        <v>1</v>
      </c>
      <c r="I727" s="41">
        <v>1</v>
      </c>
      <c r="J727" s="108">
        <v>0</v>
      </c>
      <c r="K727" s="41">
        <v>0</v>
      </c>
      <c r="L727" s="41">
        <v>55</v>
      </c>
      <c r="M727" s="41">
        <v>-1</v>
      </c>
      <c r="N727" s="41">
        <v>4</v>
      </c>
      <c r="O727" s="111" t="s">
        <v>2815</v>
      </c>
      <c r="P727" s="109">
        <v>194425</v>
      </c>
      <c r="Q727" s="41"/>
      <c r="R727" s="111"/>
      <c r="S727" s="110"/>
      <c r="V727"/>
    </row>
    <row r="728" spans="1:22">
      <c r="A728" s="105">
        <v>2110</v>
      </c>
      <c r="B728" s="41">
        <v>316800000</v>
      </c>
      <c r="C728" s="41">
        <v>1.2999999999999999E-3</v>
      </c>
      <c r="D728" s="41">
        <v>16</v>
      </c>
      <c r="E728" s="41">
        <v>30</v>
      </c>
      <c r="F728" s="41">
        <v>0</v>
      </c>
      <c r="G728" s="41" t="s">
        <v>103</v>
      </c>
      <c r="H728" s="41">
        <v>1</v>
      </c>
      <c r="I728" s="41">
        <v>1</v>
      </c>
      <c r="J728" s="108">
        <v>0</v>
      </c>
      <c r="K728" s="41">
        <v>0</v>
      </c>
      <c r="L728" s="41">
        <v>55</v>
      </c>
      <c r="M728" s="41">
        <v>-1</v>
      </c>
      <c r="N728" s="41">
        <v>4</v>
      </c>
      <c r="O728" s="111" t="s">
        <v>2816</v>
      </c>
      <c r="P728" s="109">
        <v>194425</v>
      </c>
      <c r="Q728" s="41"/>
      <c r="R728" s="111"/>
      <c r="S728" s="110"/>
      <c r="V728"/>
    </row>
    <row r="729" spans="1:22">
      <c r="A729" s="105">
        <v>2111</v>
      </c>
      <c r="B729" s="41">
        <v>316800000</v>
      </c>
      <c r="C729" s="41">
        <v>1.5E-3</v>
      </c>
      <c r="D729" s="41">
        <v>4</v>
      </c>
      <c r="E729" s="41">
        <v>30</v>
      </c>
      <c r="F729" s="41">
        <v>0</v>
      </c>
      <c r="G729" s="41" t="s">
        <v>103</v>
      </c>
      <c r="H729" s="41">
        <v>1</v>
      </c>
      <c r="I729" s="41">
        <v>1</v>
      </c>
      <c r="J729" s="108">
        <v>0</v>
      </c>
      <c r="K729" s="41">
        <v>0</v>
      </c>
      <c r="L729" s="41">
        <v>55</v>
      </c>
      <c r="M729" s="41">
        <v>-1</v>
      </c>
      <c r="N729" s="41">
        <v>4</v>
      </c>
      <c r="O729" s="111" t="s">
        <v>2817</v>
      </c>
      <c r="P729" s="109">
        <v>194425</v>
      </c>
      <c r="Q729" s="41"/>
      <c r="R729" s="111"/>
      <c r="S729" s="110"/>
      <c r="V729"/>
    </row>
    <row r="730" spans="1:22">
      <c r="A730" s="105">
        <v>2112</v>
      </c>
      <c r="B730" s="41">
        <v>316800000</v>
      </c>
      <c r="C730" s="41">
        <v>1.5E-3</v>
      </c>
      <c r="D730" s="41">
        <v>5.6569000000000003</v>
      </c>
      <c r="E730" s="41">
        <v>30</v>
      </c>
      <c r="F730" s="41">
        <v>0</v>
      </c>
      <c r="G730" s="41" t="s">
        <v>103</v>
      </c>
      <c r="H730" s="41">
        <v>1</v>
      </c>
      <c r="I730" s="41">
        <v>1</v>
      </c>
      <c r="J730" s="108">
        <v>0</v>
      </c>
      <c r="K730" s="41">
        <v>0</v>
      </c>
      <c r="L730" s="41">
        <v>55</v>
      </c>
      <c r="M730" s="41">
        <v>-1</v>
      </c>
      <c r="N730" s="41">
        <v>4</v>
      </c>
      <c r="O730" s="111" t="s">
        <v>2818</v>
      </c>
      <c r="P730" s="109">
        <v>194425</v>
      </c>
      <c r="Q730" s="41"/>
      <c r="R730" s="111"/>
      <c r="S730" s="110"/>
      <c r="V730"/>
    </row>
    <row r="731" spans="1:22">
      <c r="A731" s="105">
        <v>2113</v>
      </c>
      <c r="B731" s="41">
        <v>316800000</v>
      </c>
      <c r="C731" s="41">
        <v>1.5E-3</v>
      </c>
      <c r="D731" s="41">
        <v>8</v>
      </c>
      <c r="E731" s="41">
        <v>30</v>
      </c>
      <c r="F731" s="41">
        <v>0</v>
      </c>
      <c r="G731" s="41" t="s">
        <v>103</v>
      </c>
      <c r="H731" s="41">
        <v>1</v>
      </c>
      <c r="I731" s="41">
        <v>1</v>
      </c>
      <c r="J731" s="108">
        <v>0</v>
      </c>
      <c r="K731" s="41">
        <v>0</v>
      </c>
      <c r="L731" s="41">
        <v>55</v>
      </c>
      <c r="M731" s="41">
        <v>-1</v>
      </c>
      <c r="N731" s="41">
        <v>4</v>
      </c>
      <c r="O731" s="111" t="s">
        <v>2819</v>
      </c>
      <c r="P731" s="109">
        <v>194425</v>
      </c>
      <c r="Q731" s="41"/>
      <c r="R731" s="111"/>
      <c r="S731" s="110"/>
      <c r="V731"/>
    </row>
    <row r="732" spans="1:22">
      <c r="A732" s="105">
        <v>2114</v>
      </c>
      <c r="B732" s="41">
        <v>316800000</v>
      </c>
      <c r="C732" s="41">
        <v>1.5E-3</v>
      </c>
      <c r="D732" s="41">
        <v>11.313700000000001</v>
      </c>
      <c r="E732" s="41">
        <v>30</v>
      </c>
      <c r="F732" s="41">
        <v>0</v>
      </c>
      <c r="G732" s="41" t="s">
        <v>103</v>
      </c>
      <c r="H732" s="41">
        <v>1</v>
      </c>
      <c r="I732" s="41">
        <v>1</v>
      </c>
      <c r="J732" s="108">
        <v>0</v>
      </c>
      <c r="K732" s="41">
        <v>0</v>
      </c>
      <c r="L732" s="41">
        <v>55</v>
      </c>
      <c r="M732" s="41">
        <v>-1</v>
      </c>
      <c r="N732" s="41">
        <v>4</v>
      </c>
      <c r="O732" s="111" t="s">
        <v>2820</v>
      </c>
      <c r="P732" s="109">
        <v>194425</v>
      </c>
      <c r="Q732" s="41"/>
      <c r="R732" s="111"/>
      <c r="S732" s="110"/>
      <c r="V732"/>
    </row>
    <row r="733" spans="1:22">
      <c r="A733" s="105">
        <v>2115</v>
      </c>
      <c r="B733" s="41">
        <v>316800000</v>
      </c>
      <c r="C733" s="41">
        <v>1.5E-3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1</v>
      </c>
      <c r="I733" s="41">
        <v>1</v>
      </c>
      <c r="J733" s="108">
        <v>0</v>
      </c>
      <c r="K733" s="41">
        <v>0</v>
      </c>
      <c r="L733" s="41">
        <v>55</v>
      </c>
      <c r="M733" s="41">
        <v>-1</v>
      </c>
      <c r="N733" s="41">
        <v>4</v>
      </c>
      <c r="O733" s="111" t="s">
        <v>2821</v>
      </c>
      <c r="P733" s="109">
        <v>194425</v>
      </c>
      <c r="Q733" s="41"/>
      <c r="R733" s="111"/>
      <c r="S733" s="110"/>
      <c r="V733"/>
    </row>
    <row r="734" spans="1:22">
      <c r="A734" s="105">
        <v>2116</v>
      </c>
      <c r="B734" s="41">
        <v>316800000</v>
      </c>
      <c r="C734" s="41">
        <v>1.6000000000000001E-3</v>
      </c>
      <c r="D734" s="41">
        <v>4</v>
      </c>
      <c r="E734" s="41">
        <v>30</v>
      </c>
      <c r="F734" s="41">
        <v>0</v>
      </c>
      <c r="G734" s="41" t="s">
        <v>103</v>
      </c>
      <c r="H734" s="41">
        <v>1</v>
      </c>
      <c r="I734" s="41">
        <v>1</v>
      </c>
      <c r="J734" s="108">
        <v>0</v>
      </c>
      <c r="K734" s="41">
        <v>0</v>
      </c>
      <c r="L734" s="41">
        <v>55</v>
      </c>
      <c r="M734" s="41">
        <v>-1</v>
      </c>
      <c r="N734" s="41">
        <v>4</v>
      </c>
      <c r="O734" s="111" t="s">
        <v>2822</v>
      </c>
      <c r="P734" s="109">
        <v>194425</v>
      </c>
      <c r="Q734" s="41"/>
      <c r="R734" s="111"/>
      <c r="S734" s="110"/>
      <c r="V734"/>
    </row>
    <row r="735" spans="1:22">
      <c r="A735" s="105">
        <v>2117</v>
      </c>
      <c r="B735" s="41">
        <v>316800000</v>
      </c>
      <c r="C735" s="41">
        <v>1.6000000000000001E-3</v>
      </c>
      <c r="D735" s="41">
        <v>5.6569000000000003</v>
      </c>
      <c r="E735" s="41">
        <v>30</v>
      </c>
      <c r="F735" s="41">
        <v>0</v>
      </c>
      <c r="G735" s="41" t="s">
        <v>103</v>
      </c>
      <c r="H735" s="41">
        <v>1</v>
      </c>
      <c r="I735" s="41">
        <v>1</v>
      </c>
      <c r="J735" s="108">
        <v>0</v>
      </c>
      <c r="K735" s="41">
        <v>0</v>
      </c>
      <c r="L735" s="41">
        <v>55</v>
      </c>
      <c r="M735" s="41">
        <v>-1</v>
      </c>
      <c r="N735" s="41">
        <v>4</v>
      </c>
      <c r="O735" s="111" t="s">
        <v>2823</v>
      </c>
      <c r="P735" s="109">
        <v>194425</v>
      </c>
      <c r="Q735" s="41"/>
      <c r="R735" s="111"/>
      <c r="S735" s="110"/>
      <c r="V735"/>
    </row>
    <row r="736" spans="1:22">
      <c r="A736" s="105">
        <v>2118</v>
      </c>
      <c r="B736" s="41">
        <v>316800000</v>
      </c>
      <c r="C736" s="41">
        <v>1.6000000000000001E-3</v>
      </c>
      <c r="D736" s="41">
        <v>8</v>
      </c>
      <c r="E736" s="41">
        <v>30</v>
      </c>
      <c r="F736" s="41">
        <v>0</v>
      </c>
      <c r="G736" s="41" t="s">
        <v>103</v>
      </c>
      <c r="H736" s="41">
        <v>1</v>
      </c>
      <c r="I736" s="41">
        <v>1</v>
      </c>
      <c r="J736" s="108">
        <v>0</v>
      </c>
      <c r="K736" s="41">
        <v>0</v>
      </c>
      <c r="L736" s="41">
        <v>55</v>
      </c>
      <c r="M736" s="41">
        <v>-1</v>
      </c>
      <c r="N736" s="41">
        <v>4</v>
      </c>
      <c r="O736" s="108" t="s">
        <v>2824</v>
      </c>
      <c r="P736" s="109">
        <v>194425</v>
      </c>
      <c r="Q736" s="41"/>
      <c r="R736" s="111"/>
      <c r="S736" s="110"/>
      <c r="V736"/>
    </row>
    <row r="737" spans="1:22">
      <c r="A737" s="105">
        <v>2119</v>
      </c>
      <c r="B737" s="41">
        <v>316800000</v>
      </c>
      <c r="C737" s="41">
        <v>1.6000000000000001E-3</v>
      </c>
      <c r="D737" s="41">
        <v>11.313700000000001</v>
      </c>
      <c r="E737" s="41">
        <v>30</v>
      </c>
      <c r="F737" s="41">
        <v>0</v>
      </c>
      <c r="G737" s="41" t="s">
        <v>103</v>
      </c>
      <c r="H737" s="41">
        <v>1</v>
      </c>
      <c r="I737" s="41">
        <v>1</v>
      </c>
      <c r="J737" s="108">
        <v>0</v>
      </c>
      <c r="K737" s="41">
        <v>0</v>
      </c>
      <c r="L737" s="41">
        <v>55</v>
      </c>
      <c r="M737" s="41">
        <v>-1</v>
      </c>
      <c r="N737" s="41">
        <v>4</v>
      </c>
      <c r="O737" s="108" t="s">
        <v>2825</v>
      </c>
      <c r="P737" s="109">
        <v>194425</v>
      </c>
      <c r="Q737" s="41"/>
      <c r="R737" s="111"/>
      <c r="S737" s="110"/>
      <c r="V737"/>
    </row>
    <row r="738" spans="1:22">
      <c r="A738" s="105">
        <v>2120</v>
      </c>
      <c r="B738" s="41">
        <v>316800000</v>
      </c>
      <c r="C738" s="41">
        <v>1.6000000000000001E-3</v>
      </c>
      <c r="D738" s="41">
        <v>16</v>
      </c>
      <c r="E738" s="41">
        <v>30</v>
      </c>
      <c r="F738" s="41">
        <v>0</v>
      </c>
      <c r="G738" s="41" t="s">
        <v>103</v>
      </c>
      <c r="H738" s="41">
        <v>1</v>
      </c>
      <c r="I738" s="41">
        <v>1</v>
      </c>
      <c r="J738" s="108">
        <v>0</v>
      </c>
      <c r="K738" s="41">
        <v>0</v>
      </c>
      <c r="L738" s="41">
        <v>55</v>
      </c>
      <c r="M738" s="41">
        <v>-1</v>
      </c>
      <c r="N738" s="41">
        <v>4</v>
      </c>
      <c r="O738" s="108" t="s">
        <v>2826</v>
      </c>
      <c r="P738" s="109">
        <v>194425</v>
      </c>
      <c r="Q738" s="41"/>
      <c r="R738" s="111"/>
      <c r="S738" s="110"/>
      <c r="V738"/>
    </row>
    <row r="739" spans="1:22">
      <c r="A739" s="105">
        <v>2121</v>
      </c>
      <c r="B739" s="41">
        <v>316800000</v>
      </c>
      <c r="C739" s="41">
        <v>1.6000000000000001E-3</v>
      </c>
      <c r="D739" s="41">
        <v>22.627400000000002</v>
      </c>
      <c r="E739" s="41">
        <v>30</v>
      </c>
      <c r="F739" s="41">
        <v>0</v>
      </c>
      <c r="G739" s="41" t="s">
        <v>103</v>
      </c>
      <c r="H739" s="41">
        <v>1</v>
      </c>
      <c r="I739" s="41">
        <v>1</v>
      </c>
      <c r="J739" s="108">
        <v>0</v>
      </c>
      <c r="K739" s="41">
        <v>0</v>
      </c>
      <c r="L739" s="41">
        <v>55</v>
      </c>
      <c r="M739" s="41">
        <v>-1</v>
      </c>
      <c r="N739" s="41">
        <v>4</v>
      </c>
      <c r="O739" s="108" t="s">
        <v>2827</v>
      </c>
      <c r="P739" s="109">
        <v>194425</v>
      </c>
      <c r="Q739" s="41"/>
      <c r="R739" s="111"/>
      <c r="S739" s="110"/>
      <c r="V739"/>
    </row>
    <row r="740" spans="1:22">
      <c r="A740" s="105">
        <v>2122</v>
      </c>
      <c r="B740" s="41">
        <v>316800000</v>
      </c>
      <c r="C740" s="41">
        <v>1.6999999999999999E-3</v>
      </c>
      <c r="D740" s="41">
        <v>4</v>
      </c>
      <c r="E740" s="41">
        <v>30</v>
      </c>
      <c r="F740" s="41">
        <v>0</v>
      </c>
      <c r="G740" s="41" t="s">
        <v>103</v>
      </c>
      <c r="H740" s="41">
        <v>1</v>
      </c>
      <c r="I740" s="41">
        <v>1</v>
      </c>
      <c r="J740" s="108">
        <v>0</v>
      </c>
      <c r="K740" s="41">
        <v>0</v>
      </c>
      <c r="L740" s="41">
        <v>55</v>
      </c>
      <c r="M740" s="41">
        <v>-1</v>
      </c>
      <c r="N740" s="41">
        <v>4</v>
      </c>
      <c r="O740" s="108" t="s">
        <v>2828</v>
      </c>
      <c r="P740" s="109">
        <v>194425</v>
      </c>
      <c r="Q740" s="41"/>
      <c r="R740" s="111"/>
      <c r="S740" s="110"/>
      <c r="V740"/>
    </row>
    <row r="741" spans="1:22">
      <c r="A741" s="105">
        <v>2123</v>
      </c>
      <c r="B741" s="41">
        <v>316800000</v>
      </c>
      <c r="C741" s="41">
        <v>1.6999999999999999E-3</v>
      </c>
      <c r="D741" s="41">
        <v>5.6569000000000003</v>
      </c>
      <c r="E741" s="41">
        <v>30</v>
      </c>
      <c r="F741" s="41">
        <v>0</v>
      </c>
      <c r="G741" s="41" t="s">
        <v>103</v>
      </c>
      <c r="H741" s="41">
        <v>1</v>
      </c>
      <c r="I741" s="41">
        <v>1</v>
      </c>
      <c r="J741" s="108">
        <v>0</v>
      </c>
      <c r="K741" s="41">
        <v>0</v>
      </c>
      <c r="L741" s="41">
        <v>55</v>
      </c>
      <c r="M741" s="41">
        <v>-1</v>
      </c>
      <c r="N741" s="41">
        <v>4</v>
      </c>
      <c r="O741" s="108" t="s">
        <v>2829</v>
      </c>
      <c r="P741" s="109">
        <v>194425</v>
      </c>
      <c r="Q741" s="41"/>
      <c r="R741" s="111"/>
      <c r="S741" s="110"/>
      <c r="V741"/>
    </row>
    <row r="742" spans="1:22">
      <c r="A742" s="105">
        <v>2124</v>
      </c>
      <c r="B742" s="41">
        <v>316800000</v>
      </c>
      <c r="C742" s="41">
        <v>1.6999999999999999E-3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1</v>
      </c>
      <c r="I742" s="41">
        <v>1</v>
      </c>
      <c r="J742" s="108">
        <v>0</v>
      </c>
      <c r="K742" s="41">
        <v>0</v>
      </c>
      <c r="L742" s="41">
        <v>55</v>
      </c>
      <c r="M742" s="41">
        <v>-1</v>
      </c>
      <c r="N742" s="41">
        <v>4</v>
      </c>
      <c r="O742" s="108" t="s">
        <v>2830</v>
      </c>
      <c r="P742" s="109">
        <v>194425</v>
      </c>
      <c r="Q742" s="41"/>
      <c r="R742" s="111"/>
      <c r="S742" s="110"/>
      <c r="V742"/>
    </row>
    <row r="743" spans="1:22">
      <c r="A743" s="105">
        <v>2125</v>
      </c>
      <c r="B743" s="41">
        <v>316800000</v>
      </c>
      <c r="C743" s="41">
        <v>1.6999999999999999E-3</v>
      </c>
      <c r="D743" s="41">
        <v>11.313700000000001</v>
      </c>
      <c r="E743" s="41">
        <v>30</v>
      </c>
      <c r="F743" s="41">
        <v>0</v>
      </c>
      <c r="G743" s="41" t="s">
        <v>103</v>
      </c>
      <c r="H743" s="41">
        <v>1</v>
      </c>
      <c r="I743" s="41">
        <v>1</v>
      </c>
      <c r="J743" s="108">
        <v>0</v>
      </c>
      <c r="K743" s="41">
        <v>0</v>
      </c>
      <c r="L743" s="41">
        <v>55</v>
      </c>
      <c r="M743" s="41">
        <v>-1</v>
      </c>
      <c r="N743" s="41">
        <v>4</v>
      </c>
      <c r="O743" s="108" t="s">
        <v>2831</v>
      </c>
      <c r="P743" s="109">
        <v>194425</v>
      </c>
      <c r="Q743" s="41"/>
      <c r="R743" s="111"/>
      <c r="S743" s="110"/>
      <c r="V743"/>
    </row>
    <row r="744" spans="1:22">
      <c r="A744" s="105">
        <v>2126</v>
      </c>
      <c r="B744" s="41">
        <v>316800000</v>
      </c>
      <c r="C744" s="41">
        <v>1.6999999999999999E-3</v>
      </c>
      <c r="D744" s="41">
        <v>16</v>
      </c>
      <c r="E744" s="41">
        <v>30</v>
      </c>
      <c r="F744" s="41">
        <v>0</v>
      </c>
      <c r="G744" s="41" t="s">
        <v>103</v>
      </c>
      <c r="H744" s="41">
        <v>1</v>
      </c>
      <c r="I744" s="41">
        <v>1</v>
      </c>
      <c r="J744" s="108">
        <v>0</v>
      </c>
      <c r="K744" s="41">
        <v>0</v>
      </c>
      <c r="L744" s="41">
        <v>55</v>
      </c>
      <c r="M744" s="41">
        <v>-1</v>
      </c>
      <c r="N744" s="41">
        <v>4</v>
      </c>
      <c r="O744" s="108" t="s">
        <v>2832</v>
      </c>
      <c r="P744" s="109">
        <v>194425</v>
      </c>
      <c r="Q744" s="41"/>
      <c r="R744" s="111"/>
      <c r="S744" s="110"/>
      <c r="V744"/>
    </row>
    <row r="745" spans="1:22">
      <c r="A745" s="105">
        <v>2127</v>
      </c>
      <c r="B745" s="41">
        <v>316800000</v>
      </c>
      <c r="C745" s="41">
        <v>1.6999999999999999E-3</v>
      </c>
      <c r="D745" s="41">
        <v>22.627400000000002</v>
      </c>
      <c r="E745" s="41">
        <v>30</v>
      </c>
      <c r="F745" s="41">
        <v>0</v>
      </c>
      <c r="G745" s="41" t="s">
        <v>103</v>
      </c>
      <c r="H745" s="41">
        <v>1</v>
      </c>
      <c r="I745" s="41">
        <v>1</v>
      </c>
      <c r="J745" s="108">
        <v>0</v>
      </c>
      <c r="K745" s="41">
        <v>0</v>
      </c>
      <c r="L745" s="41">
        <v>55</v>
      </c>
      <c r="M745" s="41">
        <v>-1</v>
      </c>
      <c r="N745" s="41">
        <v>4</v>
      </c>
      <c r="O745" s="108" t="s">
        <v>2833</v>
      </c>
      <c r="P745" s="109">
        <v>194425</v>
      </c>
      <c r="Q745" s="41"/>
      <c r="R745" s="111"/>
      <c r="S745" s="110"/>
      <c r="V745"/>
    </row>
    <row r="746" spans="1:22">
      <c r="A746" s="105">
        <v>2128</v>
      </c>
      <c r="B746" s="41">
        <v>316800000</v>
      </c>
      <c r="C746" s="41">
        <v>1.9E-3</v>
      </c>
      <c r="D746" s="41">
        <v>4</v>
      </c>
      <c r="E746" s="41">
        <v>30</v>
      </c>
      <c r="F746" s="41">
        <v>0</v>
      </c>
      <c r="G746" s="41" t="s">
        <v>103</v>
      </c>
      <c r="H746" s="41">
        <v>1</v>
      </c>
      <c r="I746" s="41">
        <v>1</v>
      </c>
      <c r="J746" s="108">
        <v>0</v>
      </c>
      <c r="K746" s="41">
        <v>0</v>
      </c>
      <c r="L746" s="41">
        <v>55</v>
      </c>
      <c r="M746" s="41">
        <v>-1</v>
      </c>
      <c r="N746" s="41">
        <v>4</v>
      </c>
      <c r="O746" s="108" t="s">
        <v>2834</v>
      </c>
      <c r="P746" s="109">
        <v>194425</v>
      </c>
      <c r="Q746" s="41"/>
      <c r="R746" s="111"/>
      <c r="S746" s="110"/>
      <c r="V746"/>
    </row>
    <row r="747" spans="1:22">
      <c r="A747" s="105">
        <v>2129</v>
      </c>
      <c r="B747" s="41">
        <v>316800000</v>
      </c>
      <c r="C747" s="41">
        <v>1.9E-3</v>
      </c>
      <c r="D747" s="41">
        <v>5.6569000000000003</v>
      </c>
      <c r="E747" s="41">
        <v>30</v>
      </c>
      <c r="F747" s="41">
        <v>0</v>
      </c>
      <c r="G747" s="41" t="s">
        <v>103</v>
      </c>
      <c r="H747" s="41">
        <v>1</v>
      </c>
      <c r="I747" s="41">
        <v>1</v>
      </c>
      <c r="J747" s="108">
        <v>0</v>
      </c>
      <c r="K747" s="41">
        <v>0</v>
      </c>
      <c r="L747" s="41">
        <v>55</v>
      </c>
      <c r="M747" s="41">
        <v>-1</v>
      </c>
      <c r="N747" s="41">
        <v>4</v>
      </c>
      <c r="O747" s="108" t="s">
        <v>2835</v>
      </c>
      <c r="P747" s="109">
        <v>194425</v>
      </c>
      <c r="Q747" s="41"/>
      <c r="R747" s="111"/>
      <c r="S747" s="110"/>
      <c r="V747"/>
    </row>
    <row r="748" spans="1:22">
      <c r="A748" s="105">
        <v>2130</v>
      </c>
      <c r="B748" s="41">
        <v>316800000</v>
      </c>
      <c r="C748" s="41">
        <v>1.9E-3</v>
      </c>
      <c r="D748" s="41">
        <v>8</v>
      </c>
      <c r="E748" s="41">
        <v>30</v>
      </c>
      <c r="F748" s="41">
        <v>0</v>
      </c>
      <c r="G748" s="41" t="s">
        <v>103</v>
      </c>
      <c r="H748" s="41">
        <v>1</v>
      </c>
      <c r="I748" s="41">
        <v>1</v>
      </c>
      <c r="J748" s="108">
        <v>0</v>
      </c>
      <c r="K748" s="41">
        <v>0</v>
      </c>
      <c r="L748" s="41">
        <v>55</v>
      </c>
      <c r="M748" s="41">
        <v>-1</v>
      </c>
      <c r="N748" s="41">
        <v>4</v>
      </c>
      <c r="O748" s="108" t="s">
        <v>2836</v>
      </c>
      <c r="P748" s="109">
        <v>194425</v>
      </c>
      <c r="Q748" s="41"/>
      <c r="R748" s="111"/>
      <c r="S748" s="110"/>
      <c r="V748"/>
    </row>
    <row r="749" spans="1:22">
      <c r="A749" s="105">
        <v>2131</v>
      </c>
      <c r="B749" s="41">
        <v>316800000</v>
      </c>
      <c r="C749" s="41">
        <v>1.9E-3</v>
      </c>
      <c r="D749" s="41">
        <v>11.313700000000001</v>
      </c>
      <c r="E749" s="41">
        <v>30</v>
      </c>
      <c r="F749" s="41">
        <v>0</v>
      </c>
      <c r="G749" s="41" t="s">
        <v>103</v>
      </c>
      <c r="H749" s="41">
        <v>1</v>
      </c>
      <c r="I749" s="41">
        <v>1</v>
      </c>
      <c r="J749" s="108">
        <v>0</v>
      </c>
      <c r="K749" s="41">
        <v>0</v>
      </c>
      <c r="L749" s="41">
        <v>55</v>
      </c>
      <c r="M749" s="41">
        <v>-1</v>
      </c>
      <c r="N749" s="41">
        <v>4</v>
      </c>
      <c r="O749" s="108" t="s">
        <v>2837</v>
      </c>
      <c r="P749" s="109">
        <v>194425</v>
      </c>
      <c r="Q749" s="41"/>
      <c r="R749" s="111"/>
      <c r="S749" s="110"/>
      <c r="V749"/>
    </row>
    <row r="750" spans="1:22">
      <c r="A750" s="105">
        <v>2132</v>
      </c>
      <c r="B750" s="41">
        <v>316800000</v>
      </c>
      <c r="C750" s="41">
        <v>1.9E-3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1</v>
      </c>
      <c r="I750" s="41">
        <v>1</v>
      </c>
      <c r="J750" s="108">
        <v>0</v>
      </c>
      <c r="K750" s="41">
        <v>0</v>
      </c>
      <c r="L750" s="41">
        <v>55</v>
      </c>
      <c r="M750" s="41">
        <v>-1</v>
      </c>
      <c r="N750" s="41">
        <v>4</v>
      </c>
      <c r="O750" s="108" t="s">
        <v>2838</v>
      </c>
      <c r="P750" s="109">
        <v>194425</v>
      </c>
      <c r="Q750" s="41"/>
      <c r="R750" s="111"/>
      <c r="S750" s="110"/>
      <c r="V750"/>
    </row>
    <row r="751" spans="1:22">
      <c r="A751" s="105">
        <v>2133</v>
      </c>
      <c r="B751" s="41">
        <v>316800000</v>
      </c>
      <c r="C751" s="41">
        <v>1.9E-3</v>
      </c>
      <c r="D751" s="41">
        <v>22.627400000000002</v>
      </c>
      <c r="E751" s="41">
        <v>30</v>
      </c>
      <c r="F751" s="41">
        <v>0</v>
      </c>
      <c r="G751" s="41" t="s">
        <v>103</v>
      </c>
      <c r="H751" s="41">
        <v>1</v>
      </c>
      <c r="I751" s="41">
        <v>1</v>
      </c>
      <c r="J751" s="108">
        <v>0</v>
      </c>
      <c r="K751" s="41">
        <v>0</v>
      </c>
      <c r="L751" s="41">
        <v>55</v>
      </c>
      <c r="M751" s="41">
        <v>-1</v>
      </c>
      <c r="N751" s="41">
        <v>4</v>
      </c>
      <c r="O751" s="108" t="s">
        <v>2839</v>
      </c>
      <c r="P751" s="109">
        <v>194425</v>
      </c>
      <c r="Q751" s="41"/>
      <c r="R751" s="111"/>
      <c r="S751" s="110"/>
      <c r="V751"/>
    </row>
    <row r="752" spans="1:22">
      <c r="A752" s="105">
        <v>2134</v>
      </c>
      <c r="B752" s="41">
        <v>316800000</v>
      </c>
      <c r="C752" s="41">
        <v>2.0999999999999999E-3</v>
      </c>
      <c r="D752" s="41">
        <v>2.8283999999999998</v>
      </c>
      <c r="E752" s="41">
        <v>30</v>
      </c>
      <c r="F752" s="41">
        <v>0</v>
      </c>
      <c r="G752" s="41" t="s">
        <v>103</v>
      </c>
      <c r="H752" s="41">
        <v>1</v>
      </c>
      <c r="I752" s="41">
        <v>1</v>
      </c>
      <c r="J752" s="108">
        <v>0</v>
      </c>
      <c r="K752" s="41">
        <v>0</v>
      </c>
      <c r="L752" s="41">
        <v>55</v>
      </c>
      <c r="M752" s="41">
        <v>-1</v>
      </c>
      <c r="N752" s="41">
        <v>4</v>
      </c>
      <c r="O752" s="108" t="s">
        <v>2840</v>
      </c>
      <c r="P752" s="109">
        <v>194426</v>
      </c>
      <c r="Q752" s="41"/>
      <c r="R752" s="111"/>
      <c r="S752" s="110" t="s">
        <v>2267</v>
      </c>
      <c r="V752"/>
    </row>
    <row r="753" spans="1:22">
      <c r="A753" s="105">
        <v>2135</v>
      </c>
      <c r="B753" s="41">
        <v>316800000</v>
      </c>
      <c r="C753" s="41">
        <v>2.0999999999999999E-3</v>
      </c>
      <c r="D753" s="41">
        <v>4</v>
      </c>
      <c r="E753" s="41">
        <v>30</v>
      </c>
      <c r="F753" s="41">
        <v>0</v>
      </c>
      <c r="G753" s="41" t="s">
        <v>103</v>
      </c>
      <c r="H753" s="41">
        <v>1</v>
      </c>
      <c r="I753" s="41">
        <v>1</v>
      </c>
      <c r="J753" s="108">
        <v>0</v>
      </c>
      <c r="K753" s="41">
        <v>0</v>
      </c>
      <c r="L753" s="41">
        <v>55</v>
      </c>
      <c r="M753" s="41">
        <v>-1</v>
      </c>
      <c r="N753" s="41">
        <v>4</v>
      </c>
      <c r="O753" s="108" t="s">
        <v>2841</v>
      </c>
      <c r="P753" s="109">
        <v>194426</v>
      </c>
      <c r="Q753" s="41"/>
      <c r="R753" s="111"/>
      <c r="S753" s="110"/>
      <c r="V753"/>
    </row>
    <row r="754" spans="1:22">
      <c r="A754" s="105">
        <v>2136</v>
      </c>
      <c r="B754" s="41">
        <v>316800000</v>
      </c>
      <c r="C754" s="41">
        <v>2.0999999999999999E-3</v>
      </c>
      <c r="D754" s="41">
        <v>5.6569000000000003</v>
      </c>
      <c r="E754" s="41">
        <v>30</v>
      </c>
      <c r="F754" s="41">
        <v>0</v>
      </c>
      <c r="G754" s="41" t="s">
        <v>103</v>
      </c>
      <c r="H754" s="41">
        <v>1</v>
      </c>
      <c r="I754" s="41">
        <v>1</v>
      </c>
      <c r="J754" s="108">
        <v>0</v>
      </c>
      <c r="K754" s="41">
        <v>0</v>
      </c>
      <c r="L754" s="41">
        <v>55</v>
      </c>
      <c r="M754" s="41">
        <v>-1</v>
      </c>
      <c r="N754" s="41">
        <v>4</v>
      </c>
      <c r="O754" s="108" t="s">
        <v>2842</v>
      </c>
      <c r="P754" s="109">
        <v>194426</v>
      </c>
      <c r="Q754" s="41"/>
      <c r="R754" s="111"/>
      <c r="S754" s="110"/>
      <c r="V754"/>
    </row>
    <row r="755" spans="1:22">
      <c r="A755" s="105">
        <v>2137</v>
      </c>
      <c r="B755" s="41">
        <v>316800000</v>
      </c>
      <c r="C755" s="41">
        <v>2.0999999999999999E-3</v>
      </c>
      <c r="D755" s="41">
        <v>8</v>
      </c>
      <c r="E755" s="41">
        <v>30</v>
      </c>
      <c r="F755" s="41">
        <v>0</v>
      </c>
      <c r="G755" s="41" t="s">
        <v>103</v>
      </c>
      <c r="H755" s="41">
        <v>1</v>
      </c>
      <c r="I755" s="41">
        <v>1</v>
      </c>
      <c r="J755" s="108">
        <v>0</v>
      </c>
      <c r="K755" s="41">
        <v>0</v>
      </c>
      <c r="L755" s="41">
        <v>55</v>
      </c>
      <c r="M755" s="41">
        <v>-1</v>
      </c>
      <c r="N755" s="41">
        <v>4</v>
      </c>
      <c r="O755" s="108" t="s">
        <v>2843</v>
      </c>
      <c r="P755" s="109">
        <v>194426</v>
      </c>
      <c r="Q755" s="41"/>
      <c r="R755" s="111"/>
      <c r="S755" s="110"/>
      <c r="V755"/>
    </row>
    <row r="756" spans="1:22">
      <c r="A756" s="105">
        <v>2138</v>
      </c>
      <c r="B756" s="41">
        <v>316800000</v>
      </c>
      <c r="C756" s="41">
        <v>2.0999999999999999E-3</v>
      </c>
      <c r="D756" s="41">
        <v>11.313700000000001</v>
      </c>
      <c r="E756" s="41">
        <v>30</v>
      </c>
      <c r="F756" s="41">
        <v>0</v>
      </c>
      <c r="G756" s="41" t="s">
        <v>103</v>
      </c>
      <c r="H756" s="41">
        <v>1</v>
      </c>
      <c r="I756" s="41">
        <v>1</v>
      </c>
      <c r="J756" s="108">
        <v>0</v>
      </c>
      <c r="K756" s="41">
        <v>0</v>
      </c>
      <c r="L756" s="41">
        <v>55</v>
      </c>
      <c r="M756" s="41">
        <v>-1</v>
      </c>
      <c r="N756" s="41">
        <v>4</v>
      </c>
      <c r="O756" s="108" t="s">
        <v>2844</v>
      </c>
      <c r="P756" s="109">
        <v>194426</v>
      </c>
      <c r="Q756" s="41"/>
      <c r="R756" s="111"/>
      <c r="S756" s="110"/>
      <c r="V756"/>
    </row>
    <row r="757" spans="1:22">
      <c r="A757" s="105">
        <v>2139</v>
      </c>
      <c r="B757" s="41">
        <v>316800000</v>
      </c>
      <c r="C757" s="41">
        <v>2.0999999999999999E-3</v>
      </c>
      <c r="D757" s="41">
        <v>16</v>
      </c>
      <c r="E757" s="41">
        <v>30</v>
      </c>
      <c r="F757" s="41">
        <v>0</v>
      </c>
      <c r="G757" s="41" t="s">
        <v>103</v>
      </c>
      <c r="H757" s="41">
        <v>1</v>
      </c>
      <c r="I757" s="41">
        <v>1</v>
      </c>
      <c r="J757" s="108">
        <v>0</v>
      </c>
      <c r="K757" s="41">
        <v>0</v>
      </c>
      <c r="L757" s="41">
        <v>55</v>
      </c>
      <c r="M757" s="41">
        <v>-1</v>
      </c>
      <c r="N757" s="41">
        <v>4</v>
      </c>
      <c r="O757" s="108" t="s">
        <v>2845</v>
      </c>
      <c r="P757" s="109">
        <v>194426</v>
      </c>
      <c r="Q757" s="41"/>
      <c r="R757" s="111"/>
      <c r="S757" s="110"/>
      <c r="V757"/>
    </row>
    <row r="758" spans="1:22">
      <c r="A758" s="105">
        <v>2140</v>
      </c>
      <c r="B758" s="41">
        <v>316800000</v>
      </c>
      <c r="C758" s="41">
        <v>2.0999999999999999E-3</v>
      </c>
      <c r="D758" s="41">
        <v>22.627400000000002</v>
      </c>
      <c r="E758" s="41">
        <v>30</v>
      </c>
      <c r="F758" s="41">
        <v>0</v>
      </c>
      <c r="G758" s="41" t="s">
        <v>103</v>
      </c>
      <c r="H758" s="41">
        <v>1</v>
      </c>
      <c r="I758" s="41">
        <v>1</v>
      </c>
      <c r="J758" s="108">
        <v>0</v>
      </c>
      <c r="K758" s="41">
        <v>0</v>
      </c>
      <c r="L758" s="41">
        <v>55</v>
      </c>
      <c r="M758" s="41">
        <v>-1</v>
      </c>
      <c r="N758" s="41">
        <v>4</v>
      </c>
      <c r="O758" s="108" t="s">
        <v>2846</v>
      </c>
      <c r="P758" s="109">
        <v>194426</v>
      </c>
      <c r="Q758" s="41"/>
      <c r="R758" s="111"/>
      <c r="S758" s="110"/>
      <c r="V758"/>
    </row>
    <row r="759" spans="1:22">
      <c r="A759" s="105">
        <v>2141</v>
      </c>
      <c r="B759" s="41">
        <v>316800000</v>
      </c>
      <c r="C759" s="41">
        <v>2.3E-3</v>
      </c>
      <c r="D759" s="41">
        <v>2.8283999999999998</v>
      </c>
      <c r="E759" s="41">
        <v>30</v>
      </c>
      <c r="F759" s="41">
        <v>0</v>
      </c>
      <c r="G759" s="41" t="s">
        <v>103</v>
      </c>
      <c r="H759" s="41">
        <v>1</v>
      </c>
      <c r="I759" s="41">
        <v>1</v>
      </c>
      <c r="J759" s="108">
        <v>0</v>
      </c>
      <c r="K759" s="41">
        <v>0</v>
      </c>
      <c r="L759" s="41">
        <v>55</v>
      </c>
      <c r="M759" s="41">
        <v>-1</v>
      </c>
      <c r="N759" s="41">
        <v>4</v>
      </c>
      <c r="O759" s="108" t="s">
        <v>2847</v>
      </c>
      <c r="P759" s="109">
        <v>194426</v>
      </c>
      <c r="Q759" s="41"/>
      <c r="R759" s="111"/>
      <c r="S759" s="110"/>
      <c r="V759"/>
    </row>
    <row r="760" spans="1:22">
      <c r="A760" s="105">
        <v>2142</v>
      </c>
      <c r="B760" s="41">
        <v>316800000</v>
      </c>
      <c r="C760" s="41">
        <v>2.3E-3</v>
      </c>
      <c r="D760" s="41">
        <v>4</v>
      </c>
      <c r="E760" s="41">
        <v>30</v>
      </c>
      <c r="F760" s="41">
        <v>0</v>
      </c>
      <c r="G760" s="41" t="s">
        <v>103</v>
      </c>
      <c r="H760" s="41">
        <v>1</v>
      </c>
      <c r="I760" s="41">
        <v>1</v>
      </c>
      <c r="J760" s="108">
        <v>0</v>
      </c>
      <c r="K760" s="41">
        <v>0</v>
      </c>
      <c r="L760" s="41">
        <v>55</v>
      </c>
      <c r="M760" s="41">
        <v>-1</v>
      </c>
      <c r="N760" s="41">
        <v>4</v>
      </c>
      <c r="O760" s="108" t="s">
        <v>2848</v>
      </c>
      <c r="P760" s="109">
        <v>194426</v>
      </c>
      <c r="Q760" s="41"/>
      <c r="R760" s="111"/>
      <c r="S760" s="110"/>
      <c r="V760"/>
    </row>
    <row r="761" spans="1:22">
      <c r="A761" s="105">
        <v>2143</v>
      </c>
      <c r="B761" s="41">
        <v>316800000</v>
      </c>
      <c r="C761" s="41">
        <v>2.3E-3</v>
      </c>
      <c r="D761" s="41">
        <v>5.6569000000000003</v>
      </c>
      <c r="E761" s="41">
        <v>30</v>
      </c>
      <c r="F761" s="41">
        <v>0</v>
      </c>
      <c r="G761" s="41" t="s">
        <v>103</v>
      </c>
      <c r="H761" s="41">
        <v>1</v>
      </c>
      <c r="I761" s="41">
        <v>1</v>
      </c>
      <c r="J761" s="108">
        <v>0</v>
      </c>
      <c r="K761" s="41">
        <v>0</v>
      </c>
      <c r="L761" s="41">
        <v>55</v>
      </c>
      <c r="M761" s="41">
        <v>-1</v>
      </c>
      <c r="N761" s="41">
        <v>4</v>
      </c>
      <c r="O761" s="108" t="s">
        <v>2849</v>
      </c>
      <c r="P761" s="109">
        <v>194426</v>
      </c>
      <c r="Q761" s="41"/>
      <c r="R761" s="111"/>
      <c r="S761" s="110"/>
      <c r="V761"/>
    </row>
    <row r="762" spans="1:22">
      <c r="A762" s="105">
        <v>2144</v>
      </c>
      <c r="B762" s="41">
        <v>316800000</v>
      </c>
      <c r="C762" s="41">
        <v>2.3E-3</v>
      </c>
      <c r="D762" s="41">
        <v>8</v>
      </c>
      <c r="E762" s="41">
        <v>30</v>
      </c>
      <c r="F762" s="41">
        <v>0</v>
      </c>
      <c r="G762" s="41" t="s">
        <v>103</v>
      </c>
      <c r="H762" s="41">
        <v>1</v>
      </c>
      <c r="I762" s="41">
        <v>1</v>
      </c>
      <c r="J762" s="108">
        <v>0</v>
      </c>
      <c r="K762" s="41">
        <v>0</v>
      </c>
      <c r="L762" s="41">
        <v>55</v>
      </c>
      <c r="M762" s="41">
        <v>-1</v>
      </c>
      <c r="N762" s="41">
        <v>4</v>
      </c>
      <c r="O762" s="108" t="s">
        <v>2850</v>
      </c>
      <c r="P762" s="109">
        <v>194426</v>
      </c>
      <c r="Q762" s="41"/>
      <c r="R762" s="111"/>
      <c r="S762" s="110"/>
      <c r="V762"/>
    </row>
    <row r="763" spans="1:22">
      <c r="A763" s="105">
        <v>2145</v>
      </c>
      <c r="B763" s="41">
        <v>316800000</v>
      </c>
      <c r="C763" s="41">
        <v>2.3E-3</v>
      </c>
      <c r="D763" s="41">
        <v>11.313700000000001</v>
      </c>
      <c r="E763" s="41">
        <v>30</v>
      </c>
      <c r="F763" s="41">
        <v>0</v>
      </c>
      <c r="G763" s="41" t="s">
        <v>103</v>
      </c>
      <c r="H763" s="41">
        <v>1</v>
      </c>
      <c r="I763" s="41">
        <v>1</v>
      </c>
      <c r="J763" s="108">
        <v>0</v>
      </c>
      <c r="K763" s="41">
        <v>0</v>
      </c>
      <c r="L763" s="41">
        <v>55</v>
      </c>
      <c r="M763" s="41">
        <v>-1</v>
      </c>
      <c r="N763" s="41">
        <v>4</v>
      </c>
      <c r="O763" s="108" t="s">
        <v>2851</v>
      </c>
      <c r="P763" s="109">
        <v>194426</v>
      </c>
      <c r="Q763" s="41"/>
      <c r="R763" s="111"/>
      <c r="S763" s="110"/>
      <c r="V763"/>
    </row>
    <row r="764" spans="1:22">
      <c r="A764" s="105">
        <v>2146</v>
      </c>
      <c r="B764" s="41">
        <v>316800000</v>
      </c>
      <c r="C764" s="41">
        <v>2.3E-3</v>
      </c>
      <c r="D764" s="41">
        <v>16</v>
      </c>
      <c r="E764" s="41">
        <v>30</v>
      </c>
      <c r="F764" s="41">
        <v>0</v>
      </c>
      <c r="G764" s="41" t="s">
        <v>103</v>
      </c>
      <c r="H764" s="41">
        <v>1</v>
      </c>
      <c r="I764" s="41">
        <v>1</v>
      </c>
      <c r="J764" s="108">
        <v>0</v>
      </c>
      <c r="K764" s="41">
        <v>0</v>
      </c>
      <c r="L764" s="41">
        <v>55</v>
      </c>
      <c r="M764" s="41">
        <v>-1</v>
      </c>
      <c r="N764" s="41">
        <v>4</v>
      </c>
      <c r="O764" s="108" t="s">
        <v>2852</v>
      </c>
      <c r="P764" s="109">
        <v>194426</v>
      </c>
      <c r="Q764" s="41"/>
      <c r="R764" s="111"/>
      <c r="S764" s="110"/>
      <c r="V764"/>
    </row>
    <row r="765" spans="1:22">
      <c r="A765" s="105">
        <v>2147</v>
      </c>
      <c r="B765" s="41">
        <v>316800000</v>
      </c>
      <c r="C765" s="41">
        <v>2.3E-3</v>
      </c>
      <c r="D765" s="41">
        <v>22.627400000000002</v>
      </c>
      <c r="E765" s="41">
        <v>30</v>
      </c>
      <c r="F765" s="41">
        <v>0</v>
      </c>
      <c r="G765" s="41" t="s">
        <v>103</v>
      </c>
      <c r="H765" s="41">
        <v>1</v>
      </c>
      <c r="I765" s="41">
        <v>1</v>
      </c>
      <c r="J765" s="108">
        <v>0</v>
      </c>
      <c r="K765" s="41">
        <v>0</v>
      </c>
      <c r="L765" s="41">
        <v>55</v>
      </c>
      <c r="M765" s="41">
        <v>-1</v>
      </c>
      <c r="N765" s="41">
        <v>4</v>
      </c>
      <c r="O765" s="108" t="s">
        <v>2853</v>
      </c>
      <c r="P765" s="109">
        <v>194426</v>
      </c>
      <c r="Q765" s="41"/>
      <c r="R765" s="111"/>
      <c r="S765" s="110"/>
      <c r="V765"/>
    </row>
    <row r="766" spans="1:22">
      <c r="A766" s="105">
        <v>2148</v>
      </c>
      <c r="B766" s="41">
        <v>316800000</v>
      </c>
      <c r="C766" s="41">
        <v>2.5000000000000001E-3</v>
      </c>
      <c r="D766" s="41">
        <v>2</v>
      </c>
      <c r="E766" s="41">
        <v>30</v>
      </c>
      <c r="F766" s="41">
        <v>0</v>
      </c>
      <c r="G766" s="41" t="s">
        <v>103</v>
      </c>
      <c r="H766" s="41">
        <v>1</v>
      </c>
      <c r="I766" s="41">
        <v>1</v>
      </c>
      <c r="J766" s="108">
        <v>0</v>
      </c>
      <c r="K766" s="41">
        <v>0</v>
      </c>
      <c r="L766" s="41">
        <v>55</v>
      </c>
      <c r="M766" s="41">
        <v>-1</v>
      </c>
      <c r="N766" s="41">
        <v>4</v>
      </c>
      <c r="O766" s="108" t="s">
        <v>2854</v>
      </c>
      <c r="P766" s="109">
        <v>194426</v>
      </c>
      <c r="Q766" s="41"/>
      <c r="R766" s="111"/>
      <c r="S766" s="110"/>
      <c r="V766"/>
    </row>
    <row r="767" spans="1:22">
      <c r="A767" s="105">
        <v>2149</v>
      </c>
      <c r="B767" s="41">
        <v>316800000</v>
      </c>
      <c r="C767" s="41">
        <v>2.5000000000000001E-3</v>
      </c>
      <c r="D767" s="41">
        <v>2.8283999999999998</v>
      </c>
      <c r="E767" s="41">
        <v>30</v>
      </c>
      <c r="F767" s="41">
        <v>0</v>
      </c>
      <c r="G767" s="41" t="s">
        <v>103</v>
      </c>
      <c r="H767" s="41">
        <v>1</v>
      </c>
      <c r="I767" s="41">
        <v>1</v>
      </c>
      <c r="J767" s="108">
        <v>0</v>
      </c>
      <c r="K767" s="41">
        <v>0</v>
      </c>
      <c r="L767" s="41">
        <v>55</v>
      </c>
      <c r="M767" s="41">
        <v>-1</v>
      </c>
      <c r="N767" s="41">
        <v>4</v>
      </c>
      <c r="O767" s="108" t="s">
        <v>2855</v>
      </c>
      <c r="P767" s="109">
        <v>194426</v>
      </c>
      <c r="Q767" s="41"/>
      <c r="R767" s="111"/>
      <c r="S767" s="110"/>
      <c r="V767"/>
    </row>
    <row r="768" spans="1:22">
      <c r="A768" s="105">
        <v>2150</v>
      </c>
      <c r="B768" s="41">
        <v>316800000</v>
      </c>
      <c r="C768" s="41">
        <v>2.5000000000000001E-3</v>
      </c>
      <c r="D768" s="41">
        <v>4</v>
      </c>
      <c r="E768" s="41">
        <v>30</v>
      </c>
      <c r="F768" s="41">
        <v>0</v>
      </c>
      <c r="G768" s="41" t="s">
        <v>103</v>
      </c>
      <c r="H768" s="41">
        <v>1</v>
      </c>
      <c r="I768" s="41">
        <v>1</v>
      </c>
      <c r="J768" s="108">
        <v>0</v>
      </c>
      <c r="K768" s="41">
        <v>0</v>
      </c>
      <c r="L768" s="41">
        <v>55</v>
      </c>
      <c r="M768" s="41">
        <v>-1</v>
      </c>
      <c r="N768" s="41">
        <v>4</v>
      </c>
      <c r="O768" s="108" t="s">
        <v>2856</v>
      </c>
      <c r="P768" s="109">
        <v>194426</v>
      </c>
      <c r="Q768" s="41"/>
      <c r="R768" s="111"/>
      <c r="S768" s="110"/>
      <c r="V768"/>
    </row>
    <row r="769" spans="1:22">
      <c r="A769" s="105">
        <v>2151</v>
      </c>
      <c r="B769" s="41">
        <v>316800000</v>
      </c>
      <c r="C769" s="41">
        <v>2.5000000000000001E-3</v>
      </c>
      <c r="D769" s="41">
        <v>5.6569000000000003</v>
      </c>
      <c r="E769" s="41">
        <v>30</v>
      </c>
      <c r="F769" s="41">
        <v>0</v>
      </c>
      <c r="G769" s="41" t="s">
        <v>103</v>
      </c>
      <c r="H769" s="41">
        <v>1</v>
      </c>
      <c r="I769" s="41">
        <v>1</v>
      </c>
      <c r="J769" s="108">
        <v>0</v>
      </c>
      <c r="K769" s="41">
        <v>0</v>
      </c>
      <c r="L769" s="41">
        <v>55</v>
      </c>
      <c r="M769" s="41">
        <v>-1</v>
      </c>
      <c r="N769" s="41">
        <v>4</v>
      </c>
      <c r="O769" s="108" t="s">
        <v>2857</v>
      </c>
      <c r="P769" s="109">
        <v>194426</v>
      </c>
      <c r="Q769" s="41"/>
      <c r="R769" s="111"/>
      <c r="S769" s="110"/>
      <c r="V769"/>
    </row>
    <row r="770" spans="1:22">
      <c r="A770" s="105">
        <v>2152</v>
      </c>
      <c r="B770" s="41">
        <v>316800000</v>
      </c>
      <c r="C770" s="41">
        <v>2.5000000000000001E-3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1</v>
      </c>
      <c r="I770" s="41">
        <v>1</v>
      </c>
      <c r="J770" s="108">
        <v>0</v>
      </c>
      <c r="K770" s="41">
        <v>0</v>
      </c>
      <c r="L770" s="41">
        <v>55</v>
      </c>
      <c r="M770" s="41">
        <v>-1</v>
      </c>
      <c r="N770" s="41">
        <v>4</v>
      </c>
      <c r="O770" s="108" t="s">
        <v>2858</v>
      </c>
      <c r="P770" s="109">
        <v>194426</v>
      </c>
      <c r="Q770" s="41"/>
      <c r="R770" s="111"/>
      <c r="S770" s="110"/>
      <c r="V770"/>
    </row>
    <row r="771" spans="1:22">
      <c r="A771" s="105">
        <v>2153</v>
      </c>
      <c r="B771" s="41">
        <v>316800000</v>
      </c>
      <c r="C771" s="41">
        <v>2.5000000000000001E-3</v>
      </c>
      <c r="D771" s="41">
        <v>11.313700000000001</v>
      </c>
      <c r="E771" s="41">
        <v>30</v>
      </c>
      <c r="F771" s="41">
        <v>0</v>
      </c>
      <c r="G771" s="41" t="s">
        <v>103</v>
      </c>
      <c r="H771" s="41">
        <v>1</v>
      </c>
      <c r="I771" s="41">
        <v>1</v>
      </c>
      <c r="J771" s="108">
        <v>0</v>
      </c>
      <c r="K771" s="41">
        <v>0</v>
      </c>
      <c r="L771" s="41">
        <v>55</v>
      </c>
      <c r="M771" s="41">
        <v>-1</v>
      </c>
      <c r="N771" s="41">
        <v>4</v>
      </c>
      <c r="O771" s="108" t="s">
        <v>2859</v>
      </c>
      <c r="P771" s="109">
        <v>194426</v>
      </c>
      <c r="Q771" s="41"/>
      <c r="R771" s="111"/>
      <c r="S771" s="110"/>
      <c r="V771"/>
    </row>
    <row r="772" spans="1:22">
      <c r="A772" s="105">
        <v>2154</v>
      </c>
      <c r="B772" s="41">
        <v>316800000</v>
      </c>
      <c r="C772" s="41">
        <v>2.5000000000000001E-3</v>
      </c>
      <c r="D772" s="41">
        <v>16</v>
      </c>
      <c r="E772" s="41">
        <v>30</v>
      </c>
      <c r="F772" s="41">
        <v>0</v>
      </c>
      <c r="G772" s="41" t="s">
        <v>103</v>
      </c>
      <c r="H772" s="41">
        <v>1</v>
      </c>
      <c r="I772" s="41">
        <v>1</v>
      </c>
      <c r="J772" s="108">
        <v>0</v>
      </c>
      <c r="K772" s="41">
        <v>0</v>
      </c>
      <c r="L772" s="41">
        <v>55</v>
      </c>
      <c r="M772" s="41">
        <v>-1</v>
      </c>
      <c r="N772" s="41">
        <v>4</v>
      </c>
      <c r="O772" s="108" t="s">
        <v>2860</v>
      </c>
      <c r="P772" s="109">
        <v>194427</v>
      </c>
      <c r="Q772" s="41"/>
      <c r="R772" s="111"/>
      <c r="S772" s="110" t="s">
        <v>2267</v>
      </c>
    </row>
    <row r="773" spans="1:22">
      <c r="A773" s="105">
        <v>2155</v>
      </c>
      <c r="B773" s="41">
        <v>316800000</v>
      </c>
      <c r="C773" s="41">
        <v>2.7000000000000001E-3</v>
      </c>
      <c r="D773" s="41">
        <v>2.8283999999999998</v>
      </c>
      <c r="E773" s="41">
        <v>30</v>
      </c>
      <c r="F773" s="41">
        <v>0</v>
      </c>
      <c r="G773" s="41" t="s">
        <v>103</v>
      </c>
      <c r="H773" s="41">
        <v>1</v>
      </c>
      <c r="I773" s="41">
        <v>1</v>
      </c>
      <c r="J773" s="108">
        <v>0</v>
      </c>
      <c r="K773" s="41">
        <v>0</v>
      </c>
      <c r="L773" s="41">
        <v>55</v>
      </c>
      <c r="M773" s="41">
        <v>-1</v>
      </c>
      <c r="N773" s="41">
        <v>4</v>
      </c>
      <c r="O773" s="108" t="s">
        <v>2861</v>
      </c>
      <c r="P773" s="109">
        <v>194427</v>
      </c>
      <c r="Q773" s="41"/>
      <c r="R773" s="111"/>
      <c r="S773" s="110"/>
    </row>
    <row r="774" spans="1:22">
      <c r="A774" s="105">
        <v>2156</v>
      </c>
      <c r="B774" s="41">
        <v>316800000</v>
      </c>
      <c r="C774" s="41">
        <v>2.7000000000000001E-3</v>
      </c>
      <c r="D774" s="41">
        <v>4</v>
      </c>
      <c r="E774" s="41">
        <v>30</v>
      </c>
      <c r="F774" s="41">
        <v>0</v>
      </c>
      <c r="G774" s="41" t="s">
        <v>103</v>
      </c>
      <c r="H774" s="41">
        <v>1</v>
      </c>
      <c r="I774" s="41">
        <v>1</v>
      </c>
      <c r="J774" s="108">
        <v>0</v>
      </c>
      <c r="K774" s="41">
        <v>0</v>
      </c>
      <c r="L774" s="41">
        <v>55</v>
      </c>
      <c r="M774" s="41">
        <v>-1</v>
      </c>
      <c r="N774" s="41">
        <v>4</v>
      </c>
      <c r="O774" s="108" t="s">
        <v>2862</v>
      </c>
      <c r="P774" s="109">
        <v>194427</v>
      </c>
      <c r="Q774" s="41"/>
      <c r="R774" s="111"/>
      <c r="S774" s="110"/>
    </row>
    <row r="775" spans="1:22">
      <c r="A775" s="105">
        <v>2157</v>
      </c>
      <c r="B775" s="41">
        <v>316800000</v>
      </c>
      <c r="C775" s="41">
        <v>2.7000000000000001E-3</v>
      </c>
      <c r="D775" s="41">
        <v>5.6569000000000003</v>
      </c>
      <c r="E775" s="41">
        <v>30</v>
      </c>
      <c r="F775" s="41">
        <v>0</v>
      </c>
      <c r="G775" s="41" t="s">
        <v>103</v>
      </c>
      <c r="H775" s="41">
        <v>1</v>
      </c>
      <c r="I775" s="41">
        <v>1</v>
      </c>
      <c r="J775" s="108">
        <v>0</v>
      </c>
      <c r="K775" s="41">
        <v>0</v>
      </c>
      <c r="L775" s="41">
        <v>55</v>
      </c>
      <c r="M775" s="41">
        <v>-1</v>
      </c>
      <c r="N775" s="41">
        <v>4</v>
      </c>
      <c r="O775" s="108" t="s">
        <v>2863</v>
      </c>
      <c r="P775" s="109">
        <v>194427</v>
      </c>
      <c r="Q775" s="41"/>
      <c r="R775" s="111"/>
      <c r="S775" s="110"/>
    </row>
    <row r="776" spans="1:22">
      <c r="A776" s="105">
        <v>2158</v>
      </c>
      <c r="B776" s="41">
        <v>316800000</v>
      </c>
      <c r="C776" s="41">
        <v>2.7000000000000001E-3</v>
      </c>
      <c r="D776" s="41">
        <v>8</v>
      </c>
      <c r="E776" s="41">
        <v>30</v>
      </c>
      <c r="F776" s="41">
        <v>0</v>
      </c>
      <c r="G776" s="41" t="s">
        <v>103</v>
      </c>
      <c r="H776" s="41">
        <v>1</v>
      </c>
      <c r="I776" s="41">
        <v>1</v>
      </c>
      <c r="J776" s="108">
        <v>0</v>
      </c>
      <c r="K776" s="41">
        <v>0</v>
      </c>
      <c r="L776" s="41">
        <v>55</v>
      </c>
      <c r="M776" s="41">
        <v>-1</v>
      </c>
      <c r="N776" s="41">
        <v>4</v>
      </c>
      <c r="O776" s="108" t="s">
        <v>2864</v>
      </c>
      <c r="P776" s="109">
        <v>194427</v>
      </c>
      <c r="Q776" s="41"/>
      <c r="R776" s="111"/>
      <c r="S776" s="110"/>
    </row>
    <row r="777" spans="1:22">
      <c r="A777" s="105">
        <v>2159</v>
      </c>
      <c r="B777" s="41">
        <v>316800000</v>
      </c>
      <c r="C777" s="41">
        <v>2.7000000000000001E-3</v>
      </c>
      <c r="D777" s="41">
        <v>11.313700000000001</v>
      </c>
      <c r="E777" s="41">
        <v>30</v>
      </c>
      <c r="F777" s="41">
        <v>0</v>
      </c>
      <c r="G777" s="41" t="s">
        <v>103</v>
      </c>
      <c r="H777" s="41">
        <v>1</v>
      </c>
      <c r="I777" s="41">
        <v>1</v>
      </c>
      <c r="J777" s="108">
        <v>0</v>
      </c>
      <c r="K777" s="41">
        <v>0</v>
      </c>
      <c r="L777" s="41">
        <v>55</v>
      </c>
      <c r="M777" s="41">
        <v>-1</v>
      </c>
      <c r="N777" s="41">
        <v>4</v>
      </c>
      <c r="O777" s="108" t="s">
        <v>2865</v>
      </c>
      <c r="P777" s="109">
        <v>194427</v>
      </c>
      <c r="Q777" s="41"/>
      <c r="R777" s="111"/>
      <c r="S777" s="110"/>
    </row>
    <row r="778" spans="1:22">
      <c r="A778" s="105">
        <v>2160</v>
      </c>
      <c r="B778" s="41">
        <v>316800000</v>
      </c>
      <c r="C778" s="41">
        <v>2.7000000000000001E-3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1</v>
      </c>
      <c r="I778" s="41">
        <v>1</v>
      </c>
      <c r="J778" s="108">
        <v>0</v>
      </c>
      <c r="K778" s="41">
        <v>0</v>
      </c>
      <c r="L778" s="41">
        <v>55</v>
      </c>
      <c r="M778" s="41">
        <v>-1</v>
      </c>
      <c r="N778" s="41">
        <v>4</v>
      </c>
      <c r="O778" s="108" t="s">
        <v>2866</v>
      </c>
      <c r="P778" s="109">
        <v>194427</v>
      </c>
      <c r="Q778" s="41"/>
      <c r="R778" s="111"/>
      <c r="S778" s="110"/>
    </row>
    <row r="779" spans="1:22">
      <c r="A779" s="105">
        <v>2161</v>
      </c>
      <c r="B779" s="41">
        <v>316800000</v>
      </c>
      <c r="C779" s="41">
        <v>2.8999999999999998E-3</v>
      </c>
      <c r="D779" s="41">
        <v>2.8283999999999998</v>
      </c>
      <c r="E779" s="41">
        <v>30</v>
      </c>
      <c r="F779" s="41">
        <v>0</v>
      </c>
      <c r="G779" s="41" t="s">
        <v>103</v>
      </c>
      <c r="H779" s="41">
        <v>1</v>
      </c>
      <c r="I779" s="41">
        <v>1</v>
      </c>
      <c r="J779" s="108">
        <v>0</v>
      </c>
      <c r="K779" s="41">
        <v>0</v>
      </c>
      <c r="L779" s="41">
        <v>55</v>
      </c>
      <c r="M779" s="41">
        <v>-1</v>
      </c>
      <c r="N779" s="41">
        <v>4</v>
      </c>
      <c r="O779" s="108" t="s">
        <v>2867</v>
      </c>
      <c r="P779" s="109">
        <v>194427</v>
      </c>
      <c r="Q779" s="41"/>
      <c r="R779" s="111"/>
      <c r="S779" s="110"/>
    </row>
    <row r="780" spans="1:22">
      <c r="A780" s="105">
        <v>2162</v>
      </c>
      <c r="B780" s="41">
        <v>316800000</v>
      </c>
      <c r="C780" s="41">
        <v>2.8999999999999998E-3</v>
      </c>
      <c r="D780" s="41">
        <v>4</v>
      </c>
      <c r="E780" s="41">
        <v>30</v>
      </c>
      <c r="F780" s="41">
        <v>0</v>
      </c>
      <c r="G780" s="41" t="s">
        <v>103</v>
      </c>
      <c r="H780" s="41">
        <v>1</v>
      </c>
      <c r="I780" s="41">
        <v>1</v>
      </c>
      <c r="J780" s="108">
        <v>0</v>
      </c>
      <c r="K780" s="41">
        <v>0</v>
      </c>
      <c r="L780" s="41">
        <v>55</v>
      </c>
      <c r="M780" s="41">
        <v>-1</v>
      </c>
      <c r="N780" s="41">
        <v>4</v>
      </c>
      <c r="O780" s="108" t="s">
        <v>2868</v>
      </c>
      <c r="P780" s="109">
        <v>194427</v>
      </c>
      <c r="Q780" s="41"/>
      <c r="R780" s="111"/>
      <c r="S780" s="110"/>
    </row>
    <row r="781" spans="1:22">
      <c r="A781" s="105">
        <v>2163</v>
      </c>
      <c r="B781" s="41">
        <v>316800000</v>
      </c>
      <c r="C781" s="41">
        <v>2.8999999999999998E-3</v>
      </c>
      <c r="D781" s="41">
        <v>5.6569000000000003</v>
      </c>
      <c r="E781" s="41">
        <v>30</v>
      </c>
      <c r="F781" s="41">
        <v>0</v>
      </c>
      <c r="G781" s="41" t="s">
        <v>103</v>
      </c>
      <c r="H781" s="41">
        <v>1</v>
      </c>
      <c r="I781" s="41">
        <v>1</v>
      </c>
      <c r="J781" s="108">
        <v>0</v>
      </c>
      <c r="K781" s="41">
        <v>0</v>
      </c>
      <c r="L781" s="41">
        <v>55</v>
      </c>
      <c r="M781" s="41">
        <v>-1</v>
      </c>
      <c r="N781" s="41">
        <v>4</v>
      </c>
      <c r="O781" s="108" t="s">
        <v>2869</v>
      </c>
      <c r="P781" s="109">
        <v>194427</v>
      </c>
      <c r="Q781" s="41"/>
      <c r="R781" s="111"/>
      <c r="S781" s="110"/>
    </row>
    <row r="782" spans="1:22">
      <c r="A782" s="105">
        <v>2164</v>
      </c>
      <c r="B782" s="41">
        <v>316800000</v>
      </c>
      <c r="C782" s="41">
        <v>2.8999999999999998E-3</v>
      </c>
      <c r="D782" s="41">
        <v>8</v>
      </c>
      <c r="E782" s="41">
        <v>30</v>
      </c>
      <c r="F782" s="41">
        <v>0</v>
      </c>
      <c r="G782" s="41" t="s">
        <v>103</v>
      </c>
      <c r="H782" s="41">
        <v>1</v>
      </c>
      <c r="I782" s="41">
        <v>1</v>
      </c>
      <c r="J782" s="108">
        <v>0</v>
      </c>
      <c r="K782" s="41">
        <v>0</v>
      </c>
      <c r="L782" s="41">
        <v>55</v>
      </c>
      <c r="M782" s="41">
        <v>-1</v>
      </c>
      <c r="N782" s="41">
        <v>4</v>
      </c>
      <c r="O782" s="108" t="s">
        <v>2870</v>
      </c>
      <c r="P782" s="109">
        <v>194427</v>
      </c>
      <c r="Q782" s="41"/>
      <c r="R782" s="111"/>
      <c r="S782" s="110"/>
    </row>
    <row r="783" spans="1:22">
      <c r="A783" s="105">
        <v>2165</v>
      </c>
      <c r="B783" s="41">
        <v>316800000</v>
      </c>
      <c r="C783" s="41">
        <v>2.8999999999999998E-3</v>
      </c>
      <c r="D783" s="41">
        <v>11.313700000000001</v>
      </c>
      <c r="E783" s="41">
        <v>30</v>
      </c>
      <c r="F783" s="41">
        <v>0</v>
      </c>
      <c r="G783" s="41" t="s">
        <v>103</v>
      </c>
      <c r="H783" s="41">
        <v>1</v>
      </c>
      <c r="I783" s="41">
        <v>1</v>
      </c>
      <c r="J783" s="108">
        <v>0</v>
      </c>
      <c r="K783" s="41">
        <v>0</v>
      </c>
      <c r="L783" s="41">
        <v>55</v>
      </c>
      <c r="M783" s="41">
        <v>-1</v>
      </c>
      <c r="N783" s="41">
        <v>4</v>
      </c>
      <c r="O783" s="108" t="s">
        <v>2871</v>
      </c>
      <c r="P783" s="109">
        <v>194427</v>
      </c>
      <c r="Q783" s="41"/>
      <c r="R783" s="111"/>
      <c r="S783" s="110"/>
    </row>
    <row r="784" spans="1:22">
      <c r="A784" s="105">
        <v>2166</v>
      </c>
      <c r="B784" s="41">
        <v>316800000</v>
      </c>
      <c r="C784" s="41">
        <v>2.8999999999999998E-3</v>
      </c>
      <c r="D784" s="41">
        <v>16</v>
      </c>
      <c r="E784" s="41">
        <v>30</v>
      </c>
      <c r="F784" s="41">
        <v>0</v>
      </c>
      <c r="G784" s="41" t="s">
        <v>103</v>
      </c>
      <c r="H784" s="41">
        <v>1</v>
      </c>
      <c r="I784" s="41">
        <v>1</v>
      </c>
      <c r="J784" s="108">
        <v>0</v>
      </c>
      <c r="K784" s="41">
        <v>0</v>
      </c>
      <c r="L784" s="41">
        <v>55</v>
      </c>
      <c r="M784" s="41">
        <v>-1</v>
      </c>
      <c r="N784" s="41">
        <v>4</v>
      </c>
      <c r="O784" s="108" t="s">
        <v>2872</v>
      </c>
      <c r="P784" s="109">
        <v>194427</v>
      </c>
      <c r="Q784" s="41"/>
      <c r="R784" s="111"/>
      <c r="S784" s="110"/>
    </row>
    <row r="785" spans="1:19">
      <c r="A785" s="105">
        <v>2167</v>
      </c>
      <c r="B785" s="41">
        <v>316800000</v>
      </c>
      <c r="C785" s="41">
        <v>3.2000000000000002E-3</v>
      </c>
      <c r="D785" s="41">
        <v>4</v>
      </c>
      <c r="E785" s="41">
        <v>30</v>
      </c>
      <c r="F785" s="41">
        <v>0</v>
      </c>
      <c r="G785" s="41" t="s">
        <v>103</v>
      </c>
      <c r="H785" s="41">
        <v>1</v>
      </c>
      <c r="I785" s="41">
        <v>1</v>
      </c>
      <c r="J785" s="108">
        <v>0</v>
      </c>
      <c r="K785" s="41">
        <v>0</v>
      </c>
      <c r="L785" s="41">
        <v>55</v>
      </c>
      <c r="M785" s="41">
        <v>-1</v>
      </c>
      <c r="N785" s="41">
        <v>4</v>
      </c>
      <c r="O785" s="108" t="s">
        <v>2873</v>
      </c>
      <c r="P785" s="109">
        <v>194427</v>
      </c>
      <c r="Q785" s="41"/>
      <c r="R785" s="111"/>
      <c r="S785" s="110"/>
    </row>
    <row r="786" spans="1:19">
      <c r="A786" s="105">
        <v>2168</v>
      </c>
      <c r="B786" s="41">
        <v>316800000</v>
      </c>
      <c r="C786" s="41">
        <v>3.2000000000000002E-3</v>
      </c>
      <c r="D786" s="41">
        <v>5.6569000000000003</v>
      </c>
      <c r="E786" s="41">
        <v>30</v>
      </c>
      <c r="F786" s="41">
        <v>0</v>
      </c>
      <c r="G786" s="41" t="s">
        <v>103</v>
      </c>
      <c r="H786" s="41">
        <v>1</v>
      </c>
      <c r="I786" s="41">
        <v>1</v>
      </c>
      <c r="J786" s="108">
        <v>0</v>
      </c>
      <c r="K786" s="41">
        <v>0</v>
      </c>
      <c r="L786" s="41">
        <v>55</v>
      </c>
      <c r="M786" s="41">
        <v>-1</v>
      </c>
      <c r="N786" s="41">
        <v>4</v>
      </c>
      <c r="O786" s="108" t="s">
        <v>2874</v>
      </c>
      <c r="P786" s="109">
        <v>194427</v>
      </c>
      <c r="Q786" s="41"/>
      <c r="R786" s="111"/>
      <c r="S786" s="110"/>
    </row>
    <row r="787" spans="1:19">
      <c r="A787" s="105">
        <v>2169</v>
      </c>
      <c r="B787" s="41">
        <v>316800000</v>
      </c>
      <c r="C787" s="41">
        <v>3.2000000000000002E-3</v>
      </c>
      <c r="D787" s="41">
        <v>8</v>
      </c>
      <c r="E787" s="41">
        <v>30</v>
      </c>
      <c r="F787" s="41">
        <v>0</v>
      </c>
      <c r="G787" s="41" t="s">
        <v>103</v>
      </c>
      <c r="H787" s="41">
        <v>1</v>
      </c>
      <c r="I787" s="41">
        <v>1</v>
      </c>
      <c r="J787" s="108">
        <v>0</v>
      </c>
      <c r="K787" s="41">
        <v>0</v>
      </c>
      <c r="L787" s="41">
        <v>55</v>
      </c>
      <c r="M787" s="41">
        <v>-1</v>
      </c>
      <c r="N787" s="41">
        <v>4</v>
      </c>
      <c r="O787" s="108" t="s">
        <v>2875</v>
      </c>
      <c r="P787" s="109">
        <v>194427</v>
      </c>
      <c r="Q787" s="41"/>
      <c r="R787" s="111"/>
      <c r="S787" s="110"/>
    </row>
    <row r="788" spans="1:19">
      <c r="A788" s="105">
        <v>2170</v>
      </c>
      <c r="B788" s="41">
        <v>316800000</v>
      </c>
      <c r="C788" s="41">
        <v>3.2000000000000002E-3</v>
      </c>
      <c r="D788" s="41">
        <v>11.313700000000001</v>
      </c>
      <c r="E788" s="41">
        <v>30</v>
      </c>
      <c r="F788" s="41">
        <v>0</v>
      </c>
      <c r="G788" s="41" t="s">
        <v>103</v>
      </c>
      <c r="H788" s="41">
        <v>1</v>
      </c>
      <c r="I788" s="41">
        <v>1</v>
      </c>
      <c r="J788" s="108">
        <v>0</v>
      </c>
      <c r="K788" s="41">
        <v>0</v>
      </c>
      <c r="L788" s="41">
        <v>55</v>
      </c>
      <c r="M788" s="41">
        <v>-1</v>
      </c>
      <c r="N788" s="41">
        <v>4</v>
      </c>
      <c r="O788" s="108" t="s">
        <v>2876</v>
      </c>
      <c r="P788" s="109">
        <v>194427</v>
      </c>
      <c r="Q788" s="41"/>
      <c r="R788" s="111"/>
      <c r="S788" s="110"/>
    </row>
    <row r="789" spans="1:19">
      <c r="A789" s="105">
        <v>2171</v>
      </c>
      <c r="B789" s="41">
        <v>316800000</v>
      </c>
      <c r="C789" s="41">
        <v>3.2000000000000002E-3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1</v>
      </c>
      <c r="I789" s="41">
        <v>1</v>
      </c>
      <c r="J789" s="108">
        <v>0</v>
      </c>
      <c r="K789" s="41">
        <v>0</v>
      </c>
      <c r="L789" s="41">
        <v>55</v>
      </c>
      <c r="M789" s="41">
        <v>-1</v>
      </c>
      <c r="N789" s="41">
        <v>4</v>
      </c>
      <c r="O789" s="108" t="s">
        <v>2877</v>
      </c>
      <c r="P789" s="109">
        <v>194427</v>
      </c>
      <c r="Q789" s="41"/>
      <c r="R789" s="111"/>
      <c r="S789" s="110"/>
    </row>
    <row r="790" spans="1:19">
      <c r="A790" s="105">
        <v>2172</v>
      </c>
      <c r="B790" s="41">
        <v>316800000</v>
      </c>
      <c r="C790" s="41">
        <v>3.5000000000000001E-3</v>
      </c>
      <c r="D790" s="41">
        <v>4</v>
      </c>
      <c r="E790" s="41">
        <v>30</v>
      </c>
      <c r="F790" s="41">
        <v>0</v>
      </c>
      <c r="G790" s="41" t="s">
        <v>103</v>
      </c>
      <c r="H790" s="41">
        <v>1</v>
      </c>
      <c r="I790" s="41">
        <v>1</v>
      </c>
      <c r="J790" s="108">
        <v>0</v>
      </c>
      <c r="K790" s="41">
        <v>0</v>
      </c>
      <c r="L790" s="41">
        <v>55</v>
      </c>
      <c r="M790" s="41">
        <v>-1</v>
      </c>
      <c r="N790" s="41">
        <v>4</v>
      </c>
      <c r="O790" s="108" t="s">
        <v>2878</v>
      </c>
      <c r="P790" s="109">
        <v>194427</v>
      </c>
      <c r="Q790" s="41"/>
      <c r="R790" s="111"/>
      <c r="S790" s="110"/>
    </row>
    <row r="791" spans="1:19">
      <c r="A791" s="105">
        <v>2173</v>
      </c>
      <c r="B791" s="41">
        <v>316800000</v>
      </c>
      <c r="C791" s="41">
        <v>3.5000000000000001E-3</v>
      </c>
      <c r="D791" s="41">
        <v>5.6569000000000003</v>
      </c>
      <c r="E791" s="41">
        <v>30</v>
      </c>
      <c r="F791" s="41">
        <v>0</v>
      </c>
      <c r="G791" s="41" t="s">
        <v>103</v>
      </c>
      <c r="H791" s="41">
        <v>1</v>
      </c>
      <c r="I791" s="41">
        <v>1</v>
      </c>
      <c r="J791" s="108">
        <v>0</v>
      </c>
      <c r="K791" s="41">
        <v>0</v>
      </c>
      <c r="L791" s="41">
        <v>55</v>
      </c>
      <c r="M791" s="41">
        <v>-1</v>
      </c>
      <c r="N791" s="41">
        <v>4</v>
      </c>
      <c r="O791" s="108" t="s">
        <v>2879</v>
      </c>
      <c r="P791" s="109">
        <v>194427</v>
      </c>
      <c r="Q791" s="41"/>
      <c r="R791" s="111"/>
      <c r="S791" s="110"/>
    </row>
    <row r="792" spans="1:19">
      <c r="A792" s="105">
        <v>2174</v>
      </c>
      <c r="B792" s="41">
        <v>316800000</v>
      </c>
      <c r="C792" s="41">
        <v>3.5000000000000001E-3</v>
      </c>
      <c r="D792" s="41">
        <v>8</v>
      </c>
      <c r="E792" s="41">
        <v>30</v>
      </c>
      <c r="F792" s="41">
        <v>0</v>
      </c>
      <c r="G792" s="41" t="s">
        <v>103</v>
      </c>
      <c r="H792" s="41">
        <v>1</v>
      </c>
      <c r="I792" s="41">
        <v>1</v>
      </c>
      <c r="J792" s="108">
        <v>0</v>
      </c>
      <c r="K792" s="41">
        <v>0</v>
      </c>
      <c r="L792" s="41">
        <v>55</v>
      </c>
      <c r="M792" s="41">
        <v>-1</v>
      </c>
      <c r="N792" s="41">
        <v>4</v>
      </c>
      <c r="O792" s="108" t="s">
        <v>2880</v>
      </c>
      <c r="P792" s="109">
        <v>194553</v>
      </c>
      <c r="Q792" s="41"/>
      <c r="R792" s="111"/>
      <c r="S792" s="110"/>
    </row>
    <row r="793" spans="1:19">
      <c r="A793" s="105">
        <v>2175</v>
      </c>
      <c r="B793" s="41">
        <v>316800000</v>
      </c>
      <c r="C793" s="41">
        <v>3.5000000000000001E-3</v>
      </c>
      <c r="D793" s="41">
        <v>11.313700000000001</v>
      </c>
      <c r="E793" s="41">
        <v>30</v>
      </c>
      <c r="F793" s="41">
        <v>0</v>
      </c>
      <c r="G793" s="41" t="s">
        <v>103</v>
      </c>
      <c r="H793" s="41">
        <v>1</v>
      </c>
      <c r="I793" s="41">
        <v>1</v>
      </c>
      <c r="J793" s="108">
        <v>0</v>
      </c>
      <c r="K793" s="41">
        <v>0</v>
      </c>
      <c r="L793" s="41">
        <v>55</v>
      </c>
      <c r="M793" s="41">
        <v>-1</v>
      </c>
      <c r="N793" s="41">
        <v>4</v>
      </c>
      <c r="O793" s="108" t="s">
        <v>2881</v>
      </c>
      <c r="P793" s="109">
        <v>194553</v>
      </c>
      <c r="Q793" s="41"/>
      <c r="R793" s="111"/>
      <c r="S793" s="110"/>
    </row>
    <row r="794" spans="1:19">
      <c r="A794" s="105">
        <v>2176</v>
      </c>
      <c r="B794" s="41">
        <v>316800000</v>
      </c>
      <c r="C794" s="41">
        <v>3.8E-3</v>
      </c>
      <c r="D794" s="41">
        <v>5.6569000000000003</v>
      </c>
      <c r="E794" s="41">
        <v>30</v>
      </c>
      <c r="F794" s="41">
        <v>0</v>
      </c>
      <c r="G794" s="41" t="s">
        <v>103</v>
      </c>
      <c r="H794" s="41">
        <v>1</v>
      </c>
      <c r="I794" s="41">
        <v>1</v>
      </c>
      <c r="J794" s="108">
        <v>0</v>
      </c>
      <c r="K794" s="41">
        <v>0</v>
      </c>
      <c r="L794" s="41">
        <v>55</v>
      </c>
      <c r="M794" s="41">
        <v>-1</v>
      </c>
      <c r="N794" s="41">
        <v>4</v>
      </c>
      <c r="O794" s="108" t="s">
        <v>2882</v>
      </c>
      <c r="P794" s="109">
        <v>194553</v>
      </c>
      <c r="Q794" s="41"/>
      <c r="R794" s="111"/>
      <c r="S794" s="110"/>
    </row>
    <row r="795" spans="1:19">
      <c r="A795" s="105">
        <v>2177</v>
      </c>
      <c r="B795" s="41">
        <v>316800000</v>
      </c>
      <c r="C795" s="41">
        <v>3.8E-3</v>
      </c>
      <c r="D795" s="41">
        <v>8</v>
      </c>
      <c r="E795" s="41">
        <v>30</v>
      </c>
      <c r="F795" s="41">
        <v>0</v>
      </c>
      <c r="G795" s="41" t="s">
        <v>103</v>
      </c>
      <c r="H795" s="41">
        <v>1</v>
      </c>
      <c r="I795" s="41">
        <v>1</v>
      </c>
      <c r="J795" s="108">
        <v>0</v>
      </c>
      <c r="K795" s="41">
        <v>0</v>
      </c>
      <c r="L795" s="41">
        <v>55</v>
      </c>
      <c r="M795" s="41">
        <v>-1</v>
      </c>
      <c r="N795" s="41">
        <v>4</v>
      </c>
      <c r="O795" s="108" t="s">
        <v>2883</v>
      </c>
      <c r="P795" s="109">
        <v>194553</v>
      </c>
      <c r="Q795" s="41"/>
      <c r="R795" s="111"/>
      <c r="S795" s="110"/>
    </row>
    <row r="796" spans="1:19">
      <c r="A796" s="105">
        <v>2178</v>
      </c>
      <c r="B796" s="41">
        <v>316800000</v>
      </c>
      <c r="C796" s="41">
        <v>3.8E-3</v>
      </c>
      <c r="D796" s="41">
        <v>11.313700000000001</v>
      </c>
      <c r="E796" s="41">
        <v>30</v>
      </c>
      <c r="F796" s="41">
        <v>0</v>
      </c>
      <c r="G796" s="41" t="s">
        <v>103</v>
      </c>
      <c r="H796" s="41">
        <v>1</v>
      </c>
      <c r="I796" s="41">
        <v>1</v>
      </c>
      <c r="J796" s="108">
        <v>0</v>
      </c>
      <c r="K796" s="41">
        <v>0</v>
      </c>
      <c r="L796" s="41">
        <v>55</v>
      </c>
      <c r="M796" s="41">
        <v>-1</v>
      </c>
      <c r="N796" s="41">
        <v>4</v>
      </c>
      <c r="O796" s="108" t="s">
        <v>2884</v>
      </c>
      <c r="P796" s="109">
        <v>194553</v>
      </c>
      <c r="Q796" s="41"/>
      <c r="R796" s="111"/>
      <c r="S796" s="110"/>
    </row>
    <row r="797" spans="1:19">
      <c r="A797" s="105">
        <v>2179</v>
      </c>
      <c r="B797" s="41">
        <v>316800000</v>
      </c>
      <c r="C797" s="41">
        <v>4.1999999999999997E-3</v>
      </c>
      <c r="D797" s="41">
        <v>5.6569000000000003</v>
      </c>
      <c r="E797" s="41">
        <v>30</v>
      </c>
      <c r="F797" s="41">
        <v>0</v>
      </c>
      <c r="G797" s="41" t="s">
        <v>103</v>
      </c>
      <c r="H797" s="41">
        <v>1</v>
      </c>
      <c r="I797" s="41">
        <v>1</v>
      </c>
      <c r="J797" s="108">
        <v>0</v>
      </c>
      <c r="K797" s="41">
        <v>0</v>
      </c>
      <c r="L797" s="41">
        <v>55</v>
      </c>
      <c r="M797" s="41">
        <v>-1</v>
      </c>
      <c r="N797" s="41">
        <v>4</v>
      </c>
      <c r="O797" s="111" t="s">
        <v>2885</v>
      </c>
      <c r="P797" s="109">
        <v>194553</v>
      </c>
      <c r="Q797" s="41"/>
      <c r="R797" s="111"/>
      <c r="S797" s="110"/>
    </row>
    <row r="798" spans="1:19">
      <c r="A798" s="105">
        <v>2180</v>
      </c>
      <c r="B798" s="41">
        <v>316800000</v>
      </c>
      <c r="C798" s="41">
        <v>4.1999999999999997E-3</v>
      </c>
      <c r="D798" s="41">
        <v>8</v>
      </c>
      <c r="E798" s="41">
        <v>30</v>
      </c>
      <c r="F798" s="41">
        <v>0</v>
      </c>
      <c r="G798" s="41" t="s">
        <v>103</v>
      </c>
      <c r="H798" s="41">
        <v>1</v>
      </c>
      <c r="I798" s="41">
        <v>1</v>
      </c>
      <c r="J798" s="108">
        <v>0</v>
      </c>
      <c r="K798" s="41">
        <v>0</v>
      </c>
      <c r="L798" s="41">
        <v>55</v>
      </c>
      <c r="M798" s="41">
        <v>-1</v>
      </c>
      <c r="N798" s="41">
        <v>4</v>
      </c>
      <c r="O798" s="111" t="s">
        <v>2886</v>
      </c>
      <c r="P798" s="109">
        <v>194553</v>
      </c>
      <c r="Q798" s="41"/>
      <c r="R798" s="111"/>
      <c r="S798" s="110"/>
    </row>
    <row r="799" spans="1:19">
      <c r="A799" s="105">
        <v>2181</v>
      </c>
      <c r="B799" s="41">
        <v>316800000</v>
      </c>
      <c r="C799" s="41">
        <v>4.1999999999999997E-3</v>
      </c>
      <c r="D799" s="41">
        <v>11.313700000000001</v>
      </c>
      <c r="E799" s="41">
        <v>30</v>
      </c>
      <c r="F799" s="41">
        <v>0</v>
      </c>
      <c r="G799" s="41" t="s">
        <v>103</v>
      </c>
      <c r="H799" s="41">
        <v>1</v>
      </c>
      <c r="I799" s="41">
        <v>1</v>
      </c>
      <c r="J799" s="108">
        <v>0</v>
      </c>
      <c r="K799" s="41">
        <v>0</v>
      </c>
      <c r="L799" s="41">
        <v>55</v>
      </c>
      <c r="M799" s="41">
        <v>-1</v>
      </c>
      <c r="N799" s="41">
        <v>4</v>
      </c>
      <c r="O799" s="111" t="s">
        <v>2887</v>
      </c>
      <c r="P799" s="109">
        <v>194553</v>
      </c>
      <c r="Q799" s="41"/>
      <c r="R799" s="111"/>
      <c r="S799" s="110"/>
    </row>
    <row r="800" spans="1:19">
      <c r="A800" s="105">
        <v>2182</v>
      </c>
      <c r="B800" s="41">
        <v>316800000</v>
      </c>
      <c r="C800" s="41">
        <v>4.4999999999999997E-3</v>
      </c>
      <c r="D800" s="41">
        <v>8</v>
      </c>
      <c r="E800" s="41">
        <v>30</v>
      </c>
      <c r="F800" s="41">
        <v>0</v>
      </c>
      <c r="G800" s="41" t="s">
        <v>103</v>
      </c>
      <c r="H800" s="41">
        <v>1</v>
      </c>
      <c r="I800" s="41">
        <v>1</v>
      </c>
      <c r="J800" s="108">
        <v>0</v>
      </c>
      <c r="K800" s="41">
        <v>0</v>
      </c>
      <c r="L800" s="41">
        <v>55</v>
      </c>
      <c r="M800" s="41">
        <v>-1</v>
      </c>
      <c r="N800" s="41">
        <v>4</v>
      </c>
      <c r="O800" s="111" t="s">
        <v>2888</v>
      </c>
      <c r="P800" s="109">
        <v>194553</v>
      </c>
      <c r="Q800" s="41"/>
      <c r="R800" s="111"/>
      <c r="S800" s="110"/>
    </row>
    <row r="801" spans="1:19">
      <c r="A801" s="105">
        <v>2183</v>
      </c>
      <c r="B801" s="41">
        <v>316800000</v>
      </c>
      <c r="C801" s="41">
        <v>4.4999999999999997E-3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1</v>
      </c>
      <c r="I801" s="41">
        <v>1</v>
      </c>
      <c r="J801" s="108">
        <v>0</v>
      </c>
      <c r="K801" s="41">
        <v>0</v>
      </c>
      <c r="L801" s="41">
        <v>55</v>
      </c>
      <c r="M801" s="41">
        <v>-1</v>
      </c>
      <c r="N801" s="41">
        <v>4</v>
      </c>
      <c r="O801" s="111" t="s">
        <v>2889</v>
      </c>
      <c r="P801" s="109">
        <v>194553</v>
      </c>
      <c r="Q801" s="41"/>
      <c r="R801" s="111"/>
      <c r="S801" s="110"/>
    </row>
    <row r="802" spans="1:19">
      <c r="A802" s="105">
        <v>2184</v>
      </c>
      <c r="B802" s="41">
        <v>316800000</v>
      </c>
      <c r="C802" s="41">
        <v>4.8999999999999998E-3</v>
      </c>
      <c r="D802" s="41">
        <v>8</v>
      </c>
      <c r="E802" s="41">
        <v>30</v>
      </c>
      <c r="F802" s="41">
        <v>0</v>
      </c>
      <c r="G802" s="41" t="s">
        <v>103</v>
      </c>
      <c r="H802" s="41">
        <v>1</v>
      </c>
      <c r="I802" s="41">
        <v>1</v>
      </c>
      <c r="J802" s="108">
        <v>0</v>
      </c>
      <c r="K802" s="41">
        <v>0</v>
      </c>
      <c r="L802" s="41">
        <v>55</v>
      </c>
      <c r="M802" s="41">
        <v>-1</v>
      </c>
      <c r="N802" s="41">
        <v>4</v>
      </c>
      <c r="O802" s="111" t="s">
        <v>2890</v>
      </c>
      <c r="P802" s="109">
        <v>194553</v>
      </c>
      <c r="Q802" s="41"/>
      <c r="R802" s="111"/>
      <c r="S802" s="110"/>
    </row>
    <row r="803" spans="1:19">
      <c r="A803" s="105">
        <v>2185</v>
      </c>
      <c r="B803" s="41">
        <v>316800000</v>
      </c>
      <c r="C803" s="41">
        <v>1.1999999999999999E-3</v>
      </c>
      <c r="D803" s="41">
        <v>5.6569000000000003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v>0</v>
      </c>
      <c r="K803" s="41">
        <v>0</v>
      </c>
      <c r="L803" s="41">
        <v>55</v>
      </c>
      <c r="M803" s="41">
        <v>-1</v>
      </c>
      <c r="N803" s="41">
        <v>4</v>
      </c>
      <c r="O803" s="111" t="s">
        <v>2899</v>
      </c>
      <c r="P803" s="109">
        <v>72</v>
      </c>
      <c r="Q803" s="41"/>
      <c r="R803" s="111"/>
      <c r="S803" s="110"/>
    </row>
    <row r="804" spans="1:19">
      <c r="A804" s="105">
        <v>2186</v>
      </c>
      <c r="B804" s="41">
        <v>316800000</v>
      </c>
      <c r="C804" s="41">
        <v>1.1999999999999999E-3</v>
      </c>
      <c r="D804" s="41">
        <v>8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v>0</v>
      </c>
      <c r="K804" s="41">
        <v>0</v>
      </c>
      <c r="L804" s="41">
        <v>55</v>
      </c>
      <c r="M804" s="41">
        <v>-1</v>
      </c>
      <c r="N804" s="41">
        <v>4</v>
      </c>
      <c r="O804" s="111" t="s">
        <v>2900</v>
      </c>
      <c r="P804" s="109">
        <v>72</v>
      </c>
      <c r="Q804" s="41"/>
      <c r="R804" s="111"/>
      <c r="S804" s="110"/>
    </row>
    <row r="805" spans="1:19">
      <c r="A805" s="105">
        <v>2187</v>
      </c>
      <c r="B805" s="41">
        <v>316800000</v>
      </c>
      <c r="C805" s="41">
        <v>1.1999999999999999E-3</v>
      </c>
      <c r="D805" s="41">
        <v>11.313700000000001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v>0</v>
      </c>
      <c r="K805" s="41">
        <v>0</v>
      </c>
      <c r="L805" s="41">
        <v>55</v>
      </c>
      <c r="M805" s="41">
        <v>-1</v>
      </c>
      <c r="N805" s="41">
        <v>4</v>
      </c>
      <c r="O805" s="111" t="s">
        <v>2901</v>
      </c>
      <c r="P805" s="109">
        <v>72</v>
      </c>
      <c r="Q805" s="41"/>
      <c r="R805" s="111"/>
      <c r="S805" s="110"/>
    </row>
    <row r="806" spans="1:19">
      <c r="A806" s="105">
        <v>2188</v>
      </c>
      <c r="B806" s="41">
        <v>316800000</v>
      </c>
      <c r="C806" s="41">
        <v>1.2999999999999999E-3</v>
      </c>
      <c r="D806" s="41">
        <v>5.6569000000000003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v>0</v>
      </c>
      <c r="K806" s="41">
        <v>0</v>
      </c>
      <c r="L806" s="41">
        <v>55</v>
      </c>
      <c r="M806" s="41">
        <v>-1</v>
      </c>
      <c r="N806" s="41">
        <v>4</v>
      </c>
      <c r="O806" s="111" t="s">
        <v>2902</v>
      </c>
      <c r="P806" s="109">
        <v>72</v>
      </c>
      <c r="Q806" s="41"/>
      <c r="R806" s="111"/>
      <c r="S806" s="110"/>
    </row>
    <row r="807" spans="1:19">
      <c r="A807" s="105">
        <v>2189</v>
      </c>
      <c r="B807" s="41">
        <v>316800000</v>
      </c>
      <c r="C807" s="41">
        <v>1.2999999999999999E-3</v>
      </c>
      <c r="D807" s="41">
        <v>8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v>0</v>
      </c>
      <c r="K807" s="41">
        <v>0</v>
      </c>
      <c r="L807" s="41">
        <v>55</v>
      </c>
      <c r="M807" s="41">
        <v>-1</v>
      </c>
      <c r="N807" s="41">
        <v>4</v>
      </c>
      <c r="O807" s="111" t="s">
        <v>2903</v>
      </c>
      <c r="P807" s="109">
        <v>72</v>
      </c>
      <c r="Q807" s="41"/>
      <c r="R807" s="111"/>
      <c r="S807" s="110"/>
    </row>
    <row r="808" spans="1:19">
      <c r="A808" s="105">
        <v>2190</v>
      </c>
      <c r="B808" s="41">
        <v>316800000</v>
      </c>
      <c r="C808" s="41">
        <v>1.2999999999999999E-3</v>
      </c>
      <c r="D808" s="41">
        <v>11.313700000000001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v>0</v>
      </c>
      <c r="K808" s="41">
        <v>0</v>
      </c>
      <c r="L808" s="41">
        <v>55</v>
      </c>
      <c r="M808" s="41">
        <v>-1</v>
      </c>
      <c r="N808" s="41">
        <v>4</v>
      </c>
      <c r="O808" s="111" t="s">
        <v>2904</v>
      </c>
      <c r="P808" s="109">
        <v>72</v>
      </c>
      <c r="Q808" s="41"/>
      <c r="R808" s="111"/>
      <c r="S808" s="110"/>
    </row>
    <row r="809" spans="1:19">
      <c r="A809" s="105">
        <v>2191</v>
      </c>
      <c r="B809" s="41">
        <v>316800000</v>
      </c>
      <c r="C809" s="41">
        <v>1.2999999999999999E-3</v>
      </c>
      <c r="D809" s="41">
        <v>16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v>0</v>
      </c>
      <c r="K809" s="41">
        <v>0</v>
      </c>
      <c r="L809" s="41">
        <v>55</v>
      </c>
      <c r="M809" s="41">
        <v>-1</v>
      </c>
      <c r="N809" s="41">
        <v>4</v>
      </c>
      <c r="O809" s="111" t="s">
        <v>2905</v>
      </c>
      <c r="P809" s="109">
        <v>72</v>
      </c>
      <c r="Q809" s="41"/>
      <c r="R809" s="111"/>
      <c r="S809" s="110"/>
    </row>
    <row r="810" spans="1:19">
      <c r="A810" s="105">
        <v>2192</v>
      </c>
      <c r="B810" s="41">
        <v>316800000</v>
      </c>
      <c r="C810" s="41">
        <v>1.5E-3</v>
      </c>
      <c r="D810" s="41">
        <v>4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v>0</v>
      </c>
      <c r="K810" s="41">
        <v>0</v>
      </c>
      <c r="L810" s="41">
        <v>55</v>
      </c>
      <c r="M810" s="41">
        <v>-1</v>
      </c>
      <c r="N810" s="41">
        <v>4</v>
      </c>
      <c r="O810" s="111" t="s">
        <v>2906</v>
      </c>
      <c r="P810" s="109">
        <v>72</v>
      </c>
      <c r="Q810" s="41"/>
      <c r="R810" s="111"/>
      <c r="S810" s="110"/>
    </row>
    <row r="811" spans="1:19">
      <c r="A811" s="105">
        <v>2193</v>
      </c>
      <c r="B811" s="41">
        <v>316800000</v>
      </c>
      <c r="C811" s="41">
        <v>1.5E-3</v>
      </c>
      <c r="D811" s="41">
        <v>5.6569000000000003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v>0</v>
      </c>
      <c r="K811" s="41">
        <v>0</v>
      </c>
      <c r="L811" s="41">
        <v>55</v>
      </c>
      <c r="M811" s="41">
        <v>-1</v>
      </c>
      <c r="N811" s="41">
        <v>4</v>
      </c>
      <c r="O811" s="111" t="s">
        <v>2907</v>
      </c>
      <c r="P811" s="109">
        <v>72</v>
      </c>
      <c r="Q811" s="41"/>
      <c r="R811" s="111"/>
      <c r="S811" s="110"/>
    </row>
    <row r="812" spans="1:19">
      <c r="A812" s="105">
        <v>2194</v>
      </c>
      <c r="B812" s="41">
        <v>316800000</v>
      </c>
      <c r="C812" s="41">
        <v>1.5E-3</v>
      </c>
      <c r="D812" s="41">
        <v>8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v>0</v>
      </c>
      <c r="K812" s="41">
        <v>0</v>
      </c>
      <c r="L812" s="41">
        <v>55</v>
      </c>
      <c r="M812" s="41">
        <v>-1</v>
      </c>
      <c r="N812" s="41">
        <v>4</v>
      </c>
      <c r="O812" s="111" t="s">
        <v>2908</v>
      </c>
      <c r="P812" s="109">
        <v>72</v>
      </c>
      <c r="Q812" s="41"/>
      <c r="R812" s="111"/>
      <c r="S812" s="110"/>
    </row>
    <row r="813" spans="1:19">
      <c r="A813" s="105">
        <v>2195</v>
      </c>
      <c r="B813" s="41">
        <v>316800000</v>
      </c>
      <c r="C813" s="41">
        <v>1.5E-3</v>
      </c>
      <c r="D813" s="41">
        <v>11.313700000000001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v>0</v>
      </c>
      <c r="K813" s="41">
        <v>0</v>
      </c>
      <c r="L813" s="41">
        <v>55</v>
      </c>
      <c r="M813" s="41">
        <v>-1</v>
      </c>
      <c r="N813" s="41">
        <v>4</v>
      </c>
      <c r="O813" s="111" t="s">
        <v>2909</v>
      </c>
      <c r="P813" s="109">
        <v>72</v>
      </c>
      <c r="Q813" s="41"/>
      <c r="R813" s="111"/>
      <c r="S813" s="110"/>
    </row>
    <row r="814" spans="1:19">
      <c r="A814" s="105">
        <v>2196</v>
      </c>
      <c r="B814" s="41">
        <v>316800000</v>
      </c>
      <c r="C814" s="41">
        <v>1.5E-3</v>
      </c>
      <c r="D814" s="41">
        <v>16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v>0</v>
      </c>
      <c r="K814" s="41">
        <v>0</v>
      </c>
      <c r="L814" s="41">
        <v>55</v>
      </c>
      <c r="M814" s="41">
        <v>-1</v>
      </c>
      <c r="N814" s="41">
        <v>4</v>
      </c>
      <c r="O814" s="111" t="s">
        <v>2910</v>
      </c>
      <c r="P814" s="109">
        <v>72</v>
      </c>
      <c r="Q814" s="41"/>
      <c r="R814" s="111"/>
      <c r="S814" s="110"/>
    </row>
    <row r="815" spans="1:19">
      <c r="A815" s="105">
        <v>2197</v>
      </c>
      <c r="B815" s="41">
        <v>316800000</v>
      </c>
      <c r="C815" s="41">
        <v>1.6000000000000001E-3</v>
      </c>
      <c r="D815" s="41">
        <v>4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v>0</v>
      </c>
      <c r="K815" s="41">
        <v>0</v>
      </c>
      <c r="L815" s="41">
        <v>55</v>
      </c>
      <c r="M815" s="41">
        <v>-1</v>
      </c>
      <c r="N815" s="41">
        <v>4</v>
      </c>
      <c r="O815" s="111" t="s">
        <v>2911</v>
      </c>
      <c r="P815" s="109">
        <v>72</v>
      </c>
      <c r="Q815" s="41"/>
      <c r="R815" s="111"/>
      <c r="S815" s="110"/>
    </row>
    <row r="816" spans="1:19">
      <c r="A816" s="105">
        <v>2198</v>
      </c>
      <c r="B816" s="41">
        <v>316800000</v>
      </c>
      <c r="C816" s="41">
        <v>1.6000000000000001E-3</v>
      </c>
      <c r="D816" s="41">
        <v>5.6569000000000003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v>0</v>
      </c>
      <c r="K816" s="41">
        <v>0</v>
      </c>
      <c r="L816" s="41">
        <v>55</v>
      </c>
      <c r="M816" s="41">
        <v>-1</v>
      </c>
      <c r="N816" s="41">
        <v>4</v>
      </c>
      <c r="O816" s="111" t="s">
        <v>2912</v>
      </c>
      <c r="P816" s="109">
        <v>72</v>
      </c>
      <c r="Q816" s="41"/>
      <c r="R816" s="111"/>
      <c r="S816" s="110"/>
    </row>
    <row r="817" spans="1:19">
      <c r="A817" s="105">
        <v>2199</v>
      </c>
      <c r="B817" s="41">
        <v>316800000</v>
      </c>
      <c r="C817" s="41">
        <v>1.6000000000000001E-3</v>
      </c>
      <c r="D817" s="41">
        <v>8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2913</v>
      </c>
      <c r="P817" s="109">
        <v>72</v>
      </c>
      <c r="Q817" s="41"/>
      <c r="R817" s="111"/>
      <c r="S817" s="110"/>
    </row>
    <row r="818" spans="1:19">
      <c r="A818" s="105">
        <v>2200</v>
      </c>
      <c r="B818" s="41">
        <v>316800000</v>
      </c>
      <c r="C818" s="41">
        <v>1.6000000000000001E-3</v>
      </c>
      <c r="D818" s="41">
        <v>11.313700000000001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2914</v>
      </c>
      <c r="P818" s="109">
        <v>72</v>
      </c>
      <c r="Q818" s="41"/>
      <c r="R818" s="111"/>
      <c r="S818" s="110"/>
    </row>
    <row r="819" spans="1:19">
      <c r="A819" s="105">
        <v>2201</v>
      </c>
      <c r="B819" s="41">
        <v>316800000</v>
      </c>
      <c r="C819" s="41">
        <v>1.6000000000000001E-3</v>
      </c>
      <c r="D819" s="41">
        <v>16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2915</v>
      </c>
      <c r="P819" s="109">
        <v>72</v>
      </c>
      <c r="Q819" s="41"/>
      <c r="R819" s="111"/>
      <c r="S819" s="110"/>
    </row>
    <row r="820" spans="1:19">
      <c r="A820" s="105">
        <v>2202</v>
      </c>
      <c r="B820" s="41">
        <v>316800000</v>
      </c>
      <c r="C820" s="41">
        <v>1.6000000000000001E-3</v>
      </c>
      <c r="D820" s="41">
        <v>22.627400000000002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2916</v>
      </c>
      <c r="P820" s="109">
        <v>72</v>
      </c>
      <c r="Q820" s="41"/>
      <c r="R820" s="111"/>
      <c r="S820" s="110"/>
    </row>
    <row r="821" spans="1:19">
      <c r="A821" s="105">
        <v>2203</v>
      </c>
      <c r="B821" s="41">
        <v>316800000</v>
      </c>
      <c r="C821" s="41">
        <v>1.6999999999999999E-3</v>
      </c>
      <c r="D821" s="41">
        <v>4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2917</v>
      </c>
      <c r="P821" s="109">
        <v>72</v>
      </c>
      <c r="Q821" s="41"/>
      <c r="R821" s="111"/>
      <c r="S821" s="110"/>
    </row>
    <row r="822" spans="1:19">
      <c r="A822" s="105">
        <v>2204</v>
      </c>
      <c r="B822" s="41">
        <v>316800000</v>
      </c>
      <c r="C822" s="41">
        <v>1.6999999999999999E-3</v>
      </c>
      <c r="D822" s="41">
        <v>5.6569000000000003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2918</v>
      </c>
      <c r="P822" s="109">
        <v>72</v>
      </c>
      <c r="Q822" s="41"/>
      <c r="R822" s="111"/>
      <c r="S822" s="110"/>
    </row>
    <row r="823" spans="1:19">
      <c r="A823" s="105">
        <v>2205</v>
      </c>
      <c r="B823" s="41">
        <v>316800000</v>
      </c>
      <c r="C823" s="41">
        <v>1.6999999999999999E-3</v>
      </c>
      <c r="D823" s="41">
        <v>8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2919</v>
      </c>
      <c r="P823" s="109">
        <v>72</v>
      </c>
      <c r="Q823" s="41"/>
      <c r="R823" s="111"/>
      <c r="S823" s="110"/>
    </row>
    <row r="824" spans="1:19">
      <c r="A824" s="105">
        <v>2206</v>
      </c>
      <c r="B824" s="41">
        <v>316800000</v>
      </c>
      <c r="C824" s="41">
        <v>1.6999999999999999E-3</v>
      </c>
      <c r="D824" s="41">
        <v>11.313700000000001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2920</v>
      </c>
      <c r="P824" s="109">
        <v>72</v>
      </c>
      <c r="Q824" s="41"/>
      <c r="R824" s="111"/>
      <c r="S824" s="110"/>
    </row>
    <row r="825" spans="1:19">
      <c r="A825" s="105">
        <v>2207</v>
      </c>
      <c r="B825" s="41">
        <v>316800000</v>
      </c>
      <c r="C825" s="41">
        <v>1.6999999999999999E-3</v>
      </c>
      <c r="D825" s="41">
        <v>16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2921</v>
      </c>
      <c r="P825" s="109">
        <v>72</v>
      </c>
      <c r="Q825" s="41"/>
      <c r="R825" s="111"/>
      <c r="S825" s="110"/>
    </row>
    <row r="826" spans="1:19">
      <c r="A826" s="105">
        <v>2208</v>
      </c>
      <c r="B826" s="41">
        <v>316800000</v>
      </c>
      <c r="C826" s="41">
        <v>1.6999999999999999E-3</v>
      </c>
      <c r="D826" s="41">
        <v>22.627400000000002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2922</v>
      </c>
      <c r="P826" s="109">
        <v>72</v>
      </c>
      <c r="Q826" s="41"/>
      <c r="R826" s="111"/>
      <c r="S826" s="110"/>
    </row>
    <row r="827" spans="1:19">
      <c r="A827" s="105">
        <v>2209</v>
      </c>
      <c r="B827" s="41">
        <v>316800000</v>
      </c>
      <c r="C827" s="41">
        <v>1.9E-3</v>
      </c>
      <c r="D827" s="41">
        <v>4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2923</v>
      </c>
      <c r="P827" s="109">
        <v>72</v>
      </c>
      <c r="Q827" s="41"/>
      <c r="R827" s="111"/>
      <c r="S827" s="110"/>
    </row>
    <row r="828" spans="1:19">
      <c r="A828" s="105">
        <v>2210</v>
      </c>
      <c r="B828" s="41">
        <v>316800000</v>
      </c>
      <c r="C828" s="41">
        <v>1.9E-3</v>
      </c>
      <c r="D828" s="41">
        <v>5.6569000000000003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2924</v>
      </c>
      <c r="P828" s="109">
        <v>72</v>
      </c>
      <c r="Q828" s="41"/>
      <c r="R828" s="111"/>
      <c r="S828" s="110"/>
    </row>
    <row r="829" spans="1:19">
      <c r="A829" s="105">
        <v>2211</v>
      </c>
      <c r="B829" s="41">
        <v>316800000</v>
      </c>
      <c r="C829" s="41">
        <v>1.9E-3</v>
      </c>
      <c r="D829" s="41">
        <v>8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2925</v>
      </c>
      <c r="P829" s="109">
        <v>72</v>
      </c>
      <c r="Q829" s="41"/>
      <c r="R829" s="111"/>
      <c r="S829" s="110"/>
    </row>
    <row r="830" spans="1:19">
      <c r="A830" s="105">
        <v>2212</v>
      </c>
      <c r="B830" s="41">
        <v>316800000</v>
      </c>
      <c r="C830" s="41">
        <v>1.9E-3</v>
      </c>
      <c r="D830" s="41">
        <v>11.313700000000001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2926</v>
      </c>
      <c r="P830" s="109">
        <v>72</v>
      </c>
      <c r="Q830" s="41"/>
      <c r="R830" s="111"/>
      <c r="S830" s="110"/>
    </row>
    <row r="831" spans="1:19">
      <c r="A831" s="105">
        <v>2213</v>
      </c>
      <c r="B831" s="41">
        <v>316800000</v>
      </c>
      <c r="C831" s="41">
        <v>1.9E-3</v>
      </c>
      <c r="D831" s="41">
        <v>16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2927</v>
      </c>
      <c r="P831" s="109">
        <v>72</v>
      </c>
      <c r="Q831" s="41"/>
      <c r="R831" s="111"/>
      <c r="S831" s="110"/>
    </row>
    <row r="832" spans="1:19">
      <c r="A832" s="105">
        <v>2214</v>
      </c>
      <c r="B832" s="41">
        <v>316800000</v>
      </c>
      <c r="C832" s="41">
        <v>1.9E-3</v>
      </c>
      <c r="D832" s="41">
        <v>22.627400000000002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2928</v>
      </c>
      <c r="P832" s="109">
        <v>72</v>
      </c>
      <c r="Q832" s="41"/>
      <c r="R832" s="111"/>
      <c r="S832" s="110"/>
    </row>
    <row r="833" spans="1:19">
      <c r="A833" s="105">
        <v>2215</v>
      </c>
      <c r="B833" s="41">
        <v>316800000</v>
      </c>
      <c r="C833" s="41">
        <v>2.0999999999999999E-3</v>
      </c>
      <c r="D833" s="41">
        <v>2.8283999999999998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2929</v>
      </c>
      <c r="P833" s="109">
        <v>111</v>
      </c>
      <c r="Q833" s="41"/>
      <c r="R833" s="111"/>
      <c r="S833" s="110"/>
    </row>
    <row r="834" spans="1:19">
      <c r="A834" s="105">
        <v>2216</v>
      </c>
      <c r="B834" s="41">
        <v>316800000</v>
      </c>
      <c r="C834" s="41">
        <v>2.0999999999999999E-3</v>
      </c>
      <c r="D834" s="41">
        <v>4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2930</v>
      </c>
      <c r="P834" s="109">
        <v>111</v>
      </c>
      <c r="Q834" s="41"/>
      <c r="R834" s="111"/>
      <c r="S834" s="110"/>
    </row>
    <row r="835" spans="1:19">
      <c r="A835" s="105">
        <v>2217</v>
      </c>
      <c r="B835" s="41">
        <v>316800000</v>
      </c>
      <c r="C835" s="41">
        <v>2.0999999999999999E-3</v>
      </c>
      <c r="D835" s="41">
        <v>5.6569000000000003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2931</v>
      </c>
      <c r="P835" s="109">
        <v>111</v>
      </c>
      <c r="Q835" s="41"/>
      <c r="R835" s="111"/>
      <c r="S835" s="110"/>
    </row>
    <row r="836" spans="1:19">
      <c r="A836" s="105">
        <v>2218</v>
      </c>
      <c r="B836" s="41">
        <v>316800000</v>
      </c>
      <c r="C836" s="41">
        <v>2.0999999999999999E-3</v>
      </c>
      <c r="D836" s="41">
        <v>8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2932</v>
      </c>
      <c r="P836" s="109">
        <v>111</v>
      </c>
      <c r="Q836" s="41"/>
      <c r="R836" s="111"/>
      <c r="S836" s="110"/>
    </row>
    <row r="837" spans="1:19">
      <c r="A837" s="105">
        <v>2219</v>
      </c>
      <c r="B837" s="41">
        <v>316800000</v>
      </c>
      <c r="C837" s="41">
        <v>2.0999999999999999E-3</v>
      </c>
      <c r="D837" s="41">
        <v>11.313700000000001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2933</v>
      </c>
      <c r="P837" s="109">
        <v>111</v>
      </c>
      <c r="Q837" s="41"/>
      <c r="R837" s="111"/>
      <c r="S837" s="110"/>
    </row>
    <row r="838" spans="1:19">
      <c r="A838" s="105">
        <v>2220</v>
      </c>
      <c r="B838" s="41">
        <v>316800000</v>
      </c>
      <c r="C838" s="41">
        <v>2.0999999999999999E-3</v>
      </c>
      <c r="D838" s="41">
        <v>16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2934</v>
      </c>
      <c r="P838" s="109">
        <v>111</v>
      </c>
      <c r="Q838" s="41"/>
      <c r="R838" s="111"/>
      <c r="S838" s="110"/>
    </row>
    <row r="839" spans="1:19">
      <c r="A839" s="105">
        <v>2221</v>
      </c>
      <c r="B839" s="41">
        <v>316800000</v>
      </c>
      <c r="C839" s="41">
        <v>2.0999999999999999E-3</v>
      </c>
      <c r="D839" s="41">
        <v>22.627400000000002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2935</v>
      </c>
      <c r="P839" s="109">
        <v>111</v>
      </c>
      <c r="Q839" s="41"/>
      <c r="R839" s="111"/>
      <c r="S839" s="110"/>
    </row>
    <row r="840" spans="1:19">
      <c r="A840" s="105">
        <v>2222</v>
      </c>
      <c r="B840" s="41">
        <v>316800000</v>
      </c>
      <c r="C840" s="41">
        <v>2.3E-3</v>
      </c>
      <c r="D840" s="41">
        <v>2.8283999999999998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2936</v>
      </c>
      <c r="P840" s="109">
        <v>111</v>
      </c>
      <c r="Q840" s="41"/>
      <c r="R840" s="111"/>
      <c r="S840" s="110"/>
    </row>
    <row r="841" spans="1:19">
      <c r="A841" s="105">
        <v>2223</v>
      </c>
      <c r="B841" s="41">
        <v>316800000</v>
      </c>
      <c r="C841" s="41">
        <v>2.3E-3</v>
      </c>
      <c r="D841" s="41">
        <v>4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2937</v>
      </c>
      <c r="P841" s="109">
        <v>111</v>
      </c>
      <c r="Q841" s="41"/>
      <c r="R841" s="111"/>
      <c r="S841" s="110"/>
    </row>
    <row r="842" spans="1:19">
      <c r="A842" s="105">
        <v>2224</v>
      </c>
      <c r="B842" s="41">
        <v>316800000</v>
      </c>
      <c r="C842" s="41">
        <v>2.3E-3</v>
      </c>
      <c r="D842" s="41">
        <v>5.6569000000000003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2938</v>
      </c>
      <c r="P842" s="109">
        <v>111</v>
      </c>
      <c r="Q842" s="41"/>
      <c r="R842" s="111"/>
      <c r="S842" s="110"/>
    </row>
    <row r="843" spans="1:19">
      <c r="A843" s="105">
        <v>2225</v>
      </c>
      <c r="B843" s="41">
        <v>316800000</v>
      </c>
      <c r="C843" s="41">
        <v>2.3E-3</v>
      </c>
      <c r="D843" s="41">
        <v>8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2939</v>
      </c>
      <c r="P843" s="109">
        <v>111</v>
      </c>
      <c r="Q843" s="41"/>
      <c r="R843" s="111"/>
      <c r="S843" s="110"/>
    </row>
    <row r="844" spans="1:19">
      <c r="A844" s="105">
        <v>2226</v>
      </c>
      <c r="B844" s="41">
        <v>316800000</v>
      </c>
      <c r="C844" s="41">
        <v>2.3E-3</v>
      </c>
      <c r="D844" s="41">
        <v>11.313700000000001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2940</v>
      </c>
      <c r="P844" s="109">
        <v>111</v>
      </c>
      <c r="Q844" s="41"/>
      <c r="R844" s="111"/>
      <c r="S844" s="110"/>
    </row>
    <row r="845" spans="1:19">
      <c r="A845" s="105">
        <v>2227</v>
      </c>
      <c r="B845" s="41">
        <v>316800000</v>
      </c>
      <c r="C845" s="41">
        <v>2.3E-3</v>
      </c>
      <c r="D845" s="41">
        <v>16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2941</v>
      </c>
      <c r="P845" s="109">
        <v>111</v>
      </c>
      <c r="Q845" s="41"/>
      <c r="R845" s="111"/>
      <c r="S845" s="110"/>
    </row>
    <row r="846" spans="1:19">
      <c r="A846" s="105">
        <v>2228</v>
      </c>
      <c r="B846" s="41">
        <v>316800000</v>
      </c>
      <c r="C846" s="41">
        <v>2.3E-3</v>
      </c>
      <c r="D846" s="41">
        <v>22.627400000000002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2942</v>
      </c>
      <c r="P846" s="109">
        <v>111</v>
      </c>
      <c r="Q846" s="41"/>
      <c r="R846" s="111"/>
      <c r="S846" s="110"/>
    </row>
    <row r="847" spans="1:19">
      <c r="A847" s="105">
        <v>2229</v>
      </c>
      <c r="B847" s="41">
        <v>316800000</v>
      </c>
      <c r="C847" s="41">
        <v>2.5000000000000001E-3</v>
      </c>
      <c r="D847" s="41">
        <v>2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2943</v>
      </c>
      <c r="P847" s="109">
        <v>111</v>
      </c>
      <c r="Q847" s="41"/>
      <c r="R847" s="111"/>
      <c r="S847" s="110"/>
    </row>
    <row r="848" spans="1:19">
      <c r="A848" s="105">
        <v>2230</v>
      </c>
      <c r="B848" s="41">
        <v>316800000</v>
      </c>
      <c r="C848" s="41">
        <v>2.5000000000000001E-3</v>
      </c>
      <c r="D848" s="41">
        <v>2.8283999999999998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2944</v>
      </c>
      <c r="P848" s="109">
        <v>111</v>
      </c>
      <c r="Q848" s="41"/>
      <c r="R848" s="111"/>
      <c r="S848" s="110"/>
    </row>
    <row r="849" spans="1:19">
      <c r="A849" s="105">
        <v>2231</v>
      </c>
      <c r="B849" s="41">
        <v>316800000</v>
      </c>
      <c r="C849" s="41">
        <v>2.5000000000000001E-3</v>
      </c>
      <c r="D849" s="41">
        <v>4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2945</v>
      </c>
      <c r="P849" s="109">
        <v>111</v>
      </c>
      <c r="Q849" s="41"/>
      <c r="R849" s="111"/>
      <c r="S849" s="110"/>
    </row>
    <row r="850" spans="1:19">
      <c r="A850" s="105">
        <v>2232</v>
      </c>
      <c r="B850" s="41">
        <v>316800000</v>
      </c>
      <c r="C850" s="41">
        <v>2.5000000000000001E-3</v>
      </c>
      <c r="D850" s="41">
        <v>5.6569000000000003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2946</v>
      </c>
      <c r="P850" s="109">
        <v>111</v>
      </c>
      <c r="Q850" s="41"/>
      <c r="R850" s="111"/>
      <c r="S850" s="110"/>
    </row>
    <row r="851" spans="1:19">
      <c r="A851" s="105">
        <v>2233</v>
      </c>
      <c r="B851" s="41">
        <v>316800000</v>
      </c>
      <c r="C851" s="41">
        <v>2.5000000000000001E-3</v>
      </c>
      <c r="D851" s="41">
        <v>8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2947</v>
      </c>
      <c r="P851" s="109">
        <v>111</v>
      </c>
      <c r="Q851" s="41"/>
      <c r="R851" s="111"/>
      <c r="S851" s="110"/>
    </row>
    <row r="852" spans="1:19">
      <c r="A852" s="105">
        <v>2234</v>
      </c>
      <c r="B852" s="41">
        <v>316800000</v>
      </c>
      <c r="C852" s="41">
        <v>2.5000000000000001E-3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2948</v>
      </c>
      <c r="P852" s="109">
        <v>111</v>
      </c>
      <c r="Q852" s="41"/>
      <c r="R852" s="111"/>
      <c r="S852" s="110"/>
    </row>
    <row r="853" spans="1:19">
      <c r="A853" s="105">
        <v>2235</v>
      </c>
      <c r="B853" s="41">
        <v>316800000</v>
      </c>
      <c r="C853" s="41">
        <v>2.5000000000000001E-3</v>
      </c>
      <c r="D853" s="41">
        <v>16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2949</v>
      </c>
      <c r="P853" s="109">
        <v>111</v>
      </c>
      <c r="Q853" s="41"/>
      <c r="R853" s="111"/>
      <c r="S853" s="110"/>
    </row>
    <row r="854" spans="1:19">
      <c r="A854" s="105">
        <v>2236</v>
      </c>
      <c r="B854" s="41">
        <v>316800000</v>
      </c>
      <c r="C854" s="41">
        <v>2.7000000000000001E-3</v>
      </c>
      <c r="D854" s="41">
        <v>2.8283999999999998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2950</v>
      </c>
      <c r="P854" s="109">
        <v>111</v>
      </c>
      <c r="Q854" s="41"/>
      <c r="R854" s="111"/>
      <c r="S854" s="110"/>
    </row>
    <row r="855" spans="1:19">
      <c r="A855" s="105">
        <v>2237</v>
      </c>
      <c r="B855" s="41">
        <v>316800000</v>
      </c>
      <c r="C855" s="41">
        <v>2.7000000000000001E-3</v>
      </c>
      <c r="D855" s="41">
        <v>4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2951</v>
      </c>
      <c r="P855" s="109">
        <v>111</v>
      </c>
      <c r="Q855" s="41"/>
      <c r="R855" s="111"/>
      <c r="S855" s="110"/>
    </row>
    <row r="856" spans="1:19">
      <c r="A856" s="105">
        <v>2238</v>
      </c>
      <c r="B856" s="41">
        <v>316800000</v>
      </c>
      <c r="C856" s="41">
        <v>2.7000000000000001E-3</v>
      </c>
      <c r="D856" s="41">
        <v>5.6569000000000003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2952</v>
      </c>
      <c r="P856" s="109">
        <v>111</v>
      </c>
      <c r="Q856" s="41"/>
      <c r="R856" s="111"/>
      <c r="S856" s="110"/>
    </row>
    <row r="857" spans="1:19">
      <c r="A857" s="105">
        <v>2239</v>
      </c>
      <c r="B857" s="41">
        <v>316800000</v>
      </c>
      <c r="C857" s="41">
        <v>2.7000000000000001E-3</v>
      </c>
      <c r="D857" s="41">
        <v>8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2953</v>
      </c>
      <c r="P857" s="109">
        <v>111</v>
      </c>
      <c r="Q857" s="41"/>
      <c r="R857" s="111"/>
      <c r="S857" s="110"/>
    </row>
    <row r="858" spans="1:19">
      <c r="A858" s="105">
        <v>2240</v>
      </c>
      <c r="B858" s="41">
        <v>316800000</v>
      </c>
      <c r="C858" s="41">
        <v>2.7000000000000001E-3</v>
      </c>
      <c r="D858" s="41">
        <v>11.313700000000001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2954</v>
      </c>
      <c r="P858" s="109">
        <v>111</v>
      </c>
      <c r="Q858" s="41"/>
      <c r="R858" s="111"/>
      <c r="S858" s="110"/>
    </row>
    <row r="859" spans="1:19">
      <c r="A859" s="105">
        <v>2241</v>
      </c>
      <c r="B859" s="41">
        <v>316800000</v>
      </c>
      <c r="C859" s="41">
        <v>2.7000000000000001E-3</v>
      </c>
      <c r="D859" s="41">
        <v>16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2955</v>
      </c>
      <c r="P859" s="109">
        <v>111</v>
      </c>
      <c r="Q859" s="41"/>
      <c r="R859" s="111"/>
      <c r="S859" s="110"/>
    </row>
    <row r="860" spans="1:19">
      <c r="A860" s="105">
        <v>2242</v>
      </c>
      <c r="B860" s="41">
        <v>316800000</v>
      </c>
      <c r="C860" s="41">
        <v>2.8999999999999998E-3</v>
      </c>
      <c r="D860" s="41">
        <v>2.8283999999999998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2956</v>
      </c>
      <c r="P860" s="109">
        <v>111</v>
      </c>
      <c r="Q860" s="41"/>
      <c r="R860" s="111"/>
      <c r="S860" s="110"/>
    </row>
    <row r="861" spans="1:19">
      <c r="A861" s="105">
        <v>2243</v>
      </c>
      <c r="B861" s="41">
        <v>316800000</v>
      </c>
      <c r="C861" s="41">
        <v>2.8999999999999998E-3</v>
      </c>
      <c r="D861" s="41">
        <v>4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2957</v>
      </c>
      <c r="P861" s="109">
        <v>111</v>
      </c>
      <c r="Q861" s="41"/>
      <c r="R861" s="111"/>
      <c r="S861" s="110"/>
    </row>
    <row r="862" spans="1:19">
      <c r="A862" s="105">
        <v>2244</v>
      </c>
      <c r="B862" s="41">
        <v>316800000</v>
      </c>
      <c r="C862" s="41">
        <v>2.8999999999999998E-3</v>
      </c>
      <c r="D862" s="41">
        <v>5.6569000000000003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2958</v>
      </c>
      <c r="P862" s="109">
        <v>111</v>
      </c>
      <c r="Q862" s="41"/>
      <c r="R862" s="111"/>
      <c r="S862" s="110"/>
    </row>
    <row r="863" spans="1:19">
      <c r="A863" s="105">
        <v>2245</v>
      </c>
      <c r="B863" s="41">
        <v>316800000</v>
      </c>
      <c r="C863" s="41">
        <v>2.8999999999999998E-3</v>
      </c>
      <c r="D863" s="41">
        <v>8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2959</v>
      </c>
      <c r="P863" s="109">
        <v>287</v>
      </c>
      <c r="Q863" s="41"/>
      <c r="R863" s="111"/>
      <c r="S863" s="110"/>
    </row>
    <row r="864" spans="1:19">
      <c r="A864" s="105">
        <v>2246</v>
      </c>
      <c r="B864" s="41">
        <v>316800000</v>
      </c>
      <c r="C864" s="41">
        <v>2.8999999999999998E-3</v>
      </c>
      <c r="D864" s="41">
        <v>11.313700000000001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2960</v>
      </c>
      <c r="P864" s="109">
        <v>287</v>
      </c>
      <c r="Q864" s="41"/>
      <c r="R864" s="111"/>
      <c r="S864" s="110"/>
    </row>
    <row r="865" spans="1:19">
      <c r="A865" s="105">
        <v>2247</v>
      </c>
      <c r="B865" s="41">
        <v>316800000</v>
      </c>
      <c r="C865" s="41">
        <v>2.8999999999999998E-3</v>
      </c>
      <c r="D865" s="41">
        <v>16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2961</v>
      </c>
      <c r="P865" s="109">
        <v>287</v>
      </c>
      <c r="Q865" s="41"/>
      <c r="R865" s="111"/>
      <c r="S865" s="110"/>
    </row>
    <row r="866" spans="1:19">
      <c r="A866" s="105">
        <v>2248</v>
      </c>
      <c r="B866" s="41">
        <v>316800000</v>
      </c>
      <c r="C866" s="41">
        <v>3.2000000000000002E-3</v>
      </c>
      <c r="D866" s="41">
        <v>4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2962</v>
      </c>
      <c r="P866" s="109">
        <v>287</v>
      </c>
      <c r="Q866" s="41"/>
      <c r="R866" s="111"/>
      <c r="S866" s="110"/>
    </row>
    <row r="867" spans="1:19">
      <c r="A867" s="105">
        <v>2249</v>
      </c>
      <c r="B867" s="41">
        <v>316800000</v>
      </c>
      <c r="C867" s="41">
        <v>3.2000000000000002E-3</v>
      </c>
      <c r="D867" s="41">
        <v>5.6569000000000003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2963</v>
      </c>
      <c r="P867" s="109">
        <v>287</v>
      </c>
      <c r="Q867" s="41"/>
      <c r="R867" s="111"/>
      <c r="S867" s="110"/>
    </row>
    <row r="868" spans="1:19">
      <c r="A868" s="105">
        <v>2250</v>
      </c>
      <c r="B868" s="41">
        <v>316800000</v>
      </c>
      <c r="C868" s="41">
        <v>3.2000000000000002E-3</v>
      </c>
      <c r="D868" s="41">
        <v>8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2964</v>
      </c>
      <c r="P868" s="109">
        <v>287</v>
      </c>
      <c r="Q868" s="41"/>
      <c r="R868" s="111"/>
      <c r="S868" s="110"/>
    </row>
    <row r="869" spans="1:19">
      <c r="A869" s="105">
        <v>2251</v>
      </c>
      <c r="B869" s="41">
        <v>316800000</v>
      </c>
      <c r="C869" s="41">
        <v>3.2000000000000002E-3</v>
      </c>
      <c r="D869" s="41">
        <v>11.313700000000001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2965</v>
      </c>
      <c r="P869" s="109">
        <v>287</v>
      </c>
      <c r="Q869" s="41"/>
      <c r="R869" s="111"/>
      <c r="S869" s="110"/>
    </row>
    <row r="870" spans="1:19">
      <c r="A870" s="105">
        <v>2252</v>
      </c>
      <c r="B870" s="41">
        <v>316800000</v>
      </c>
      <c r="C870" s="41">
        <v>3.2000000000000002E-3</v>
      </c>
      <c r="D870" s="41">
        <v>16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2966</v>
      </c>
      <c r="P870" s="109">
        <v>287</v>
      </c>
      <c r="Q870" s="41"/>
      <c r="R870" s="111"/>
      <c r="S870" s="110"/>
    </row>
    <row r="871" spans="1:19">
      <c r="A871" s="105">
        <v>2253</v>
      </c>
      <c r="B871" s="41">
        <v>316800000</v>
      </c>
      <c r="C871" s="41">
        <v>3.5000000000000001E-3</v>
      </c>
      <c r="D871" s="41">
        <v>4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2967</v>
      </c>
      <c r="P871" s="109">
        <v>287</v>
      </c>
      <c r="Q871" s="41"/>
      <c r="R871" s="111"/>
      <c r="S871" s="110"/>
    </row>
    <row r="872" spans="1:19">
      <c r="A872" s="105">
        <v>2254</v>
      </c>
      <c r="B872" s="41">
        <v>316800000</v>
      </c>
      <c r="C872" s="41">
        <v>3.5000000000000001E-3</v>
      </c>
      <c r="D872" s="41">
        <v>5.6569000000000003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2968</v>
      </c>
      <c r="P872" s="109">
        <v>287</v>
      </c>
      <c r="Q872" s="41"/>
      <c r="R872" s="111"/>
      <c r="S872" s="110"/>
    </row>
    <row r="873" spans="1:19">
      <c r="A873" s="105">
        <v>2255</v>
      </c>
      <c r="B873" s="41">
        <v>316800000</v>
      </c>
      <c r="C873" s="41">
        <v>3.5000000000000001E-3</v>
      </c>
      <c r="D873" s="41">
        <v>8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2969</v>
      </c>
      <c r="P873" s="109">
        <v>287</v>
      </c>
      <c r="Q873" s="41"/>
      <c r="R873" s="111"/>
      <c r="S873" s="110"/>
    </row>
    <row r="874" spans="1:19">
      <c r="A874" s="105">
        <v>2256</v>
      </c>
      <c r="B874" s="41">
        <v>316800000</v>
      </c>
      <c r="C874" s="41">
        <v>3.5000000000000001E-3</v>
      </c>
      <c r="D874" s="41">
        <v>11.313700000000001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2970</v>
      </c>
      <c r="P874" s="109">
        <v>287</v>
      </c>
      <c r="Q874" s="41"/>
      <c r="R874" s="111"/>
      <c r="S874" s="110"/>
    </row>
    <row r="875" spans="1:19">
      <c r="A875" s="105">
        <v>2257</v>
      </c>
      <c r="B875" s="41">
        <v>316800000</v>
      </c>
      <c r="C875" s="41">
        <v>3.8E-3</v>
      </c>
      <c r="D875" s="41">
        <v>5.6569000000000003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2971</v>
      </c>
      <c r="P875" s="109">
        <v>287</v>
      </c>
      <c r="Q875" s="41"/>
      <c r="R875" s="111"/>
      <c r="S875" s="110"/>
    </row>
    <row r="876" spans="1:19">
      <c r="A876" s="105">
        <v>2258</v>
      </c>
      <c r="B876" s="41">
        <v>316800000</v>
      </c>
      <c r="C876" s="41">
        <v>3.8E-3</v>
      </c>
      <c r="D876" s="41">
        <v>8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2972</v>
      </c>
      <c r="P876" s="109">
        <v>287</v>
      </c>
      <c r="Q876" s="41"/>
      <c r="R876" s="111"/>
      <c r="S876" s="110"/>
    </row>
    <row r="877" spans="1:19">
      <c r="A877" s="105">
        <v>2259</v>
      </c>
      <c r="B877" s="41">
        <v>316800000</v>
      </c>
      <c r="C877" s="41">
        <v>3.8E-3</v>
      </c>
      <c r="D877" s="41">
        <v>11.313700000000001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2973</v>
      </c>
      <c r="P877" s="109">
        <v>287</v>
      </c>
      <c r="Q877" s="41"/>
      <c r="R877" s="111"/>
      <c r="S877" s="110"/>
    </row>
    <row r="878" spans="1:19">
      <c r="A878" s="105">
        <v>2260</v>
      </c>
      <c r="B878" s="41">
        <v>316800000</v>
      </c>
      <c r="C878" s="41">
        <v>4.1999999999999997E-3</v>
      </c>
      <c r="D878" s="41">
        <v>5.6569000000000003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2974</v>
      </c>
      <c r="P878" s="109">
        <v>287</v>
      </c>
      <c r="Q878" s="41"/>
      <c r="R878" s="111"/>
      <c r="S878" s="110"/>
    </row>
    <row r="879" spans="1:19">
      <c r="A879" s="105">
        <v>2261</v>
      </c>
      <c r="B879" s="41">
        <v>316800000</v>
      </c>
      <c r="C879" s="41">
        <v>4.1999999999999997E-3</v>
      </c>
      <c r="D879" s="41">
        <v>8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2975</v>
      </c>
      <c r="P879" s="109">
        <v>287</v>
      </c>
      <c r="Q879" s="41"/>
      <c r="R879" s="111"/>
      <c r="S879" s="110"/>
    </row>
    <row r="880" spans="1:19">
      <c r="A880" s="105">
        <v>2262</v>
      </c>
      <c r="B880" s="41">
        <v>316800000</v>
      </c>
      <c r="C880" s="41">
        <v>4.1999999999999997E-3</v>
      </c>
      <c r="D880" s="41">
        <v>11.313700000000001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2976</v>
      </c>
      <c r="P880" s="109">
        <v>287</v>
      </c>
      <c r="Q880" s="41"/>
      <c r="R880" s="111"/>
      <c r="S880" s="110"/>
    </row>
    <row r="881" spans="1:19">
      <c r="A881" s="105">
        <v>2263</v>
      </c>
      <c r="B881" s="41">
        <v>316800000</v>
      </c>
      <c r="C881" s="41">
        <v>4.4999999999999997E-3</v>
      </c>
      <c r="D881" s="41">
        <v>8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2977</v>
      </c>
      <c r="P881" s="109">
        <v>287</v>
      </c>
      <c r="Q881" s="41"/>
      <c r="R881" s="111"/>
      <c r="S881" s="110"/>
    </row>
    <row r="882" spans="1:19">
      <c r="A882" s="105">
        <v>2264</v>
      </c>
      <c r="B882" s="41">
        <v>316800000</v>
      </c>
      <c r="C882" s="41">
        <v>4.4999999999999997E-3</v>
      </c>
      <c r="D882" s="41">
        <v>11.313700000000001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2978</v>
      </c>
      <c r="P882" s="109">
        <v>287</v>
      </c>
      <c r="Q882" s="41"/>
      <c r="R882" s="111"/>
      <c r="S882" s="110"/>
    </row>
    <row r="883" spans="1:19">
      <c r="A883" s="105">
        <v>2265</v>
      </c>
      <c r="B883" s="41">
        <v>316800000</v>
      </c>
      <c r="C883" s="41">
        <v>4.8999999999999998E-3</v>
      </c>
      <c r="D883" s="41">
        <v>8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2979</v>
      </c>
      <c r="P883" s="109">
        <v>287</v>
      </c>
      <c r="Q883" s="41"/>
      <c r="R883" s="111"/>
      <c r="S883" s="110"/>
    </row>
    <row r="884" spans="1:19">
      <c r="A884" s="105">
        <v>2266</v>
      </c>
      <c r="B884" s="41">
        <v>120000000</v>
      </c>
      <c r="C884" s="41">
        <v>1.1999999999999999E-3</v>
      </c>
      <c r="D884" s="41">
        <v>0.5</v>
      </c>
      <c r="E884" s="41">
        <v>30</v>
      </c>
      <c r="F884" s="41">
        <v>0</v>
      </c>
      <c r="G884" s="41" t="s">
        <v>505</v>
      </c>
      <c r="H884" s="41">
        <v>2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2982</v>
      </c>
      <c r="P884" s="109">
        <v>10738</v>
      </c>
      <c r="Q884" s="41"/>
      <c r="R884" s="111"/>
      <c r="S884" s="110" t="s">
        <v>3162</v>
      </c>
    </row>
    <row r="885" spans="1:19">
      <c r="A885" s="105">
        <v>2267</v>
      </c>
      <c r="B885" s="41">
        <v>120000000</v>
      </c>
      <c r="C885" s="41">
        <v>1.1999999999999999E-3</v>
      </c>
      <c r="D885" s="41">
        <v>0.70709999999999995</v>
      </c>
      <c r="E885" s="41">
        <v>30</v>
      </c>
      <c r="F885" s="41">
        <v>0</v>
      </c>
      <c r="G885" s="41" t="s">
        <v>505</v>
      </c>
      <c r="H885" s="41">
        <v>2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2983</v>
      </c>
      <c r="P885" s="109">
        <v>10738</v>
      </c>
      <c r="Q885" s="41"/>
      <c r="R885" s="111"/>
      <c r="S885" s="110"/>
    </row>
    <row r="886" spans="1:19">
      <c r="A886" s="105">
        <v>2268</v>
      </c>
      <c r="B886" s="41">
        <v>120000000</v>
      </c>
      <c r="C886" s="41">
        <v>1.1999999999999999E-3</v>
      </c>
      <c r="D886" s="41">
        <v>1</v>
      </c>
      <c r="E886" s="41">
        <v>30</v>
      </c>
      <c r="F886" s="41">
        <v>0</v>
      </c>
      <c r="G886" s="41" t="s">
        <v>505</v>
      </c>
      <c r="H886" s="41">
        <v>2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2984</v>
      </c>
      <c r="P886" s="109">
        <v>10738</v>
      </c>
      <c r="Q886" s="41"/>
      <c r="R886" s="111"/>
      <c r="S886" s="110"/>
    </row>
    <row r="887" spans="1:19">
      <c r="A887" s="105">
        <v>2269</v>
      </c>
      <c r="B887" s="41">
        <v>120000000</v>
      </c>
      <c r="C887" s="41">
        <v>1.1999999999999999E-3</v>
      </c>
      <c r="D887" s="41">
        <v>1.4141999999999999</v>
      </c>
      <c r="E887" s="41">
        <v>30</v>
      </c>
      <c r="F887" s="41">
        <v>0</v>
      </c>
      <c r="G887" s="41" t="s">
        <v>505</v>
      </c>
      <c r="H887" s="41">
        <v>2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2985</v>
      </c>
      <c r="P887" s="109">
        <v>10738</v>
      </c>
      <c r="Q887" s="41"/>
      <c r="R887" s="111"/>
      <c r="S887" s="110"/>
    </row>
    <row r="888" spans="1:19">
      <c r="A888" s="105">
        <v>2270</v>
      </c>
      <c r="B888" s="41">
        <v>120000000</v>
      </c>
      <c r="C888" s="41">
        <v>1.1999999999999999E-3</v>
      </c>
      <c r="D888" s="41">
        <v>2</v>
      </c>
      <c r="E888" s="41">
        <v>30</v>
      </c>
      <c r="F888" s="41">
        <v>0</v>
      </c>
      <c r="G888" s="41" t="s">
        <v>505</v>
      </c>
      <c r="H888" s="41">
        <v>2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2986</v>
      </c>
      <c r="P888" s="109">
        <v>10738</v>
      </c>
      <c r="Q888" s="41"/>
      <c r="R888" s="111"/>
      <c r="S888" s="110"/>
    </row>
    <row r="889" spans="1:19">
      <c r="A889" s="105">
        <v>2271</v>
      </c>
      <c r="B889" s="41">
        <v>120000000</v>
      </c>
      <c r="C889" s="41">
        <v>1.1999999999999999E-3</v>
      </c>
      <c r="D889" s="41">
        <v>2.8283999999999998</v>
      </c>
      <c r="E889" s="41">
        <v>30</v>
      </c>
      <c r="F889" s="41">
        <v>0</v>
      </c>
      <c r="G889" s="41" t="s">
        <v>505</v>
      </c>
      <c r="H889" s="41">
        <v>2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2987</v>
      </c>
      <c r="P889" s="109">
        <v>10738</v>
      </c>
      <c r="Q889" s="41"/>
      <c r="R889" s="111"/>
      <c r="S889" s="110"/>
    </row>
    <row r="890" spans="1:19">
      <c r="A890" s="105">
        <v>2272</v>
      </c>
      <c r="B890" s="41">
        <v>120000000</v>
      </c>
      <c r="C890" s="41">
        <v>1.1999999999999999E-3</v>
      </c>
      <c r="D890" s="41">
        <v>4</v>
      </c>
      <c r="E890" s="41">
        <v>30</v>
      </c>
      <c r="F890" s="41">
        <v>0</v>
      </c>
      <c r="G890" s="41" t="s">
        <v>505</v>
      </c>
      <c r="H890" s="41">
        <v>2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2988</v>
      </c>
      <c r="P890" s="109">
        <v>10738</v>
      </c>
      <c r="Q890" s="41"/>
      <c r="R890" s="111"/>
      <c r="S890" s="110"/>
    </row>
    <row r="891" spans="1:19">
      <c r="A891" s="105">
        <v>2273</v>
      </c>
      <c r="B891" s="41">
        <v>120000000</v>
      </c>
      <c r="C891" s="41">
        <v>1.1999999999999999E-3</v>
      </c>
      <c r="D891" s="41">
        <v>5.6569000000000003</v>
      </c>
      <c r="E891" s="41">
        <v>30</v>
      </c>
      <c r="F891" s="41">
        <v>0</v>
      </c>
      <c r="G891" s="41" t="s">
        <v>505</v>
      </c>
      <c r="H891" s="41">
        <v>2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2989</v>
      </c>
      <c r="P891" s="109">
        <v>10738</v>
      </c>
      <c r="Q891" s="41"/>
      <c r="R891" s="111"/>
      <c r="S891" s="110"/>
    </row>
    <row r="892" spans="1:19">
      <c r="A892" s="105">
        <v>2274</v>
      </c>
      <c r="B892" s="41">
        <v>120000000</v>
      </c>
      <c r="C892" s="41">
        <v>1.1999999999999999E-3</v>
      </c>
      <c r="D892" s="41">
        <v>8</v>
      </c>
      <c r="E892" s="41">
        <v>30</v>
      </c>
      <c r="F892" s="41">
        <v>0</v>
      </c>
      <c r="G892" s="41" t="s">
        <v>505</v>
      </c>
      <c r="H892" s="41">
        <v>2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2990</v>
      </c>
      <c r="P892" s="109">
        <v>10738</v>
      </c>
      <c r="Q892" s="41"/>
      <c r="R892" s="111"/>
      <c r="S892" s="110"/>
    </row>
    <row r="893" spans="1:19">
      <c r="A893" s="105">
        <v>2275</v>
      </c>
      <c r="B893" s="41">
        <v>120000000</v>
      </c>
      <c r="C893" s="41">
        <v>1.1999999999999999E-3</v>
      </c>
      <c r="D893" s="41">
        <v>11.313700000000001</v>
      </c>
      <c r="E893" s="41">
        <v>30</v>
      </c>
      <c r="F893" s="41">
        <v>0</v>
      </c>
      <c r="G893" s="41" t="s">
        <v>505</v>
      </c>
      <c r="H893" s="41">
        <v>2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2991</v>
      </c>
      <c r="P893" s="109">
        <v>10738</v>
      </c>
      <c r="Q893" s="41"/>
      <c r="R893" s="111"/>
      <c r="S893" s="110"/>
    </row>
    <row r="894" spans="1:19">
      <c r="A894" s="105">
        <v>2276</v>
      </c>
      <c r="B894" s="41">
        <v>120000000</v>
      </c>
      <c r="C894" s="41">
        <v>1.2999999999999999E-3</v>
      </c>
      <c r="D894" s="41">
        <v>0.70709999999999995</v>
      </c>
      <c r="E894" s="41">
        <v>30</v>
      </c>
      <c r="F894" s="41">
        <v>0</v>
      </c>
      <c r="G894" s="41" t="s">
        <v>505</v>
      </c>
      <c r="H894" s="41">
        <v>2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2992</v>
      </c>
      <c r="P894" s="109">
        <v>10738</v>
      </c>
      <c r="Q894" s="41"/>
      <c r="R894" s="111"/>
      <c r="S894" s="110"/>
    </row>
    <row r="895" spans="1:19">
      <c r="A895" s="105">
        <v>2277</v>
      </c>
      <c r="B895" s="41">
        <v>120000000</v>
      </c>
      <c r="C895" s="41">
        <v>1.2999999999999999E-3</v>
      </c>
      <c r="D895" s="41">
        <v>1</v>
      </c>
      <c r="E895" s="41">
        <v>30</v>
      </c>
      <c r="F895" s="41">
        <v>0</v>
      </c>
      <c r="G895" s="41" t="s">
        <v>505</v>
      </c>
      <c r="H895" s="41">
        <v>2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2993</v>
      </c>
      <c r="P895" s="109">
        <v>10738</v>
      </c>
      <c r="Q895" s="41"/>
      <c r="R895" s="111"/>
      <c r="S895" s="110"/>
    </row>
    <row r="896" spans="1:19">
      <c r="A896" s="105">
        <v>2278</v>
      </c>
      <c r="B896" s="41">
        <v>120000000</v>
      </c>
      <c r="C896" s="41">
        <v>1.2999999999999999E-3</v>
      </c>
      <c r="D896" s="41">
        <v>1.4141999999999999</v>
      </c>
      <c r="E896" s="41">
        <v>30</v>
      </c>
      <c r="F896" s="41">
        <v>0</v>
      </c>
      <c r="G896" s="41" t="s">
        <v>505</v>
      </c>
      <c r="H896" s="41">
        <v>2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2994</v>
      </c>
      <c r="P896" s="109">
        <v>10738</v>
      </c>
      <c r="Q896" s="41"/>
      <c r="R896" s="111"/>
      <c r="S896" s="110"/>
    </row>
    <row r="897" spans="1:19">
      <c r="A897" s="105">
        <v>2279</v>
      </c>
      <c r="B897" s="41">
        <v>120000000</v>
      </c>
      <c r="C897" s="41">
        <v>1.2999999999999999E-3</v>
      </c>
      <c r="D897" s="41">
        <v>2</v>
      </c>
      <c r="E897" s="41">
        <v>30</v>
      </c>
      <c r="F897" s="41">
        <v>0</v>
      </c>
      <c r="G897" s="41" t="s">
        <v>505</v>
      </c>
      <c r="H897" s="41">
        <v>2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2995</v>
      </c>
      <c r="P897" s="109">
        <v>10738</v>
      </c>
      <c r="Q897" s="41"/>
      <c r="R897" s="111"/>
      <c r="S897" s="110"/>
    </row>
    <row r="898" spans="1:19">
      <c r="A898" s="105">
        <v>2280</v>
      </c>
      <c r="B898" s="41">
        <v>120000000</v>
      </c>
      <c r="C898" s="41">
        <v>1.2999999999999999E-3</v>
      </c>
      <c r="D898" s="41">
        <v>2.8283999999999998</v>
      </c>
      <c r="E898" s="41">
        <v>30</v>
      </c>
      <c r="F898" s="41">
        <v>0</v>
      </c>
      <c r="G898" s="41" t="s">
        <v>505</v>
      </c>
      <c r="H898" s="41">
        <v>2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2996</v>
      </c>
      <c r="P898" s="109">
        <v>10738</v>
      </c>
      <c r="Q898" s="41"/>
      <c r="R898" s="111"/>
      <c r="S898" s="110"/>
    </row>
    <row r="899" spans="1:19">
      <c r="A899" s="105">
        <v>2281</v>
      </c>
      <c r="B899" s="41">
        <v>120000000</v>
      </c>
      <c r="C899" s="41">
        <v>1.2999999999999999E-3</v>
      </c>
      <c r="D899" s="41">
        <v>4</v>
      </c>
      <c r="E899" s="41">
        <v>30</v>
      </c>
      <c r="F899" s="41">
        <v>0</v>
      </c>
      <c r="G899" s="41" t="s">
        <v>505</v>
      </c>
      <c r="H899" s="41">
        <v>2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2997</v>
      </c>
      <c r="P899" s="109">
        <v>10738</v>
      </c>
      <c r="Q899" s="41"/>
      <c r="R899" s="111"/>
      <c r="S899" s="110"/>
    </row>
    <row r="900" spans="1:19">
      <c r="A900" s="105">
        <v>2282</v>
      </c>
      <c r="B900" s="41">
        <v>120000000</v>
      </c>
      <c r="C900" s="41">
        <v>1.2999999999999999E-3</v>
      </c>
      <c r="D900" s="41">
        <v>5.6569000000000003</v>
      </c>
      <c r="E900" s="41">
        <v>30</v>
      </c>
      <c r="F900" s="41">
        <v>0</v>
      </c>
      <c r="G900" s="41" t="s">
        <v>505</v>
      </c>
      <c r="H900" s="41">
        <v>2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2998</v>
      </c>
      <c r="P900" s="109">
        <v>10738</v>
      </c>
      <c r="Q900" s="41"/>
      <c r="R900" s="111"/>
      <c r="S900" s="110"/>
    </row>
    <row r="901" spans="1:19">
      <c r="A901" s="105">
        <v>2283</v>
      </c>
      <c r="B901" s="41">
        <v>120000000</v>
      </c>
      <c r="C901" s="41">
        <v>1.2999999999999999E-3</v>
      </c>
      <c r="D901" s="41">
        <v>8</v>
      </c>
      <c r="E901" s="41">
        <v>30</v>
      </c>
      <c r="F901" s="41">
        <v>0</v>
      </c>
      <c r="G901" s="41" t="s">
        <v>505</v>
      </c>
      <c r="H901" s="41">
        <v>2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2999</v>
      </c>
      <c r="P901" s="109">
        <v>10738</v>
      </c>
      <c r="Q901" s="41"/>
      <c r="R901" s="111"/>
      <c r="S901" s="110"/>
    </row>
    <row r="902" spans="1:19">
      <c r="A902" s="105">
        <v>2284</v>
      </c>
      <c r="B902" s="41">
        <v>120000000</v>
      </c>
      <c r="C902" s="41">
        <v>1.2999999999999999E-3</v>
      </c>
      <c r="D902" s="41">
        <v>11.313700000000001</v>
      </c>
      <c r="E902" s="41">
        <v>30</v>
      </c>
      <c r="F902" s="41">
        <v>0</v>
      </c>
      <c r="G902" s="41" t="s">
        <v>505</v>
      </c>
      <c r="H902" s="41">
        <v>2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3000</v>
      </c>
      <c r="P902" s="109">
        <v>10738</v>
      </c>
      <c r="Q902" s="41"/>
      <c r="R902" s="111"/>
      <c r="S902" s="110"/>
    </row>
    <row r="903" spans="1:19">
      <c r="A903" s="105">
        <v>2285</v>
      </c>
      <c r="B903" s="41">
        <v>120000000</v>
      </c>
      <c r="C903" s="41">
        <v>1.2999999999999999E-3</v>
      </c>
      <c r="D903" s="41">
        <v>16</v>
      </c>
      <c r="E903" s="41">
        <v>30</v>
      </c>
      <c r="F903" s="41">
        <v>0</v>
      </c>
      <c r="G903" s="41" t="s">
        <v>505</v>
      </c>
      <c r="H903" s="41">
        <v>2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3001</v>
      </c>
      <c r="P903" s="109">
        <v>10738</v>
      </c>
      <c r="Q903" s="41"/>
      <c r="R903" s="111"/>
      <c r="S903" s="110"/>
    </row>
    <row r="904" spans="1:19">
      <c r="A904" s="105">
        <v>2286</v>
      </c>
      <c r="B904" s="41">
        <v>120000000</v>
      </c>
      <c r="C904" s="41">
        <v>1.5E-3</v>
      </c>
      <c r="D904" s="41">
        <v>0.70709999999999995</v>
      </c>
      <c r="E904" s="41">
        <v>30</v>
      </c>
      <c r="F904" s="41">
        <v>0</v>
      </c>
      <c r="G904" s="41" t="s">
        <v>505</v>
      </c>
      <c r="H904" s="41">
        <v>2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3002</v>
      </c>
      <c r="P904" s="109"/>
      <c r="Q904" s="41"/>
      <c r="R904" s="111"/>
      <c r="S904" s="110"/>
    </row>
    <row r="905" spans="1:19">
      <c r="A905" s="105">
        <v>2287</v>
      </c>
      <c r="B905" s="41">
        <v>120000000</v>
      </c>
      <c r="C905" s="41">
        <v>1.5E-3</v>
      </c>
      <c r="D905" s="41">
        <v>1</v>
      </c>
      <c r="E905" s="41">
        <v>30</v>
      </c>
      <c r="F905" s="41">
        <v>0</v>
      </c>
      <c r="G905" s="41" t="s">
        <v>505</v>
      </c>
      <c r="H905" s="41">
        <v>2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3003</v>
      </c>
      <c r="P905" s="109"/>
      <c r="Q905" s="41"/>
      <c r="R905" s="111"/>
      <c r="S905" s="110"/>
    </row>
    <row r="906" spans="1:19">
      <c r="A906" s="105">
        <v>2288</v>
      </c>
      <c r="B906" s="41">
        <v>120000000</v>
      </c>
      <c r="C906" s="41">
        <v>1.5E-3</v>
      </c>
      <c r="D906" s="41">
        <v>1.4141999999999999</v>
      </c>
      <c r="E906" s="41">
        <v>30</v>
      </c>
      <c r="F906" s="41">
        <v>0</v>
      </c>
      <c r="G906" s="41" t="s">
        <v>505</v>
      </c>
      <c r="H906" s="41">
        <v>2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3004</v>
      </c>
      <c r="P906" s="109"/>
      <c r="Q906" s="41"/>
      <c r="R906" s="111"/>
      <c r="S906" s="110"/>
    </row>
    <row r="907" spans="1:19">
      <c r="A907" s="105">
        <v>2289</v>
      </c>
      <c r="B907" s="41">
        <v>120000000</v>
      </c>
      <c r="C907" s="41">
        <v>1.5E-3</v>
      </c>
      <c r="D907" s="41">
        <v>2</v>
      </c>
      <c r="E907" s="41">
        <v>30</v>
      </c>
      <c r="F907" s="41">
        <v>0</v>
      </c>
      <c r="G907" s="41" t="s">
        <v>505</v>
      </c>
      <c r="H907" s="41">
        <v>2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3005</v>
      </c>
      <c r="P907" s="109"/>
      <c r="Q907" s="41"/>
      <c r="R907" s="111"/>
      <c r="S907" s="110"/>
    </row>
    <row r="908" spans="1:19">
      <c r="A908" s="105">
        <v>2290</v>
      </c>
      <c r="B908" s="41">
        <v>120000000</v>
      </c>
      <c r="C908" s="41">
        <v>1.5E-3</v>
      </c>
      <c r="D908" s="41">
        <v>2.8283999999999998</v>
      </c>
      <c r="E908" s="41">
        <v>30</v>
      </c>
      <c r="F908" s="41">
        <v>0</v>
      </c>
      <c r="G908" s="41" t="s">
        <v>505</v>
      </c>
      <c r="H908" s="41">
        <v>2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3006</v>
      </c>
      <c r="P908" s="109"/>
      <c r="Q908" s="41"/>
      <c r="R908" s="111"/>
      <c r="S908" s="110"/>
    </row>
    <row r="909" spans="1:19">
      <c r="A909" s="105">
        <v>2291</v>
      </c>
      <c r="B909" s="41">
        <v>120000000</v>
      </c>
      <c r="C909" s="41">
        <v>1.5E-3</v>
      </c>
      <c r="D909" s="41">
        <v>4</v>
      </c>
      <c r="E909" s="41">
        <v>30</v>
      </c>
      <c r="F909" s="41">
        <v>0</v>
      </c>
      <c r="G909" s="41" t="s">
        <v>505</v>
      </c>
      <c r="H909" s="41">
        <v>2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3007</v>
      </c>
      <c r="P909" s="109"/>
      <c r="Q909" s="41"/>
      <c r="R909" s="111"/>
      <c r="S909" s="110"/>
    </row>
    <row r="910" spans="1:19">
      <c r="A910" s="105">
        <v>2292</v>
      </c>
      <c r="B910" s="41">
        <v>120000000</v>
      </c>
      <c r="C910" s="41">
        <v>1.5E-3</v>
      </c>
      <c r="D910" s="41">
        <v>5.6569000000000003</v>
      </c>
      <c r="E910" s="41">
        <v>30</v>
      </c>
      <c r="F910" s="41">
        <v>0</v>
      </c>
      <c r="G910" s="41" t="s">
        <v>505</v>
      </c>
      <c r="H910" s="41">
        <v>2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3008</v>
      </c>
      <c r="P910" s="109"/>
      <c r="Q910" s="41"/>
      <c r="R910" s="111"/>
      <c r="S910" s="110"/>
    </row>
    <row r="911" spans="1:19">
      <c r="A911" s="105">
        <v>2293</v>
      </c>
      <c r="B911" s="41">
        <v>120000000</v>
      </c>
      <c r="C911" s="41">
        <v>1.5E-3</v>
      </c>
      <c r="D911" s="41">
        <v>8</v>
      </c>
      <c r="E911" s="41">
        <v>30</v>
      </c>
      <c r="F911" s="41">
        <v>0</v>
      </c>
      <c r="G911" s="41" t="s">
        <v>505</v>
      </c>
      <c r="H911" s="41">
        <v>2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3009</v>
      </c>
      <c r="P911" s="109"/>
      <c r="Q911" s="41"/>
      <c r="R911" s="111"/>
      <c r="S911" s="110"/>
    </row>
    <row r="912" spans="1:19">
      <c r="A912" s="105">
        <v>2294</v>
      </c>
      <c r="B912" s="41">
        <v>120000000</v>
      </c>
      <c r="C912" s="41">
        <v>1.5E-3</v>
      </c>
      <c r="D912" s="41">
        <v>11.313700000000001</v>
      </c>
      <c r="E912" s="41">
        <v>30</v>
      </c>
      <c r="F912" s="41">
        <v>0</v>
      </c>
      <c r="G912" s="41" t="s">
        <v>505</v>
      </c>
      <c r="H912" s="41">
        <v>2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3010</v>
      </c>
      <c r="P912" s="109"/>
      <c r="Q912" s="41"/>
      <c r="R912" s="111"/>
      <c r="S912" s="110"/>
    </row>
    <row r="913" spans="1:19">
      <c r="A913" s="105">
        <v>2295</v>
      </c>
      <c r="B913" s="41">
        <v>120000000</v>
      </c>
      <c r="C913" s="41">
        <v>1.5E-3</v>
      </c>
      <c r="D913" s="41">
        <v>16</v>
      </c>
      <c r="E913" s="41">
        <v>30</v>
      </c>
      <c r="F913" s="41">
        <v>0</v>
      </c>
      <c r="G913" s="41" t="s">
        <v>505</v>
      </c>
      <c r="H913" s="41">
        <v>2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3011</v>
      </c>
      <c r="P913" s="109"/>
      <c r="Q913" s="41"/>
      <c r="R913" s="111"/>
      <c r="S913" s="110"/>
    </row>
    <row r="914" spans="1:19">
      <c r="A914" s="105">
        <v>2296</v>
      </c>
      <c r="B914" s="41">
        <v>120000000</v>
      </c>
      <c r="C914" s="41">
        <v>1.6000000000000001E-3</v>
      </c>
      <c r="D914" s="41">
        <v>1</v>
      </c>
      <c r="E914" s="41">
        <v>30</v>
      </c>
      <c r="F914" s="41">
        <v>0</v>
      </c>
      <c r="G914" s="41" t="s">
        <v>505</v>
      </c>
      <c r="H914" s="41">
        <v>2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3012</v>
      </c>
      <c r="P914" s="109"/>
      <c r="Q914" s="41"/>
      <c r="R914" s="111"/>
      <c r="S914" s="110"/>
    </row>
    <row r="915" spans="1:19">
      <c r="A915" s="105">
        <v>2297</v>
      </c>
      <c r="B915" s="41">
        <v>120000000</v>
      </c>
      <c r="C915" s="41">
        <v>1.6000000000000001E-3</v>
      </c>
      <c r="D915" s="41">
        <v>1.4141999999999999</v>
      </c>
      <c r="E915" s="41">
        <v>30</v>
      </c>
      <c r="F915" s="41">
        <v>0</v>
      </c>
      <c r="G915" s="41" t="s">
        <v>505</v>
      </c>
      <c r="H915" s="41">
        <v>2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3013</v>
      </c>
      <c r="P915" s="109"/>
      <c r="Q915" s="41"/>
      <c r="R915" s="111"/>
      <c r="S915" s="110"/>
    </row>
    <row r="916" spans="1:19">
      <c r="A916" s="105">
        <v>2298</v>
      </c>
      <c r="B916" s="41">
        <v>120000000</v>
      </c>
      <c r="C916" s="41">
        <v>1.6000000000000001E-3</v>
      </c>
      <c r="D916" s="41">
        <v>2</v>
      </c>
      <c r="E916" s="41">
        <v>30</v>
      </c>
      <c r="F916" s="41">
        <v>0</v>
      </c>
      <c r="G916" s="41" t="s">
        <v>505</v>
      </c>
      <c r="H916" s="41">
        <v>2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3014</v>
      </c>
      <c r="P916" s="109"/>
      <c r="Q916" s="41"/>
      <c r="R916" s="111"/>
      <c r="S916" s="110"/>
    </row>
    <row r="917" spans="1:19">
      <c r="A917" s="105">
        <v>2299</v>
      </c>
      <c r="B917" s="41">
        <v>120000000</v>
      </c>
      <c r="C917" s="41">
        <v>1.6000000000000001E-3</v>
      </c>
      <c r="D917" s="41">
        <v>2.8283999999999998</v>
      </c>
      <c r="E917" s="41">
        <v>30</v>
      </c>
      <c r="F917" s="41">
        <v>0</v>
      </c>
      <c r="G917" s="41" t="s">
        <v>505</v>
      </c>
      <c r="H917" s="41">
        <v>2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3015</v>
      </c>
      <c r="P917" s="109"/>
      <c r="Q917" s="41"/>
      <c r="R917" s="111"/>
      <c r="S917" s="110"/>
    </row>
    <row r="918" spans="1:19">
      <c r="A918" s="105">
        <v>2300</v>
      </c>
      <c r="B918" s="41">
        <v>120000000</v>
      </c>
      <c r="C918" s="41">
        <v>1.6000000000000001E-3</v>
      </c>
      <c r="D918" s="41">
        <v>4</v>
      </c>
      <c r="E918" s="41">
        <v>30</v>
      </c>
      <c r="F918" s="41">
        <v>0</v>
      </c>
      <c r="G918" s="41" t="s">
        <v>505</v>
      </c>
      <c r="H918" s="41">
        <v>2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3016</v>
      </c>
      <c r="P918" s="109"/>
      <c r="Q918" s="41"/>
      <c r="R918" s="111"/>
      <c r="S918" s="110"/>
    </row>
    <row r="919" spans="1:19">
      <c r="A919" s="105">
        <v>2301</v>
      </c>
      <c r="B919" s="41">
        <v>120000000</v>
      </c>
      <c r="C919" s="41">
        <v>1.6000000000000001E-3</v>
      </c>
      <c r="D919" s="41">
        <v>5.6569000000000003</v>
      </c>
      <c r="E919" s="41">
        <v>30</v>
      </c>
      <c r="F919" s="41">
        <v>0</v>
      </c>
      <c r="G919" s="41" t="s">
        <v>505</v>
      </c>
      <c r="H919" s="41">
        <v>2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3017</v>
      </c>
      <c r="P919" s="109"/>
      <c r="Q919" s="41"/>
      <c r="R919" s="111"/>
      <c r="S919" s="110"/>
    </row>
    <row r="920" spans="1:19">
      <c r="A920" s="105">
        <v>2302</v>
      </c>
      <c r="B920" s="41">
        <v>120000000</v>
      </c>
      <c r="C920" s="41">
        <v>1.6000000000000001E-3</v>
      </c>
      <c r="D920" s="41">
        <v>8</v>
      </c>
      <c r="E920" s="41">
        <v>30</v>
      </c>
      <c r="F920" s="41">
        <v>0</v>
      </c>
      <c r="G920" s="41" t="s">
        <v>505</v>
      </c>
      <c r="H920" s="41">
        <v>2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3018</v>
      </c>
      <c r="P920" s="109"/>
      <c r="Q920" s="41"/>
      <c r="R920" s="111"/>
      <c r="S920" s="110"/>
    </row>
    <row r="921" spans="1:19">
      <c r="A921" s="105">
        <v>2303</v>
      </c>
      <c r="B921" s="41">
        <v>120000000</v>
      </c>
      <c r="C921" s="41">
        <v>1.6000000000000001E-3</v>
      </c>
      <c r="D921" s="41">
        <v>11.313700000000001</v>
      </c>
      <c r="E921" s="41">
        <v>30</v>
      </c>
      <c r="F921" s="41">
        <v>0</v>
      </c>
      <c r="G921" s="41" t="s">
        <v>505</v>
      </c>
      <c r="H921" s="41">
        <v>2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3019</v>
      </c>
      <c r="P921" s="109"/>
      <c r="Q921" s="41"/>
      <c r="R921" s="111"/>
      <c r="S921" s="110"/>
    </row>
    <row r="922" spans="1:19">
      <c r="A922" s="105">
        <v>2304</v>
      </c>
      <c r="B922" s="41">
        <v>120000000</v>
      </c>
      <c r="C922" s="41">
        <v>1.6000000000000001E-3</v>
      </c>
      <c r="D922" s="41">
        <v>16</v>
      </c>
      <c r="E922" s="41">
        <v>30</v>
      </c>
      <c r="F922" s="41">
        <v>0</v>
      </c>
      <c r="G922" s="41" t="s">
        <v>505</v>
      </c>
      <c r="H922" s="41">
        <v>2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3020</v>
      </c>
      <c r="P922" s="109"/>
      <c r="Q922" s="41"/>
      <c r="R922" s="111"/>
      <c r="S922" s="110"/>
    </row>
    <row r="923" spans="1:19">
      <c r="A923" s="105">
        <v>2305</v>
      </c>
      <c r="B923" s="41">
        <v>120000000</v>
      </c>
      <c r="C923" s="41">
        <v>1.6000000000000001E-3</v>
      </c>
      <c r="D923" s="41">
        <v>22.627400000000002</v>
      </c>
      <c r="E923" s="41">
        <v>30</v>
      </c>
      <c r="F923" s="41">
        <v>0</v>
      </c>
      <c r="G923" s="41" t="s">
        <v>505</v>
      </c>
      <c r="H923" s="41">
        <v>2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3021</v>
      </c>
      <c r="P923" s="109"/>
      <c r="Q923" s="41"/>
      <c r="R923" s="111"/>
      <c r="S923" s="110"/>
    </row>
    <row r="924" spans="1:19">
      <c r="A924" s="105">
        <v>2306</v>
      </c>
      <c r="B924" s="41">
        <v>120000000</v>
      </c>
      <c r="C924" s="41">
        <v>1.6999999999999999E-3</v>
      </c>
      <c r="D924" s="41">
        <v>1</v>
      </c>
      <c r="E924" s="41">
        <v>30</v>
      </c>
      <c r="F924" s="41">
        <v>0</v>
      </c>
      <c r="G924" s="41" t="s">
        <v>505</v>
      </c>
      <c r="H924" s="41">
        <v>2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3022</v>
      </c>
      <c r="P924" s="109">
        <v>10740</v>
      </c>
      <c r="Q924" s="41"/>
      <c r="R924" s="111"/>
      <c r="S924" s="110"/>
    </row>
    <row r="925" spans="1:19">
      <c r="A925" s="105">
        <v>2307</v>
      </c>
      <c r="B925" s="41">
        <v>120000000</v>
      </c>
      <c r="C925" s="41">
        <v>1.6999999999999999E-3</v>
      </c>
      <c r="D925" s="41">
        <v>1.4141999999999999</v>
      </c>
      <c r="E925" s="41">
        <v>30</v>
      </c>
      <c r="F925" s="41">
        <v>0</v>
      </c>
      <c r="G925" s="41" t="s">
        <v>505</v>
      </c>
      <c r="H925" s="41">
        <v>2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3023</v>
      </c>
      <c r="P925" s="109">
        <v>10740</v>
      </c>
      <c r="Q925" s="41"/>
      <c r="R925" s="111"/>
      <c r="S925" s="110"/>
    </row>
    <row r="926" spans="1:19">
      <c r="A926" s="105">
        <v>2308</v>
      </c>
      <c r="B926" s="41">
        <v>120000000</v>
      </c>
      <c r="C926" s="41">
        <v>1.6999999999999999E-3</v>
      </c>
      <c r="D926" s="41">
        <v>2</v>
      </c>
      <c r="E926" s="41">
        <v>30</v>
      </c>
      <c r="F926" s="41">
        <v>0</v>
      </c>
      <c r="G926" s="41" t="s">
        <v>505</v>
      </c>
      <c r="H926" s="41">
        <v>2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3024</v>
      </c>
      <c r="P926" s="109">
        <v>10740</v>
      </c>
      <c r="Q926" s="41"/>
      <c r="R926" s="111"/>
      <c r="S926" s="110"/>
    </row>
    <row r="927" spans="1:19">
      <c r="A927" s="105">
        <v>2309</v>
      </c>
      <c r="B927" s="41">
        <v>120000000</v>
      </c>
      <c r="C927" s="41">
        <v>1.6999999999999999E-3</v>
      </c>
      <c r="D927" s="41">
        <v>2.8283999999999998</v>
      </c>
      <c r="E927" s="41">
        <v>30</v>
      </c>
      <c r="F927" s="41">
        <v>0</v>
      </c>
      <c r="G927" s="41" t="s">
        <v>505</v>
      </c>
      <c r="H927" s="41">
        <v>2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3025</v>
      </c>
      <c r="P927" s="109">
        <v>10740</v>
      </c>
      <c r="Q927" s="41"/>
      <c r="R927" s="111"/>
      <c r="S927" s="110"/>
    </row>
    <row r="928" spans="1:19">
      <c r="A928" s="105">
        <v>2310</v>
      </c>
      <c r="B928" s="41">
        <v>120000000</v>
      </c>
      <c r="C928" s="41">
        <v>1.6999999999999999E-3</v>
      </c>
      <c r="D928" s="41">
        <v>4</v>
      </c>
      <c r="E928" s="41">
        <v>30</v>
      </c>
      <c r="F928" s="41">
        <v>0</v>
      </c>
      <c r="G928" s="41" t="s">
        <v>505</v>
      </c>
      <c r="H928" s="41">
        <v>2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3026</v>
      </c>
      <c r="P928" s="109">
        <v>10740</v>
      </c>
      <c r="Q928" s="41"/>
      <c r="R928" s="111"/>
      <c r="S928" s="110"/>
    </row>
    <row r="929" spans="1:19">
      <c r="A929" s="105">
        <v>2311</v>
      </c>
      <c r="B929" s="41">
        <v>120000000</v>
      </c>
      <c r="C929" s="41">
        <v>1.6999999999999999E-3</v>
      </c>
      <c r="D929" s="41">
        <v>5.6569000000000003</v>
      </c>
      <c r="E929" s="41">
        <v>30</v>
      </c>
      <c r="F929" s="41">
        <v>0</v>
      </c>
      <c r="G929" s="41" t="s">
        <v>505</v>
      </c>
      <c r="H929" s="41">
        <v>2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3027</v>
      </c>
      <c r="P929" s="109">
        <v>10740</v>
      </c>
      <c r="Q929" s="41"/>
      <c r="R929" s="111"/>
      <c r="S929" s="110"/>
    </row>
    <row r="930" spans="1:19">
      <c r="A930" s="105">
        <v>2312</v>
      </c>
      <c r="B930" s="41">
        <v>120000000</v>
      </c>
      <c r="C930" s="41">
        <v>1.6999999999999999E-3</v>
      </c>
      <c r="D930" s="41">
        <v>8</v>
      </c>
      <c r="E930" s="41">
        <v>30</v>
      </c>
      <c r="F930" s="41">
        <v>0</v>
      </c>
      <c r="G930" s="41" t="s">
        <v>505</v>
      </c>
      <c r="H930" s="41">
        <v>2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3028</v>
      </c>
      <c r="P930" s="109">
        <v>10740</v>
      </c>
      <c r="Q930" s="41"/>
      <c r="R930" s="111"/>
      <c r="S930" s="110"/>
    </row>
    <row r="931" spans="1:19">
      <c r="A931" s="105">
        <v>2313</v>
      </c>
      <c r="B931" s="41">
        <v>120000000</v>
      </c>
      <c r="C931" s="41">
        <v>1.6999999999999999E-3</v>
      </c>
      <c r="D931" s="41">
        <v>11.313700000000001</v>
      </c>
      <c r="E931" s="41">
        <v>30</v>
      </c>
      <c r="F931" s="41">
        <v>0</v>
      </c>
      <c r="G931" s="41" t="s">
        <v>505</v>
      </c>
      <c r="H931" s="41">
        <v>2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3029</v>
      </c>
      <c r="P931" s="109">
        <v>10740</v>
      </c>
      <c r="Q931" s="41"/>
      <c r="R931" s="111"/>
      <c r="S931" s="110"/>
    </row>
    <row r="932" spans="1:19">
      <c r="A932" s="105">
        <v>2314</v>
      </c>
      <c r="B932" s="41">
        <v>120000000</v>
      </c>
      <c r="C932" s="41">
        <v>1.6999999999999999E-3</v>
      </c>
      <c r="D932" s="41">
        <v>16</v>
      </c>
      <c r="E932" s="41">
        <v>30</v>
      </c>
      <c r="F932" s="41">
        <v>0</v>
      </c>
      <c r="G932" s="41" t="s">
        <v>505</v>
      </c>
      <c r="H932" s="41">
        <v>2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3030</v>
      </c>
      <c r="P932" s="109">
        <v>10740</v>
      </c>
      <c r="Q932" s="41"/>
      <c r="R932" s="111"/>
      <c r="S932" s="110"/>
    </row>
    <row r="933" spans="1:19">
      <c r="A933" s="105">
        <v>2315</v>
      </c>
      <c r="B933" s="41">
        <v>120000000</v>
      </c>
      <c r="C933" s="41">
        <v>1.6999999999999999E-3</v>
      </c>
      <c r="D933" s="41">
        <v>22.627400000000002</v>
      </c>
      <c r="E933" s="41">
        <v>30</v>
      </c>
      <c r="F933" s="41">
        <v>0</v>
      </c>
      <c r="G933" s="41" t="s">
        <v>505</v>
      </c>
      <c r="H933" s="41">
        <v>2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3031</v>
      </c>
      <c r="P933" s="109">
        <v>10740</v>
      </c>
      <c r="Q933" s="41"/>
      <c r="R933" s="111"/>
      <c r="S933" s="110"/>
    </row>
    <row r="934" spans="1:19">
      <c r="A934" s="105">
        <v>2316</v>
      </c>
      <c r="B934" s="41">
        <v>120000000</v>
      </c>
      <c r="C934" s="41">
        <v>1.9E-3</v>
      </c>
      <c r="D934" s="41">
        <v>1.4141999999999999</v>
      </c>
      <c r="E934" s="41">
        <v>30</v>
      </c>
      <c r="F934" s="41">
        <v>0</v>
      </c>
      <c r="G934" s="41" t="s">
        <v>505</v>
      </c>
      <c r="H934" s="41">
        <v>2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3032</v>
      </c>
      <c r="P934" s="109">
        <v>10740</v>
      </c>
      <c r="Q934" s="41"/>
      <c r="R934" s="111"/>
      <c r="S934" s="110"/>
    </row>
    <row r="935" spans="1:19">
      <c r="A935" s="105">
        <v>2317</v>
      </c>
      <c r="B935" s="41">
        <v>120000000</v>
      </c>
      <c r="C935" s="41">
        <v>1.9E-3</v>
      </c>
      <c r="D935" s="41">
        <v>2</v>
      </c>
      <c r="E935" s="41">
        <v>30</v>
      </c>
      <c r="F935" s="41">
        <v>0</v>
      </c>
      <c r="G935" s="41" t="s">
        <v>505</v>
      </c>
      <c r="H935" s="41">
        <v>2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3033</v>
      </c>
      <c r="P935" s="109">
        <v>10740</v>
      </c>
      <c r="Q935" s="41"/>
      <c r="R935" s="111"/>
      <c r="S935" s="110"/>
    </row>
    <row r="936" spans="1:19">
      <c r="A936" s="105">
        <v>2318</v>
      </c>
      <c r="B936" s="41">
        <v>120000000</v>
      </c>
      <c r="C936" s="41">
        <v>1.9E-3</v>
      </c>
      <c r="D936" s="41">
        <v>2.8283999999999998</v>
      </c>
      <c r="E936" s="41">
        <v>30</v>
      </c>
      <c r="F936" s="41">
        <v>0</v>
      </c>
      <c r="G936" s="41" t="s">
        <v>505</v>
      </c>
      <c r="H936" s="41">
        <v>2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3034</v>
      </c>
      <c r="P936" s="109">
        <v>10740</v>
      </c>
      <c r="Q936" s="41"/>
      <c r="R936" s="111"/>
      <c r="S936" s="110"/>
    </row>
    <row r="937" spans="1:19">
      <c r="A937" s="105">
        <v>2319</v>
      </c>
      <c r="B937" s="41">
        <v>120000000</v>
      </c>
      <c r="C937" s="41">
        <v>1.9E-3</v>
      </c>
      <c r="D937" s="41">
        <v>4</v>
      </c>
      <c r="E937" s="41">
        <v>30</v>
      </c>
      <c r="F937" s="41">
        <v>0</v>
      </c>
      <c r="G937" s="41" t="s">
        <v>505</v>
      </c>
      <c r="H937" s="41">
        <v>2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3035</v>
      </c>
      <c r="P937" s="109">
        <v>10740</v>
      </c>
      <c r="Q937" s="41"/>
      <c r="R937" s="111"/>
      <c r="S937" s="110"/>
    </row>
    <row r="938" spans="1:19">
      <c r="A938" s="105">
        <v>2320</v>
      </c>
      <c r="B938" s="41">
        <v>120000000</v>
      </c>
      <c r="C938" s="41">
        <v>1.9E-3</v>
      </c>
      <c r="D938" s="41">
        <v>5.6569000000000003</v>
      </c>
      <c r="E938" s="41">
        <v>30</v>
      </c>
      <c r="F938" s="41">
        <v>0</v>
      </c>
      <c r="G938" s="41" t="s">
        <v>505</v>
      </c>
      <c r="H938" s="41">
        <v>2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3036</v>
      </c>
      <c r="P938" s="109">
        <v>10740</v>
      </c>
      <c r="Q938" s="41"/>
      <c r="R938" s="111"/>
      <c r="S938" s="110"/>
    </row>
    <row r="939" spans="1:19">
      <c r="A939" s="105">
        <v>2321</v>
      </c>
      <c r="B939" s="41">
        <v>120000000</v>
      </c>
      <c r="C939" s="41">
        <v>1.9E-3</v>
      </c>
      <c r="D939" s="41">
        <v>8</v>
      </c>
      <c r="E939" s="41">
        <v>30</v>
      </c>
      <c r="F939" s="41">
        <v>0</v>
      </c>
      <c r="G939" s="41" t="s">
        <v>505</v>
      </c>
      <c r="H939" s="41">
        <v>2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3037</v>
      </c>
      <c r="P939" s="109">
        <v>10740</v>
      </c>
      <c r="Q939" s="41"/>
      <c r="R939" s="111"/>
      <c r="S939" s="110"/>
    </row>
    <row r="940" spans="1:19">
      <c r="A940" s="105">
        <v>2322</v>
      </c>
      <c r="B940" s="41">
        <v>120000000</v>
      </c>
      <c r="C940" s="41">
        <v>1.9E-3</v>
      </c>
      <c r="D940" s="41">
        <v>11.313700000000001</v>
      </c>
      <c r="E940" s="41">
        <v>30</v>
      </c>
      <c r="F940" s="41">
        <v>0</v>
      </c>
      <c r="G940" s="41" t="s">
        <v>505</v>
      </c>
      <c r="H940" s="41">
        <v>2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3038</v>
      </c>
      <c r="P940" s="109">
        <v>10740</v>
      </c>
      <c r="Q940" s="41"/>
      <c r="R940" s="111"/>
      <c r="S940" s="110"/>
    </row>
    <row r="941" spans="1:19">
      <c r="A941" s="105">
        <v>2323</v>
      </c>
      <c r="B941" s="41">
        <v>120000000</v>
      </c>
      <c r="C941" s="41">
        <v>1.9E-3</v>
      </c>
      <c r="D941" s="41">
        <v>16</v>
      </c>
      <c r="E941" s="41">
        <v>30</v>
      </c>
      <c r="F941" s="41">
        <v>0</v>
      </c>
      <c r="G941" s="41" t="s">
        <v>505</v>
      </c>
      <c r="H941" s="41">
        <v>2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3039</v>
      </c>
      <c r="P941" s="109">
        <v>10740</v>
      </c>
      <c r="Q941" s="41"/>
      <c r="R941" s="111"/>
      <c r="S941" s="110"/>
    </row>
    <row r="942" spans="1:19">
      <c r="A942" s="105">
        <v>2324</v>
      </c>
      <c r="B942" s="41">
        <v>120000000</v>
      </c>
      <c r="C942" s="41">
        <v>1.9E-3</v>
      </c>
      <c r="D942" s="41">
        <v>22.627400000000002</v>
      </c>
      <c r="E942" s="41">
        <v>30</v>
      </c>
      <c r="F942" s="41">
        <v>0</v>
      </c>
      <c r="G942" s="41" t="s">
        <v>505</v>
      </c>
      <c r="H942" s="41">
        <v>2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3040</v>
      </c>
      <c r="P942" s="109">
        <v>10740</v>
      </c>
      <c r="Q942" s="41"/>
      <c r="R942" s="111"/>
      <c r="S942" s="110"/>
    </row>
    <row r="943" spans="1:19">
      <c r="A943" s="105">
        <v>2325</v>
      </c>
      <c r="B943" s="41">
        <v>120000000</v>
      </c>
      <c r="C943" s="41">
        <v>1.9E-3</v>
      </c>
      <c r="D943" s="41">
        <v>32</v>
      </c>
      <c r="E943" s="41">
        <v>30</v>
      </c>
      <c r="F943" s="41">
        <v>0</v>
      </c>
      <c r="G943" s="41" t="s">
        <v>505</v>
      </c>
      <c r="H943" s="41">
        <v>2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3041</v>
      </c>
      <c r="P943" s="109">
        <v>10740</v>
      </c>
      <c r="Q943" s="41"/>
      <c r="R943" s="111"/>
      <c r="S943" s="110"/>
    </row>
    <row r="944" spans="1:19">
      <c r="A944" s="105">
        <v>2326</v>
      </c>
      <c r="B944" s="41">
        <v>120000000</v>
      </c>
      <c r="C944" s="41">
        <v>2.0999999999999999E-3</v>
      </c>
      <c r="D944" s="41">
        <v>1.4141999999999999</v>
      </c>
      <c r="E944" s="41">
        <v>30</v>
      </c>
      <c r="F944" s="41">
        <v>0</v>
      </c>
      <c r="G944" s="41" t="s">
        <v>505</v>
      </c>
      <c r="H944" s="41">
        <v>2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2</v>
      </c>
      <c r="O944" s="111" t="s">
        <v>3042</v>
      </c>
      <c r="P944" s="109"/>
      <c r="Q944" s="41"/>
      <c r="R944" s="111"/>
      <c r="S944" s="110"/>
    </row>
    <row r="945" spans="1:19">
      <c r="A945" s="105">
        <v>2327</v>
      </c>
      <c r="B945" s="41">
        <v>120000000</v>
      </c>
      <c r="C945" s="41">
        <v>2.0999999999999999E-3</v>
      </c>
      <c r="D945" s="41">
        <v>2</v>
      </c>
      <c r="E945" s="41">
        <v>30</v>
      </c>
      <c r="F945" s="41">
        <v>0</v>
      </c>
      <c r="G945" s="41" t="s">
        <v>505</v>
      </c>
      <c r="H945" s="41">
        <v>2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2</v>
      </c>
      <c r="O945" s="111" t="s">
        <v>3043</v>
      </c>
      <c r="P945" s="109"/>
      <c r="Q945" s="41"/>
      <c r="R945" s="111"/>
      <c r="S945" s="110"/>
    </row>
    <row r="946" spans="1:19">
      <c r="A946" s="105">
        <v>2328</v>
      </c>
      <c r="B946" s="41">
        <v>120000000</v>
      </c>
      <c r="C946" s="41">
        <v>2.0999999999999999E-3</v>
      </c>
      <c r="D946" s="41">
        <v>2.8283999999999998</v>
      </c>
      <c r="E946" s="41">
        <v>30</v>
      </c>
      <c r="F946" s="41">
        <v>0</v>
      </c>
      <c r="G946" s="41" t="s">
        <v>505</v>
      </c>
      <c r="H946" s="41">
        <v>2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2</v>
      </c>
      <c r="O946" s="111" t="s">
        <v>3044</v>
      </c>
      <c r="P946" s="109"/>
      <c r="Q946" s="41"/>
      <c r="R946" s="111"/>
      <c r="S946" s="110"/>
    </row>
    <row r="947" spans="1:19">
      <c r="A947" s="105">
        <v>2329</v>
      </c>
      <c r="B947" s="41">
        <v>120000000</v>
      </c>
      <c r="C947" s="41">
        <v>2.0999999999999999E-3</v>
      </c>
      <c r="D947" s="41">
        <v>4</v>
      </c>
      <c r="E947" s="41">
        <v>30</v>
      </c>
      <c r="F947" s="41">
        <v>0</v>
      </c>
      <c r="G947" s="41" t="s">
        <v>505</v>
      </c>
      <c r="H947" s="41">
        <v>2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2</v>
      </c>
      <c r="O947" s="111" t="s">
        <v>3045</v>
      </c>
      <c r="P947" s="109"/>
      <c r="Q947" s="41"/>
      <c r="R947" s="111"/>
      <c r="S947" s="110"/>
    </row>
    <row r="948" spans="1:19">
      <c r="A948" s="105">
        <v>2330</v>
      </c>
      <c r="B948" s="41">
        <v>120000000</v>
      </c>
      <c r="C948" s="41">
        <v>2.0999999999999999E-3</v>
      </c>
      <c r="D948" s="41">
        <v>5.6569000000000003</v>
      </c>
      <c r="E948" s="41">
        <v>30</v>
      </c>
      <c r="F948" s="41">
        <v>0</v>
      </c>
      <c r="G948" s="41" t="s">
        <v>505</v>
      </c>
      <c r="H948" s="41">
        <v>2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2</v>
      </c>
      <c r="O948" s="111" t="s">
        <v>3046</v>
      </c>
      <c r="P948" s="109"/>
      <c r="Q948" s="41"/>
      <c r="R948" s="111"/>
      <c r="S948" s="110"/>
    </row>
    <row r="949" spans="1:19">
      <c r="A949" s="105">
        <v>2331</v>
      </c>
      <c r="B949" s="41">
        <v>120000000</v>
      </c>
      <c r="C949" s="41">
        <v>2.0999999999999999E-3</v>
      </c>
      <c r="D949" s="41">
        <v>8</v>
      </c>
      <c r="E949" s="41">
        <v>30</v>
      </c>
      <c r="F949" s="41">
        <v>0</v>
      </c>
      <c r="G949" s="41" t="s">
        <v>505</v>
      </c>
      <c r="H949" s="41">
        <v>2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2</v>
      </c>
      <c r="O949" s="111" t="s">
        <v>3047</v>
      </c>
      <c r="P949" s="109"/>
      <c r="Q949" s="41"/>
      <c r="R949" s="111"/>
      <c r="S949" s="110"/>
    </row>
    <row r="950" spans="1:19">
      <c r="A950" s="105">
        <v>2332</v>
      </c>
      <c r="B950" s="41">
        <v>120000000</v>
      </c>
      <c r="C950" s="41">
        <v>2.0999999999999999E-3</v>
      </c>
      <c r="D950" s="41">
        <v>11.313700000000001</v>
      </c>
      <c r="E950" s="41">
        <v>30</v>
      </c>
      <c r="F950" s="41">
        <v>0</v>
      </c>
      <c r="G950" s="41" t="s">
        <v>505</v>
      </c>
      <c r="H950" s="41">
        <v>2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2</v>
      </c>
      <c r="O950" s="111" t="s">
        <v>3048</v>
      </c>
      <c r="P950" s="109"/>
      <c r="Q950" s="41"/>
      <c r="R950" s="111"/>
      <c r="S950" s="110"/>
    </row>
    <row r="951" spans="1:19">
      <c r="A951" s="105">
        <v>2333</v>
      </c>
      <c r="B951" s="41">
        <v>120000000</v>
      </c>
      <c r="C951" s="41">
        <v>2.0999999999999999E-3</v>
      </c>
      <c r="D951" s="41">
        <v>16</v>
      </c>
      <c r="E951" s="41">
        <v>30</v>
      </c>
      <c r="F951" s="41">
        <v>0</v>
      </c>
      <c r="G951" s="41" t="s">
        <v>505</v>
      </c>
      <c r="H951" s="41">
        <v>2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2</v>
      </c>
      <c r="O951" s="111" t="s">
        <v>3049</v>
      </c>
      <c r="P951" s="109"/>
      <c r="Q951" s="41"/>
      <c r="R951" s="111"/>
      <c r="S951" s="110"/>
    </row>
    <row r="952" spans="1:19">
      <c r="A952" s="105">
        <v>2334</v>
      </c>
      <c r="B952" s="41">
        <v>120000000</v>
      </c>
      <c r="C952" s="41">
        <v>2.0999999999999999E-3</v>
      </c>
      <c r="D952" s="41">
        <v>22.627400000000002</v>
      </c>
      <c r="E952" s="41">
        <v>30</v>
      </c>
      <c r="F952" s="41">
        <v>0</v>
      </c>
      <c r="G952" s="41" t="s">
        <v>505</v>
      </c>
      <c r="H952" s="41">
        <v>2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2</v>
      </c>
      <c r="O952" s="111" t="s">
        <v>3050</v>
      </c>
      <c r="P952" s="109"/>
      <c r="Q952" s="41"/>
      <c r="R952" s="111"/>
      <c r="S952" s="110"/>
    </row>
    <row r="953" spans="1:19">
      <c r="A953" s="105">
        <v>2335</v>
      </c>
      <c r="B953" s="41">
        <v>120000000</v>
      </c>
      <c r="C953" s="41">
        <v>2.0999999999999999E-3</v>
      </c>
      <c r="D953" s="41">
        <v>32</v>
      </c>
      <c r="E953" s="41">
        <v>30</v>
      </c>
      <c r="F953" s="41">
        <v>0</v>
      </c>
      <c r="G953" s="41" t="s">
        <v>505</v>
      </c>
      <c r="H953" s="41">
        <v>2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2</v>
      </c>
      <c r="O953" s="111" t="s">
        <v>3051</v>
      </c>
      <c r="P953" s="109"/>
      <c r="Q953" s="41"/>
      <c r="R953" s="111"/>
      <c r="S953" s="110"/>
    </row>
    <row r="954" spans="1:19">
      <c r="A954" s="105">
        <v>2336</v>
      </c>
      <c r="B954" s="41">
        <v>120000000</v>
      </c>
      <c r="C954" s="41">
        <v>2.3E-3</v>
      </c>
      <c r="D954" s="41">
        <v>2</v>
      </c>
      <c r="E954" s="41">
        <v>30</v>
      </c>
      <c r="F954" s="41">
        <v>0</v>
      </c>
      <c r="G954" s="41" t="s">
        <v>505</v>
      </c>
      <c r="H954" s="41">
        <v>2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2</v>
      </c>
      <c r="O954" s="111" t="s">
        <v>3052</v>
      </c>
      <c r="P954" s="109"/>
      <c r="Q954" s="41"/>
      <c r="R954" s="111"/>
      <c r="S954" s="110"/>
    </row>
    <row r="955" spans="1:19">
      <c r="A955" s="105">
        <v>2337</v>
      </c>
      <c r="B955" s="41">
        <v>120000000</v>
      </c>
      <c r="C955" s="41">
        <v>2.3E-3</v>
      </c>
      <c r="D955" s="41">
        <v>2.8283999999999998</v>
      </c>
      <c r="E955" s="41">
        <v>30</v>
      </c>
      <c r="F955" s="41">
        <v>0</v>
      </c>
      <c r="G955" s="41" t="s">
        <v>505</v>
      </c>
      <c r="H955" s="41">
        <v>2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2</v>
      </c>
      <c r="O955" s="111" t="s">
        <v>3053</v>
      </c>
      <c r="P955" s="109"/>
      <c r="Q955" s="41"/>
      <c r="R955" s="111"/>
      <c r="S955" s="110"/>
    </row>
    <row r="956" spans="1:19">
      <c r="A956" s="105">
        <v>2338</v>
      </c>
      <c r="B956" s="41">
        <v>120000000</v>
      </c>
      <c r="C956" s="41">
        <v>2.3E-3</v>
      </c>
      <c r="D956" s="41">
        <v>4</v>
      </c>
      <c r="E956" s="41">
        <v>30</v>
      </c>
      <c r="F956" s="41">
        <v>0</v>
      </c>
      <c r="G956" s="41" t="s">
        <v>505</v>
      </c>
      <c r="H956" s="41">
        <v>2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2</v>
      </c>
      <c r="O956" s="111" t="s">
        <v>3054</v>
      </c>
      <c r="P956" s="109"/>
      <c r="Q956" s="41"/>
      <c r="R956" s="111"/>
      <c r="S956" s="110"/>
    </row>
    <row r="957" spans="1:19">
      <c r="A957" s="105">
        <v>2339</v>
      </c>
      <c r="B957" s="41">
        <v>120000000</v>
      </c>
      <c r="C957" s="41">
        <v>2.3E-3</v>
      </c>
      <c r="D957" s="41">
        <v>5.6569000000000003</v>
      </c>
      <c r="E957" s="41">
        <v>30</v>
      </c>
      <c r="F957" s="41">
        <v>0</v>
      </c>
      <c r="G957" s="41" t="s">
        <v>505</v>
      </c>
      <c r="H957" s="41">
        <v>2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2</v>
      </c>
      <c r="O957" s="111" t="s">
        <v>3055</v>
      </c>
      <c r="P957" s="109"/>
      <c r="Q957" s="41"/>
      <c r="R957" s="111"/>
      <c r="S957" s="110"/>
    </row>
    <row r="958" spans="1:19">
      <c r="A958" s="105">
        <v>2340</v>
      </c>
      <c r="B958" s="41">
        <v>120000000</v>
      </c>
      <c r="C958" s="41">
        <v>2.3E-3</v>
      </c>
      <c r="D958" s="41">
        <v>8</v>
      </c>
      <c r="E958" s="41">
        <v>30</v>
      </c>
      <c r="F958" s="41">
        <v>0</v>
      </c>
      <c r="G958" s="41" t="s">
        <v>505</v>
      </c>
      <c r="H958" s="41">
        <v>2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2</v>
      </c>
      <c r="O958" s="111" t="s">
        <v>3056</v>
      </c>
      <c r="P958" s="109"/>
      <c r="Q958" s="41"/>
      <c r="R958" s="111"/>
      <c r="S958" s="110"/>
    </row>
    <row r="959" spans="1:19">
      <c r="A959" s="105">
        <v>2341</v>
      </c>
      <c r="B959" s="41">
        <v>120000000</v>
      </c>
      <c r="C959" s="41">
        <v>2.3E-3</v>
      </c>
      <c r="D959" s="41">
        <v>11.313700000000001</v>
      </c>
      <c r="E959" s="41">
        <v>30</v>
      </c>
      <c r="F959" s="41">
        <v>0</v>
      </c>
      <c r="G959" s="41" t="s">
        <v>505</v>
      </c>
      <c r="H959" s="41">
        <v>2</v>
      </c>
      <c r="I959" s="41">
        <v>1</v>
      </c>
      <c r="J959" s="108">
        <v>0</v>
      </c>
      <c r="K959" s="41">
        <v>0</v>
      </c>
      <c r="L959" s="41">
        <v>55</v>
      </c>
      <c r="M959" s="41">
        <v>-1</v>
      </c>
      <c r="N959" s="41">
        <v>2</v>
      </c>
      <c r="O959" s="111" t="s">
        <v>3057</v>
      </c>
      <c r="P959" s="109"/>
      <c r="Q959" s="41"/>
      <c r="R959" s="111"/>
      <c r="S959" s="110"/>
    </row>
    <row r="960" spans="1:19">
      <c r="A960" s="105">
        <v>2342</v>
      </c>
      <c r="B960" s="41">
        <v>120000000</v>
      </c>
      <c r="C960" s="41">
        <v>2.3E-3</v>
      </c>
      <c r="D960" s="41">
        <v>16</v>
      </c>
      <c r="E960" s="41">
        <v>30</v>
      </c>
      <c r="F960" s="41">
        <v>0</v>
      </c>
      <c r="G960" s="41" t="s">
        <v>505</v>
      </c>
      <c r="H960" s="41">
        <v>2</v>
      </c>
      <c r="I960" s="41">
        <v>1</v>
      </c>
      <c r="J960" s="108">
        <v>0</v>
      </c>
      <c r="K960" s="41">
        <v>0</v>
      </c>
      <c r="L960" s="41">
        <v>55</v>
      </c>
      <c r="M960" s="41">
        <v>-1</v>
      </c>
      <c r="N960" s="41">
        <v>2</v>
      </c>
      <c r="O960" s="111" t="s">
        <v>3058</v>
      </c>
      <c r="P960" s="109"/>
      <c r="Q960" s="41"/>
      <c r="R960" s="111"/>
      <c r="S960" s="110"/>
    </row>
    <row r="961" spans="1:19">
      <c r="A961" s="105">
        <v>2343</v>
      </c>
      <c r="B961" s="41">
        <v>120000000</v>
      </c>
      <c r="C961" s="41">
        <v>2.3E-3</v>
      </c>
      <c r="D961" s="41">
        <v>22.627400000000002</v>
      </c>
      <c r="E961" s="41">
        <v>30</v>
      </c>
      <c r="F961" s="41">
        <v>0</v>
      </c>
      <c r="G961" s="41" t="s">
        <v>505</v>
      </c>
      <c r="H961" s="41">
        <v>2</v>
      </c>
      <c r="I961" s="41">
        <v>1</v>
      </c>
      <c r="J961" s="108">
        <v>0</v>
      </c>
      <c r="K961" s="41">
        <v>0</v>
      </c>
      <c r="L961" s="41">
        <v>55</v>
      </c>
      <c r="M961" s="41">
        <v>-1</v>
      </c>
      <c r="N961" s="41">
        <v>2</v>
      </c>
      <c r="O961" s="111" t="s">
        <v>3059</v>
      </c>
      <c r="P961" s="109"/>
      <c r="Q961" s="41"/>
      <c r="R961" s="111"/>
      <c r="S961" s="110"/>
    </row>
    <row r="962" spans="1:19">
      <c r="A962" s="105">
        <v>2344</v>
      </c>
      <c r="B962" s="41">
        <v>120000000</v>
      </c>
      <c r="C962" s="41">
        <v>2.3E-3</v>
      </c>
      <c r="D962" s="41">
        <v>32</v>
      </c>
      <c r="E962" s="41">
        <v>30</v>
      </c>
      <c r="F962" s="41">
        <v>0</v>
      </c>
      <c r="G962" s="41" t="s">
        <v>505</v>
      </c>
      <c r="H962" s="41">
        <v>2</v>
      </c>
      <c r="I962" s="41">
        <v>1</v>
      </c>
      <c r="J962" s="108">
        <v>0</v>
      </c>
      <c r="K962" s="41">
        <v>0</v>
      </c>
      <c r="L962" s="41">
        <v>55</v>
      </c>
      <c r="M962" s="41">
        <v>-1</v>
      </c>
      <c r="N962" s="41">
        <v>2</v>
      </c>
      <c r="O962" s="111" t="s">
        <v>3060</v>
      </c>
      <c r="P962" s="109"/>
      <c r="Q962" s="41"/>
      <c r="R962" s="111"/>
      <c r="S962" s="110"/>
    </row>
    <row r="963" spans="1:19">
      <c r="A963" s="105">
        <v>2345</v>
      </c>
      <c r="B963" s="41">
        <v>120000000</v>
      </c>
      <c r="C963" s="41">
        <v>2.3E-3</v>
      </c>
      <c r="D963" s="41">
        <v>45.254800000000003</v>
      </c>
      <c r="E963" s="41">
        <v>30</v>
      </c>
      <c r="F963" s="41">
        <v>0</v>
      </c>
      <c r="G963" s="41" t="s">
        <v>505</v>
      </c>
      <c r="H963" s="41">
        <v>2</v>
      </c>
      <c r="I963" s="41">
        <v>1</v>
      </c>
      <c r="J963" s="108">
        <v>0</v>
      </c>
      <c r="K963" s="41">
        <v>0</v>
      </c>
      <c r="L963" s="41">
        <v>55</v>
      </c>
      <c r="M963" s="41">
        <v>-1</v>
      </c>
      <c r="N963" s="41">
        <v>2</v>
      </c>
      <c r="O963" s="111" t="s">
        <v>3061</v>
      </c>
      <c r="P963" s="109"/>
      <c r="Q963" s="41"/>
      <c r="R963" s="111"/>
      <c r="S963" s="110"/>
    </row>
    <row r="964" spans="1:19">
      <c r="A964" s="105">
        <v>2346</v>
      </c>
      <c r="B964" s="41">
        <v>120000000</v>
      </c>
      <c r="C964" s="41">
        <v>2.5000000000000001E-3</v>
      </c>
      <c r="D964" s="41">
        <v>2</v>
      </c>
      <c r="E964" s="41">
        <v>30</v>
      </c>
      <c r="F964" s="41">
        <v>0</v>
      </c>
      <c r="G964" s="41" t="s">
        <v>505</v>
      </c>
      <c r="H964" s="41">
        <v>2</v>
      </c>
      <c r="I964" s="41">
        <v>1</v>
      </c>
      <c r="J964" s="108">
        <v>0</v>
      </c>
      <c r="K964" s="41">
        <v>0</v>
      </c>
      <c r="L964" s="41">
        <v>55</v>
      </c>
      <c r="M964" s="41">
        <v>-1</v>
      </c>
      <c r="N964" s="41">
        <v>2</v>
      </c>
      <c r="O964" s="111" t="s">
        <v>3062</v>
      </c>
      <c r="P964" s="109"/>
      <c r="Q964" s="41"/>
      <c r="R964" s="111"/>
      <c r="S964" s="110"/>
    </row>
    <row r="965" spans="1:19">
      <c r="A965" s="105">
        <v>2347</v>
      </c>
      <c r="B965" s="41">
        <v>120000000</v>
      </c>
      <c r="C965" s="41">
        <v>2.5000000000000001E-3</v>
      </c>
      <c r="D965" s="41">
        <v>2.8283999999999998</v>
      </c>
      <c r="E965" s="41">
        <v>30</v>
      </c>
      <c r="F965" s="41">
        <v>0</v>
      </c>
      <c r="G965" s="41" t="s">
        <v>505</v>
      </c>
      <c r="H965" s="41">
        <v>2</v>
      </c>
      <c r="I965" s="41">
        <v>1</v>
      </c>
      <c r="J965" s="108">
        <v>0</v>
      </c>
      <c r="K965" s="41">
        <v>0</v>
      </c>
      <c r="L965" s="41">
        <v>55</v>
      </c>
      <c r="M965" s="41">
        <v>-1</v>
      </c>
      <c r="N965" s="41">
        <v>2</v>
      </c>
      <c r="O965" s="111" t="s">
        <v>3063</v>
      </c>
      <c r="P965" s="109"/>
      <c r="Q965" s="41"/>
      <c r="R965" s="111"/>
      <c r="S965" s="110"/>
    </row>
    <row r="966" spans="1:19">
      <c r="A966" s="105">
        <v>2348</v>
      </c>
      <c r="B966" s="41">
        <v>120000000</v>
      </c>
      <c r="C966" s="41">
        <v>2.5000000000000001E-3</v>
      </c>
      <c r="D966" s="41">
        <v>4</v>
      </c>
      <c r="E966" s="41">
        <v>30</v>
      </c>
      <c r="F966" s="41">
        <v>0</v>
      </c>
      <c r="G966" s="41" t="s">
        <v>505</v>
      </c>
      <c r="H966" s="41">
        <v>2</v>
      </c>
      <c r="I966" s="41">
        <v>1</v>
      </c>
      <c r="J966" s="108">
        <v>0</v>
      </c>
      <c r="K966" s="41">
        <v>0</v>
      </c>
      <c r="L966" s="41">
        <v>55</v>
      </c>
      <c r="M966" s="41">
        <v>-1</v>
      </c>
      <c r="N966" s="41">
        <v>2</v>
      </c>
      <c r="O966" s="111" t="s">
        <v>3064</v>
      </c>
      <c r="P966" s="109"/>
      <c r="Q966" s="41"/>
      <c r="R966" s="111"/>
      <c r="S966" s="110"/>
    </row>
    <row r="967" spans="1:19">
      <c r="A967" s="105">
        <v>2349</v>
      </c>
      <c r="B967" s="41">
        <v>120000000</v>
      </c>
      <c r="C967" s="41">
        <v>2.5000000000000001E-3</v>
      </c>
      <c r="D967" s="41">
        <v>5.6569000000000003</v>
      </c>
      <c r="E967" s="41">
        <v>30</v>
      </c>
      <c r="F967" s="41">
        <v>0</v>
      </c>
      <c r="G967" s="41" t="s">
        <v>505</v>
      </c>
      <c r="H967" s="41">
        <v>2</v>
      </c>
      <c r="I967" s="41">
        <v>1</v>
      </c>
      <c r="J967" s="108">
        <v>0</v>
      </c>
      <c r="K967" s="41">
        <v>0</v>
      </c>
      <c r="L967" s="41">
        <v>55</v>
      </c>
      <c r="M967" s="41">
        <v>-1</v>
      </c>
      <c r="N967" s="41">
        <v>2</v>
      </c>
      <c r="O967" s="111" t="s">
        <v>3065</v>
      </c>
      <c r="P967" s="109"/>
      <c r="Q967" s="41"/>
      <c r="R967" s="111"/>
      <c r="S967" s="110"/>
    </row>
    <row r="968" spans="1:19">
      <c r="A968" s="105">
        <v>2350</v>
      </c>
      <c r="B968" s="41">
        <v>120000000</v>
      </c>
      <c r="C968" s="41">
        <v>2.5000000000000001E-3</v>
      </c>
      <c r="D968" s="41">
        <v>8</v>
      </c>
      <c r="E968" s="41">
        <v>30</v>
      </c>
      <c r="F968" s="41">
        <v>0</v>
      </c>
      <c r="G968" s="41" t="s">
        <v>505</v>
      </c>
      <c r="H968" s="41">
        <v>2</v>
      </c>
      <c r="I968" s="41">
        <v>1</v>
      </c>
      <c r="J968" s="108">
        <v>0</v>
      </c>
      <c r="K968" s="41">
        <v>0</v>
      </c>
      <c r="L968" s="41">
        <v>55</v>
      </c>
      <c r="M968" s="41">
        <v>-1</v>
      </c>
      <c r="N968" s="41">
        <v>2</v>
      </c>
      <c r="O968" s="111" t="s">
        <v>3066</v>
      </c>
      <c r="P968" s="109"/>
      <c r="Q968" s="41"/>
      <c r="R968" s="111"/>
      <c r="S968" s="110"/>
    </row>
    <row r="969" spans="1:19">
      <c r="A969" s="105">
        <v>2351</v>
      </c>
      <c r="B969" s="41">
        <v>120000000</v>
      </c>
      <c r="C969" s="41">
        <v>2.5000000000000001E-3</v>
      </c>
      <c r="D969" s="41">
        <v>11.313700000000001</v>
      </c>
      <c r="E969" s="41">
        <v>30</v>
      </c>
      <c r="F969" s="41">
        <v>0</v>
      </c>
      <c r="G969" s="41" t="s">
        <v>505</v>
      </c>
      <c r="H969" s="41">
        <v>2</v>
      </c>
      <c r="I969" s="41">
        <v>1</v>
      </c>
      <c r="J969" s="108">
        <v>0</v>
      </c>
      <c r="K969" s="41">
        <v>0</v>
      </c>
      <c r="L969" s="41">
        <v>55</v>
      </c>
      <c r="M969" s="41">
        <v>-1</v>
      </c>
      <c r="N969" s="41">
        <v>2</v>
      </c>
      <c r="O969" s="111" t="s">
        <v>3067</v>
      </c>
      <c r="P969" s="109"/>
      <c r="Q969" s="41"/>
      <c r="R969" s="111"/>
      <c r="S969" s="110"/>
    </row>
    <row r="970" spans="1:19">
      <c r="A970" s="105">
        <v>2352</v>
      </c>
      <c r="B970" s="41">
        <v>120000000</v>
      </c>
      <c r="C970" s="41">
        <v>2.5000000000000001E-3</v>
      </c>
      <c r="D970" s="41">
        <v>16</v>
      </c>
      <c r="E970" s="41">
        <v>30</v>
      </c>
      <c r="F970" s="41">
        <v>0</v>
      </c>
      <c r="G970" s="41" t="s">
        <v>505</v>
      </c>
      <c r="H970" s="41">
        <v>2</v>
      </c>
      <c r="I970" s="41">
        <v>1</v>
      </c>
      <c r="J970" s="108">
        <v>0</v>
      </c>
      <c r="K970" s="41">
        <v>0</v>
      </c>
      <c r="L970" s="41">
        <v>55</v>
      </c>
      <c r="M970" s="41">
        <v>-1</v>
      </c>
      <c r="N970" s="41">
        <v>2</v>
      </c>
      <c r="O970" s="111" t="s">
        <v>3068</v>
      </c>
      <c r="P970" s="109"/>
      <c r="Q970" s="41"/>
      <c r="R970" s="111"/>
      <c r="S970" s="110"/>
    </row>
    <row r="971" spans="1:19">
      <c r="A971" s="105">
        <v>2353</v>
      </c>
      <c r="B971" s="41">
        <v>120000000</v>
      </c>
      <c r="C971" s="41">
        <v>2.5000000000000001E-3</v>
      </c>
      <c r="D971" s="41">
        <v>22.627400000000002</v>
      </c>
      <c r="E971" s="41">
        <v>30</v>
      </c>
      <c r="F971" s="41">
        <v>0</v>
      </c>
      <c r="G971" s="41" t="s">
        <v>505</v>
      </c>
      <c r="H971" s="41">
        <v>2</v>
      </c>
      <c r="I971" s="41">
        <v>1</v>
      </c>
      <c r="J971" s="108">
        <v>0</v>
      </c>
      <c r="K971" s="41">
        <v>0</v>
      </c>
      <c r="L971" s="41">
        <v>55</v>
      </c>
      <c r="M971" s="41">
        <v>-1</v>
      </c>
      <c r="N971" s="41">
        <v>2</v>
      </c>
      <c r="O971" s="111" t="s">
        <v>3069</v>
      </c>
      <c r="P971" s="109"/>
      <c r="Q971" s="41"/>
      <c r="R971" s="111"/>
      <c r="S971" s="110"/>
    </row>
    <row r="972" spans="1:19">
      <c r="A972" s="105">
        <v>2354</v>
      </c>
      <c r="B972" s="41">
        <v>120000000</v>
      </c>
      <c r="C972" s="41">
        <v>2.5000000000000001E-3</v>
      </c>
      <c r="D972" s="41">
        <v>32</v>
      </c>
      <c r="E972" s="41">
        <v>30</v>
      </c>
      <c r="F972" s="41">
        <v>0</v>
      </c>
      <c r="G972" s="41" t="s">
        <v>505</v>
      </c>
      <c r="H972" s="41">
        <v>2</v>
      </c>
      <c r="I972" s="41">
        <v>1</v>
      </c>
      <c r="J972" s="108">
        <v>0</v>
      </c>
      <c r="K972" s="41">
        <v>0</v>
      </c>
      <c r="L972" s="41">
        <v>55</v>
      </c>
      <c r="M972" s="41">
        <v>-1</v>
      </c>
      <c r="N972" s="41">
        <v>2</v>
      </c>
      <c r="O972" s="111" t="s">
        <v>3070</v>
      </c>
      <c r="P972" s="109"/>
      <c r="Q972" s="41"/>
      <c r="R972" s="111"/>
      <c r="S972" s="110"/>
    </row>
    <row r="973" spans="1:19">
      <c r="A973" s="105">
        <v>2355</v>
      </c>
      <c r="B973" s="41">
        <v>120000000</v>
      </c>
      <c r="C973" s="41">
        <v>2.5000000000000001E-3</v>
      </c>
      <c r="D973" s="41">
        <v>45.254800000000003</v>
      </c>
      <c r="E973" s="41">
        <v>30</v>
      </c>
      <c r="F973" s="41">
        <v>0</v>
      </c>
      <c r="G973" s="41" t="s">
        <v>505</v>
      </c>
      <c r="H973" s="41">
        <v>2</v>
      </c>
      <c r="I973" s="41">
        <v>1</v>
      </c>
      <c r="J973" s="108">
        <v>0</v>
      </c>
      <c r="K973" s="41">
        <v>0</v>
      </c>
      <c r="L973" s="41">
        <v>55</v>
      </c>
      <c r="M973" s="41">
        <v>-1</v>
      </c>
      <c r="N973" s="41">
        <v>2</v>
      </c>
      <c r="O973" s="111" t="s">
        <v>3071</v>
      </c>
      <c r="P973" s="109"/>
      <c r="Q973" s="41"/>
      <c r="R973" s="111"/>
      <c r="S973" s="110"/>
    </row>
    <row r="974" spans="1:19">
      <c r="A974" s="105">
        <v>2356</v>
      </c>
      <c r="B974" s="41">
        <v>120000000</v>
      </c>
      <c r="C974" s="41">
        <v>2.7000000000000001E-3</v>
      </c>
      <c r="D974" s="41">
        <v>2.8283999999999998</v>
      </c>
      <c r="E974" s="41">
        <v>30</v>
      </c>
      <c r="F974" s="41">
        <v>0</v>
      </c>
      <c r="G974" s="41" t="s">
        <v>505</v>
      </c>
      <c r="H974" s="41">
        <v>2</v>
      </c>
      <c r="I974" s="41">
        <v>1</v>
      </c>
      <c r="J974" s="108">
        <v>0</v>
      </c>
      <c r="K974" s="41">
        <v>0</v>
      </c>
      <c r="L974" s="41">
        <v>55</v>
      </c>
      <c r="M974" s="41">
        <v>-1</v>
      </c>
      <c r="N974" s="41">
        <v>2</v>
      </c>
      <c r="O974" s="111" t="s">
        <v>3072</v>
      </c>
      <c r="P974" s="109"/>
      <c r="Q974" s="41"/>
      <c r="R974" s="111"/>
      <c r="S974" s="110"/>
    </row>
    <row r="975" spans="1:19">
      <c r="A975" s="105">
        <v>2357</v>
      </c>
      <c r="B975" s="41">
        <v>120000000</v>
      </c>
      <c r="C975" s="41">
        <v>2.7000000000000001E-3</v>
      </c>
      <c r="D975" s="41">
        <v>4</v>
      </c>
      <c r="E975" s="41">
        <v>30</v>
      </c>
      <c r="F975" s="41">
        <v>0</v>
      </c>
      <c r="G975" s="41" t="s">
        <v>505</v>
      </c>
      <c r="H975" s="41">
        <v>2</v>
      </c>
      <c r="I975" s="41">
        <v>1</v>
      </c>
      <c r="J975" s="108">
        <v>0</v>
      </c>
      <c r="K975" s="41">
        <v>0</v>
      </c>
      <c r="L975" s="41">
        <v>55</v>
      </c>
      <c r="M975" s="41">
        <v>-1</v>
      </c>
      <c r="N975" s="41">
        <v>2</v>
      </c>
      <c r="O975" s="111" t="s">
        <v>3073</v>
      </c>
      <c r="P975" s="109"/>
      <c r="Q975" s="41"/>
      <c r="R975" s="111"/>
      <c r="S975" s="110"/>
    </row>
    <row r="976" spans="1:19">
      <c r="A976" s="105">
        <v>2358</v>
      </c>
      <c r="B976" s="41">
        <v>120000000</v>
      </c>
      <c r="C976" s="41">
        <v>2.7000000000000001E-3</v>
      </c>
      <c r="D976" s="41">
        <v>5.6569000000000003</v>
      </c>
      <c r="E976" s="41">
        <v>30</v>
      </c>
      <c r="F976" s="41">
        <v>0</v>
      </c>
      <c r="G976" s="41" t="s">
        <v>505</v>
      </c>
      <c r="H976" s="41">
        <v>2</v>
      </c>
      <c r="I976" s="41">
        <v>1</v>
      </c>
      <c r="J976" s="108">
        <v>0</v>
      </c>
      <c r="K976" s="41">
        <v>0</v>
      </c>
      <c r="L976" s="41">
        <v>55</v>
      </c>
      <c r="M976" s="41">
        <v>-1</v>
      </c>
      <c r="N976" s="41">
        <v>2</v>
      </c>
      <c r="O976" s="111" t="s">
        <v>3074</v>
      </c>
      <c r="P976" s="109"/>
      <c r="Q976" s="41"/>
      <c r="R976" s="111"/>
      <c r="S976" s="110"/>
    </row>
    <row r="977" spans="1:19">
      <c r="A977" s="105">
        <v>2359</v>
      </c>
      <c r="B977" s="41">
        <v>120000000</v>
      </c>
      <c r="C977" s="41">
        <v>2.7000000000000001E-3</v>
      </c>
      <c r="D977" s="41">
        <v>8</v>
      </c>
      <c r="E977" s="41">
        <v>30</v>
      </c>
      <c r="F977" s="41">
        <v>0</v>
      </c>
      <c r="G977" s="41" t="s">
        <v>505</v>
      </c>
      <c r="H977" s="41">
        <v>2</v>
      </c>
      <c r="I977" s="41">
        <v>1</v>
      </c>
      <c r="J977" s="108">
        <v>0</v>
      </c>
      <c r="K977" s="41">
        <v>0</v>
      </c>
      <c r="L977" s="41">
        <v>55</v>
      </c>
      <c r="M977" s="41">
        <v>-1</v>
      </c>
      <c r="N977" s="41">
        <v>2</v>
      </c>
      <c r="O977" s="111" t="s">
        <v>3075</v>
      </c>
      <c r="P977" s="109"/>
      <c r="Q977" s="41"/>
      <c r="R977" s="111"/>
      <c r="S977" s="110"/>
    </row>
    <row r="978" spans="1:19">
      <c r="A978" s="105">
        <v>2360</v>
      </c>
      <c r="B978" s="41">
        <v>120000000</v>
      </c>
      <c r="C978" s="41">
        <v>2.7000000000000001E-3</v>
      </c>
      <c r="D978" s="41">
        <v>11.313700000000001</v>
      </c>
      <c r="E978" s="41">
        <v>30</v>
      </c>
      <c r="F978" s="41">
        <v>0</v>
      </c>
      <c r="G978" s="41" t="s">
        <v>505</v>
      </c>
      <c r="H978" s="41">
        <v>2</v>
      </c>
      <c r="I978" s="41">
        <v>1</v>
      </c>
      <c r="J978" s="108">
        <v>0</v>
      </c>
      <c r="K978" s="41">
        <v>0</v>
      </c>
      <c r="L978" s="41">
        <v>55</v>
      </c>
      <c r="M978" s="41">
        <v>-1</v>
      </c>
      <c r="N978" s="41">
        <v>2</v>
      </c>
      <c r="O978" s="111" t="s">
        <v>3076</v>
      </c>
      <c r="P978" s="109"/>
      <c r="Q978" s="41"/>
      <c r="R978" s="111"/>
      <c r="S978" s="110"/>
    </row>
    <row r="979" spans="1:19">
      <c r="A979" s="105">
        <v>2361</v>
      </c>
      <c r="B979" s="41">
        <v>120000000</v>
      </c>
      <c r="C979" s="41">
        <v>2.7000000000000001E-3</v>
      </c>
      <c r="D979" s="41">
        <v>16</v>
      </c>
      <c r="E979" s="41">
        <v>30</v>
      </c>
      <c r="F979" s="41">
        <v>0</v>
      </c>
      <c r="G979" s="41" t="s">
        <v>505</v>
      </c>
      <c r="H979" s="41">
        <v>2</v>
      </c>
      <c r="I979" s="41">
        <v>1</v>
      </c>
      <c r="J979" s="108">
        <v>0</v>
      </c>
      <c r="K979" s="41">
        <v>0</v>
      </c>
      <c r="L979" s="41">
        <v>55</v>
      </c>
      <c r="M979" s="41">
        <v>-1</v>
      </c>
      <c r="N979" s="41">
        <v>2</v>
      </c>
      <c r="O979" s="111" t="s">
        <v>3077</v>
      </c>
      <c r="P979" s="109"/>
      <c r="Q979" s="41"/>
      <c r="R979" s="111"/>
      <c r="S979" s="110"/>
    </row>
    <row r="980" spans="1:19">
      <c r="A980" s="105">
        <v>2362</v>
      </c>
      <c r="B980" s="41">
        <v>120000000</v>
      </c>
      <c r="C980" s="41">
        <v>2.7000000000000001E-3</v>
      </c>
      <c r="D980" s="41">
        <v>22.627400000000002</v>
      </c>
      <c r="E980" s="41">
        <v>30</v>
      </c>
      <c r="F980" s="41">
        <v>0</v>
      </c>
      <c r="G980" s="41" t="s">
        <v>505</v>
      </c>
      <c r="H980" s="41">
        <v>2</v>
      </c>
      <c r="I980" s="41">
        <v>1</v>
      </c>
      <c r="J980" s="108">
        <v>0</v>
      </c>
      <c r="K980" s="41">
        <v>0</v>
      </c>
      <c r="L980" s="41">
        <v>55</v>
      </c>
      <c r="M980" s="41">
        <v>-1</v>
      </c>
      <c r="N980" s="41">
        <v>2</v>
      </c>
      <c r="O980" s="111" t="s">
        <v>3078</v>
      </c>
      <c r="P980" s="109"/>
      <c r="Q980" s="41"/>
      <c r="R980" s="111"/>
      <c r="S980" s="110"/>
    </row>
    <row r="981" spans="1:19">
      <c r="A981" s="105">
        <v>2363</v>
      </c>
      <c r="B981" s="41">
        <v>120000000</v>
      </c>
      <c r="C981" s="41">
        <v>2.7000000000000001E-3</v>
      </c>
      <c r="D981" s="41">
        <v>32</v>
      </c>
      <c r="E981" s="41">
        <v>30</v>
      </c>
      <c r="F981" s="41">
        <v>0</v>
      </c>
      <c r="G981" s="41" t="s">
        <v>505</v>
      </c>
      <c r="H981" s="41">
        <v>2</v>
      </c>
      <c r="I981" s="41">
        <v>1</v>
      </c>
      <c r="J981" s="108">
        <v>0</v>
      </c>
      <c r="K981" s="41">
        <v>0</v>
      </c>
      <c r="L981" s="41">
        <v>55</v>
      </c>
      <c r="M981" s="41">
        <v>-1</v>
      </c>
      <c r="N981" s="41">
        <v>2</v>
      </c>
      <c r="O981" s="111" t="s">
        <v>3079</v>
      </c>
      <c r="P981" s="109"/>
      <c r="Q981" s="41"/>
      <c r="R981" s="111"/>
      <c r="S981" s="110"/>
    </row>
    <row r="982" spans="1:19">
      <c r="A982" s="105">
        <v>2364</v>
      </c>
      <c r="B982" s="41">
        <v>120000000</v>
      </c>
      <c r="C982" s="41">
        <v>2.7000000000000001E-3</v>
      </c>
      <c r="D982" s="41">
        <v>45.254800000000003</v>
      </c>
      <c r="E982" s="41">
        <v>30</v>
      </c>
      <c r="F982" s="41">
        <v>0</v>
      </c>
      <c r="G982" s="41" t="s">
        <v>505</v>
      </c>
      <c r="H982" s="41">
        <v>2</v>
      </c>
      <c r="I982" s="41">
        <v>1</v>
      </c>
      <c r="J982" s="108">
        <v>0</v>
      </c>
      <c r="K982" s="41">
        <v>0</v>
      </c>
      <c r="L982" s="41">
        <v>55</v>
      </c>
      <c r="M982" s="41">
        <v>-1</v>
      </c>
      <c r="N982" s="41">
        <v>2</v>
      </c>
      <c r="O982" s="111" t="s">
        <v>3080</v>
      </c>
      <c r="P982" s="109"/>
      <c r="Q982" s="41"/>
      <c r="R982" s="111"/>
      <c r="S982" s="110"/>
    </row>
    <row r="983" spans="1:19">
      <c r="A983" s="105">
        <v>2365</v>
      </c>
      <c r="B983" s="41">
        <v>120000000</v>
      </c>
      <c r="C983" s="41">
        <v>2.8999999999999998E-3</v>
      </c>
      <c r="D983" s="41">
        <v>2.8283999999999998</v>
      </c>
      <c r="E983" s="41">
        <v>30</v>
      </c>
      <c r="F983" s="41">
        <v>0</v>
      </c>
      <c r="G983" s="41" t="s">
        <v>505</v>
      </c>
      <c r="H983" s="41">
        <v>2</v>
      </c>
      <c r="I983" s="41">
        <v>1</v>
      </c>
      <c r="J983" s="108">
        <v>0</v>
      </c>
      <c r="K983" s="41">
        <v>0</v>
      </c>
      <c r="L983" s="41">
        <v>55</v>
      </c>
      <c r="M983" s="41">
        <v>-1</v>
      </c>
      <c r="N983" s="41">
        <v>2</v>
      </c>
      <c r="O983" s="111" t="s">
        <v>3081</v>
      </c>
      <c r="P983" s="109"/>
      <c r="Q983" s="41"/>
      <c r="R983" s="111"/>
      <c r="S983" s="110"/>
    </row>
    <row r="984" spans="1:19">
      <c r="A984" s="105">
        <v>2366</v>
      </c>
      <c r="B984" s="41">
        <v>120000000</v>
      </c>
      <c r="C984" s="41">
        <v>2.8999999999999998E-3</v>
      </c>
      <c r="D984" s="41">
        <v>4</v>
      </c>
      <c r="E984" s="41">
        <v>30</v>
      </c>
      <c r="F984" s="41">
        <v>0</v>
      </c>
      <c r="G984" s="41" t="s">
        <v>505</v>
      </c>
      <c r="H984" s="41">
        <v>2</v>
      </c>
      <c r="I984" s="41">
        <v>1</v>
      </c>
      <c r="J984" s="108">
        <v>0</v>
      </c>
      <c r="K984" s="41">
        <v>0</v>
      </c>
      <c r="L984" s="41">
        <v>55</v>
      </c>
      <c r="M984" s="41">
        <v>-1</v>
      </c>
      <c r="N984" s="41">
        <v>2</v>
      </c>
      <c r="O984" s="111" t="s">
        <v>3082</v>
      </c>
      <c r="P984" s="109"/>
      <c r="Q984" s="41"/>
      <c r="R984" s="111"/>
      <c r="S984" s="110"/>
    </row>
    <row r="985" spans="1:19">
      <c r="A985" s="105">
        <v>2367</v>
      </c>
      <c r="B985" s="41">
        <v>120000000</v>
      </c>
      <c r="C985" s="41">
        <v>2.8999999999999998E-3</v>
      </c>
      <c r="D985" s="41">
        <v>5.6569000000000003</v>
      </c>
      <c r="E985" s="41">
        <v>30</v>
      </c>
      <c r="F985" s="41">
        <v>0</v>
      </c>
      <c r="G985" s="41" t="s">
        <v>505</v>
      </c>
      <c r="H985" s="41">
        <v>2</v>
      </c>
      <c r="I985" s="41">
        <v>1</v>
      </c>
      <c r="J985" s="108">
        <v>0</v>
      </c>
      <c r="K985" s="41">
        <v>0</v>
      </c>
      <c r="L985" s="41">
        <v>55</v>
      </c>
      <c r="M985" s="41">
        <v>-1</v>
      </c>
      <c r="N985" s="41">
        <v>2</v>
      </c>
      <c r="O985" s="111" t="s">
        <v>3083</v>
      </c>
      <c r="P985" s="109"/>
      <c r="Q985" s="41"/>
      <c r="R985" s="111"/>
      <c r="S985" s="110"/>
    </row>
    <row r="986" spans="1:19">
      <c r="A986" s="105">
        <v>2368</v>
      </c>
      <c r="B986" s="41">
        <v>120000000</v>
      </c>
      <c r="C986" s="41">
        <v>2.8999999999999998E-3</v>
      </c>
      <c r="D986" s="41">
        <v>8</v>
      </c>
      <c r="E986" s="41">
        <v>30</v>
      </c>
      <c r="F986" s="41">
        <v>0</v>
      </c>
      <c r="G986" s="41" t="s">
        <v>505</v>
      </c>
      <c r="H986" s="41">
        <v>2</v>
      </c>
      <c r="I986" s="41">
        <v>1</v>
      </c>
      <c r="J986" s="108">
        <v>0</v>
      </c>
      <c r="K986" s="41">
        <v>0</v>
      </c>
      <c r="L986" s="41">
        <v>55</v>
      </c>
      <c r="M986" s="41">
        <v>-1</v>
      </c>
      <c r="N986" s="41">
        <v>2</v>
      </c>
      <c r="O986" s="111" t="s">
        <v>3084</v>
      </c>
      <c r="P986" s="109"/>
      <c r="Q986" s="41"/>
      <c r="R986" s="111"/>
      <c r="S986" s="110"/>
    </row>
    <row r="987" spans="1:19">
      <c r="A987" s="105">
        <v>2369</v>
      </c>
      <c r="B987" s="41">
        <v>120000000</v>
      </c>
      <c r="C987" s="41">
        <v>2.8999999999999998E-3</v>
      </c>
      <c r="D987" s="41">
        <v>11.313700000000001</v>
      </c>
      <c r="E987" s="41">
        <v>30</v>
      </c>
      <c r="F987" s="41">
        <v>0</v>
      </c>
      <c r="G987" s="41" t="s">
        <v>505</v>
      </c>
      <c r="H987" s="41">
        <v>2</v>
      </c>
      <c r="I987" s="41">
        <v>1</v>
      </c>
      <c r="J987" s="108">
        <v>0</v>
      </c>
      <c r="K987" s="41">
        <v>0</v>
      </c>
      <c r="L987" s="41">
        <v>55</v>
      </c>
      <c r="M987" s="41">
        <v>-1</v>
      </c>
      <c r="N987" s="41">
        <v>2</v>
      </c>
      <c r="O987" s="111" t="s">
        <v>3085</v>
      </c>
      <c r="P987" s="109"/>
      <c r="Q987" s="41"/>
      <c r="R987" s="111"/>
      <c r="S987" s="110"/>
    </row>
    <row r="988" spans="1:19">
      <c r="A988" s="105">
        <v>2370</v>
      </c>
      <c r="B988" s="41">
        <v>120000000</v>
      </c>
      <c r="C988" s="41">
        <v>2.8999999999999998E-3</v>
      </c>
      <c r="D988" s="41">
        <v>16</v>
      </c>
      <c r="E988" s="41">
        <v>30</v>
      </c>
      <c r="F988" s="41">
        <v>0</v>
      </c>
      <c r="G988" s="41" t="s">
        <v>505</v>
      </c>
      <c r="H988" s="41">
        <v>2</v>
      </c>
      <c r="I988" s="41">
        <v>1</v>
      </c>
      <c r="J988" s="108">
        <v>0</v>
      </c>
      <c r="K988" s="41">
        <v>0</v>
      </c>
      <c r="L988" s="41">
        <v>55</v>
      </c>
      <c r="M988" s="41">
        <v>-1</v>
      </c>
      <c r="N988" s="41">
        <v>2</v>
      </c>
      <c r="O988" s="111" t="s">
        <v>3086</v>
      </c>
      <c r="P988" s="109"/>
      <c r="Q988" s="41"/>
      <c r="R988" s="111"/>
      <c r="S988" s="110"/>
    </row>
    <row r="989" spans="1:19">
      <c r="A989" s="105">
        <v>2371</v>
      </c>
      <c r="B989" s="41">
        <v>120000000</v>
      </c>
      <c r="C989" s="41">
        <v>2.8999999999999998E-3</v>
      </c>
      <c r="D989" s="41">
        <v>22.627400000000002</v>
      </c>
      <c r="E989" s="41">
        <v>30</v>
      </c>
      <c r="F989" s="41">
        <v>0</v>
      </c>
      <c r="G989" s="41" t="s">
        <v>505</v>
      </c>
      <c r="H989" s="41">
        <v>2</v>
      </c>
      <c r="I989" s="41">
        <v>1</v>
      </c>
      <c r="J989" s="108">
        <v>0</v>
      </c>
      <c r="K989" s="41">
        <v>0</v>
      </c>
      <c r="L989" s="41">
        <v>55</v>
      </c>
      <c r="M989" s="41">
        <v>-1</v>
      </c>
      <c r="N989" s="41">
        <v>2</v>
      </c>
      <c r="O989" s="111" t="s">
        <v>3087</v>
      </c>
      <c r="P989" s="109"/>
      <c r="Q989" s="41"/>
      <c r="R989" s="111"/>
      <c r="S989" s="110"/>
    </row>
    <row r="990" spans="1:19">
      <c r="A990" s="105">
        <v>2372</v>
      </c>
      <c r="B990" s="41">
        <v>120000000</v>
      </c>
      <c r="C990" s="41">
        <v>2.8999999999999998E-3</v>
      </c>
      <c r="D990" s="41">
        <v>32</v>
      </c>
      <c r="E990" s="41">
        <v>30</v>
      </c>
      <c r="F990" s="41">
        <v>0</v>
      </c>
      <c r="G990" s="41" t="s">
        <v>505</v>
      </c>
      <c r="H990" s="41">
        <v>2</v>
      </c>
      <c r="I990" s="41">
        <v>1</v>
      </c>
      <c r="J990" s="108">
        <v>0</v>
      </c>
      <c r="K990" s="41">
        <v>0</v>
      </c>
      <c r="L990" s="41">
        <v>55</v>
      </c>
      <c r="M990" s="41">
        <v>-1</v>
      </c>
      <c r="N990" s="41">
        <v>2</v>
      </c>
      <c r="O990" s="111" t="s">
        <v>3088</v>
      </c>
      <c r="P990" s="109"/>
      <c r="Q990" s="41"/>
      <c r="R990" s="111"/>
      <c r="S990" s="110"/>
    </row>
    <row r="991" spans="1:19">
      <c r="A991" s="105">
        <v>2373</v>
      </c>
      <c r="B991" s="41">
        <v>120000000</v>
      </c>
      <c r="C991" s="41">
        <v>2.8999999999999998E-3</v>
      </c>
      <c r="D991" s="41">
        <v>45.254800000000003</v>
      </c>
      <c r="E991" s="41">
        <v>30</v>
      </c>
      <c r="F991" s="41">
        <v>0</v>
      </c>
      <c r="G991" s="41" t="s">
        <v>505</v>
      </c>
      <c r="H991" s="41">
        <v>2</v>
      </c>
      <c r="I991" s="41">
        <v>1</v>
      </c>
      <c r="J991" s="108">
        <v>0</v>
      </c>
      <c r="K991" s="41">
        <v>0</v>
      </c>
      <c r="L991" s="41">
        <v>55</v>
      </c>
      <c r="M991" s="41">
        <v>-1</v>
      </c>
      <c r="N991" s="41">
        <v>2</v>
      </c>
      <c r="O991" s="111" t="s">
        <v>3089</v>
      </c>
      <c r="P991" s="109"/>
      <c r="Q991" s="41"/>
      <c r="R991" s="111"/>
      <c r="S991" s="110"/>
    </row>
    <row r="992" spans="1:19">
      <c r="A992" s="105">
        <v>2374</v>
      </c>
      <c r="B992" s="41">
        <v>120000000</v>
      </c>
      <c r="C992" s="41">
        <v>3.2000000000000002E-3</v>
      </c>
      <c r="D992" s="41">
        <v>4</v>
      </c>
      <c r="E992" s="41">
        <v>30</v>
      </c>
      <c r="F992" s="41">
        <v>0</v>
      </c>
      <c r="G992" s="41" t="s">
        <v>505</v>
      </c>
      <c r="H992" s="41">
        <v>2</v>
      </c>
      <c r="I992" s="41">
        <v>1</v>
      </c>
      <c r="J992" s="108">
        <v>0</v>
      </c>
      <c r="K992" s="41">
        <v>0</v>
      </c>
      <c r="L992" s="41">
        <v>55</v>
      </c>
      <c r="M992" s="41">
        <v>-1</v>
      </c>
      <c r="N992" s="41">
        <v>2</v>
      </c>
      <c r="O992" s="111" t="s">
        <v>3090</v>
      </c>
      <c r="P992" s="109"/>
      <c r="Q992" s="41"/>
      <c r="R992" s="111"/>
      <c r="S992" s="110"/>
    </row>
    <row r="993" spans="1:19">
      <c r="A993" s="105">
        <v>2375</v>
      </c>
      <c r="B993" s="41">
        <v>120000000</v>
      </c>
      <c r="C993" s="41">
        <v>3.2000000000000002E-3</v>
      </c>
      <c r="D993" s="41">
        <v>5.6569000000000003</v>
      </c>
      <c r="E993" s="41">
        <v>30</v>
      </c>
      <c r="F993" s="41">
        <v>0</v>
      </c>
      <c r="G993" s="41" t="s">
        <v>505</v>
      </c>
      <c r="H993" s="41">
        <v>2</v>
      </c>
      <c r="I993" s="41">
        <v>1</v>
      </c>
      <c r="J993" s="108">
        <v>0</v>
      </c>
      <c r="K993" s="41">
        <v>0</v>
      </c>
      <c r="L993" s="41">
        <v>55</v>
      </c>
      <c r="M993" s="41">
        <v>-1</v>
      </c>
      <c r="N993" s="41">
        <v>2</v>
      </c>
      <c r="O993" s="111" t="s">
        <v>3091</v>
      </c>
      <c r="P993" s="109"/>
      <c r="Q993" s="41"/>
      <c r="R993" s="111"/>
      <c r="S993" s="110"/>
    </row>
    <row r="994" spans="1:19">
      <c r="A994" s="105">
        <v>2376</v>
      </c>
      <c r="B994" s="41">
        <v>120000000</v>
      </c>
      <c r="C994" s="41">
        <v>3.2000000000000002E-3</v>
      </c>
      <c r="D994" s="41">
        <v>8</v>
      </c>
      <c r="E994" s="41">
        <v>30</v>
      </c>
      <c r="F994" s="41">
        <v>0</v>
      </c>
      <c r="G994" s="41" t="s">
        <v>505</v>
      </c>
      <c r="H994" s="41">
        <v>2</v>
      </c>
      <c r="I994" s="41">
        <v>1</v>
      </c>
      <c r="J994" s="108">
        <v>0</v>
      </c>
      <c r="K994" s="41">
        <v>0</v>
      </c>
      <c r="L994" s="41">
        <v>55</v>
      </c>
      <c r="M994" s="41">
        <v>-1</v>
      </c>
      <c r="N994" s="41">
        <v>2</v>
      </c>
      <c r="O994" s="111" t="s">
        <v>3092</v>
      </c>
      <c r="P994" s="109"/>
      <c r="Q994" s="41"/>
      <c r="R994" s="111"/>
      <c r="S994" s="110"/>
    </row>
    <row r="995" spans="1:19">
      <c r="A995" s="105">
        <v>2377</v>
      </c>
      <c r="B995" s="41">
        <v>120000000</v>
      </c>
      <c r="C995" s="41">
        <v>3.2000000000000002E-3</v>
      </c>
      <c r="D995" s="41">
        <v>11.313700000000001</v>
      </c>
      <c r="E995" s="41">
        <v>30</v>
      </c>
      <c r="F995" s="41">
        <v>0</v>
      </c>
      <c r="G995" s="41" t="s">
        <v>505</v>
      </c>
      <c r="H995" s="41">
        <v>2</v>
      </c>
      <c r="I995" s="41">
        <v>1</v>
      </c>
      <c r="J995" s="108">
        <v>0</v>
      </c>
      <c r="K995" s="41">
        <v>0</v>
      </c>
      <c r="L995" s="41">
        <v>55</v>
      </c>
      <c r="M995" s="41">
        <v>-1</v>
      </c>
      <c r="N995" s="41">
        <v>2</v>
      </c>
      <c r="O995" s="111" t="s">
        <v>3093</v>
      </c>
      <c r="P995" s="109"/>
      <c r="Q995" s="41"/>
      <c r="R995" s="111"/>
      <c r="S995" s="110"/>
    </row>
    <row r="996" spans="1:19">
      <c r="A996" s="105">
        <v>2378</v>
      </c>
      <c r="B996" s="41">
        <v>120000000</v>
      </c>
      <c r="C996" s="41">
        <v>3.2000000000000002E-3</v>
      </c>
      <c r="D996" s="41">
        <v>16</v>
      </c>
      <c r="E996" s="41">
        <v>30</v>
      </c>
      <c r="F996" s="41">
        <v>0</v>
      </c>
      <c r="G996" s="41" t="s">
        <v>505</v>
      </c>
      <c r="H996" s="41">
        <v>2</v>
      </c>
      <c r="I996" s="41">
        <v>1</v>
      </c>
      <c r="J996" s="108">
        <v>0</v>
      </c>
      <c r="K996" s="41">
        <v>0</v>
      </c>
      <c r="L996" s="41">
        <v>55</v>
      </c>
      <c r="M996" s="41">
        <v>-1</v>
      </c>
      <c r="N996" s="41">
        <v>2</v>
      </c>
      <c r="O996" s="111" t="s">
        <v>3094</v>
      </c>
      <c r="P996" s="109"/>
      <c r="Q996" s="41"/>
      <c r="R996" s="111"/>
      <c r="S996" s="110"/>
    </row>
    <row r="997" spans="1:19">
      <c r="A997" s="105">
        <v>2379</v>
      </c>
      <c r="B997" s="41">
        <v>120000000</v>
      </c>
      <c r="C997" s="41">
        <v>3.2000000000000002E-3</v>
      </c>
      <c r="D997" s="41">
        <v>22.627400000000002</v>
      </c>
      <c r="E997" s="41">
        <v>30</v>
      </c>
      <c r="F997" s="41">
        <v>0</v>
      </c>
      <c r="G997" s="41" t="s">
        <v>505</v>
      </c>
      <c r="H997" s="41">
        <v>2</v>
      </c>
      <c r="I997" s="41">
        <v>1</v>
      </c>
      <c r="J997" s="108">
        <v>0</v>
      </c>
      <c r="K997" s="41">
        <v>0</v>
      </c>
      <c r="L997" s="41">
        <v>55</v>
      </c>
      <c r="M997" s="41">
        <v>-1</v>
      </c>
      <c r="N997" s="41">
        <v>2</v>
      </c>
      <c r="O997" s="111" t="s">
        <v>3095</v>
      </c>
      <c r="P997" s="109"/>
      <c r="Q997" s="41"/>
      <c r="R997" s="111"/>
      <c r="S997" s="110"/>
    </row>
    <row r="998" spans="1:19">
      <c r="A998" s="105">
        <v>2380</v>
      </c>
      <c r="B998" s="41">
        <v>120000000</v>
      </c>
      <c r="C998" s="41">
        <v>3.2000000000000002E-3</v>
      </c>
      <c r="D998" s="41">
        <v>32</v>
      </c>
      <c r="E998" s="41">
        <v>30</v>
      </c>
      <c r="F998" s="41">
        <v>0</v>
      </c>
      <c r="G998" s="41" t="s">
        <v>505</v>
      </c>
      <c r="H998" s="41">
        <v>2</v>
      </c>
      <c r="I998" s="41">
        <v>1</v>
      </c>
      <c r="J998" s="108">
        <v>0</v>
      </c>
      <c r="K998" s="41">
        <v>0</v>
      </c>
      <c r="L998" s="41">
        <v>55</v>
      </c>
      <c r="M998" s="41">
        <v>-1</v>
      </c>
      <c r="N998" s="41">
        <v>2</v>
      </c>
      <c r="O998" s="111" t="s">
        <v>3096</v>
      </c>
      <c r="P998" s="109"/>
      <c r="Q998" s="41"/>
      <c r="R998" s="111"/>
      <c r="S998" s="110"/>
    </row>
    <row r="999" spans="1:19">
      <c r="A999" s="105">
        <v>2381</v>
      </c>
      <c r="B999" s="41">
        <v>120000000</v>
      </c>
      <c r="C999" s="41">
        <v>3.2000000000000002E-3</v>
      </c>
      <c r="D999" s="41">
        <v>45.254800000000003</v>
      </c>
      <c r="E999" s="41">
        <v>30</v>
      </c>
      <c r="F999" s="41">
        <v>0</v>
      </c>
      <c r="G999" s="41" t="s">
        <v>505</v>
      </c>
      <c r="H999" s="41">
        <v>2</v>
      </c>
      <c r="I999" s="41">
        <v>1</v>
      </c>
      <c r="J999" s="108">
        <v>0</v>
      </c>
      <c r="K999" s="41">
        <v>0</v>
      </c>
      <c r="L999" s="41">
        <v>55</v>
      </c>
      <c r="M999" s="41">
        <v>-1</v>
      </c>
      <c r="N999" s="41">
        <v>2</v>
      </c>
      <c r="O999" s="111" t="s">
        <v>3097</v>
      </c>
      <c r="P999" s="109"/>
      <c r="Q999" s="41"/>
      <c r="R999" s="111"/>
      <c r="S999" s="110"/>
    </row>
    <row r="1000" spans="1:19">
      <c r="A1000" s="105">
        <v>2382</v>
      </c>
      <c r="B1000" s="41">
        <v>120000000</v>
      </c>
      <c r="C1000" s="41">
        <v>3.5000000000000001E-3</v>
      </c>
      <c r="D1000" s="41">
        <v>4</v>
      </c>
      <c r="E1000" s="41">
        <v>30</v>
      </c>
      <c r="F1000" s="41">
        <v>0</v>
      </c>
      <c r="G1000" s="41" t="s">
        <v>505</v>
      </c>
      <c r="H1000" s="41">
        <v>2</v>
      </c>
      <c r="I1000" s="41">
        <v>1</v>
      </c>
      <c r="J1000" s="108">
        <v>0</v>
      </c>
      <c r="K1000" s="41">
        <v>0</v>
      </c>
      <c r="L1000" s="41">
        <v>55</v>
      </c>
      <c r="M1000" s="41">
        <v>-1</v>
      </c>
      <c r="N1000" s="41">
        <v>2</v>
      </c>
      <c r="O1000" s="111" t="s">
        <v>3098</v>
      </c>
      <c r="P1000" s="109"/>
      <c r="Q1000" s="41"/>
      <c r="R1000" s="111"/>
      <c r="S1000" s="110"/>
    </row>
    <row r="1001" spans="1:19">
      <c r="A1001" s="105">
        <v>2383</v>
      </c>
      <c r="B1001" s="41">
        <v>120000000</v>
      </c>
      <c r="C1001" s="41">
        <v>3.5000000000000001E-3</v>
      </c>
      <c r="D1001" s="41">
        <v>5.6569000000000003</v>
      </c>
      <c r="E1001" s="41">
        <v>30</v>
      </c>
      <c r="F1001" s="41">
        <v>0</v>
      </c>
      <c r="G1001" s="41" t="s">
        <v>505</v>
      </c>
      <c r="H1001" s="41">
        <v>2</v>
      </c>
      <c r="I1001" s="41">
        <v>1</v>
      </c>
      <c r="J1001" s="108">
        <v>0</v>
      </c>
      <c r="K1001" s="41">
        <v>0</v>
      </c>
      <c r="L1001" s="41">
        <v>55</v>
      </c>
      <c r="M1001" s="41">
        <v>-1</v>
      </c>
      <c r="N1001" s="41">
        <v>2</v>
      </c>
      <c r="O1001" s="111" t="s">
        <v>3099</v>
      </c>
      <c r="P1001" s="109"/>
      <c r="Q1001" s="41"/>
      <c r="R1001" s="111"/>
      <c r="S1001" s="110"/>
    </row>
    <row r="1002" spans="1:19">
      <c r="A1002" s="105">
        <v>2384</v>
      </c>
      <c r="B1002" s="41">
        <v>120000000</v>
      </c>
      <c r="C1002" s="41">
        <v>3.5000000000000001E-3</v>
      </c>
      <c r="D1002" s="41">
        <v>8</v>
      </c>
      <c r="E1002" s="41">
        <v>30</v>
      </c>
      <c r="F1002" s="41">
        <v>0</v>
      </c>
      <c r="G1002" s="41" t="s">
        <v>505</v>
      </c>
      <c r="H1002" s="41">
        <v>2</v>
      </c>
      <c r="I1002" s="41">
        <v>1</v>
      </c>
      <c r="J1002" s="108">
        <v>0</v>
      </c>
      <c r="K1002" s="41">
        <v>0</v>
      </c>
      <c r="L1002" s="41">
        <v>55</v>
      </c>
      <c r="M1002" s="41">
        <v>-1</v>
      </c>
      <c r="N1002" s="41">
        <v>2</v>
      </c>
      <c r="O1002" s="111" t="s">
        <v>3100</v>
      </c>
      <c r="P1002" s="109"/>
      <c r="Q1002" s="41"/>
      <c r="R1002" s="111"/>
      <c r="S1002" s="110"/>
    </row>
    <row r="1003" spans="1:19">
      <c r="A1003" s="105">
        <v>2385</v>
      </c>
      <c r="B1003" s="41">
        <v>120000000</v>
      </c>
      <c r="C1003" s="41">
        <v>3.5000000000000001E-3</v>
      </c>
      <c r="D1003" s="41">
        <v>11.313700000000001</v>
      </c>
      <c r="E1003" s="41">
        <v>30</v>
      </c>
      <c r="F1003" s="41">
        <v>0</v>
      </c>
      <c r="G1003" s="41" t="s">
        <v>505</v>
      </c>
      <c r="H1003" s="41">
        <v>2</v>
      </c>
      <c r="I1003" s="41">
        <v>1</v>
      </c>
      <c r="J1003" s="108">
        <v>0</v>
      </c>
      <c r="K1003" s="41">
        <v>0</v>
      </c>
      <c r="L1003" s="41">
        <v>55</v>
      </c>
      <c r="M1003" s="41">
        <v>-1</v>
      </c>
      <c r="N1003" s="41">
        <v>2</v>
      </c>
      <c r="O1003" s="111" t="s">
        <v>3101</v>
      </c>
      <c r="P1003" s="109"/>
      <c r="Q1003" s="41"/>
      <c r="R1003" s="111"/>
      <c r="S1003" s="110"/>
    </row>
    <row r="1004" spans="1:19">
      <c r="A1004" s="105">
        <v>2386</v>
      </c>
      <c r="B1004" s="41">
        <v>120000000</v>
      </c>
      <c r="C1004" s="41">
        <v>3.5000000000000001E-3</v>
      </c>
      <c r="D1004" s="41">
        <v>16</v>
      </c>
      <c r="E1004" s="41">
        <v>30</v>
      </c>
      <c r="F1004" s="41">
        <v>0</v>
      </c>
      <c r="G1004" s="41" t="s">
        <v>505</v>
      </c>
      <c r="H1004" s="41">
        <v>2</v>
      </c>
      <c r="I1004" s="41">
        <v>1</v>
      </c>
      <c r="J1004" s="108">
        <v>0</v>
      </c>
      <c r="K1004" s="41">
        <v>0</v>
      </c>
      <c r="L1004" s="41">
        <v>55</v>
      </c>
      <c r="M1004" s="41">
        <v>-1</v>
      </c>
      <c r="N1004" s="41">
        <v>2</v>
      </c>
      <c r="O1004" s="111" t="s">
        <v>3102</v>
      </c>
      <c r="P1004" s="109"/>
      <c r="Q1004" s="41"/>
      <c r="R1004" s="111"/>
      <c r="S1004" s="110"/>
    </row>
    <row r="1005" spans="1:19">
      <c r="A1005" s="105">
        <v>2387</v>
      </c>
      <c r="B1005" s="41">
        <v>120000000</v>
      </c>
      <c r="C1005" s="41">
        <v>3.5000000000000001E-3</v>
      </c>
      <c r="D1005" s="41">
        <v>22.627400000000002</v>
      </c>
      <c r="E1005" s="41">
        <v>30</v>
      </c>
      <c r="F1005" s="41">
        <v>0</v>
      </c>
      <c r="G1005" s="41" t="s">
        <v>505</v>
      </c>
      <c r="H1005" s="41">
        <v>2</v>
      </c>
      <c r="I1005" s="41">
        <v>1</v>
      </c>
      <c r="J1005" s="108">
        <v>0</v>
      </c>
      <c r="K1005" s="41">
        <v>0</v>
      </c>
      <c r="L1005" s="41">
        <v>55</v>
      </c>
      <c r="M1005" s="41">
        <v>-1</v>
      </c>
      <c r="N1005" s="41">
        <v>2</v>
      </c>
      <c r="O1005" s="111" t="s">
        <v>3103</v>
      </c>
      <c r="P1005" s="109"/>
      <c r="Q1005" s="41"/>
      <c r="R1005" s="111"/>
      <c r="S1005" s="110"/>
    </row>
    <row r="1006" spans="1:19">
      <c r="A1006" s="105">
        <v>2388</v>
      </c>
      <c r="B1006" s="41">
        <v>120000000</v>
      </c>
      <c r="C1006" s="41">
        <v>3.5000000000000001E-3</v>
      </c>
      <c r="D1006" s="41">
        <v>32</v>
      </c>
      <c r="E1006" s="41">
        <v>30</v>
      </c>
      <c r="F1006" s="41">
        <v>0</v>
      </c>
      <c r="G1006" s="41" t="s">
        <v>505</v>
      </c>
      <c r="H1006" s="41">
        <v>2</v>
      </c>
      <c r="I1006" s="41">
        <v>1</v>
      </c>
      <c r="J1006" s="108">
        <v>0</v>
      </c>
      <c r="K1006" s="41">
        <v>0</v>
      </c>
      <c r="L1006" s="41">
        <v>55</v>
      </c>
      <c r="M1006" s="41">
        <v>-1</v>
      </c>
      <c r="N1006" s="41">
        <v>2</v>
      </c>
      <c r="O1006" s="111" t="s">
        <v>3104</v>
      </c>
      <c r="P1006" s="109"/>
      <c r="Q1006" s="41"/>
      <c r="R1006" s="111"/>
      <c r="S1006" s="110"/>
    </row>
    <row r="1007" spans="1:19">
      <c r="A1007" s="105">
        <v>2389</v>
      </c>
      <c r="B1007" s="41">
        <v>120000000</v>
      </c>
      <c r="C1007" s="41">
        <v>3.5000000000000001E-3</v>
      </c>
      <c r="D1007" s="41">
        <v>45.254800000000003</v>
      </c>
      <c r="E1007" s="41">
        <v>30</v>
      </c>
      <c r="F1007" s="41">
        <v>0</v>
      </c>
      <c r="G1007" s="41" t="s">
        <v>505</v>
      </c>
      <c r="H1007" s="41">
        <v>2</v>
      </c>
      <c r="I1007" s="41">
        <v>1</v>
      </c>
      <c r="J1007" s="108">
        <v>0</v>
      </c>
      <c r="K1007" s="41">
        <v>0</v>
      </c>
      <c r="L1007" s="41">
        <v>55</v>
      </c>
      <c r="M1007" s="41">
        <v>-1</v>
      </c>
      <c r="N1007" s="41">
        <v>2</v>
      </c>
      <c r="O1007" s="111" t="s">
        <v>3105</v>
      </c>
      <c r="P1007" s="109"/>
      <c r="Q1007" s="41"/>
      <c r="R1007" s="111"/>
      <c r="S1007" s="110"/>
    </row>
    <row r="1008" spans="1:19">
      <c r="A1008" s="105">
        <v>2390</v>
      </c>
      <c r="B1008" s="41">
        <v>120000000</v>
      </c>
      <c r="C1008" s="41">
        <v>3.8E-3</v>
      </c>
      <c r="D1008" s="41">
        <v>5.6569000000000003</v>
      </c>
      <c r="E1008" s="41">
        <v>30</v>
      </c>
      <c r="F1008" s="41">
        <v>0</v>
      </c>
      <c r="G1008" s="41" t="s">
        <v>505</v>
      </c>
      <c r="H1008" s="41">
        <v>2</v>
      </c>
      <c r="I1008" s="41">
        <v>1</v>
      </c>
      <c r="J1008" s="108">
        <v>0</v>
      </c>
      <c r="K1008" s="41">
        <v>0</v>
      </c>
      <c r="L1008" s="41">
        <v>55</v>
      </c>
      <c r="M1008" s="41">
        <v>-1</v>
      </c>
      <c r="N1008" s="41">
        <v>2</v>
      </c>
      <c r="O1008" s="111" t="s">
        <v>3106</v>
      </c>
      <c r="P1008" s="109"/>
      <c r="Q1008" s="41"/>
      <c r="R1008" s="111"/>
      <c r="S1008" s="110"/>
    </row>
    <row r="1009" spans="1:19">
      <c r="A1009" s="105">
        <v>2391</v>
      </c>
      <c r="B1009" s="41">
        <v>120000000</v>
      </c>
      <c r="C1009" s="41">
        <v>3.8E-3</v>
      </c>
      <c r="D1009" s="41">
        <v>8</v>
      </c>
      <c r="E1009" s="41">
        <v>30</v>
      </c>
      <c r="F1009" s="41">
        <v>0</v>
      </c>
      <c r="G1009" s="41" t="s">
        <v>505</v>
      </c>
      <c r="H1009" s="41">
        <v>2</v>
      </c>
      <c r="I1009" s="41">
        <v>1</v>
      </c>
      <c r="J1009" s="108">
        <v>0</v>
      </c>
      <c r="K1009" s="41">
        <v>0</v>
      </c>
      <c r="L1009" s="41">
        <v>55</v>
      </c>
      <c r="M1009" s="41">
        <v>-1</v>
      </c>
      <c r="N1009" s="41">
        <v>2</v>
      </c>
      <c r="O1009" s="111" t="s">
        <v>3107</v>
      </c>
      <c r="P1009" s="109"/>
      <c r="Q1009" s="41"/>
      <c r="R1009" s="111"/>
      <c r="S1009" s="110"/>
    </row>
    <row r="1010" spans="1:19">
      <c r="A1010" s="105">
        <v>2392</v>
      </c>
      <c r="B1010" s="41">
        <v>120000000</v>
      </c>
      <c r="C1010" s="41">
        <v>3.8E-3</v>
      </c>
      <c r="D1010" s="41">
        <v>11.313700000000001</v>
      </c>
      <c r="E1010" s="41">
        <v>30</v>
      </c>
      <c r="F1010" s="41">
        <v>0</v>
      </c>
      <c r="G1010" s="41" t="s">
        <v>505</v>
      </c>
      <c r="H1010" s="41">
        <v>2</v>
      </c>
      <c r="I1010" s="41">
        <v>1</v>
      </c>
      <c r="J1010" s="108">
        <v>0</v>
      </c>
      <c r="K1010" s="41">
        <v>0</v>
      </c>
      <c r="L1010" s="41">
        <v>55</v>
      </c>
      <c r="M1010" s="41">
        <v>-1</v>
      </c>
      <c r="N1010" s="41">
        <v>2</v>
      </c>
      <c r="O1010" s="111" t="s">
        <v>3108</v>
      </c>
      <c r="P1010" s="109"/>
      <c r="Q1010" s="41"/>
      <c r="R1010" s="111"/>
      <c r="S1010" s="110"/>
    </row>
    <row r="1011" spans="1:19">
      <c r="A1011" s="105">
        <v>2393</v>
      </c>
      <c r="B1011" s="41">
        <v>120000000</v>
      </c>
      <c r="C1011" s="41">
        <v>3.8E-3</v>
      </c>
      <c r="D1011" s="41">
        <v>16</v>
      </c>
      <c r="E1011" s="41">
        <v>30</v>
      </c>
      <c r="F1011" s="41">
        <v>0</v>
      </c>
      <c r="G1011" s="41" t="s">
        <v>505</v>
      </c>
      <c r="H1011" s="41">
        <v>2</v>
      </c>
      <c r="I1011" s="41">
        <v>1</v>
      </c>
      <c r="J1011" s="108">
        <v>0</v>
      </c>
      <c r="K1011" s="41">
        <v>0</v>
      </c>
      <c r="L1011" s="41">
        <v>55</v>
      </c>
      <c r="M1011" s="41">
        <v>-1</v>
      </c>
      <c r="N1011" s="41">
        <v>2</v>
      </c>
      <c r="O1011" s="111" t="s">
        <v>3109</v>
      </c>
      <c r="P1011" s="109"/>
      <c r="Q1011" s="41"/>
      <c r="R1011" s="111"/>
      <c r="S1011" s="110"/>
    </row>
    <row r="1012" spans="1:19">
      <c r="A1012" s="105">
        <v>2394</v>
      </c>
      <c r="B1012" s="41">
        <v>120000000</v>
      </c>
      <c r="C1012" s="41">
        <v>3.8E-3</v>
      </c>
      <c r="D1012" s="41">
        <v>22.627400000000002</v>
      </c>
      <c r="E1012" s="41">
        <v>30</v>
      </c>
      <c r="F1012" s="41">
        <v>0</v>
      </c>
      <c r="G1012" s="41" t="s">
        <v>505</v>
      </c>
      <c r="H1012" s="41">
        <v>2</v>
      </c>
      <c r="I1012" s="41">
        <v>1</v>
      </c>
      <c r="J1012" s="108">
        <v>0</v>
      </c>
      <c r="K1012" s="41">
        <v>0</v>
      </c>
      <c r="L1012" s="41">
        <v>55</v>
      </c>
      <c r="M1012" s="41">
        <v>-1</v>
      </c>
      <c r="N1012" s="41">
        <v>2</v>
      </c>
      <c r="O1012" s="111" t="s">
        <v>3110</v>
      </c>
      <c r="P1012" s="109"/>
      <c r="Q1012" s="41"/>
      <c r="R1012" s="111"/>
      <c r="S1012" s="110"/>
    </row>
    <row r="1013" spans="1:19">
      <c r="A1013" s="105">
        <v>2395</v>
      </c>
      <c r="B1013" s="41">
        <v>120000000</v>
      </c>
      <c r="C1013" s="41">
        <v>3.8E-3</v>
      </c>
      <c r="D1013" s="41">
        <v>32</v>
      </c>
      <c r="E1013" s="41">
        <v>30</v>
      </c>
      <c r="F1013" s="41">
        <v>0</v>
      </c>
      <c r="G1013" s="41" t="s">
        <v>505</v>
      </c>
      <c r="H1013" s="41">
        <v>2</v>
      </c>
      <c r="I1013" s="41">
        <v>1</v>
      </c>
      <c r="J1013" s="108">
        <v>0</v>
      </c>
      <c r="K1013" s="41">
        <v>0</v>
      </c>
      <c r="L1013" s="41">
        <v>55</v>
      </c>
      <c r="M1013" s="41">
        <v>-1</v>
      </c>
      <c r="N1013" s="41">
        <v>2</v>
      </c>
      <c r="O1013" s="111" t="s">
        <v>3111</v>
      </c>
      <c r="P1013" s="109"/>
      <c r="Q1013" s="41"/>
      <c r="R1013" s="111"/>
      <c r="S1013" s="110"/>
    </row>
    <row r="1014" spans="1:19">
      <c r="A1014" s="105">
        <v>2396</v>
      </c>
      <c r="B1014" s="41">
        <v>120000000</v>
      </c>
      <c r="C1014" s="41">
        <v>3.8E-3</v>
      </c>
      <c r="D1014" s="41">
        <v>45.254800000000003</v>
      </c>
      <c r="E1014" s="41">
        <v>30</v>
      </c>
      <c r="F1014" s="41">
        <v>0</v>
      </c>
      <c r="G1014" s="41" t="s">
        <v>505</v>
      </c>
      <c r="H1014" s="41">
        <v>2</v>
      </c>
      <c r="I1014" s="41">
        <v>1</v>
      </c>
      <c r="J1014" s="108">
        <v>0</v>
      </c>
      <c r="K1014" s="41">
        <v>0</v>
      </c>
      <c r="L1014" s="41">
        <v>55</v>
      </c>
      <c r="M1014" s="41">
        <v>-1</v>
      </c>
      <c r="N1014" s="41">
        <v>2</v>
      </c>
      <c r="O1014" s="111" t="s">
        <v>3112</v>
      </c>
      <c r="P1014" s="109"/>
      <c r="Q1014" s="41"/>
      <c r="R1014" s="111"/>
      <c r="S1014" s="110"/>
    </row>
    <row r="1015" spans="1:19">
      <c r="A1015" s="105">
        <v>2397</v>
      </c>
      <c r="B1015" s="41">
        <v>120000000</v>
      </c>
      <c r="C1015" s="41">
        <v>4.1999999999999997E-3</v>
      </c>
      <c r="D1015" s="41">
        <v>5.6569000000000003</v>
      </c>
      <c r="E1015" s="41">
        <v>30</v>
      </c>
      <c r="F1015" s="41">
        <v>0</v>
      </c>
      <c r="G1015" s="41" t="s">
        <v>505</v>
      </c>
      <c r="H1015" s="41">
        <v>2</v>
      </c>
      <c r="I1015" s="41">
        <v>1</v>
      </c>
      <c r="J1015" s="108">
        <v>0</v>
      </c>
      <c r="K1015" s="41">
        <v>0</v>
      </c>
      <c r="L1015" s="41">
        <v>55</v>
      </c>
      <c r="M1015" s="41">
        <v>-1</v>
      </c>
      <c r="N1015" s="41">
        <v>2</v>
      </c>
      <c r="O1015" s="111" t="s">
        <v>3113</v>
      </c>
      <c r="P1015" s="109"/>
      <c r="Q1015" s="41"/>
      <c r="R1015" s="111"/>
      <c r="S1015" s="110"/>
    </row>
    <row r="1016" spans="1:19">
      <c r="A1016" s="105">
        <v>2398</v>
      </c>
      <c r="B1016" s="41">
        <v>120000000</v>
      </c>
      <c r="C1016" s="41">
        <v>4.1999999999999997E-3</v>
      </c>
      <c r="D1016" s="41">
        <v>8</v>
      </c>
      <c r="E1016" s="41">
        <v>30</v>
      </c>
      <c r="F1016" s="41">
        <v>0</v>
      </c>
      <c r="G1016" s="41" t="s">
        <v>505</v>
      </c>
      <c r="H1016" s="41">
        <v>2</v>
      </c>
      <c r="I1016" s="41">
        <v>1</v>
      </c>
      <c r="J1016" s="108">
        <v>0</v>
      </c>
      <c r="K1016" s="41">
        <v>0</v>
      </c>
      <c r="L1016" s="41">
        <v>55</v>
      </c>
      <c r="M1016" s="41">
        <v>-1</v>
      </c>
      <c r="N1016" s="41">
        <v>2</v>
      </c>
      <c r="O1016" s="111" t="s">
        <v>3114</v>
      </c>
      <c r="P1016" s="109"/>
      <c r="Q1016" s="41"/>
      <c r="R1016" s="111"/>
      <c r="S1016" s="110"/>
    </row>
    <row r="1017" spans="1:19">
      <c r="A1017" s="105">
        <v>2399</v>
      </c>
      <c r="B1017" s="41">
        <v>120000000</v>
      </c>
      <c r="C1017" s="41">
        <v>4.1999999999999997E-3</v>
      </c>
      <c r="D1017" s="41">
        <v>11.313700000000001</v>
      </c>
      <c r="E1017" s="41">
        <v>30</v>
      </c>
      <c r="F1017" s="41">
        <v>0</v>
      </c>
      <c r="G1017" s="41" t="s">
        <v>505</v>
      </c>
      <c r="H1017" s="41">
        <v>2</v>
      </c>
      <c r="I1017" s="41">
        <v>1</v>
      </c>
      <c r="J1017" s="108">
        <v>0</v>
      </c>
      <c r="K1017" s="41">
        <v>0</v>
      </c>
      <c r="L1017" s="41">
        <v>55</v>
      </c>
      <c r="M1017" s="41">
        <v>-1</v>
      </c>
      <c r="N1017" s="41">
        <v>2</v>
      </c>
      <c r="O1017" s="111" t="s">
        <v>3115</v>
      </c>
      <c r="P1017" s="109"/>
      <c r="Q1017" s="41"/>
      <c r="R1017" s="111"/>
      <c r="S1017" s="110"/>
    </row>
    <row r="1018" spans="1:19">
      <c r="A1018" s="105">
        <v>2400</v>
      </c>
      <c r="B1018" s="41">
        <v>120000000</v>
      </c>
      <c r="C1018" s="41">
        <v>4.1999999999999997E-3</v>
      </c>
      <c r="D1018" s="41">
        <v>16</v>
      </c>
      <c r="E1018" s="41">
        <v>30</v>
      </c>
      <c r="F1018" s="41">
        <v>0</v>
      </c>
      <c r="G1018" s="41" t="s">
        <v>505</v>
      </c>
      <c r="H1018" s="41">
        <v>2</v>
      </c>
      <c r="I1018" s="41">
        <v>1</v>
      </c>
      <c r="J1018" s="108">
        <v>0</v>
      </c>
      <c r="K1018" s="41">
        <v>0</v>
      </c>
      <c r="L1018" s="41">
        <v>55</v>
      </c>
      <c r="M1018" s="41">
        <v>-1</v>
      </c>
      <c r="N1018" s="41">
        <v>2</v>
      </c>
      <c r="O1018" s="111" t="s">
        <v>3116</v>
      </c>
      <c r="P1018" s="109"/>
      <c r="Q1018" s="41"/>
      <c r="R1018" s="111"/>
      <c r="S1018" s="110"/>
    </row>
    <row r="1019" spans="1:19">
      <c r="A1019" s="105">
        <v>2401</v>
      </c>
      <c r="B1019" s="41">
        <v>120000000</v>
      </c>
      <c r="C1019" s="41">
        <v>4.1999999999999997E-3</v>
      </c>
      <c r="D1019" s="41">
        <v>22.627400000000002</v>
      </c>
      <c r="E1019" s="41">
        <v>30</v>
      </c>
      <c r="F1019" s="41">
        <v>0</v>
      </c>
      <c r="G1019" s="41" t="s">
        <v>505</v>
      </c>
      <c r="H1019" s="41">
        <v>2</v>
      </c>
      <c r="I1019" s="41">
        <v>1</v>
      </c>
      <c r="J1019" s="108">
        <v>0</v>
      </c>
      <c r="K1019" s="41">
        <v>0</v>
      </c>
      <c r="L1019" s="41">
        <v>55</v>
      </c>
      <c r="M1019" s="41">
        <v>-1</v>
      </c>
      <c r="N1019" s="41">
        <v>2</v>
      </c>
      <c r="O1019" s="111" t="s">
        <v>3117</v>
      </c>
      <c r="P1019" s="109"/>
      <c r="Q1019" s="41"/>
      <c r="R1019" s="111"/>
      <c r="S1019" s="110"/>
    </row>
    <row r="1020" spans="1:19">
      <c r="A1020" s="105">
        <v>2402</v>
      </c>
      <c r="B1020" s="41">
        <v>120000000</v>
      </c>
      <c r="C1020" s="41">
        <v>4.1999999999999997E-3</v>
      </c>
      <c r="D1020" s="41">
        <v>32</v>
      </c>
      <c r="E1020" s="41">
        <v>30</v>
      </c>
      <c r="F1020" s="41">
        <v>0</v>
      </c>
      <c r="G1020" s="41" t="s">
        <v>505</v>
      </c>
      <c r="H1020" s="41">
        <v>2</v>
      </c>
      <c r="I1020" s="41">
        <v>1</v>
      </c>
      <c r="J1020" s="108">
        <v>0</v>
      </c>
      <c r="K1020" s="41">
        <v>0</v>
      </c>
      <c r="L1020" s="41">
        <v>55</v>
      </c>
      <c r="M1020" s="41">
        <v>-1</v>
      </c>
      <c r="N1020" s="41">
        <v>2</v>
      </c>
      <c r="O1020" s="111" t="s">
        <v>3118</v>
      </c>
      <c r="P1020" s="109"/>
      <c r="Q1020" s="41"/>
      <c r="R1020" s="111"/>
      <c r="S1020" s="110"/>
    </row>
    <row r="1021" spans="1:19">
      <c r="A1021" s="105">
        <v>2403</v>
      </c>
      <c r="B1021" s="41">
        <v>120000000</v>
      </c>
      <c r="C1021" s="41">
        <v>4.1999999999999997E-3</v>
      </c>
      <c r="D1021" s="41">
        <v>45.254800000000003</v>
      </c>
      <c r="E1021" s="41">
        <v>30</v>
      </c>
      <c r="F1021" s="41">
        <v>0</v>
      </c>
      <c r="G1021" s="41" t="s">
        <v>505</v>
      </c>
      <c r="H1021" s="41">
        <v>2</v>
      </c>
      <c r="I1021" s="41">
        <v>1</v>
      </c>
      <c r="J1021" s="108">
        <v>0</v>
      </c>
      <c r="K1021" s="41">
        <v>0</v>
      </c>
      <c r="L1021" s="41">
        <v>55</v>
      </c>
      <c r="M1021" s="41">
        <v>-1</v>
      </c>
      <c r="N1021" s="41">
        <v>2</v>
      </c>
      <c r="O1021" s="111" t="s">
        <v>3119</v>
      </c>
      <c r="P1021" s="109"/>
      <c r="Q1021" s="41"/>
      <c r="R1021" s="111"/>
      <c r="S1021" s="110"/>
    </row>
    <row r="1022" spans="1:19">
      <c r="A1022" s="105">
        <v>2404</v>
      </c>
      <c r="B1022" s="41">
        <v>120000000</v>
      </c>
      <c r="C1022" s="41">
        <v>4.4999999999999997E-3</v>
      </c>
      <c r="D1022" s="41">
        <v>8</v>
      </c>
      <c r="E1022" s="41">
        <v>30</v>
      </c>
      <c r="F1022" s="41">
        <v>0</v>
      </c>
      <c r="G1022" s="41" t="s">
        <v>505</v>
      </c>
      <c r="H1022" s="41">
        <v>2</v>
      </c>
      <c r="I1022" s="41">
        <v>1</v>
      </c>
      <c r="J1022" s="108">
        <v>0</v>
      </c>
      <c r="K1022" s="41">
        <v>0</v>
      </c>
      <c r="L1022" s="41">
        <v>55</v>
      </c>
      <c r="M1022" s="41">
        <v>-1</v>
      </c>
      <c r="N1022" s="41">
        <v>2</v>
      </c>
      <c r="O1022" s="111" t="s">
        <v>3120</v>
      </c>
      <c r="P1022" s="109"/>
      <c r="Q1022" s="41"/>
      <c r="R1022" s="111"/>
      <c r="S1022" s="110"/>
    </row>
    <row r="1023" spans="1:19">
      <c r="A1023" s="105">
        <v>2405</v>
      </c>
      <c r="B1023" s="41">
        <v>120000000</v>
      </c>
      <c r="C1023" s="41">
        <v>4.4999999999999997E-3</v>
      </c>
      <c r="D1023" s="41">
        <v>11.313700000000001</v>
      </c>
      <c r="E1023" s="41">
        <v>30</v>
      </c>
      <c r="F1023" s="41">
        <v>0</v>
      </c>
      <c r="G1023" s="41" t="s">
        <v>505</v>
      </c>
      <c r="H1023" s="41">
        <v>2</v>
      </c>
      <c r="I1023" s="41">
        <v>1</v>
      </c>
      <c r="J1023" s="108">
        <v>0</v>
      </c>
      <c r="K1023" s="41">
        <v>0</v>
      </c>
      <c r="L1023" s="41">
        <v>55</v>
      </c>
      <c r="M1023" s="41">
        <v>-1</v>
      </c>
      <c r="N1023" s="41">
        <v>2</v>
      </c>
      <c r="O1023" s="111" t="s">
        <v>3121</v>
      </c>
      <c r="P1023" s="109"/>
      <c r="Q1023" s="41"/>
      <c r="R1023" s="111"/>
      <c r="S1023" s="110"/>
    </row>
    <row r="1024" spans="1:19">
      <c r="A1024" s="105">
        <v>2406</v>
      </c>
      <c r="B1024" s="41">
        <v>120000000</v>
      </c>
      <c r="C1024" s="41">
        <v>4.4999999999999997E-3</v>
      </c>
      <c r="D1024" s="41">
        <v>16</v>
      </c>
      <c r="E1024" s="41">
        <v>30</v>
      </c>
      <c r="F1024" s="41">
        <v>0</v>
      </c>
      <c r="G1024" s="41" t="s">
        <v>505</v>
      </c>
      <c r="H1024" s="41">
        <v>2</v>
      </c>
      <c r="I1024" s="41">
        <v>1</v>
      </c>
      <c r="J1024" s="108">
        <v>0</v>
      </c>
      <c r="K1024" s="41">
        <v>0</v>
      </c>
      <c r="L1024" s="41">
        <v>55</v>
      </c>
      <c r="M1024" s="41">
        <v>-1</v>
      </c>
      <c r="N1024" s="41">
        <v>2</v>
      </c>
      <c r="O1024" s="111" t="s">
        <v>3122</v>
      </c>
      <c r="P1024" s="109"/>
      <c r="Q1024" s="41"/>
      <c r="R1024" s="111"/>
      <c r="S1024" s="110"/>
    </row>
    <row r="1025" spans="1:19">
      <c r="A1025" s="105">
        <v>2407</v>
      </c>
      <c r="B1025" s="41">
        <v>120000000</v>
      </c>
      <c r="C1025" s="41">
        <v>4.4999999999999997E-3</v>
      </c>
      <c r="D1025" s="41">
        <v>22.627400000000002</v>
      </c>
      <c r="E1025" s="41">
        <v>30</v>
      </c>
      <c r="F1025" s="41">
        <v>0</v>
      </c>
      <c r="G1025" s="41" t="s">
        <v>505</v>
      </c>
      <c r="H1025" s="41">
        <v>2</v>
      </c>
      <c r="I1025" s="41">
        <v>1</v>
      </c>
      <c r="J1025" s="108">
        <v>0</v>
      </c>
      <c r="K1025" s="41">
        <v>0</v>
      </c>
      <c r="L1025" s="41">
        <v>55</v>
      </c>
      <c r="M1025" s="41">
        <v>-1</v>
      </c>
      <c r="N1025" s="41">
        <v>2</v>
      </c>
      <c r="O1025" s="111" t="s">
        <v>3123</v>
      </c>
      <c r="P1025" s="109"/>
      <c r="Q1025" s="41"/>
      <c r="R1025" s="111"/>
      <c r="S1025" s="110"/>
    </row>
    <row r="1026" spans="1:19">
      <c r="A1026" s="105">
        <v>2408</v>
      </c>
      <c r="B1026" s="41">
        <v>120000000</v>
      </c>
      <c r="C1026" s="41">
        <v>4.4999999999999997E-3</v>
      </c>
      <c r="D1026" s="41">
        <v>32</v>
      </c>
      <c r="E1026" s="41">
        <v>30</v>
      </c>
      <c r="F1026" s="41">
        <v>0</v>
      </c>
      <c r="G1026" s="41" t="s">
        <v>505</v>
      </c>
      <c r="H1026" s="41">
        <v>2</v>
      </c>
      <c r="I1026" s="41">
        <v>1</v>
      </c>
      <c r="J1026" s="108">
        <v>0</v>
      </c>
      <c r="K1026" s="41">
        <v>0</v>
      </c>
      <c r="L1026" s="41">
        <v>55</v>
      </c>
      <c r="M1026" s="41">
        <v>-1</v>
      </c>
      <c r="N1026" s="41">
        <v>2</v>
      </c>
      <c r="O1026" s="111" t="s">
        <v>3124</v>
      </c>
      <c r="P1026" s="109"/>
      <c r="Q1026" s="41"/>
      <c r="R1026" s="111"/>
      <c r="S1026" s="110"/>
    </row>
    <row r="1027" spans="1:19">
      <c r="A1027" s="105">
        <v>2409</v>
      </c>
      <c r="B1027" s="41">
        <v>120000000</v>
      </c>
      <c r="C1027" s="41">
        <v>4.4999999999999997E-3</v>
      </c>
      <c r="D1027" s="41">
        <v>45.254800000000003</v>
      </c>
      <c r="E1027" s="41">
        <v>30</v>
      </c>
      <c r="F1027" s="41">
        <v>0</v>
      </c>
      <c r="G1027" s="41" t="s">
        <v>505</v>
      </c>
      <c r="H1027" s="41">
        <v>2</v>
      </c>
      <c r="I1027" s="41">
        <v>1</v>
      </c>
      <c r="J1027" s="108">
        <v>0</v>
      </c>
      <c r="K1027" s="41">
        <v>0</v>
      </c>
      <c r="L1027" s="41">
        <v>55</v>
      </c>
      <c r="M1027" s="41">
        <v>-1</v>
      </c>
      <c r="N1027" s="41">
        <v>2</v>
      </c>
      <c r="O1027" s="111" t="s">
        <v>3125</v>
      </c>
      <c r="P1027" s="109"/>
      <c r="Q1027" s="41"/>
      <c r="R1027" s="111"/>
      <c r="S1027" s="110"/>
    </row>
    <row r="1028" spans="1:19">
      <c r="A1028" s="105">
        <v>2410</v>
      </c>
      <c r="B1028" s="41">
        <v>120000000</v>
      </c>
      <c r="C1028" s="41">
        <v>4.8999999999999998E-3</v>
      </c>
      <c r="D1028" s="41">
        <v>8</v>
      </c>
      <c r="E1028" s="41">
        <v>30</v>
      </c>
      <c r="F1028" s="41">
        <v>0</v>
      </c>
      <c r="G1028" s="41" t="s">
        <v>505</v>
      </c>
      <c r="H1028" s="41">
        <v>2</v>
      </c>
      <c r="I1028" s="41">
        <v>1</v>
      </c>
      <c r="J1028" s="108">
        <v>0</v>
      </c>
      <c r="K1028" s="41">
        <v>0</v>
      </c>
      <c r="L1028" s="41">
        <v>55</v>
      </c>
      <c r="M1028" s="41">
        <v>-1</v>
      </c>
      <c r="N1028" s="41">
        <v>2</v>
      </c>
      <c r="O1028" s="111" t="s">
        <v>3126</v>
      </c>
      <c r="P1028" s="109"/>
      <c r="Q1028" s="41"/>
      <c r="R1028" s="111"/>
      <c r="S1028" s="110"/>
    </row>
    <row r="1029" spans="1:19">
      <c r="A1029" s="105">
        <v>2411</v>
      </c>
      <c r="B1029" s="41">
        <v>120000000</v>
      </c>
      <c r="C1029" s="41">
        <v>4.8999999999999998E-3</v>
      </c>
      <c r="D1029" s="41">
        <v>11.313700000000001</v>
      </c>
      <c r="E1029" s="41">
        <v>30</v>
      </c>
      <c r="F1029" s="41">
        <v>0</v>
      </c>
      <c r="G1029" s="41" t="s">
        <v>505</v>
      </c>
      <c r="H1029" s="41">
        <v>2</v>
      </c>
      <c r="I1029" s="41">
        <v>1</v>
      </c>
      <c r="J1029" s="108">
        <v>0</v>
      </c>
      <c r="K1029" s="41">
        <v>0</v>
      </c>
      <c r="L1029" s="41">
        <v>55</v>
      </c>
      <c r="M1029" s="41">
        <v>-1</v>
      </c>
      <c r="N1029" s="41">
        <v>2</v>
      </c>
      <c r="O1029" s="111" t="s">
        <v>3127</v>
      </c>
      <c r="P1029" s="109"/>
      <c r="Q1029" s="41"/>
      <c r="R1029" s="111"/>
      <c r="S1029" s="110"/>
    </row>
    <row r="1030" spans="1:19">
      <c r="A1030" s="105">
        <v>2412</v>
      </c>
      <c r="B1030" s="41">
        <v>120000000</v>
      </c>
      <c r="C1030" s="41">
        <v>4.8999999999999998E-3</v>
      </c>
      <c r="D1030" s="41">
        <v>16</v>
      </c>
      <c r="E1030" s="41">
        <v>30</v>
      </c>
      <c r="F1030" s="41">
        <v>0</v>
      </c>
      <c r="G1030" s="41" t="s">
        <v>505</v>
      </c>
      <c r="H1030" s="41">
        <v>2</v>
      </c>
      <c r="I1030" s="41">
        <v>1</v>
      </c>
      <c r="J1030" s="108">
        <v>0</v>
      </c>
      <c r="K1030" s="41">
        <v>0</v>
      </c>
      <c r="L1030" s="41">
        <v>55</v>
      </c>
      <c r="M1030" s="41">
        <v>-1</v>
      </c>
      <c r="N1030" s="41">
        <v>2</v>
      </c>
      <c r="O1030" s="111" t="s">
        <v>3128</v>
      </c>
      <c r="P1030" s="109"/>
      <c r="Q1030" s="41"/>
      <c r="R1030" s="111"/>
      <c r="S1030" s="110"/>
    </row>
    <row r="1031" spans="1:19">
      <c r="A1031" s="105">
        <v>2413</v>
      </c>
      <c r="B1031" s="41">
        <v>120000000</v>
      </c>
      <c r="C1031" s="41">
        <v>4.8999999999999998E-3</v>
      </c>
      <c r="D1031" s="41">
        <v>22.627400000000002</v>
      </c>
      <c r="E1031" s="41">
        <v>30</v>
      </c>
      <c r="F1031" s="41">
        <v>0</v>
      </c>
      <c r="G1031" s="41" t="s">
        <v>505</v>
      </c>
      <c r="H1031" s="41">
        <v>2</v>
      </c>
      <c r="I1031" s="41">
        <v>1</v>
      </c>
      <c r="J1031" s="108">
        <v>0</v>
      </c>
      <c r="K1031" s="41">
        <v>0</v>
      </c>
      <c r="L1031" s="41">
        <v>55</v>
      </c>
      <c r="M1031" s="41">
        <v>-1</v>
      </c>
      <c r="N1031" s="41">
        <v>2</v>
      </c>
      <c r="O1031" s="111" t="s">
        <v>3129</v>
      </c>
      <c r="P1031" s="109"/>
      <c r="Q1031" s="41"/>
      <c r="R1031" s="111"/>
      <c r="S1031" s="110"/>
    </row>
    <row r="1032" spans="1:19">
      <c r="A1032" s="105">
        <v>2414</v>
      </c>
      <c r="B1032" s="41">
        <v>120000000</v>
      </c>
      <c r="C1032" s="41">
        <v>4.8999999999999998E-3</v>
      </c>
      <c r="D1032" s="41">
        <v>32</v>
      </c>
      <c r="E1032" s="41">
        <v>30</v>
      </c>
      <c r="F1032" s="41">
        <v>0</v>
      </c>
      <c r="G1032" s="41" t="s">
        <v>505</v>
      </c>
      <c r="H1032" s="41">
        <v>2</v>
      </c>
      <c r="I1032" s="41">
        <v>1</v>
      </c>
      <c r="J1032" s="108">
        <v>0</v>
      </c>
      <c r="K1032" s="41">
        <v>0</v>
      </c>
      <c r="L1032" s="41">
        <v>55</v>
      </c>
      <c r="M1032" s="41">
        <v>-1</v>
      </c>
      <c r="N1032" s="41">
        <v>2</v>
      </c>
      <c r="O1032" s="111" t="s">
        <v>3130</v>
      </c>
      <c r="P1032" s="109"/>
      <c r="Q1032" s="41"/>
      <c r="R1032" s="111"/>
      <c r="S1032" s="110"/>
    </row>
    <row r="1033" spans="1:19">
      <c r="A1033" s="105">
        <v>2415</v>
      </c>
      <c r="B1033" s="41">
        <v>120000000</v>
      </c>
      <c r="C1033" s="41">
        <v>4.8999999999999998E-3</v>
      </c>
      <c r="D1033" s="41">
        <v>45.254800000000003</v>
      </c>
      <c r="E1033" s="41">
        <v>30</v>
      </c>
      <c r="F1033" s="41">
        <v>0</v>
      </c>
      <c r="G1033" s="41" t="s">
        <v>505</v>
      </c>
      <c r="H1033" s="41">
        <v>2</v>
      </c>
      <c r="I1033" s="41">
        <v>1</v>
      </c>
      <c r="J1033" s="108">
        <v>0</v>
      </c>
      <c r="K1033" s="41">
        <v>0</v>
      </c>
      <c r="L1033" s="41">
        <v>55</v>
      </c>
      <c r="M1033" s="41">
        <v>-1</v>
      </c>
      <c r="N1033" s="41">
        <v>2</v>
      </c>
      <c r="O1033" s="111" t="s">
        <v>3131</v>
      </c>
      <c r="P1033" s="109"/>
      <c r="Q1033" s="41"/>
      <c r="R1033" s="111"/>
      <c r="S1033" s="110"/>
    </row>
    <row r="1034" spans="1:19">
      <c r="A1034" s="105">
        <v>2416</v>
      </c>
      <c r="B1034" s="41">
        <v>120000000</v>
      </c>
      <c r="C1034" s="41">
        <v>5.4000000000000003E-3</v>
      </c>
      <c r="D1034" s="41">
        <v>11.313700000000001</v>
      </c>
      <c r="E1034" s="41">
        <v>30</v>
      </c>
      <c r="F1034" s="41">
        <v>0</v>
      </c>
      <c r="G1034" s="41" t="s">
        <v>505</v>
      </c>
      <c r="H1034" s="41">
        <v>2</v>
      </c>
      <c r="I1034" s="41">
        <v>1</v>
      </c>
      <c r="J1034" s="108">
        <v>0</v>
      </c>
      <c r="K1034" s="41">
        <v>0</v>
      </c>
      <c r="L1034" s="41">
        <v>55</v>
      </c>
      <c r="M1034" s="41">
        <v>-1</v>
      </c>
      <c r="N1034" s="41">
        <v>2</v>
      </c>
      <c r="O1034" s="111" t="s">
        <v>3132</v>
      </c>
      <c r="P1034" s="109"/>
      <c r="Q1034" s="41"/>
      <c r="R1034" s="111"/>
      <c r="S1034" s="110"/>
    </row>
    <row r="1035" spans="1:19">
      <c r="A1035" s="105">
        <v>2417</v>
      </c>
      <c r="B1035" s="41">
        <v>120000000</v>
      </c>
      <c r="C1035" s="41">
        <v>5.4000000000000003E-3</v>
      </c>
      <c r="D1035" s="41">
        <v>16</v>
      </c>
      <c r="E1035" s="41">
        <v>30</v>
      </c>
      <c r="F1035" s="41">
        <v>0</v>
      </c>
      <c r="G1035" s="41" t="s">
        <v>505</v>
      </c>
      <c r="H1035" s="41">
        <v>2</v>
      </c>
      <c r="I1035" s="41">
        <v>1</v>
      </c>
      <c r="J1035" s="108">
        <v>0</v>
      </c>
      <c r="K1035" s="41">
        <v>0</v>
      </c>
      <c r="L1035" s="41">
        <v>55</v>
      </c>
      <c r="M1035" s="41">
        <v>-1</v>
      </c>
      <c r="N1035" s="41">
        <v>2</v>
      </c>
      <c r="O1035" s="111" t="s">
        <v>3133</v>
      </c>
      <c r="P1035" s="109"/>
      <c r="Q1035" s="41"/>
      <c r="R1035" s="111"/>
      <c r="S1035" s="110"/>
    </row>
    <row r="1036" spans="1:19">
      <c r="A1036" s="105">
        <v>2418</v>
      </c>
      <c r="B1036" s="41">
        <v>120000000</v>
      </c>
      <c r="C1036" s="41">
        <v>5.4000000000000003E-3</v>
      </c>
      <c r="D1036" s="41">
        <v>22.627400000000002</v>
      </c>
      <c r="E1036" s="41">
        <v>30</v>
      </c>
      <c r="F1036" s="41">
        <v>0</v>
      </c>
      <c r="G1036" s="41" t="s">
        <v>505</v>
      </c>
      <c r="H1036" s="41">
        <v>2</v>
      </c>
      <c r="I1036" s="41">
        <v>1</v>
      </c>
      <c r="J1036" s="108">
        <v>0</v>
      </c>
      <c r="K1036" s="41">
        <v>0</v>
      </c>
      <c r="L1036" s="41">
        <v>55</v>
      </c>
      <c r="M1036" s="41">
        <v>-1</v>
      </c>
      <c r="N1036" s="41">
        <v>2</v>
      </c>
      <c r="O1036" s="111" t="s">
        <v>3134</v>
      </c>
      <c r="P1036" s="109"/>
      <c r="Q1036" s="41"/>
      <c r="R1036" s="111"/>
      <c r="S1036" s="110"/>
    </row>
    <row r="1037" spans="1:19">
      <c r="A1037" s="105">
        <v>2419</v>
      </c>
      <c r="B1037" s="41">
        <v>120000000</v>
      </c>
      <c r="C1037" s="41">
        <v>5.4000000000000003E-3</v>
      </c>
      <c r="D1037" s="41">
        <v>32</v>
      </c>
      <c r="E1037" s="41">
        <v>30</v>
      </c>
      <c r="F1037" s="41">
        <v>0</v>
      </c>
      <c r="G1037" s="41" t="s">
        <v>505</v>
      </c>
      <c r="H1037" s="41">
        <v>2</v>
      </c>
      <c r="I1037" s="41">
        <v>1</v>
      </c>
      <c r="J1037" s="108">
        <v>0</v>
      </c>
      <c r="K1037" s="41">
        <v>0</v>
      </c>
      <c r="L1037" s="41">
        <v>55</v>
      </c>
      <c r="M1037" s="41">
        <v>-1</v>
      </c>
      <c r="N1037" s="41">
        <v>2</v>
      </c>
      <c r="O1037" s="111" t="s">
        <v>3135</v>
      </c>
      <c r="P1037" s="109"/>
      <c r="Q1037" s="41"/>
      <c r="R1037" s="111"/>
      <c r="S1037" s="110"/>
    </row>
    <row r="1038" spans="1:19">
      <c r="A1038" s="105">
        <v>2420</v>
      </c>
      <c r="B1038" s="41">
        <v>120000000</v>
      </c>
      <c r="C1038" s="41">
        <v>5.4000000000000003E-3</v>
      </c>
      <c r="D1038" s="41">
        <v>45.254800000000003</v>
      </c>
      <c r="E1038" s="41">
        <v>30</v>
      </c>
      <c r="F1038" s="41">
        <v>0</v>
      </c>
      <c r="G1038" s="41" t="s">
        <v>505</v>
      </c>
      <c r="H1038" s="41">
        <v>2</v>
      </c>
      <c r="I1038" s="41">
        <v>1</v>
      </c>
      <c r="J1038" s="108">
        <v>0</v>
      </c>
      <c r="K1038" s="41">
        <v>0</v>
      </c>
      <c r="L1038" s="41">
        <v>55</v>
      </c>
      <c r="M1038" s="41">
        <v>-1</v>
      </c>
      <c r="N1038" s="41">
        <v>2</v>
      </c>
      <c r="O1038" s="111" t="s">
        <v>3136</v>
      </c>
      <c r="P1038" s="109"/>
      <c r="Q1038" s="41"/>
      <c r="R1038" s="111"/>
      <c r="S1038" s="110"/>
    </row>
    <row r="1039" spans="1:19">
      <c r="A1039" s="105">
        <v>2421</v>
      </c>
      <c r="B1039" s="41">
        <v>120000000</v>
      </c>
      <c r="C1039" s="41">
        <v>5.8999999999999999E-3</v>
      </c>
      <c r="D1039" s="41">
        <v>11.313700000000001</v>
      </c>
      <c r="E1039" s="41">
        <v>30</v>
      </c>
      <c r="F1039" s="41">
        <v>0</v>
      </c>
      <c r="G1039" s="41" t="s">
        <v>505</v>
      </c>
      <c r="H1039" s="41">
        <v>2</v>
      </c>
      <c r="I1039" s="41">
        <v>1</v>
      </c>
      <c r="J1039" s="108">
        <v>0</v>
      </c>
      <c r="K1039" s="41">
        <v>0</v>
      </c>
      <c r="L1039" s="41">
        <v>55</v>
      </c>
      <c r="M1039" s="41">
        <v>-1</v>
      </c>
      <c r="N1039" s="41">
        <v>2</v>
      </c>
      <c r="O1039" s="111" t="s">
        <v>3137</v>
      </c>
      <c r="P1039" s="109"/>
      <c r="Q1039" s="41"/>
      <c r="R1039" s="111"/>
      <c r="S1039" s="110"/>
    </row>
    <row r="1040" spans="1:19">
      <c r="A1040" s="105">
        <v>2422</v>
      </c>
      <c r="B1040" s="41">
        <v>120000000</v>
      </c>
      <c r="C1040" s="41">
        <v>5.8999999999999999E-3</v>
      </c>
      <c r="D1040" s="41">
        <v>16</v>
      </c>
      <c r="E1040" s="41">
        <v>30</v>
      </c>
      <c r="F1040" s="41">
        <v>0</v>
      </c>
      <c r="G1040" s="41" t="s">
        <v>505</v>
      </c>
      <c r="H1040" s="41">
        <v>2</v>
      </c>
      <c r="I1040" s="41">
        <v>1</v>
      </c>
      <c r="J1040" s="108">
        <v>0</v>
      </c>
      <c r="K1040" s="41">
        <v>0</v>
      </c>
      <c r="L1040" s="41">
        <v>55</v>
      </c>
      <c r="M1040" s="41">
        <v>-1</v>
      </c>
      <c r="N1040" s="41">
        <v>2</v>
      </c>
      <c r="O1040" s="111" t="s">
        <v>3138</v>
      </c>
      <c r="P1040" s="109"/>
      <c r="Q1040" s="41"/>
      <c r="R1040" s="111"/>
      <c r="S1040" s="110"/>
    </row>
    <row r="1041" spans="1:19">
      <c r="A1041" s="105">
        <v>2423</v>
      </c>
      <c r="B1041" s="41">
        <v>120000000</v>
      </c>
      <c r="C1041" s="41">
        <v>5.8999999999999999E-3</v>
      </c>
      <c r="D1041" s="41">
        <v>22.627400000000002</v>
      </c>
      <c r="E1041" s="41">
        <v>30</v>
      </c>
      <c r="F1041" s="41">
        <v>0</v>
      </c>
      <c r="G1041" s="41" t="s">
        <v>505</v>
      </c>
      <c r="H1041" s="41">
        <v>2</v>
      </c>
      <c r="I1041" s="41">
        <v>1</v>
      </c>
      <c r="J1041" s="108">
        <v>0</v>
      </c>
      <c r="K1041" s="41">
        <v>0</v>
      </c>
      <c r="L1041" s="41">
        <v>55</v>
      </c>
      <c r="M1041" s="41">
        <v>-1</v>
      </c>
      <c r="N1041" s="41">
        <v>2</v>
      </c>
      <c r="O1041" s="111" t="s">
        <v>3139</v>
      </c>
      <c r="P1041" s="109"/>
      <c r="Q1041" s="41"/>
      <c r="R1041" s="111"/>
      <c r="S1041" s="110"/>
    </row>
    <row r="1042" spans="1:19">
      <c r="A1042" s="105">
        <v>2424</v>
      </c>
      <c r="B1042" s="41">
        <v>120000000</v>
      </c>
      <c r="C1042" s="41">
        <v>5.8999999999999999E-3</v>
      </c>
      <c r="D1042" s="41">
        <v>32</v>
      </c>
      <c r="E1042" s="41">
        <v>30</v>
      </c>
      <c r="F1042" s="41">
        <v>0</v>
      </c>
      <c r="G1042" s="41" t="s">
        <v>505</v>
      </c>
      <c r="H1042" s="41">
        <v>2</v>
      </c>
      <c r="I1042" s="41">
        <v>1</v>
      </c>
      <c r="J1042" s="108">
        <v>0</v>
      </c>
      <c r="K1042" s="41">
        <v>0</v>
      </c>
      <c r="L1042" s="41">
        <v>55</v>
      </c>
      <c r="M1042" s="41">
        <v>-1</v>
      </c>
      <c r="N1042" s="41">
        <v>2</v>
      </c>
      <c r="O1042" s="111" t="s">
        <v>3140</v>
      </c>
      <c r="P1042" s="109"/>
      <c r="Q1042" s="41"/>
      <c r="R1042" s="111"/>
      <c r="S1042" s="110"/>
    </row>
    <row r="1043" spans="1:19">
      <c r="A1043" s="105">
        <v>2425</v>
      </c>
      <c r="B1043" s="41">
        <v>120000000</v>
      </c>
      <c r="C1043" s="41">
        <v>5.8999999999999999E-3</v>
      </c>
      <c r="D1043" s="41">
        <v>45.254800000000003</v>
      </c>
      <c r="E1043" s="41">
        <v>30</v>
      </c>
      <c r="F1043" s="41">
        <v>0</v>
      </c>
      <c r="G1043" s="41" t="s">
        <v>505</v>
      </c>
      <c r="H1043" s="41">
        <v>2</v>
      </c>
      <c r="I1043" s="41">
        <v>1</v>
      </c>
      <c r="J1043" s="108">
        <v>0</v>
      </c>
      <c r="K1043" s="41">
        <v>0</v>
      </c>
      <c r="L1043" s="41">
        <v>55</v>
      </c>
      <c r="M1043" s="41">
        <v>-1</v>
      </c>
      <c r="N1043" s="41">
        <v>2</v>
      </c>
      <c r="O1043" s="111" t="s">
        <v>3141</v>
      </c>
      <c r="P1043" s="109"/>
      <c r="Q1043" s="41"/>
      <c r="R1043" s="111"/>
      <c r="S1043" s="110"/>
    </row>
    <row r="1044" spans="1:19">
      <c r="A1044" s="105">
        <v>2426</v>
      </c>
      <c r="B1044" s="41">
        <v>120000000</v>
      </c>
      <c r="C1044" s="41">
        <v>6.4000000000000003E-3</v>
      </c>
      <c r="D1044" s="41">
        <v>16</v>
      </c>
      <c r="E1044" s="41">
        <v>30</v>
      </c>
      <c r="F1044" s="41">
        <v>0</v>
      </c>
      <c r="G1044" s="41" t="s">
        <v>505</v>
      </c>
      <c r="H1044" s="41">
        <v>2</v>
      </c>
      <c r="I1044" s="41">
        <v>1</v>
      </c>
      <c r="J1044" s="108">
        <v>0</v>
      </c>
      <c r="K1044" s="41">
        <v>0</v>
      </c>
      <c r="L1044" s="41">
        <v>55</v>
      </c>
      <c r="M1044" s="41">
        <v>-1</v>
      </c>
      <c r="N1044" s="41">
        <v>2</v>
      </c>
      <c r="O1044" s="111" t="s">
        <v>3142</v>
      </c>
      <c r="P1044" s="109"/>
      <c r="Q1044" s="41"/>
      <c r="R1044" s="111"/>
      <c r="S1044" s="110"/>
    </row>
    <row r="1045" spans="1:19">
      <c r="A1045" s="105">
        <v>2427</v>
      </c>
      <c r="B1045" s="41">
        <v>120000000</v>
      </c>
      <c r="C1045" s="41">
        <v>6.4000000000000003E-3</v>
      </c>
      <c r="D1045" s="41">
        <v>22.627400000000002</v>
      </c>
      <c r="E1045" s="41">
        <v>30</v>
      </c>
      <c r="F1045" s="41">
        <v>0</v>
      </c>
      <c r="G1045" s="41" t="s">
        <v>505</v>
      </c>
      <c r="H1045" s="41">
        <v>2</v>
      </c>
      <c r="I1045" s="41">
        <v>1</v>
      </c>
      <c r="J1045" s="108">
        <v>0</v>
      </c>
      <c r="K1045" s="41">
        <v>0</v>
      </c>
      <c r="L1045" s="41">
        <v>55</v>
      </c>
      <c r="M1045" s="41">
        <v>-1</v>
      </c>
      <c r="N1045" s="41">
        <v>2</v>
      </c>
      <c r="O1045" s="111" t="s">
        <v>3143</v>
      </c>
      <c r="P1045" s="109"/>
      <c r="Q1045" s="41"/>
      <c r="R1045" s="111"/>
      <c r="S1045" s="110"/>
    </row>
    <row r="1046" spans="1:19">
      <c r="A1046" s="105">
        <v>2428</v>
      </c>
      <c r="B1046" s="41">
        <v>120000000</v>
      </c>
      <c r="C1046" s="41">
        <v>6.4000000000000003E-3</v>
      </c>
      <c r="D1046" s="41">
        <v>32</v>
      </c>
      <c r="E1046" s="41">
        <v>30</v>
      </c>
      <c r="F1046" s="41">
        <v>0</v>
      </c>
      <c r="G1046" s="41" t="s">
        <v>505</v>
      </c>
      <c r="H1046" s="41">
        <v>2</v>
      </c>
      <c r="I1046" s="41">
        <v>1</v>
      </c>
      <c r="J1046" s="108">
        <v>0</v>
      </c>
      <c r="K1046" s="41">
        <v>0</v>
      </c>
      <c r="L1046" s="41">
        <v>55</v>
      </c>
      <c r="M1046" s="41">
        <v>-1</v>
      </c>
      <c r="N1046" s="41">
        <v>2</v>
      </c>
      <c r="O1046" s="111" t="s">
        <v>3144</v>
      </c>
      <c r="P1046" s="109"/>
      <c r="Q1046" s="41"/>
      <c r="R1046" s="111"/>
      <c r="S1046" s="110"/>
    </row>
    <row r="1047" spans="1:19">
      <c r="A1047" s="105">
        <v>2429</v>
      </c>
      <c r="B1047" s="41">
        <v>120000000</v>
      </c>
      <c r="C1047" s="41">
        <v>6.4000000000000003E-3</v>
      </c>
      <c r="D1047" s="41">
        <v>45.254800000000003</v>
      </c>
      <c r="E1047" s="41">
        <v>30</v>
      </c>
      <c r="F1047" s="41">
        <v>0</v>
      </c>
      <c r="G1047" s="41" t="s">
        <v>505</v>
      </c>
      <c r="H1047" s="41">
        <v>2</v>
      </c>
      <c r="I1047" s="41">
        <v>1</v>
      </c>
      <c r="J1047" s="108">
        <v>0</v>
      </c>
      <c r="K1047" s="41">
        <v>0</v>
      </c>
      <c r="L1047" s="41">
        <v>55</v>
      </c>
      <c r="M1047" s="41">
        <v>-1</v>
      </c>
      <c r="N1047" s="41">
        <v>2</v>
      </c>
      <c r="O1047" s="111" t="s">
        <v>3145</v>
      </c>
      <c r="P1047" s="109"/>
      <c r="Q1047" s="41"/>
      <c r="R1047" s="111"/>
      <c r="S1047" s="110"/>
    </row>
    <row r="1048" spans="1:19">
      <c r="A1048" s="105">
        <v>2430</v>
      </c>
      <c r="B1048" s="41">
        <v>120000000</v>
      </c>
      <c r="C1048" s="41">
        <v>7.0000000000000001E-3</v>
      </c>
      <c r="D1048" s="41">
        <v>16</v>
      </c>
      <c r="E1048" s="41">
        <v>30</v>
      </c>
      <c r="F1048" s="41">
        <v>0</v>
      </c>
      <c r="G1048" s="41" t="s">
        <v>505</v>
      </c>
      <c r="H1048" s="41">
        <v>2</v>
      </c>
      <c r="I1048" s="41">
        <v>1</v>
      </c>
      <c r="J1048" s="108">
        <v>0</v>
      </c>
      <c r="K1048" s="41">
        <v>0</v>
      </c>
      <c r="L1048" s="41">
        <v>55</v>
      </c>
      <c r="M1048" s="41">
        <v>-1</v>
      </c>
      <c r="N1048" s="41">
        <v>2</v>
      </c>
      <c r="O1048" s="111" t="s">
        <v>3146</v>
      </c>
      <c r="P1048" s="109"/>
      <c r="Q1048" s="41"/>
      <c r="R1048" s="111"/>
      <c r="S1048" s="110"/>
    </row>
    <row r="1049" spans="1:19">
      <c r="A1049" s="105">
        <v>2431</v>
      </c>
      <c r="B1049" s="41">
        <v>120000000</v>
      </c>
      <c r="C1049" s="41">
        <v>7.0000000000000001E-3</v>
      </c>
      <c r="D1049" s="41">
        <v>22.627400000000002</v>
      </c>
      <c r="E1049" s="41">
        <v>30</v>
      </c>
      <c r="F1049" s="41">
        <v>0</v>
      </c>
      <c r="G1049" s="41" t="s">
        <v>505</v>
      </c>
      <c r="H1049" s="41">
        <v>2</v>
      </c>
      <c r="I1049" s="41">
        <v>1</v>
      </c>
      <c r="J1049" s="108">
        <v>0</v>
      </c>
      <c r="K1049" s="41">
        <v>0</v>
      </c>
      <c r="L1049" s="41">
        <v>55</v>
      </c>
      <c r="M1049" s="41">
        <v>-1</v>
      </c>
      <c r="N1049" s="41">
        <v>2</v>
      </c>
      <c r="O1049" s="111" t="s">
        <v>3147</v>
      </c>
      <c r="P1049" s="109"/>
      <c r="Q1049" s="41"/>
      <c r="R1049" s="111"/>
      <c r="S1049" s="110"/>
    </row>
    <row r="1050" spans="1:19">
      <c r="A1050" s="105">
        <v>2432</v>
      </c>
      <c r="B1050" s="41">
        <v>120000000</v>
      </c>
      <c r="C1050" s="41">
        <v>7.0000000000000001E-3</v>
      </c>
      <c r="D1050" s="41">
        <v>32</v>
      </c>
      <c r="E1050" s="41">
        <v>30</v>
      </c>
      <c r="F1050" s="41">
        <v>0</v>
      </c>
      <c r="G1050" s="41" t="s">
        <v>505</v>
      </c>
      <c r="H1050" s="41">
        <v>2</v>
      </c>
      <c r="I1050" s="41">
        <v>1</v>
      </c>
      <c r="J1050" s="108">
        <v>0</v>
      </c>
      <c r="K1050" s="41">
        <v>0</v>
      </c>
      <c r="L1050" s="41">
        <v>55</v>
      </c>
      <c r="M1050" s="41">
        <v>-1</v>
      </c>
      <c r="N1050" s="41">
        <v>2</v>
      </c>
      <c r="O1050" s="111" t="s">
        <v>3148</v>
      </c>
      <c r="P1050" s="109"/>
      <c r="Q1050" s="41"/>
      <c r="R1050" s="111"/>
      <c r="S1050" s="110"/>
    </row>
    <row r="1051" spans="1:19">
      <c r="A1051" s="105">
        <v>2433</v>
      </c>
      <c r="B1051" s="41">
        <v>120000000</v>
      </c>
      <c r="C1051" s="41">
        <v>7.0000000000000001E-3</v>
      </c>
      <c r="D1051" s="41">
        <v>45.254800000000003</v>
      </c>
      <c r="E1051" s="41">
        <v>30</v>
      </c>
      <c r="F1051" s="41">
        <v>0</v>
      </c>
      <c r="G1051" s="41" t="s">
        <v>505</v>
      </c>
      <c r="H1051" s="41">
        <v>2</v>
      </c>
      <c r="I1051" s="41">
        <v>1</v>
      </c>
      <c r="J1051" s="108">
        <v>0</v>
      </c>
      <c r="K1051" s="41">
        <v>0</v>
      </c>
      <c r="L1051" s="41">
        <v>55</v>
      </c>
      <c r="M1051" s="41">
        <v>-1</v>
      </c>
      <c r="N1051" s="41">
        <v>2</v>
      </c>
      <c r="O1051" s="111" t="s">
        <v>3149</v>
      </c>
      <c r="P1051" s="109"/>
      <c r="Q1051" s="41"/>
      <c r="R1051" s="111"/>
      <c r="S1051" s="110"/>
    </row>
    <row r="1052" spans="1:19">
      <c r="A1052" s="105">
        <v>2434</v>
      </c>
      <c r="B1052" s="41">
        <v>120000000</v>
      </c>
      <c r="C1052" s="41">
        <v>7.6E-3</v>
      </c>
      <c r="D1052" s="41">
        <v>22.627400000000002</v>
      </c>
      <c r="E1052" s="41">
        <v>30</v>
      </c>
      <c r="F1052" s="41">
        <v>0</v>
      </c>
      <c r="G1052" s="41" t="s">
        <v>505</v>
      </c>
      <c r="H1052" s="41">
        <v>2</v>
      </c>
      <c r="I1052" s="41">
        <v>1</v>
      </c>
      <c r="J1052" s="108">
        <v>0</v>
      </c>
      <c r="K1052" s="41">
        <v>0</v>
      </c>
      <c r="L1052" s="41">
        <v>55</v>
      </c>
      <c r="M1052" s="41">
        <v>-1</v>
      </c>
      <c r="N1052" s="41">
        <v>2</v>
      </c>
      <c r="O1052" s="111" t="s">
        <v>3150</v>
      </c>
      <c r="P1052" s="109"/>
      <c r="Q1052" s="41"/>
      <c r="R1052" s="111"/>
      <c r="S1052" s="110"/>
    </row>
    <row r="1053" spans="1:19">
      <c r="A1053" s="105">
        <v>2435</v>
      </c>
      <c r="B1053" s="41">
        <v>120000000</v>
      </c>
      <c r="C1053" s="41">
        <v>7.6E-3</v>
      </c>
      <c r="D1053" s="41">
        <v>32</v>
      </c>
      <c r="E1053" s="41">
        <v>30</v>
      </c>
      <c r="F1053" s="41">
        <v>0</v>
      </c>
      <c r="G1053" s="41" t="s">
        <v>505</v>
      </c>
      <c r="H1053" s="41">
        <v>2</v>
      </c>
      <c r="I1053" s="41">
        <v>1</v>
      </c>
      <c r="J1053" s="108">
        <v>0</v>
      </c>
      <c r="K1053" s="41">
        <v>0</v>
      </c>
      <c r="L1053" s="41">
        <v>55</v>
      </c>
      <c r="M1053" s="41">
        <v>-1</v>
      </c>
      <c r="N1053" s="41">
        <v>2</v>
      </c>
      <c r="O1053" s="111" t="s">
        <v>3151</v>
      </c>
      <c r="P1053" s="109"/>
      <c r="Q1053" s="41"/>
      <c r="R1053" s="111"/>
      <c r="S1053" s="110"/>
    </row>
    <row r="1054" spans="1:19">
      <c r="A1054" s="105">
        <v>2436</v>
      </c>
      <c r="B1054" s="41">
        <v>120000000</v>
      </c>
      <c r="C1054" s="41">
        <v>7.6E-3</v>
      </c>
      <c r="D1054" s="41">
        <v>45.254800000000003</v>
      </c>
      <c r="E1054" s="41">
        <v>30</v>
      </c>
      <c r="F1054" s="41">
        <v>0</v>
      </c>
      <c r="G1054" s="41" t="s">
        <v>505</v>
      </c>
      <c r="H1054" s="41">
        <v>2</v>
      </c>
      <c r="I1054" s="41">
        <v>1</v>
      </c>
      <c r="J1054" s="108">
        <v>0</v>
      </c>
      <c r="K1054" s="41">
        <v>0</v>
      </c>
      <c r="L1054" s="41">
        <v>55</v>
      </c>
      <c r="M1054" s="41">
        <v>-1</v>
      </c>
      <c r="N1054" s="41">
        <v>2</v>
      </c>
      <c r="O1054" s="111" t="s">
        <v>3152</v>
      </c>
      <c r="P1054" s="109"/>
      <c r="Q1054" s="41"/>
      <c r="R1054" s="111"/>
      <c r="S1054" s="110"/>
    </row>
    <row r="1055" spans="1:19">
      <c r="A1055" s="105">
        <v>2437</v>
      </c>
      <c r="B1055" s="41">
        <v>120000000</v>
      </c>
      <c r="C1055" s="41">
        <v>8.3000000000000001E-3</v>
      </c>
      <c r="D1055" s="41">
        <v>22.627400000000002</v>
      </c>
      <c r="E1055" s="41">
        <v>30</v>
      </c>
      <c r="F1055" s="41">
        <v>0</v>
      </c>
      <c r="G1055" s="41" t="s">
        <v>505</v>
      </c>
      <c r="H1055" s="41">
        <v>2</v>
      </c>
      <c r="I1055" s="41">
        <v>1</v>
      </c>
      <c r="J1055" s="108">
        <v>0</v>
      </c>
      <c r="K1055" s="41">
        <v>0</v>
      </c>
      <c r="L1055" s="41">
        <v>55</v>
      </c>
      <c r="M1055" s="41">
        <v>-1</v>
      </c>
      <c r="N1055" s="41">
        <v>2</v>
      </c>
      <c r="O1055" s="111" t="s">
        <v>3153</v>
      </c>
      <c r="P1055" s="109"/>
      <c r="Q1055" s="41"/>
      <c r="R1055" s="111"/>
      <c r="S1055" s="110"/>
    </row>
    <row r="1056" spans="1:19">
      <c r="A1056" s="105">
        <v>2438</v>
      </c>
      <c r="B1056" s="41">
        <v>120000000</v>
      </c>
      <c r="C1056" s="41">
        <v>8.3000000000000001E-3</v>
      </c>
      <c r="D1056" s="41">
        <v>32</v>
      </c>
      <c r="E1056" s="41">
        <v>30</v>
      </c>
      <c r="F1056" s="41">
        <v>0</v>
      </c>
      <c r="G1056" s="41" t="s">
        <v>505</v>
      </c>
      <c r="H1056" s="41">
        <v>2</v>
      </c>
      <c r="I1056" s="41">
        <v>1</v>
      </c>
      <c r="J1056" s="108">
        <v>0</v>
      </c>
      <c r="K1056" s="41">
        <v>0</v>
      </c>
      <c r="L1056" s="41">
        <v>55</v>
      </c>
      <c r="M1056" s="41">
        <v>-1</v>
      </c>
      <c r="N1056" s="41">
        <v>2</v>
      </c>
      <c r="O1056" s="111" t="s">
        <v>3154</v>
      </c>
      <c r="P1056" s="109"/>
      <c r="Q1056" s="41"/>
      <c r="R1056" s="111"/>
      <c r="S1056" s="110"/>
    </row>
    <row r="1057" spans="1:19">
      <c r="A1057" s="105">
        <v>2439</v>
      </c>
      <c r="B1057" s="41">
        <v>120000000</v>
      </c>
      <c r="C1057" s="41">
        <v>8.3000000000000001E-3</v>
      </c>
      <c r="D1057" s="41">
        <v>45.254800000000003</v>
      </c>
      <c r="E1057" s="41">
        <v>30</v>
      </c>
      <c r="F1057" s="41">
        <v>0</v>
      </c>
      <c r="G1057" s="41" t="s">
        <v>505</v>
      </c>
      <c r="H1057" s="41">
        <v>2</v>
      </c>
      <c r="I1057" s="41">
        <v>1</v>
      </c>
      <c r="J1057" s="108">
        <v>0</v>
      </c>
      <c r="K1057" s="41">
        <v>0</v>
      </c>
      <c r="L1057" s="41">
        <v>55</v>
      </c>
      <c r="M1057" s="41">
        <v>-1</v>
      </c>
      <c r="N1057" s="41">
        <v>2</v>
      </c>
      <c r="O1057" s="111" t="s">
        <v>3155</v>
      </c>
      <c r="P1057" s="109"/>
      <c r="Q1057" s="41"/>
      <c r="R1057" s="111"/>
      <c r="S1057" s="110"/>
    </row>
    <row r="1058" spans="1:19">
      <c r="A1058" s="105">
        <v>2440</v>
      </c>
      <c r="B1058" s="41">
        <v>120000000</v>
      </c>
      <c r="C1058" s="41">
        <v>9.1000000000000004E-3</v>
      </c>
      <c r="D1058" s="41">
        <v>32</v>
      </c>
      <c r="E1058" s="41">
        <v>30</v>
      </c>
      <c r="F1058" s="41">
        <v>0</v>
      </c>
      <c r="G1058" s="41" t="s">
        <v>505</v>
      </c>
      <c r="H1058" s="41">
        <v>2</v>
      </c>
      <c r="I1058" s="41">
        <v>1</v>
      </c>
      <c r="J1058" s="108">
        <v>0</v>
      </c>
      <c r="K1058" s="41">
        <v>0</v>
      </c>
      <c r="L1058" s="41">
        <v>55</v>
      </c>
      <c r="M1058" s="41">
        <v>-1</v>
      </c>
      <c r="N1058" s="41">
        <v>2</v>
      </c>
      <c r="O1058" s="111" t="s">
        <v>3156</v>
      </c>
      <c r="P1058" s="109"/>
      <c r="Q1058" s="41"/>
      <c r="R1058" s="111"/>
      <c r="S1058" s="110"/>
    </row>
    <row r="1059" spans="1:19">
      <c r="A1059" s="105">
        <v>2441</v>
      </c>
      <c r="B1059" s="41">
        <v>120000000</v>
      </c>
      <c r="C1059" s="41">
        <v>9.1000000000000004E-3</v>
      </c>
      <c r="D1059" s="41">
        <v>45.254800000000003</v>
      </c>
      <c r="E1059" s="41">
        <v>30</v>
      </c>
      <c r="F1059" s="41">
        <v>0</v>
      </c>
      <c r="G1059" s="41" t="s">
        <v>505</v>
      </c>
      <c r="H1059" s="41">
        <v>2</v>
      </c>
      <c r="I1059" s="41">
        <v>1</v>
      </c>
      <c r="J1059" s="108">
        <v>0</v>
      </c>
      <c r="K1059" s="41">
        <v>0</v>
      </c>
      <c r="L1059" s="41">
        <v>55</v>
      </c>
      <c r="M1059" s="41">
        <v>-1</v>
      </c>
      <c r="N1059" s="41">
        <v>2</v>
      </c>
      <c r="O1059" s="111" t="s">
        <v>3157</v>
      </c>
      <c r="P1059" s="109"/>
      <c r="Q1059" s="41"/>
      <c r="R1059" s="111"/>
      <c r="S1059" s="110"/>
    </row>
    <row r="1060" spans="1:19">
      <c r="A1060" s="105">
        <v>2442</v>
      </c>
      <c r="B1060" s="41">
        <v>120000000</v>
      </c>
      <c r="C1060" s="41">
        <v>9.9000000000000008E-3</v>
      </c>
      <c r="D1060" s="41">
        <v>32</v>
      </c>
      <c r="E1060" s="41">
        <v>30</v>
      </c>
      <c r="F1060" s="41">
        <v>0</v>
      </c>
      <c r="G1060" s="41" t="s">
        <v>505</v>
      </c>
      <c r="H1060" s="41">
        <v>2</v>
      </c>
      <c r="I1060" s="41">
        <v>1</v>
      </c>
      <c r="J1060" s="108">
        <v>0</v>
      </c>
      <c r="K1060" s="41">
        <v>0</v>
      </c>
      <c r="L1060" s="41">
        <v>55</v>
      </c>
      <c r="M1060" s="41">
        <v>-1</v>
      </c>
      <c r="N1060" s="41">
        <v>2</v>
      </c>
      <c r="O1060" s="111" t="s">
        <v>3158</v>
      </c>
      <c r="P1060" s="109"/>
      <c r="Q1060" s="41"/>
      <c r="R1060" s="111"/>
      <c r="S1060" s="110"/>
    </row>
    <row r="1061" spans="1:19">
      <c r="A1061" s="105">
        <v>2443</v>
      </c>
      <c r="B1061" s="41">
        <v>120000000</v>
      </c>
      <c r="C1061" s="41">
        <v>9.9000000000000008E-3</v>
      </c>
      <c r="D1061" s="41">
        <v>45.254800000000003</v>
      </c>
      <c r="E1061" s="41">
        <v>30</v>
      </c>
      <c r="F1061" s="41">
        <v>0</v>
      </c>
      <c r="G1061" s="41" t="s">
        <v>505</v>
      </c>
      <c r="H1061" s="41">
        <v>2</v>
      </c>
      <c r="I1061" s="41">
        <v>1</v>
      </c>
      <c r="J1061" s="108">
        <v>0</v>
      </c>
      <c r="K1061" s="41">
        <v>0</v>
      </c>
      <c r="L1061" s="41">
        <v>55</v>
      </c>
      <c r="M1061" s="41">
        <v>-1</v>
      </c>
      <c r="N1061" s="41">
        <v>2</v>
      </c>
      <c r="O1061" s="111" t="s">
        <v>3159</v>
      </c>
      <c r="P1061" s="109"/>
      <c r="Q1061" s="41"/>
      <c r="R1061" s="111"/>
      <c r="S1061" s="110"/>
    </row>
    <row r="1062" spans="1:19">
      <c r="A1062" s="105">
        <v>2444</v>
      </c>
      <c r="B1062" s="41">
        <v>120000000</v>
      </c>
      <c r="C1062" s="41">
        <v>1.0800000000000001E-2</v>
      </c>
      <c r="D1062" s="41">
        <v>45.254800000000003</v>
      </c>
      <c r="E1062" s="41">
        <v>30</v>
      </c>
      <c r="F1062" s="41">
        <v>0</v>
      </c>
      <c r="G1062" s="41" t="s">
        <v>505</v>
      </c>
      <c r="H1062" s="41">
        <v>2</v>
      </c>
      <c r="I1062" s="41">
        <v>1</v>
      </c>
      <c r="J1062" s="108">
        <v>0</v>
      </c>
      <c r="K1062" s="41">
        <v>0</v>
      </c>
      <c r="L1062" s="41">
        <v>55</v>
      </c>
      <c r="M1062" s="41">
        <v>-1</v>
      </c>
      <c r="N1062" s="41">
        <v>2</v>
      </c>
      <c r="O1062" s="111" t="s">
        <v>3160</v>
      </c>
      <c r="P1062" s="109"/>
      <c r="Q1062" s="41"/>
      <c r="R1062" s="111"/>
      <c r="S1062" s="110"/>
    </row>
    <row r="1063" spans="1:19">
      <c r="A1063" s="105">
        <v>2445</v>
      </c>
      <c r="B1063" s="41">
        <v>120000000</v>
      </c>
      <c r="C1063" s="41">
        <v>1.18E-2</v>
      </c>
      <c r="D1063" s="41">
        <v>45.254800000000003</v>
      </c>
      <c r="E1063" s="41">
        <v>30</v>
      </c>
      <c r="F1063" s="41">
        <v>0</v>
      </c>
      <c r="G1063" s="41" t="s">
        <v>505</v>
      </c>
      <c r="H1063" s="41">
        <v>2</v>
      </c>
      <c r="I1063" s="41">
        <v>1</v>
      </c>
      <c r="J1063" s="108">
        <v>0</v>
      </c>
      <c r="K1063" s="41">
        <v>0</v>
      </c>
      <c r="L1063" s="41">
        <v>55</v>
      </c>
      <c r="M1063" s="41">
        <v>-1</v>
      </c>
      <c r="N1063" s="41">
        <v>2</v>
      </c>
      <c r="O1063" s="111" t="s">
        <v>3161</v>
      </c>
      <c r="P1063" s="109"/>
      <c r="Q1063" s="41"/>
      <c r="R1063" s="111"/>
      <c r="S1063" s="110"/>
    </row>
    <row r="1064" spans="1:19">
      <c r="A1064" s="105">
        <v>2446</v>
      </c>
      <c r="B1064" s="41">
        <v>120000000</v>
      </c>
      <c r="C1064" s="41">
        <v>2.8999999999999998E-3</v>
      </c>
      <c r="D1064" s="41">
        <v>8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POWER(POWER(Table210[[#This Row],[mv]],4)/10,0.25)</f>
        <v>1.6307898430520129E-3</v>
      </c>
      <c r="K1064" s="41">
        <v>0</v>
      </c>
      <c r="L1064" s="41">
        <v>55</v>
      </c>
      <c r="M1064" s="41">
        <v>-1</v>
      </c>
      <c r="N1064" s="41">
        <v>2</v>
      </c>
      <c r="O1064" s="111" t="s">
        <v>3165</v>
      </c>
      <c r="P1064" s="109"/>
      <c r="Q1064" s="41"/>
      <c r="R1064" s="111"/>
      <c r="S1064" s="109" t="s">
        <v>3362</v>
      </c>
    </row>
    <row r="1065" spans="1:19">
      <c r="A1065" s="105">
        <v>2447</v>
      </c>
      <c r="B1065" s="41">
        <v>120000000</v>
      </c>
      <c r="C1065" s="41">
        <v>3.3E-3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POWER(POWER(Table210[[#This Row],[mv]],4)/10,0.25)</f>
        <v>1.8557263731281523E-3</v>
      </c>
      <c r="K1065" s="41">
        <v>0</v>
      </c>
      <c r="L1065" s="41">
        <v>55</v>
      </c>
      <c r="M1065" s="41">
        <v>-1</v>
      </c>
      <c r="N1065" s="41">
        <v>2</v>
      </c>
      <c r="O1065" s="111" t="s">
        <v>3166</v>
      </c>
      <c r="P1065" s="109"/>
      <c r="Q1065" s="41"/>
      <c r="R1065" s="111"/>
      <c r="S1065" s="110"/>
    </row>
    <row r="1066" spans="1:19">
      <c r="A1066" s="105">
        <v>2448</v>
      </c>
      <c r="B1066" s="41">
        <v>120000000</v>
      </c>
      <c r="C1066" s="41">
        <v>3.7000000000000002E-3</v>
      </c>
      <c r="D1066" s="41">
        <v>8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POWER(POWER(Table210[[#This Row],[mv]],4)/10,0.25)</f>
        <v>2.0806629032042918E-3</v>
      </c>
      <c r="K1066" s="41">
        <v>0</v>
      </c>
      <c r="L1066" s="41">
        <v>55</v>
      </c>
      <c r="M1066" s="41">
        <v>-1</v>
      </c>
      <c r="N1066" s="41">
        <v>2</v>
      </c>
      <c r="O1066" s="111" t="s">
        <v>3167</v>
      </c>
      <c r="P1066" s="109"/>
      <c r="Q1066" s="41"/>
      <c r="R1066" s="111"/>
      <c r="S1066" s="110"/>
    </row>
    <row r="1067" spans="1:19">
      <c r="A1067" s="105">
        <v>2449</v>
      </c>
      <c r="B1067" s="41">
        <v>120000000</v>
      </c>
      <c r="C1067" s="41">
        <v>4.1000000000000003E-3</v>
      </c>
      <c r="D1067" s="41">
        <v>8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POWER(POWER(Table210[[#This Row],[mv]],4)/10,0.25)</f>
        <v>2.3055994332804308E-3</v>
      </c>
      <c r="K1067" s="41">
        <v>0</v>
      </c>
      <c r="L1067" s="41">
        <v>55</v>
      </c>
      <c r="M1067" s="41">
        <v>-1</v>
      </c>
      <c r="N1067" s="41">
        <v>2</v>
      </c>
      <c r="O1067" s="111" t="s">
        <v>3168</v>
      </c>
      <c r="P1067" s="109"/>
      <c r="Q1067" s="41"/>
      <c r="R1067" s="111"/>
      <c r="S1067" s="110"/>
    </row>
    <row r="1068" spans="1:19">
      <c r="A1068" s="105">
        <v>2450</v>
      </c>
      <c r="B1068" s="41">
        <v>120000000</v>
      </c>
      <c r="C1068" s="41">
        <v>4.4999999999999997E-3</v>
      </c>
      <c r="D1068" s="41">
        <v>8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POWER(POWER(Table210[[#This Row],[mv]],4)/10,0.25)</f>
        <v>2.5305359633565699E-3</v>
      </c>
      <c r="K1068" s="41">
        <v>0</v>
      </c>
      <c r="L1068" s="41">
        <v>55</v>
      </c>
      <c r="M1068" s="41">
        <v>-1</v>
      </c>
      <c r="N1068" s="41">
        <v>2</v>
      </c>
      <c r="O1068" s="111" t="s">
        <v>3169</v>
      </c>
      <c r="P1068" s="109"/>
      <c r="Q1068" s="41"/>
      <c r="R1068" s="111"/>
      <c r="S1068" s="110"/>
    </row>
    <row r="1069" spans="1:19">
      <c r="A1069" s="105">
        <v>2451</v>
      </c>
      <c r="B1069" s="41">
        <v>120000000</v>
      </c>
      <c r="C1069" s="41">
        <v>4.8999999999999998E-3</v>
      </c>
      <c r="D1069" s="41">
        <v>8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POWER(POWER(Table210[[#This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2</v>
      </c>
      <c r="O1069" s="111" t="s">
        <v>3170</v>
      </c>
      <c r="P1069" s="109"/>
      <c r="Q1069" s="41"/>
      <c r="R1069" s="111"/>
      <c r="S1069" s="110"/>
    </row>
    <row r="1070" spans="1:19">
      <c r="A1070" s="105">
        <v>2452</v>
      </c>
      <c r="B1070" s="41">
        <v>120000000</v>
      </c>
      <c r="C1070" s="41">
        <v>2.8999999999999998E-3</v>
      </c>
      <c r="D1070" s="41">
        <v>8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v>0</v>
      </c>
      <c r="K1070" s="41">
        <v>0</v>
      </c>
      <c r="L1070" s="41">
        <v>55</v>
      </c>
      <c r="M1070" s="41">
        <v>-1</v>
      </c>
      <c r="N1070" s="41">
        <v>2</v>
      </c>
      <c r="O1070" s="111" t="s">
        <v>3171</v>
      </c>
      <c r="P1070" s="109"/>
      <c r="Q1070" s="41"/>
      <c r="R1070" s="111"/>
      <c r="S1070" s="110"/>
    </row>
    <row r="1071" spans="1:19">
      <c r="A1071" s="105">
        <v>2453</v>
      </c>
      <c r="B1071" s="41">
        <v>120000000</v>
      </c>
      <c r="C1071" s="41">
        <v>3.3E-3</v>
      </c>
      <c r="D1071" s="41">
        <v>8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v>0</v>
      </c>
      <c r="K1071" s="41">
        <v>0</v>
      </c>
      <c r="L1071" s="41">
        <v>55</v>
      </c>
      <c r="M1071" s="41">
        <v>-1</v>
      </c>
      <c r="N1071" s="41">
        <v>2</v>
      </c>
      <c r="O1071" s="111" t="s">
        <v>3172</v>
      </c>
      <c r="P1071" s="109"/>
      <c r="Q1071" s="41"/>
      <c r="R1071" s="111"/>
      <c r="S1071" s="110"/>
    </row>
    <row r="1072" spans="1:19">
      <c r="A1072" s="105">
        <v>2454</v>
      </c>
      <c r="B1072" s="41">
        <v>120000000</v>
      </c>
      <c r="C1072" s="41">
        <v>3.7000000000000002E-3</v>
      </c>
      <c r="D1072" s="41">
        <v>8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v>0</v>
      </c>
      <c r="K1072" s="41">
        <v>0</v>
      </c>
      <c r="L1072" s="41">
        <v>55</v>
      </c>
      <c r="M1072" s="41">
        <v>-1</v>
      </c>
      <c r="N1072" s="41">
        <v>2</v>
      </c>
      <c r="O1072" s="111" t="s">
        <v>3173</v>
      </c>
      <c r="P1072" s="109"/>
      <c r="Q1072" s="41"/>
      <c r="R1072" s="111"/>
      <c r="S1072" s="110"/>
    </row>
    <row r="1073" spans="1:19">
      <c r="A1073" s="105">
        <v>2455</v>
      </c>
      <c r="B1073" s="41">
        <v>120000000</v>
      </c>
      <c r="C1073" s="41">
        <v>4.1000000000000003E-3</v>
      </c>
      <c r="D1073" s="41">
        <v>8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v>0</v>
      </c>
      <c r="K1073" s="41">
        <v>0</v>
      </c>
      <c r="L1073" s="41">
        <v>55</v>
      </c>
      <c r="M1073" s="41">
        <v>-1</v>
      </c>
      <c r="N1073" s="41">
        <v>2</v>
      </c>
      <c r="O1073" s="111" t="s">
        <v>3174</v>
      </c>
      <c r="P1073" s="109"/>
      <c r="Q1073" s="41"/>
      <c r="R1073" s="111"/>
      <c r="S1073" s="110"/>
    </row>
    <row r="1074" spans="1:19">
      <c r="A1074" s="105">
        <v>2456</v>
      </c>
      <c r="B1074" s="41">
        <v>120000000</v>
      </c>
      <c r="C1074" s="41">
        <v>4.4999999999999997E-3</v>
      </c>
      <c r="D1074" s="41">
        <v>8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v>0</v>
      </c>
      <c r="K1074" s="41">
        <v>0</v>
      </c>
      <c r="L1074" s="41">
        <v>55</v>
      </c>
      <c r="M1074" s="41">
        <v>-1</v>
      </c>
      <c r="N1074" s="41">
        <v>2</v>
      </c>
      <c r="O1074" s="111" t="s">
        <v>3175</v>
      </c>
      <c r="P1074" s="109"/>
      <c r="Q1074" s="41"/>
      <c r="R1074" s="111"/>
      <c r="S1074" s="110"/>
    </row>
    <row r="1075" spans="1:19">
      <c r="A1075" s="105">
        <v>2457</v>
      </c>
      <c r="B1075" s="41">
        <v>120000000</v>
      </c>
      <c r="C1075" s="41">
        <v>4.8999999999999998E-3</v>
      </c>
      <c r="D1075" s="41">
        <v>8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v>0</v>
      </c>
      <c r="K1075" s="41">
        <v>0</v>
      </c>
      <c r="L1075" s="41">
        <v>55</v>
      </c>
      <c r="M1075" s="41">
        <v>-1</v>
      </c>
      <c r="N1075" s="41">
        <v>2</v>
      </c>
      <c r="O1075" s="111" t="s">
        <v>3176</v>
      </c>
      <c r="P1075" s="109"/>
      <c r="Q1075" s="41"/>
      <c r="R1075" s="111"/>
      <c r="S1075" s="110"/>
    </row>
    <row r="1076" spans="1:19">
      <c r="A1076" s="105">
        <v>2458</v>
      </c>
      <c r="B1076" s="41">
        <v>12000000</v>
      </c>
      <c r="C1076" s="41">
        <v>1.1999999999999999E-3</v>
      </c>
      <c r="D1076" s="41">
        <v>0.5</v>
      </c>
      <c r="E1076" s="41">
        <v>30</v>
      </c>
      <c r="F1076" s="41">
        <v>0</v>
      </c>
      <c r="G1076" s="41" t="s">
        <v>505</v>
      </c>
      <c r="H1076" s="41">
        <v>1</v>
      </c>
      <c r="I1076" s="41">
        <v>1</v>
      </c>
      <c r="J1076" s="108">
        <v>0</v>
      </c>
      <c r="K1076" s="41">
        <v>0</v>
      </c>
      <c r="L1076" s="41">
        <v>55</v>
      </c>
      <c r="M1076" s="41">
        <v>-1</v>
      </c>
      <c r="N1076" s="41">
        <v>2</v>
      </c>
      <c r="O1076" s="111" t="s">
        <v>3177</v>
      </c>
      <c r="P1076" s="109">
        <v>20185</v>
      </c>
      <c r="Q1076" s="41"/>
      <c r="R1076" s="111"/>
      <c r="S1076" s="110" t="s">
        <v>3361</v>
      </c>
    </row>
    <row r="1077" spans="1:19">
      <c r="A1077" s="105">
        <v>2459</v>
      </c>
      <c r="B1077" s="41">
        <v>12000000</v>
      </c>
      <c r="C1077" s="41">
        <v>1.1999999999999999E-3</v>
      </c>
      <c r="D1077" s="41">
        <v>0.70709999999999995</v>
      </c>
      <c r="E1077" s="41">
        <v>30</v>
      </c>
      <c r="F1077" s="41">
        <v>0</v>
      </c>
      <c r="G1077" s="41" t="s">
        <v>505</v>
      </c>
      <c r="H1077" s="41">
        <v>1</v>
      </c>
      <c r="I1077" s="41">
        <v>1</v>
      </c>
      <c r="J1077" s="108">
        <f>POWER(POWER(Table210[[#This Row],[mv]],4)/10,0.25)</f>
        <v>6.7480959022841905E-4</v>
      </c>
      <c r="K1077" s="41">
        <v>0</v>
      </c>
      <c r="L1077" s="41">
        <v>55</v>
      </c>
      <c r="M1077" s="41">
        <v>-1</v>
      </c>
      <c r="N1077" s="41">
        <v>2</v>
      </c>
      <c r="O1077" s="111" t="s">
        <v>3178</v>
      </c>
      <c r="P1077" s="109"/>
      <c r="Q1077" s="41"/>
      <c r="R1077" s="111"/>
      <c r="S1077" s="110"/>
    </row>
    <row r="1078" spans="1:19">
      <c r="A1078" s="105">
        <v>2460</v>
      </c>
      <c r="B1078" s="41">
        <v>12000000</v>
      </c>
      <c r="C1078" s="41">
        <v>1.1999999999999999E-3</v>
      </c>
      <c r="D1078" s="41">
        <v>1</v>
      </c>
      <c r="E1078" s="41">
        <v>30</v>
      </c>
      <c r="F1078" s="41">
        <v>0</v>
      </c>
      <c r="G1078" s="41" t="s">
        <v>505</v>
      </c>
      <c r="H1078" s="41">
        <v>1</v>
      </c>
      <c r="I1078" s="41">
        <v>1</v>
      </c>
      <c r="J1078" s="108">
        <f>POWER(POWER(Table210[[#This Row],[mv]],4)/10,0.25)</f>
        <v>6.7480959022841905E-4</v>
      </c>
      <c r="K1078" s="41">
        <v>0</v>
      </c>
      <c r="L1078" s="41">
        <v>55</v>
      </c>
      <c r="M1078" s="41">
        <v>-1</v>
      </c>
      <c r="N1078" s="41">
        <v>2</v>
      </c>
      <c r="O1078" s="111" t="s">
        <v>3179</v>
      </c>
      <c r="P1078" s="109"/>
      <c r="Q1078" s="41"/>
      <c r="R1078" s="111"/>
      <c r="S1078" s="110"/>
    </row>
    <row r="1079" spans="1:19">
      <c r="A1079" s="105">
        <v>2461</v>
      </c>
      <c r="B1079" s="41">
        <v>12000000</v>
      </c>
      <c r="C1079" s="41">
        <v>1.1999999999999999E-3</v>
      </c>
      <c r="D1079" s="41">
        <v>1.4141999999999999</v>
      </c>
      <c r="E1079" s="41">
        <v>30</v>
      </c>
      <c r="F1079" s="41">
        <v>0</v>
      </c>
      <c r="G1079" s="41" t="s">
        <v>505</v>
      </c>
      <c r="H1079" s="41">
        <v>1</v>
      </c>
      <c r="I1079" s="41">
        <v>1</v>
      </c>
      <c r="J1079" s="108">
        <f>POWER(POWER(Table210[[#This Row],[mv]],4)/10,0.25)</f>
        <v>6.7480959022841905E-4</v>
      </c>
      <c r="K1079" s="41">
        <v>0</v>
      </c>
      <c r="L1079" s="41">
        <v>55</v>
      </c>
      <c r="M1079" s="41">
        <v>-1</v>
      </c>
      <c r="N1079" s="41">
        <v>2</v>
      </c>
      <c r="O1079" s="111" t="s">
        <v>3180</v>
      </c>
      <c r="P1079" s="109"/>
      <c r="Q1079" s="41"/>
      <c r="R1079" s="111"/>
      <c r="S1079" s="110"/>
    </row>
    <row r="1080" spans="1:19">
      <c r="A1080" s="105">
        <v>2462</v>
      </c>
      <c r="B1080" s="41">
        <v>12000000</v>
      </c>
      <c r="C1080" s="41">
        <v>1.1999999999999999E-3</v>
      </c>
      <c r="D1080" s="41">
        <v>2</v>
      </c>
      <c r="E1080" s="41">
        <v>30</v>
      </c>
      <c r="F1080" s="41">
        <v>0</v>
      </c>
      <c r="G1080" s="41" t="s">
        <v>505</v>
      </c>
      <c r="H1080" s="41">
        <v>1</v>
      </c>
      <c r="I1080" s="41">
        <v>1</v>
      </c>
      <c r="J1080" s="108">
        <f>POWER(POWER(Table210[[#This Row],[mv]],4)/10,0.25)</f>
        <v>6.7480959022841905E-4</v>
      </c>
      <c r="K1080" s="41">
        <v>0</v>
      </c>
      <c r="L1080" s="41">
        <v>55</v>
      </c>
      <c r="M1080" s="41">
        <v>-1</v>
      </c>
      <c r="N1080" s="41">
        <v>2</v>
      </c>
      <c r="O1080" s="111" t="s">
        <v>3181</v>
      </c>
      <c r="P1080" s="109"/>
      <c r="Q1080" s="41"/>
      <c r="R1080" s="111"/>
      <c r="S1080" s="110"/>
    </row>
    <row r="1081" spans="1:19">
      <c r="A1081" s="105">
        <v>2463</v>
      </c>
      <c r="B1081" s="41">
        <v>12000000</v>
      </c>
      <c r="C1081" s="41">
        <v>1.1999999999999999E-3</v>
      </c>
      <c r="D1081" s="41">
        <v>2.8283999999999998</v>
      </c>
      <c r="E1081" s="41">
        <v>30</v>
      </c>
      <c r="F1081" s="41">
        <v>0</v>
      </c>
      <c r="G1081" s="41" t="s">
        <v>505</v>
      </c>
      <c r="H1081" s="41">
        <v>1</v>
      </c>
      <c r="I1081" s="41">
        <v>1</v>
      </c>
      <c r="J1081" s="108">
        <f>POWER(POWER(Table210[[#This Row],[mv]],4)/10,0.25)</f>
        <v>6.7480959022841905E-4</v>
      </c>
      <c r="K1081" s="41">
        <v>0</v>
      </c>
      <c r="L1081" s="41">
        <v>55</v>
      </c>
      <c r="M1081" s="41">
        <v>-1</v>
      </c>
      <c r="N1081" s="41">
        <v>2</v>
      </c>
      <c r="O1081" s="111" t="s">
        <v>3182</v>
      </c>
      <c r="P1081" s="109"/>
      <c r="Q1081" s="41"/>
      <c r="R1081" s="111"/>
      <c r="S1081" s="110"/>
    </row>
    <row r="1082" spans="1:19">
      <c r="A1082" s="105">
        <v>2464</v>
      </c>
      <c r="B1082" s="41">
        <v>12000000</v>
      </c>
      <c r="C1082" s="41">
        <v>1.1999999999999999E-3</v>
      </c>
      <c r="D1082" s="41">
        <v>4</v>
      </c>
      <c r="E1082" s="41">
        <v>30</v>
      </c>
      <c r="F1082" s="41">
        <v>0</v>
      </c>
      <c r="G1082" s="41" t="s">
        <v>505</v>
      </c>
      <c r="H1082" s="41">
        <v>1</v>
      </c>
      <c r="I1082" s="41">
        <v>1</v>
      </c>
      <c r="J1082" s="108">
        <f>POWER(POWER(Table210[[#This Row],[mv]],4)/10,0.25)</f>
        <v>6.7480959022841905E-4</v>
      </c>
      <c r="K1082" s="41">
        <v>0</v>
      </c>
      <c r="L1082" s="41">
        <v>55</v>
      </c>
      <c r="M1082" s="41">
        <v>-1</v>
      </c>
      <c r="N1082" s="41">
        <v>2</v>
      </c>
      <c r="O1082" s="111" t="s">
        <v>3183</v>
      </c>
      <c r="P1082" s="109"/>
      <c r="Q1082" s="41"/>
      <c r="R1082" s="111"/>
      <c r="S1082" s="110"/>
    </row>
    <row r="1083" spans="1:19">
      <c r="A1083" s="105">
        <v>2465</v>
      </c>
      <c r="B1083" s="41">
        <v>12000000</v>
      </c>
      <c r="C1083" s="41">
        <v>1.1999999999999999E-3</v>
      </c>
      <c r="D1083" s="41">
        <v>5.6569000000000003</v>
      </c>
      <c r="E1083" s="41">
        <v>30</v>
      </c>
      <c r="F1083" s="41">
        <v>0</v>
      </c>
      <c r="G1083" s="41" t="s">
        <v>505</v>
      </c>
      <c r="H1083" s="41">
        <v>1</v>
      </c>
      <c r="I1083" s="41">
        <v>1</v>
      </c>
      <c r="J1083" s="108">
        <f>POWER(POWER(Table210[[#This Row],[mv]],4)/10,0.25)</f>
        <v>6.7480959022841905E-4</v>
      </c>
      <c r="K1083" s="41">
        <v>0</v>
      </c>
      <c r="L1083" s="41">
        <v>55</v>
      </c>
      <c r="M1083" s="41">
        <v>-1</v>
      </c>
      <c r="N1083" s="41">
        <v>2</v>
      </c>
      <c r="O1083" s="111" t="s">
        <v>3184</v>
      </c>
      <c r="P1083" s="109"/>
      <c r="Q1083" s="41"/>
      <c r="R1083" s="111"/>
      <c r="S1083" s="110"/>
    </row>
    <row r="1084" spans="1:19">
      <c r="A1084" s="105">
        <v>2466</v>
      </c>
      <c r="B1084" s="41">
        <v>12000000</v>
      </c>
      <c r="C1084" s="41">
        <v>1.1999999999999999E-3</v>
      </c>
      <c r="D1084" s="41">
        <v>8</v>
      </c>
      <c r="E1084" s="41">
        <v>30</v>
      </c>
      <c r="F1084" s="41">
        <v>0</v>
      </c>
      <c r="G1084" s="41" t="s">
        <v>505</v>
      </c>
      <c r="H1084" s="41">
        <v>1</v>
      </c>
      <c r="I1084" s="41">
        <v>1</v>
      </c>
      <c r="J1084" s="108">
        <f>POWER(POWER(Table210[[#This Row],[mv]],4)/10,0.25)</f>
        <v>6.7480959022841905E-4</v>
      </c>
      <c r="K1084" s="41">
        <v>0</v>
      </c>
      <c r="L1084" s="41">
        <v>55</v>
      </c>
      <c r="M1084" s="41">
        <v>-1</v>
      </c>
      <c r="N1084" s="41">
        <v>2</v>
      </c>
      <c r="O1084" s="111" t="s">
        <v>3185</v>
      </c>
      <c r="P1084" s="109"/>
      <c r="Q1084" s="41"/>
      <c r="R1084" s="111"/>
      <c r="S1084" s="110"/>
    </row>
    <row r="1085" spans="1:19">
      <c r="A1085" s="105">
        <v>2467</v>
      </c>
      <c r="B1085" s="41">
        <v>12000000</v>
      </c>
      <c r="C1085" s="41">
        <v>1.1999999999999999E-3</v>
      </c>
      <c r="D1085" s="41">
        <v>11.313700000000001</v>
      </c>
      <c r="E1085" s="41">
        <v>30</v>
      </c>
      <c r="F1085" s="41">
        <v>0</v>
      </c>
      <c r="G1085" s="41" t="s">
        <v>505</v>
      </c>
      <c r="H1085" s="41">
        <v>1</v>
      </c>
      <c r="I1085" s="41">
        <v>1</v>
      </c>
      <c r="J1085" s="108">
        <f>POWER(POWER(Table210[[#This Row],[mv]],4)/10,0.25)</f>
        <v>6.7480959022841905E-4</v>
      </c>
      <c r="K1085" s="41">
        <v>0</v>
      </c>
      <c r="L1085" s="41">
        <v>55</v>
      </c>
      <c r="M1085" s="41">
        <v>-1</v>
      </c>
      <c r="N1085" s="41">
        <v>2</v>
      </c>
      <c r="O1085" s="111" t="s">
        <v>3186</v>
      </c>
      <c r="P1085" s="109"/>
      <c r="Q1085" s="41"/>
      <c r="R1085" s="111"/>
      <c r="S1085" s="110"/>
    </row>
    <row r="1086" spans="1:19">
      <c r="A1086" s="105">
        <v>2468</v>
      </c>
      <c r="B1086" s="41">
        <v>12000000</v>
      </c>
      <c r="C1086" s="41">
        <v>1.2999999999999999E-3</v>
      </c>
      <c r="D1086" s="41">
        <v>0.70709999999999995</v>
      </c>
      <c r="E1086" s="41">
        <v>30</v>
      </c>
      <c r="F1086" s="41">
        <v>0</v>
      </c>
      <c r="G1086" s="41" t="s">
        <v>505</v>
      </c>
      <c r="H1086" s="41">
        <v>1</v>
      </c>
      <c r="I1086" s="41">
        <v>1</v>
      </c>
      <c r="J1086" s="108">
        <f>POWER(POWER(Table210[[#This Row],[mv]],4)/10,0.25)</f>
        <v>7.3104372274745391E-4</v>
      </c>
      <c r="K1086" s="41">
        <v>0</v>
      </c>
      <c r="L1086" s="41">
        <v>55</v>
      </c>
      <c r="M1086" s="41">
        <v>-1</v>
      </c>
      <c r="N1086" s="41">
        <v>2</v>
      </c>
      <c r="O1086" s="111" t="s">
        <v>3187</v>
      </c>
      <c r="P1086" s="109"/>
      <c r="Q1086" s="41"/>
      <c r="R1086" s="111"/>
      <c r="S1086" s="110"/>
    </row>
    <row r="1087" spans="1:19">
      <c r="A1087" s="105">
        <v>2469</v>
      </c>
      <c r="B1087" s="41">
        <v>12000000</v>
      </c>
      <c r="C1087" s="41">
        <v>1.2999999999999999E-3</v>
      </c>
      <c r="D1087" s="41">
        <v>1</v>
      </c>
      <c r="E1087" s="41">
        <v>30</v>
      </c>
      <c r="F1087" s="41">
        <v>0</v>
      </c>
      <c r="G1087" s="41" t="s">
        <v>505</v>
      </c>
      <c r="H1087" s="41">
        <v>1</v>
      </c>
      <c r="I1087" s="41">
        <v>1</v>
      </c>
      <c r="J1087" s="108">
        <f>POWER(POWER(Table210[[#This Row],[mv]],4)/10,0.25)</f>
        <v>7.3104372274745391E-4</v>
      </c>
      <c r="K1087" s="41">
        <v>0</v>
      </c>
      <c r="L1087" s="41">
        <v>55</v>
      </c>
      <c r="M1087" s="41">
        <v>-1</v>
      </c>
      <c r="N1087" s="41">
        <v>2</v>
      </c>
      <c r="O1087" s="111" t="s">
        <v>3188</v>
      </c>
      <c r="P1087" s="109"/>
      <c r="Q1087" s="41"/>
      <c r="R1087" s="111"/>
      <c r="S1087" s="110"/>
    </row>
    <row r="1088" spans="1:19">
      <c r="A1088" s="105">
        <v>2470</v>
      </c>
      <c r="B1088" s="41">
        <v>12000000</v>
      </c>
      <c r="C1088" s="41">
        <v>1.2999999999999999E-3</v>
      </c>
      <c r="D1088" s="41">
        <v>1.4141999999999999</v>
      </c>
      <c r="E1088" s="41">
        <v>30</v>
      </c>
      <c r="F1088" s="41">
        <v>0</v>
      </c>
      <c r="G1088" s="41" t="s">
        <v>505</v>
      </c>
      <c r="H1088" s="41">
        <v>1</v>
      </c>
      <c r="I1088" s="41">
        <v>1</v>
      </c>
      <c r="J1088" s="108">
        <f>POWER(POWER(Table210[[#This Row],[mv]],4)/10,0.25)</f>
        <v>7.3104372274745391E-4</v>
      </c>
      <c r="K1088" s="41">
        <v>0</v>
      </c>
      <c r="L1088" s="41">
        <v>55</v>
      </c>
      <c r="M1088" s="41">
        <v>-1</v>
      </c>
      <c r="N1088" s="41">
        <v>2</v>
      </c>
      <c r="O1088" s="111" t="s">
        <v>3189</v>
      </c>
      <c r="P1088" s="109"/>
      <c r="Q1088" s="41"/>
      <c r="R1088" s="111"/>
      <c r="S1088" s="110"/>
    </row>
    <row r="1089" spans="1:19">
      <c r="A1089" s="105">
        <v>2471</v>
      </c>
      <c r="B1089" s="41">
        <v>12000000</v>
      </c>
      <c r="C1089" s="41">
        <v>1.2999999999999999E-3</v>
      </c>
      <c r="D1089" s="41">
        <v>2</v>
      </c>
      <c r="E1089" s="41">
        <v>30</v>
      </c>
      <c r="F1089" s="41">
        <v>0</v>
      </c>
      <c r="G1089" s="41" t="s">
        <v>505</v>
      </c>
      <c r="H1089" s="41">
        <v>1</v>
      </c>
      <c r="I1089" s="41">
        <v>1</v>
      </c>
      <c r="J1089" s="108">
        <f>POWER(POWER(Table210[[#This Row],[mv]],4)/10,0.25)</f>
        <v>7.3104372274745391E-4</v>
      </c>
      <c r="K1089" s="41">
        <v>0</v>
      </c>
      <c r="L1089" s="41">
        <v>55</v>
      </c>
      <c r="M1089" s="41">
        <v>-1</v>
      </c>
      <c r="N1089" s="41">
        <v>2</v>
      </c>
      <c r="O1089" s="111" t="s">
        <v>3190</v>
      </c>
      <c r="P1089" s="109"/>
      <c r="Q1089" s="41"/>
      <c r="R1089" s="111"/>
      <c r="S1089" s="110"/>
    </row>
    <row r="1090" spans="1:19">
      <c r="A1090" s="105">
        <v>2472</v>
      </c>
      <c r="B1090" s="41">
        <v>12000000</v>
      </c>
      <c r="C1090" s="41">
        <v>1.2999999999999999E-3</v>
      </c>
      <c r="D1090" s="41">
        <v>2.8283999999999998</v>
      </c>
      <c r="E1090" s="41">
        <v>30</v>
      </c>
      <c r="F1090" s="41">
        <v>0</v>
      </c>
      <c r="G1090" s="41" t="s">
        <v>505</v>
      </c>
      <c r="H1090" s="41">
        <v>1</v>
      </c>
      <c r="I1090" s="41">
        <v>1</v>
      </c>
      <c r="J1090" s="108">
        <f>POWER(POWER(Table210[[#This Row],[mv]],4)/10,0.25)</f>
        <v>7.3104372274745391E-4</v>
      </c>
      <c r="K1090" s="41">
        <v>0</v>
      </c>
      <c r="L1090" s="41">
        <v>55</v>
      </c>
      <c r="M1090" s="41">
        <v>-1</v>
      </c>
      <c r="N1090" s="41">
        <v>2</v>
      </c>
      <c r="O1090" s="111" t="s">
        <v>3191</v>
      </c>
      <c r="P1090" s="109"/>
      <c r="Q1090" s="41"/>
      <c r="R1090" s="111"/>
      <c r="S1090" s="110"/>
    </row>
    <row r="1091" spans="1:19">
      <c r="A1091" s="105">
        <v>2473</v>
      </c>
      <c r="B1091" s="41">
        <v>12000000</v>
      </c>
      <c r="C1091" s="41">
        <v>1.2999999999999999E-3</v>
      </c>
      <c r="D1091" s="41">
        <v>4</v>
      </c>
      <c r="E1091" s="41">
        <v>30</v>
      </c>
      <c r="F1091" s="41">
        <v>0</v>
      </c>
      <c r="G1091" s="41" t="s">
        <v>505</v>
      </c>
      <c r="H1091" s="41">
        <v>1</v>
      </c>
      <c r="I1091" s="41">
        <v>1</v>
      </c>
      <c r="J1091" s="108">
        <f>POWER(POWER(Table210[[#This Row],[mv]],4)/10,0.25)</f>
        <v>7.3104372274745391E-4</v>
      </c>
      <c r="K1091" s="41">
        <v>0</v>
      </c>
      <c r="L1091" s="41">
        <v>55</v>
      </c>
      <c r="M1091" s="41">
        <v>-1</v>
      </c>
      <c r="N1091" s="41">
        <v>2</v>
      </c>
      <c r="O1091" s="111" t="s">
        <v>3192</v>
      </c>
      <c r="P1091" s="109"/>
      <c r="Q1091" s="41"/>
      <c r="R1091" s="111"/>
      <c r="S1091" s="110"/>
    </row>
    <row r="1092" spans="1:19">
      <c r="A1092" s="105">
        <v>2474</v>
      </c>
      <c r="B1092" s="41">
        <v>12000000</v>
      </c>
      <c r="C1092" s="41">
        <v>1.2999999999999999E-3</v>
      </c>
      <c r="D1092" s="41">
        <v>5.6569000000000003</v>
      </c>
      <c r="E1092" s="41">
        <v>30</v>
      </c>
      <c r="F1092" s="41">
        <v>0</v>
      </c>
      <c r="G1092" s="41" t="s">
        <v>505</v>
      </c>
      <c r="H1092" s="41">
        <v>1</v>
      </c>
      <c r="I1092" s="41">
        <v>1</v>
      </c>
      <c r="J1092" s="108">
        <f>POWER(POWER(Table210[[#This Row],[mv]],4)/10,0.25)</f>
        <v>7.3104372274745391E-4</v>
      </c>
      <c r="K1092" s="41">
        <v>0</v>
      </c>
      <c r="L1092" s="41">
        <v>55</v>
      </c>
      <c r="M1092" s="41">
        <v>-1</v>
      </c>
      <c r="N1092" s="41">
        <v>2</v>
      </c>
      <c r="O1092" s="111" t="s">
        <v>3193</v>
      </c>
      <c r="P1092" s="109"/>
      <c r="Q1092" s="41"/>
      <c r="R1092" s="111"/>
      <c r="S1092" s="110"/>
    </row>
    <row r="1093" spans="1:19">
      <c r="A1093" s="105">
        <v>2475</v>
      </c>
      <c r="B1093" s="41">
        <v>12000000</v>
      </c>
      <c r="C1093" s="41">
        <v>1.2999999999999999E-3</v>
      </c>
      <c r="D1093" s="41">
        <v>8</v>
      </c>
      <c r="E1093" s="41">
        <v>30</v>
      </c>
      <c r="F1093" s="41">
        <v>0</v>
      </c>
      <c r="G1093" s="41" t="s">
        <v>505</v>
      </c>
      <c r="H1093" s="41">
        <v>1</v>
      </c>
      <c r="I1093" s="41">
        <v>1</v>
      </c>
      <c r="J1093" s="108">
        <f>POWER(POWER(Table210[[#This Row],[mv]],4)/10,0.25)</f>
        <v>7.3104372274745391E-4</v>
      </c>
      <c r="K1093" s="41">
        <v>0</v>
      </c>
      <c r="L1093" s="41">
        <v>55</v>
      </c>
      <c r="M1093" s="41">
        <v>-1</v>
      </c>
      <c r="N1093" s="41">
        <v>2</v>
      </c>
      <c r="O1093" s="111" t="s">
        <v>3194</v>
      </c>
      <c r="P1093" s="109"/>
      <c r="Q1093" s="41"/>
      <c r="R1093" s="111"/>
      <c r="S1093" s="110"/>
    </row>
    <row r="1094" spans="1:19">
      <c r="A1094" s="105">
        <v>2476</v>
      </c>
      <c r="B1094" s="41">
        <v>12000000</v>
      </c>
      <c r="C1094" s="41">
        <v>1.2999999999999999E-3</v>
      </c>
      <c r="D1094" s="41">
        <v>11.313700000000001</v>
      </c>
      <c r="E1094" s="41">
        <v>30</v>
      </c>
      <c r="F1094" s="41">
        <v>0</v>
      </c>
      <c r="G1094" s="41" t="s">
        <v>505</v>
      </c>
      <c r="H1094" s="41">
        <v>1</v>
      </c>
      <c r="I1094" s="41">
        <v>1</v>
      </c>
      <c r="J1094" s="108">
        <f>POWER(POWER(Table210[[#This Row],[mv]],4)/10,0.25)</f>
        <v>7.3104372274745391E-4</v>
      </c>
      <c r="K1094" s="41">
        <v>0</v>
      </c>
      <c r="L1094" s="41">
        <v>55</v>
      </c>
      <c r="M1094" s="41">
        <v>-1</v>
      </c>
      <c r="N1094" s="41">
        <v>2</v>
      </c>
      <c r="O1094" s="111" t="s">
        <v>3195</v>
      </c>
      <c r="P1094" s="109"/>
      <c r="Q1094" s="41"/>
      <c r="R1094" s="111"/>
      <c r="S1094" s="110"/>
    </row>
    <row r="1095" spans="1:19">
      <c r="A1095" s="105">
        <v>2477</v>
      </c>
      <c r="B1095" s="41">
        <v>12000000</v>
      </c>
      <c r="C1095" s="41">
        <v>1.2999999999999999E-3</v>
      </c>
      <c r="D1095" s="41">
        <v>16</v>
      </c>
      <c r="E1095" s="41">
        <v>30</v>
      </c>
      <c r="F1095" s="41">
        <v>0</v>
      </c>
      <c r="G1095" s="41" t="s">
        <v>505</v>
      </c>
      <c r="H1095" s="41">
        <v>1</v>
      </c>
      <c r="I1095" s="41">
        <v>1</v>
      </c>
      <c r="J1095" s="108">
        <f>POWER(POWER(Table210[[#This Row],[mv]],4)/10,0.25)</f>
        <v>7.3104372274745391E-4</v>
      </c>
      <c r="K1095" s="41">
        <v>0</v>
      </c>
      <c r="L1095" s="41">
        <v>55</v>
      </c>
      <c r="M1095" s="41">
        <v>-1</v>
      </c>
      <c r="N1095" s="41">
        <v>2</v>
      </c>
      <c r="O1095" s="111" t="s">
        <v>3196</v>
      </c>
      <c r="P1095" s="109"/>
      <c r="Q1095" s="41"/>
      <c r="R1095" s="111"/>
      <c r="S1095" s="110"/>
    </row>
    <row r="1096" spans="1:19">
      <c r="A1096" s="105">
        <v>2478</v>
      </c>
      <c r="B1096" s="41">
        <v>12000000</v>
      </c>
      <c r="C1096" s="41">
        <v>1.5E-3</v>
      </c>
      <c r="D1096" s="41">
        <v>0.70709999999999995</v>
      </c>
      <c r="E1096" s="41">
        <v>30</v>
      </c>
      <c r="F1096" s="41">
        <v>0</v>
      </c>
      <c r="G1096" s="41" t="s">
        <v>505</v>
      </c>
      <c r="H1096" s="41">
        <v>1</v>
      </c>
      <c r="I1096" s="41">
        <v>1</v>
      </c>
      <c r="J1096" s="108">
        <f>POWER(POWER(Table210[[#This Row],[mv]],4)/10,0.25)</f>
        <v>8.4351198778552375E-4</v>
      </c>
      <c r="K1096" s="41">
        <v>0</v>
      </c>
      <c r="L1096" s="41">
        <v>55</v>
      </c>
      <c r="M1096" s="41">
        <v>-1</v>
      </c>
      <c r="N1096" s="41">
        <v>2</v>
      </c>
      <c r="O1096" s="111" t="s">
        <v>3197</v>
      </c>
      <c r="P1096" s="109"/>
      <c r="Q1096" s="41"/>
      <c r="R1096" s="111"/>
      <c r="S1096" s="110"/>
    </row>
    <row r="1097" spans="1:19">
      <c r="A1097" s="105">
        <v>2479</v>
      </c>
      <c r="B1097" s="41">
        <v>12000000</v>
      </c>
      <c r="C1097" s="41">
        <v>1.5E-3</v>
      </c>
      <c r="D1097" s="41">
        <v>1</v>
      </c>
      <c r="E1097" s="41">
        <v>30</v>
      </c>
      <c r="F1097" s="41">
        <v>0</v>
      </c>
      <c r="G1097" s="41" t="s">
        <v>505</v>
      </c>
      <c r="H1097" s="41">
        <v>1</v>
      </c>
      <c r="I1097" s="41">
        <v>1</v>
      </c>
      <c r="J1097" s="108">
        <f>POWER(POWER(Table210[[#This Row],[mv]],4)/10,0.25)</f>
        <v>8.4351198778552375E-4</v>
      </c>
      <c r="K1097" s="41">
        <v>0</v>
      </c>
      <c r="L1097" s="41">
        <v>55</v>
      </c>
      <c r="M1097" s="41">
        <v>-1</v>
      </c>
      <c r="N1097" s="41">
        <v>2</v>
      </c>
      <c r="O1097" s="111" t="s">
        <v>3198</v>
      </c>
      <c r="P1097" s="109"/>
      <c r="Q1097" s="41"/>
      <c r="R1097" s="111"/>
      <c r="S1097" s="110"/>
    </row>
    <row r="1098" spans="1:19">
      <c r="A1098" s="105">
        <v>2480</v>
      </c>
      <c r="B1098" s="41">
        <v>12000000</v>
      </c>
      <c r="C1098" s="41">
        <v>1.5E-3</v>
      </c>
      <c r="D1098" s="41">
        <v>1.4141999999999999</v>
      </c>
      <c r="E1098" s="41">
        <v>30</v>
      </c>
      <c r="F1098" s="41">
        <v>0</v>
      </c>
      <c r="G1098" s="41" t="s">
        <v>505</v>
      </c>
      <c r="H1098" s="41">
        <v>1</v>
      </c>
      <c r="I1098" s="41">
        <v>1</v>
      </c>
      <c r="J1098" s="108">
        <f>POWER(POWER(Table210[[#This Row],[mv]],4)/10,0.25)</f>
        <v>8.4351198778552375E-4</v>
      </c>
      <c r="K1098" s="41">
        <v>0</v>
      </c>
      <c r="L1098" s="41">
        <v>55</v>
      </c>
      <c r="M1098" s="41">
        <v>-1</v>
      </c>
      <c r="N1098" s="41">
        <v>2</v>
      </c>
      <c r="O1098" s="111" t="s">
        <v>3199</v>
      </c>
      <c r="P1098" s="109"/>
      <c r="Q1098" s="41"/>
      <c r="R1098" s="111"/>
      <c r="S1098" s="110"/>
    </row>
    <row r="1099" spans="1:19">
      <c r="A1099" s="105">
        <v>2481</v>
      </c>
      <c r="B1099" s="41">
        <v>12000000</v>
      </c>
      <c r="C1099" s="41">
        <v>1.5E-3</v>
      </c>
      <c r="D1099" s="41">
        <v>2</v>
      </c>
      <c r="E1099" s="41">
        <v>30</v>
      </c>
      <c r="F1099" s="41">
        <v>0</v>
      </c>
      <c r="G1099" s="41" t="s">
        <v>505</v>
      </c>
      <c r="H1099" s="41">
        <v>1</v>
      </c>
      <c r="I1099" s="41">
        <v>1</v>
      </c>
      <c r="J1099" s="108">
        <f>POWER(POWER(Table210[[#This Row],[mv]],4)/10,0.25)</f>
        <v>8.4351198778552375E-4</v>
      </c>
      <c r="K1099" s="41">
        <v>0</v>
      </c>
      <c r="L1099" s="41">
        <v>55</v>
      </c>
      <c r="M1099" s="41">
        <v>-1</v>
      </c>
      <c r="N1099" s="41">
        <v>2</v>
      </c>
      <c r="O1099" s="111" t="s">
        <v>3200</v>
      </c>
      <c r="P1099" s="109"/>
      <c r="Q1099" s="41"/>
      <c r="R1099" s="111"/>
      <c r="S1099" s="110"/>
    </row>
    <row r="1100" spans="1:19">
      <c r="A1100" s="105">
        <v>2482</v>
      </c>
      <c r="B1100" s="41">
        <v>12000000</v>
      </c>
      <c r="C1100" s="41">
        <v>1.5E-3</v>
      </c>
      <c r="D1100" s="41">
        <v>2.8283999999999998</v>
      </c>
      <c r="E1100" s="41">
        <v>30</v>
      </c>
      <c r="F1100" s="41">
        <v>0</v>
      </c>
      <c r="G1100" s="41" t="s">
        <v>505</v>
      </c>
      <c r="H1100" s="41">
        <v>1</v>
      </c>
      <c r="I1100" s="41">
        <v>1</v>
      </c>
      <c r="J1100" s="108">
        <f>POWER(POWER(Table210[[#This Row],[mv]],4)/10,0.25)</f>
        <v>8.4351198778552375E-4</v>
      </c>
      <c r="K1100" s="41">
        <v>0</v>
      </c>
      <c r="L1100" s="41">
        <v>55</v>
      </c>
      <c r="M1100" s="41">
        <v>-1</v>
      </c>
      <c r="N1100" s="41">
        <v>2</v>
      </c>
      <c r="O1100" s="111" t="s">
        <v>3201</v>
      </c>
      <c r="P1100" s="109"/>
      <c r="Q1100" s="41"/>
      <c r="R1100" s="111"/>
      <c r="S1100" s="110"/>
    </row>
    <row r="1101" spans="1:19">
      <c r="A1101" s="105">
        <v>2483</v>
      </c>
      <c r="B1101" s="41">
        <v>12000000</v>
      </c>
      <c r="C1101" s="41">
        <v>1.5E-3</v>
      </c>
      <c r="D1101" s="41">
        <v>4</v>
      </c>
      <c r="E1101" s="41">
        <v>30</v>
      </c>
      <c r="F1101" s="41">
        <v>0</v>
      </c>
      <c r="G1101" s="41" t="s">
        <v>505</v>
      </c>
      <c r="H1101" s="41">
        <v>1</v>
      </c>
      <c r="I1101" s="41">
        <v>1</v>
      </c>
      <c r="J1101" s="108">
        <f>POWER(POWER(Table210[[#This Row],[mv]],4)/10,0.25)</f>
        <v>8.4351198778552375E-4</v>
      </c>
      <c r="K1101" s="41">
        <v>0</v>
      </c>
      <c r="L1101" s="41">
        <v>55</v>
      </c>
      <c r="M1101" s="41">
        <v>-1</v>
      </c>
      <c r="N1101" s="41">
        <v>2</v>
      </c>
      <c r="O1101" s="111" t="s">
        <v>3202</v>
      </c>
      <c r="P1101" s="109"/>
      <c r="Q1101" s="41"/>
      <c r="R1101" s="111"/>
      <c r="S1101" s="110"/>
    </row>
    <row r="1102" spans="1:19">
      <c r="A1102" s="105">
        <v>2484</v>
      </c>
      <c r="B1102" s="41">
        <v>12000000</v>
      </c>
      <c r="C1102" s="41">
        <v>1.5E-3</v>
      </c>
      <c r="D1102" s="41">
        <v>5.6569000000000003</v>
      </c>
      <c r="E1102" s="41">
        <v>30</v>
      </c>
      <c r="F1102" s="41">
        <v>0</v>
      </c>
      <c r="G1102" s="41" t="s">
        <v>505</v>
      </c>
      <c r="H1102" s="41">
        <v>1</v>
      </c>
      <c r="I1102" s="41">
        <v>1</v>
      </c>
      <c r="J1102" s="108">
        <f>POWER(POWER(Table210[[#This Row],[mv]],4)/10,0.25)</f>
        <v>8.4351198778552375E-4</v>
      </c>
      <c r="K1102" s="41">
        <v>0</v>
      </c>
      <c r="L1102" s="41">
        <v>55</v>
      </c>
      <c r="M1102" s="41">
        <v>-1</v>
      </c>
      <c r="N1102" s="41">
        <v>2</v>
      </c>
      <c r="O1102" s="111" t="s">
        <v>3203</v>
      </c>
      <c r="P1102" s="109"/>
      <c r="Q1102" s="41"/>
      <c r="R1102" s="111"/>
      <c r="S1102" s="110"/>
    </row>
    <row r="1103" spans="1:19">
      <c r="A1103" s="105">
        <v>2485</v>
      </c>
      <c r="B1103" s="41">
        <v>12000000</v>
      </c>
      <c r="C1103" s="41">
        <v>1.5E-3</v>
      </c>
      <c r="D1103" s="41">
        <v>8</v>
      </c>
      <c r="E1103" s="41">
        <v>30</v>
      </c>
      <c r="F1103" s="41">
        <v>0</v>
      </c>
      <c r="G1103" s="41" t="s">
        <v>505</v>
      </c>
      <c r="H1103" s="41">
        <v>1</v>
      </c>
      <c r="I1103" s="41">
        <v>1</v>
      </c>
      <c r="J1103" s="108">
        <f>POWER(POWER(Table210[[#This Row],[mv]],4)/10,0.25)</f>
        <v>8.4351198778552375E-4</v>
      </c>
      <c r="K1103" s="41">
        <v>0</v>
      </c>
      <c r="L1103" s="41">
        <v>55</v>
      </c>
      <c r="M1103" s="41">
        <v>-1</v>
      </c>
      <c r="N1103" s="41">
        <v>2</v>
      </c>
      <c r="O1103" s="111" t="s">
        <v>3204</v>
      </c>
      <c r="P1103" s="109"/>
      <c r="Q1103" s="41"/>
      <c r="R1103" s="111"/>
      <c r="S1103" s="110"/>
    </row>
    <row r="1104" spans="1:19">
      <c r="A1104" s="105">
        <v>2486</v>
      </c>
      <c r="B1104" s="41">
        <v>12000000</v>
      </c>
      <c r="C1104" s="41">
        <v>1.5E-3</v>
      </c>
      <c r="D1104" s="41">
        <v>11.313700000000001</v>
      </c>
      <c r="E1104" s="41">
        <v>30</v>
      </c>
      <c r="F1104" s="41">
        <v>0</v>
      </c>
      <c r="G1104" s="41" t="s">
        <v>505</v>
      </c>
      <c r="H1104" s="41">
        <v>1</v>
      </c>
      <c r="I1104" s="41">
        <v>1</v>
      </c>
      <c r="J1104" s="108">
        <f>POWER(POWER(Table210[[#This Row],[mv]],4)/10,0.25)</f>
        <v>8.4351198778552375E-4</v>
      </c>
      <c r="K1104" s="41">
        <v>0</v>
      </c>
      <c r="L1104" s="41">
        <v>55</v>
      </c>
      <c r="M1104" s="41">
        <v>-1</v>
      </c>
      <c r="N1104" s="41">
        <v>2</v>
      </c>
      <c r="O1104" s="111" t="s">
        <v>3205</v>
      </c>
      <c r="P1104" s="109"/>
      <c r="Q1104" s="41"/>
      <c r="R1104" s="111"/>
      <c r="S1104" s="110"/>
    </row>
    <row r="1105" spans="1:19">
      <c r="A1105" s="105">
        <v>2487</v>
      </c>
      <c r="B1105" s="41">
        <v>12000000</v>
      </c>
      <c r="C1105" s="41">
        <v>1.5E-3</v>
      </c>
      <c r="D1105" s="41">
        <v>16</v>
      </c>
      <c r="E1105" s="41">
        <v>30</v>
      </c>
      <c r="F1105" s="41">
        <v>0</v>
      </c>
      <c r="G1105" s="41" t="s">
        <v>505</v>
      </c>
      <c r="H1105" s="41">
        <v>1</v>
      </c>
      <c r="I1105" s="41">
        <v>1</v>
      </c>
      <c r="J1105" s="108">
        <f>POWER(POWER(Table210[[#This Row],[mv]],4)/10,0.25)</f>
        <v>8.4351198778552375E-4</v>
      </c>
      <c r="K1105" s="41">
        <v>0</v>
      </c>
      <c r="L1105" s="41">
        <v>55</v>
      </c>
      <c r="M1105" s="41">
        <v>-1</v>
      </c>
      <c r="N1105" s="41">
        <v>2</v>
      </c>
      <c r="O1105" s="111" t="s">
        <v>3206</v>
      </c>
      <c r="P1105" s="109"/>
      <c r="Q1105" s="41"/>
      <c r="R1105" s="111"/>
      <c r="S1105" s="110"/>
    </row>
    <row r="1106" spans="1:19">
      <c r="A1106" s="105">
        <v>2488</v>
      </c>
      <c r="B1106" s="41">
        <v>12000000</v>
      </c>
      <c r="C1106" s="41">
        <v>1.6000000000000001E-3</v>
      </c>
      <c r="D1106" s="41">
        <v>1</v>
      </c>
      <c r="E1106" s="41">
        <v>30</v>
      </c>
      <c r="F1106" s="41">
        <v>0</v>
      </c>
      <c r="G1106" s="41" t="s">
        <v>505</v>
      </c>
      <c r="H1106" s="41">
        <v>1</v>
      </c>
      <c r="I1106" s="41">
        <v>1</v>
      </c>
      <c r="J1106" s="108">
        <f>POWER(POWER(Table210[[#This Row],[mv]],4)/10,0.25)</f>
        <v>8.9974612030455862E-4</v>
      </c>
      <c r="K1106" s="41">
        <v>0</v>
      </c>
      <c r="L1106" s="41">
        <v>55</v>
      </c>
      <c r="M1106" s="41">
        <v>-1</v>
      </c>
      <c r="N1106" s="41">
        <v>2</v>
      </c>
      <c r="O1106" s="111" t="s">
        <v>3207</v>
      </c>
      <c r="P1106" s="109"/>
      <c r="Q1106" s="41"/>
      <c r="R1106" s="111"/>
      <c r="S1106" s="110"/>
    </row>
    <row r="1107" spans="1:19">
      <c r="A1107" s="105">
        <v>2489</v>
      </c>
      <c r="B1107" s="41">
        <v>12000000</v>
      </c>
      <c r="C1107" s="41">
        <v>1.6000000000000001E-3</v>
      </c>
      <c r="D1107" s="41">
        <v>1.4141999999999999</v>
      </c>
      <c r="E1107" s="41">
        <v>30</v>
      </c>
      <c r="F1107" s="41">
        <v>0</v>
      </c>
      <c r="G1107" s="41" t="s">
        <v>505</v>
      </c>
      <c r="H1107" s="41">
        <v>1</v>
      </c>
      <c r="I1107" s="41">
        <v>1</v>
      </c>
      <c r="J1107" s="108">
        <f>POWER(POWER(Table210[[#This Row],[mv]],4)/10,0.25)</f>
        <v>8.9974612030455862E-4</v>
      </c>
      <c r="K1107" s="41">
        <v>0</v>
      </c>
      <c r="L1107" s="41">
        <v>55</v>
      </c>
      <c r="M1107" s="41">
        <v>-1</v>
      </c>
      <c r="N1107" s="41">
        <v>2</v>
      </c>
      <c r="O1107" s="111" t="s">
        <v>3208</v>
      </c>
      <c r="P1107" s="109"/>
      <c r="Q1107" s="41"/>
      <c r="R1107" s="111"/>
      <c r="S1107" s="110"/>
    </row>
    <row r="1108" spans="1:19">
      <c r="A1108" s="105">
        <v>2490</v>
      </c>
      <c r="B1108" s="41">
        <v>12000000</v>
      </c>
      <c r="C1108" s="41">
        <v>1.6000000000000001E-3</v>
      </c>
      <c r="D1108" s="41">
        <v>2</v>
      </c>
      <c r="E1108" s="41">
        <v>30</v>
      </c>
      <c r="F1108" s="41">
        <v>0</v>
      </c>
      <c r="G1108" s="41" t="s">
        <v>505</v>
      </c>
      <c r="H1108" s="41">
        <v>1</v>
      </c>
      <c r="I1108" s="41">
        <v>1</v>
      </c>
      <c r="J1108" s="108">
        <f>POWER(POWER(Table210[[#This Row],[mv]],4)/10,0.25)</f>
        <v>8.9974612030455862E-4</v>
      </c>
      <c r="K1108" s="41">
        <v>0</v>
      </c>
      <c r="L1108" s="41">
        <v>55</v>
      </c>
      <c r="M1108" s="41">
        <v>-1</v>
      </c>
      <c r="N1108" s="41">
        <v>2</v>
      </c>
      <c r="O1108" s="111" t="s">
        <v>3209</v>
      </c>
      <c r="P1108" s="109"/>
      <c r="Q1108" s="41"/>
      <c r="R1108" s="111"/>
      <c r="S1108" s="110"/>
    </row>
    <row r="1109" spans="1:19">
      <c r="A1109" s="105">
        <v>2491</v>
      </c>
      <c r="B1109" s="41">
        <v>12000000</v>
      </c>
      <c r="C1109" s="41">
        <v>1.6000000000000001E-3</v>
      </c>
      <c r="D1109" s="41">
        <v>2.8283999999999998</v>
      </c>
      <c r="E1109" s="41">
        <v>30</v>
      </c>
      <c r="F1109" s="41">
        <v>0</v>
      </c>
      <c r="G1109" s="41" t="s">
        <v>505</v>
      </c>
      <c r="H1109" s="41">
        <v>1</v>
      </c>
      <c r="I1109" s="41">
        <v>1</v>
      </c>
      <c r="J1109" s="108">
        <f>POWER(POWER(Table210[[#This Row],[mv]],4)/10,0.25)</f>
        <v>8.9974612030455862E-4</v>
      </c>
      <c r="K1109" s="41">
        <v>0</v>
      </c>
      <c r="L1109" s="41">
        <v>55</v>
      </c>
      <c r="M1109" s="41">
        <v>-1</v>
      </c>
      <c r="N1109" s="41">
        <v>2</v>
      </c>
      <c r="O1109" s="111" t="s">
        <v>3210</v>
      </c>
      <c r="P1109" s="109"/>
      <c r="Q1109" s="41"/>
      <c r="R1109" s="111"/>
      <c r="S1109" s="110"/>
    </row>
    <row r="1110" spans="1:19">
      <c r="A1110" s="105">
        <v>2492</v>
      </c>
      <c r="B1110" s="41">
        <v>12000000</v>
      </c>
      <c r="C1110" s="41">
        <v>1.6000000000000001E-3</v>
      </c>
      <c r="D1110" s="41">
        <v>4</v>
      </c>
      <c r="E1110" s="41">
        <v>30</v>
      </c>
      <c r="F1110" s="41">
        <v>0</v>
      </c>
      <c r="G1110" s="41" t="s">
        <v>505</v>
      </c>
      <c r="H1110" s="41">
        <v>1</v>
      </c>
      <c r="I1110" s="41">
        <v>1</v>
      </c>
      <c r="J1110" s="108">
        <f>POWER(POWER(Table210[[#This Row],[mv]],4)/10,0.25)</f>
        <v>8.9974612030455862E-4</v>
      </c>
      <c r="K1110" s="41">
        <v>0</v>
      </c>
      <c r="L1110" s="41">
        <v>55</v>
      </c>
      <c r="M1110" s="41">
        <v>-1</v>
      </c>
      <c r="N1110" s="41">
        <v>2</v>
      </c>
      <c r="O1110" s="111" t="s">
        <v>3211</v>
      </c>
      <c r="P1110" s="109"/>
      <c r="Q1110" s="41"/>
      <c r="R1110" s="111"/>
      <c r="S1110" s="110"/>
    </row>
    <row r="1111" spans="1:19">
      <c r="A1111" s="105">
        <v>2493</v>
      </c>
      <c r="B1111" s="41">
        <v>12000000</v>
      </c>
      <c r="C1111" s="41">
        <v>1.6000000000000001E-3</v>
      </c>
      <c r="D1111" s="41">
        <v>5.6569000000000003</v>
      </c>
      <c r="E1111" s="41">
        <v>30</v>
      </c>
      <c r="F1111" s="41">
        <v>0</v>
      </c>
      <c r="G1111" s="41" t="s">
        <v>505</v>
      </c>
      <c r="H1111" s="41">
        <v>1</v>
      </c>
      <c r="I1111" s="41">
        <v>1</v>
      </c>
      <c r="J1111" s="108">
        <f>POWER(POWER(Table210[[#This Row],[mv]],4)/10,0.25)</f>
        <v>8.9974612030455862E-4</v>
      </c>
      <c r="K1111" s="41">
        <v>0</v>
      </c>
      <c r="L1111" s="41">
        <v>55</v>
      </c>
      <c r="M1111" s="41">
        <v>-1</v>
      </c>
      <c r="N1111" s="41">
        <v>2</v>
      </c>
      <c r="O1111" s="111" t="s">
        <v>3212</v>
      </c>
      <c r="P1111" s="109"/>
      <c r="Q1111" s="41"/>
      <c r="R1111" s="111"/>
      <c r="S1111" s="110"/>
    </row>
    <row r="1112" spans="1:19">
      <c r="A1112" s="105">
        <v>2494</v>
      </c>
      <c r="B1112" s="41">
        <v>12000000</v>
      </c>
      <c r="C1112" s="41">
        <v>1.6000000000000001E-3</v>
      </c>
      <c r="D1112" s="41">
        <v>8</v>
      </c>
      <c r="E1112" s="41">
        <v>30</v>
      </c>
      <c r="F1112" s="41">
        <v>0</v>
      </c>
      <c r="G1112" s="41" t="s">
        <v>505</v>
      </c>
      <c r="H1112" s="41">
        <v>1</v>
      </c>
      <c r="I1112" s="41">
        <v>1</v>
      </c>
      <c r="J1112" s="108">
        <f>POWER(POWER(Table210[[#This Row],[mv]],4)/10,0.25)</f>
        <v>8.9974612030455862E-4</v>
      </c>
      <c r="K1112" s="41">
        <v>0</v>
      </c>
      <c r="L1112" s="41">
        <v>55</v>
      </c>
      <c r="M1112" s="41">
        <v>-1</v>
      </c>
      <c r="N1112" s="41">
        <v>2</v>
      </c>
      <c r="O1112" s="111" t="s">
        <v>3213</v>
      </c>
      <c r="P1112" s="109"/>
      <c r="Q1112" s="41"/>
      <c r="R1112" s="111"/>
      <c r="S1112" s="110"/>
    </row>
    <row r="1113" spans="1:19">
      <c r="A1113" s="105">
        <v>2495</v>
      </c>
      <c r="B1113" s="41">
        <v>12000000</v>
      </c>
      <c r="C1113" s="41">
        <v>1.6000000000000001E-3</v>
      </c>
      <c r="D1113" s="41">
        <v>11.313700000000001</v>
      </c>
      <c r="E1113" s="41">
        <v>30</v>
      </c>
      <c r="F1113" s="41">
        <v>0</v>
      </c>
      <c r="G1113" s="41" t="s">
        <v>505</v>
      </c>
      <c r="H1113" s="41">
        <v>1</v>
      </c>
      <c r="I1113" s="41">
        <v>1</v>
      </c>
      <c r="J1113" s="108">
        <f>POWER(POWER(Table210[[#This Row],[mv]],4)/10,0.25)</f>
        <v>8.9974612030455862E-4</v>
      </c>
      <c r="K1113" s="41">
        <v>0</v>
      </c>
      <c r="L1113" s="41">
        <v>55</v>
      </c>
      <c r="M1113" s="41">
        <v>-1</v>
      </c>
      <c r="N1113" s="41">
        <v>2</v>
      </c>
      <c r="O1113" s="111" t="s">
        <v>3214</v>
      </c>
      <c r="P1113" s="109"/>
      <c r="Q1113" s="41"/>
      <c r="R1113" s="111"/>
      <c r="S1113" s="110"/>
    </row>
    <row r="1114" spans="1:19">
      <c r="A1114" s="105">
        <v>2496</v>
      </c>
      <c r="B1114" s="41">
        <v>12000000</v>
      </c>
      <c r="C1114" s="41">
        <v>1.6000000000000001E-3</v>
      </c>
      <c r="D1114" s="41">
        <v>16</v>
      </c>
      <c r="E1114" s="41">
        <v>30</v>
      </c>
      <c r="F1114" s="41">
        <v>0</v>
      </c>
      <c r="G1114" s="41" t="s">
        <v>505</v>
      </c>
      <c r="H1114" s="41">
        <v>1</v>
      </c>
      <c r="I1114" s="41">
        <v>1</v>
      </c>
      <c r="J1114" s="108">
        <f>POWER(POWER(Table210[[#This Row],[mv]],4)/10,0.25)</f>
        <v>8.9974612030455862E-4</v>
      </c>
      <c r="K1114" s="41">
        <v>0</v>
      </c>
      <c r="L1114" s="41">
        <v>55</v>
      </c>
      <c r="M1114" s="41">
        <v>-1</v>
      </c>
      <c r="N1114" s="41">
        <v>2</v>
      </c>
      <c r="O1114" s="111" t="s">
        <v>3215</v>
      </c>
      <c r="P1114" s="109"/>
      <c r="Q1114" s="41"/>
      <c r="R1114" s="111"/>
      <c r="S1114" s="110"/>
    </row>
    <row r="1115" spans="1:19">
      <c r="A1115" s="105">
        <v>2497</v>
      </c>
      <c r="B1115" s="41">
        <v>12000000</v>
      </c>
      <c r="C1115" s="41">
        <v>1.6000000000000001E-3</v>
      </c>
      <c r="D1115" s="41">
        <v>22.627400000000002</v>
      </c>
      <c r="E1115" s="41">
        <v>30</v>
      </c>
      <c r="F1115" s="41">
        <v>0</v>
      </c>
      <c r="G1115" s="41" t="s">
        <v>505</v>
      </c>
      <c r="H1115" s="41">
        <v>1</v>
      </c>
      <c r="I1115" s="41">
        <v>1</v>
      </c>
      <c r="J1115" s="108">
        <f>POWER(POWER(Table210[[#This Row],[mv]],4)/10,0.25)</f>
        <v>8.9974612030455862E-4</v>
      </c>
      <c r="K1115" s="41">
        <v>0</v>
      </c>
      <c r="L1115" s="41">
        <v>55</v>
      </c>
      <c r="M1115" s="41">
        <v>-1</v>
      </c>
      <c r="N1115" s="41">
        <v>2</v>
      </c>
      <c r="O1115" s="111" t="s">
        <v>3216</v>
      </c>
      <c r="P1115" s="109"/>
      <c r="Q1115" s="41"/>
      <c r="R1115" s="111"/>
      <c r="S1115" s="110"/>
    </row>
    <row r="1116" spans="1:19">
      <c r="A1116" s="105">
        <v>2498</v>
      </c>
      <c r="B1116" s="41">
        <v>12000000</v>
      </c>
      <c r="C1116" s="41">
        <v>1.6999999999999999E-3</v>
      </c>
      <c r="D1116" s="41">
        <v>1</v>
      </c>
      <c r="E1116" s="41">
        <v>30</v>
      </c>
      <c r="F1116" s="41">
        <v>0</v>
      </c>
      <c r="G1116" s="41" t="s">
        <v>505</v>
      </c>
      <c r="H1116" s="41">
        <v>1</v>
      </c>
      <c r="I1116" s="41">
        <v>1</v>
      </c>
      <c r="J1116" s="108">
        <f>POWER(POWER(Table210[[#This Row],[mv]],4)/10,0.25)</f>
        <v>9.5598025282359327E-4</v>
      </c>
      <c r="K1116" s="41">
        <v>0</v>
      </c>
      <c r="L1116" s="41">
        <v>55</v>
      </c>
      <c r="M1116" s="41">
        <v>-1</v>
      </c>
      <c r="N1116" s="41">
        <v>2</v>
      </c>
      <c r="O1116" s="111" t="s">
        <v>3217</v>
      </c>
      <c r="P1116" s="109">
        <v>20186</v>
      </c>
      <c r="Q1116" s="41"/>
      <c r="R1116" s="111"/>
      <c r="S1116" s="110"/>
    </row>
    <row r="1117" spans="1:19">
      <c r="A1117" s="105">
        <v>2499</v>
      </c>
      <c r="B1117" s="41">
        <v>12000000</v>
      </c>
      <c r="C1117" s="41">
        <v>1.6999999999999999E-3</v>
      </c>
      <c r="D1117" s="41">
        <v>1.4141999999999999</v>
      </c>
      <c r="E1117" s="41">
        <v>30</v>
      </c>
      <c r="F1117" s="41">
        <v>0</v>
      </c>
      <c r="G1117" s="41" t="s">
        <v>505</v>
      </c>
      <c r="H1117" s="41">
        <v>1</v>
      </c>
      <c r="I1117" s="41">
        <v>1</v>
      </c>
      <c r="J1117" s="108">
        <f>POWER(POWER(Table210[[#This Row],[mv]],4)/10,0.25)</f>
        <v>9.5598025282359327E-4</v>
      </c>
      <c r="K1117" s="41">
        <v>0</v>
      </c>
      <c r="L1117" s="41">
        <v>55</v>
      </c>
      <c r="M1117" s="41">
        <v>-1</v>
      </c>
      <c r="N1117" s="41">
        <v>2</v>
      </c>
      <c r="O1117" s="111" t="s">
        <v>3218</v>
      </c>
      <c r="P1117" s="109"/>
      <c r="Q1117" s="41"/>
      <c r="R1117" s="111"/>
      <c r="S1117" s="110"/>
    </row>
    <row r="1118" spans="1:19">
      <c r="A1118" s="105">
        <v>2500</v>
      </c>
      <c r="B1118" s="41">
        <v>12000000</v>
      </c>
      <c r="C1118" s="41">
        <v>1.6999999999999999E-3</v>
      </c>
      <c r="D1118" s="41">
        <v>2</v>
      </c>
      <c r="E1118" s="41">
        <v>30</v>
      </c>
      <c r="F1118" s="41">
        <v>0</v>
      </c>
      <c r="G1118" s="41" t="s">
        <v>505</v>
      </c>
      <c r="H1118" s="41">
        <v>1</v>
      </c>
      <c r="I1118" s="41">
        <v>1</v>
      </c>
      <c r="J1118" s="108">
        <f>POWER(POWER(Table210[[#This Row],[mv]],4)/10,0.25)</f>
        <v>9.5598025282359327E-4</v>
      </c>
      <c r="K1118" s="41">
        <v>0</v>
      </c>
      <c r="L1118" s="41">
        <v>55</v>
      </c>
      <c r="M1118" s="41">
        <v>-1</v>
      </c>
      <c r="N1118" s="41">
        <v>2</v>
      </c>
      <c r="O1118" s="111" t="s">
        <v>3219</v>
      </c>
      <c r="P1118" s="109"/>
      <c r="Q1118" s="41"/>
      <c r="R1118" s="111"/>
      <c r="S1118" s="110"/>
    </row>
    <row r="1119" spans="1:19">
      <c r="A1119" s="105">
        <v>2501</v>
      </c>
      <c r="B1119" s="41">
        <v>12000000</v>
      </c>
      <c r="C1119" s="41">
        <v>1.6999999999999999E-3</v>
      </c>
      <c r="D1119" s="41">
        <v>2.8283999999999998</v>
      </c>
      <c r="E1119" s="41">
        <v>30</v>
      </c>
      <c r="F1119" s="41">
        <v>0</v>
      </c>
      <c r="G1119" s="41" t="s">
        <v>505</v>
      </c>
      <c r="H1119" s="41">
        <v>1</v>
      </c>
      <c r="I1119" s="41">
        <v>1</v>
      </c>
      <c r="J1119" s="108">
        <f>POWER(POWER(Table210[[#This Row],[mv]],4)/10,0.25)</f>
        <v>9.5598025282359327E-4</v>
      </c>
      <c r="K1119" s="41">
        <v>0</v>
      </c>
      <c r="L1119" s="41">
        <v>55</v>
      </c>
      <c r="M1119" s="41">
        <v>-1</v>
      </c>
      <c r="N1119" s="41">
        <v>2</v>
      </c>
      <c r="O1119" s="111" t="s">
        <v>3220</v>
      </c>
      <c r="P1119" s="109"/>
      <c r="Q1119" s="41"/>
      <c r="R1119" s="111"/>
      <c r="S1119" s="110"/>
    </row>
    <row r="1120" spans="1:19">
      <c r="A1120" s="105">
        <v>2502</v>
      </c>
      <c r="B1120" s="41">
        <v>12000000</v>
      </c>
      <c r="C1120" s="41">
        <v>1.6999999999999999E-3</v>
      </c>
      <c r="D1120" s="41">
        <v>4</v>
      </c>
      <c r="E1120" s="41">
        <v>30</v>
      </c>
      <c r="F1120" s="41">
        <v>0</v>
      </c>
      <c r="G1120" s="41" t="s">
        <v>505</v>
      </c>
      <c r="H1120" s="41">
        <v>1</v>
      </c>
      <c r="I1120" s="41">
        <v>1</v>
      </c>
      <c r="J1120" s="108">
        <f>POWER(POWER(Table210[[#This Row],[mv]],4)/10,0.25)</f>
        <v>9.5598025282359327E-4</v>
      </c>
      <c r="K1120" s="41">
        <v>0</v>
      </c>
      <c r="L1120" s="41">
        <v>55</v>
      </c>
      <c r="M1120" s="41">
        <v>-1</v>
      </c>
      <c r="N1120" s="41">
        <v>2</v>
      </c>
      <c r="O1120" s="111" t="s">
        <v>3221</v>
      </c>
      <c r="P1120" s="109"/>
      <c r="Q1120" s="41"/>
      <c r="R1120" s="111"/>
      <c r="S1120" s="110"/>
    </row>
    <row r="1121" spans="1:19">
      <c r="A1121" s="105">
        <v>2503</v>
      </c>
      <c r="B1121" s="41">
        <v>12000000</v>
      </c>
      <c r="C1121" s="41">
        <v>1.6999999999999999E-3</v>
      </c>
      <c r="D1121" s="41">
        <v>5.6569000000000003</v>
      </c>
      <c r="E1121" s="41">
        <v>30</v>
      </c>
      <c r="F1121" s="41">
        <v>0</v>
      </c>
      <c r="G1121" s="41" t="s">
        <v>505</v>
      </c>
      <c r="H1121" s="41">
        <v>1</v>
      </c>
      <c r="I1121" s="41">
        <v>1</v>
      </c>
      <c r="J1121" s="108">
        <f>POWER(POWER(Table210[[#This Row],[mv]],4)/10,0.25)</f>
        <v>9.5598025282359327E-4</v>
      </c>
      <c r="K1121" s="41">
        <v>0</v>
      </c>
      <c r="L1121" s="41">
        <v>55</v>
      </c>
      <c r="M1121" s="41">
        <v>-1</v>
      </c>
      <c r="N1121" s="41">
        <v>2</v>
      </c>
      <c r="O1121" s="111" t="s">
        <v>3222</v>
      </c>
      <c r="P1121" s="109"/>
      <c r="Q1121" s="41"/>
      <c r="R1121" s="111"/>
      <c r="S1121" s="110"/>
    </row>
    <row r="1122" spans="1:19">
      <c r="A1122" s="105">
        <v>2504</v>
      </c>
      <c r="B1122" s="41">
        <v>12000000</v>
      </c>
      <c r="C1122" s="41">
        <v>1.6999999999999999E-3</v>
      </c>
      <c r="D1122" s="41">
        <v>8</v>
      </c>
      <c r="E1122" s="41">
        <v>30</v>
      </c>
      <c r="F1122" s="41">
        <v>0</v>
      </c>
      <c r="G1122" s="41" t="s">
        <v>505</v>
      </c>
      <c r="H1122" s="41">
        <v>1</v>
      </c>
      <c r="I1122" s="41">
        <v>1</v>
      </c>
      <c r="J1122" s="108">
        <f>POWER(POWER(Table210[[#This Row],[mv]],4)/10,0.25)</f>
        <v>9.5598025282359327E-4</v>
      </c>
      <c r="K1122" s="41">
        <v>0</v>
      </c>
      <c r="L1122" s="41">
        <v>55</v>
      </c>
      <c r="M1122" s="41">
        <v>-1</v>
      </c>
      <c r="N1122" s="41">
        <v>2</v>
      </c>
      <c r="O1122" s="111" t="s">
        <v>3223</v>
      </c>
      <c r="P1122" s="109"/>
      <c r="Q1122" s="41"/>
      <c r="R1122" s="111"/>
      <c r="S1122" s="110"/>
    </row>
    <row r="1123" spans="1:19">
      <c r="A1123" s="105">
        <v>2505</v>
      </c>
      <c r="B1123" s="41">
        <v>12000000</v>
      </c>
      <c r="C1123" s="41">
        <v>1.6999999999999999E-3</v>
      </c>
      <c r="D1123" s="41">
        <v>11.313700000000001</v>
      </c>
      <c r="E1123" s="41">
        <v>30</v>
      </c>
      <c r="F1123" s="41">
        <v>0</v>
      </c>
      <c r="G1123" s="41" t="s">
        <v>505</v>
      </c>
      <c r="H1123" s="41">
        <v>1</v>
      </c>
      <c r="I1123" s="41">
        <v>1</v>
      </c>
      <c r="J1123" s="108">
        <f>POWER(POWER(Table210[[#This Row],[mv]],4)/10,0.25)</f>
        <v>9.5598025282359327E-4</v>
      </c>
      <c r="K1123" s="41">
        <v>0</v>
      </c>
      <c r="L1123" s="41">
        <v>55</v>
      </c>
      <c r="M1123" s="41">
        <v>-1</v>
      </c>
      <c r="N1123" s="41">
        <v>2</v>
      </c>
      <c r="O1123" s="111" t="s">
        <v>3224</v>
      </c>
      <c r="P1123" s="109"/>
      <c r="Q1123" s="41"/>
      <c r="R1123" s="111"/>
      <c r="S1123" s="110"/>
    </row>
    <row r="1124" spans="1:19">
      <c r="A1124" s="105">
        <v>2506</v>
      </c>
      <c r="B1124" s="41">
        <v>12000000</v>
      </c>
      <c r="C1124" s="41">
        <v>1.6999999999999999E-3</v>
      </c>
      <c r="D1124" s="41">
        <v>16</v>
      </c>
      <c r="E1124" s="41">
        <v>30</v>
      </c>
      <c r="F1124" s="41">
        <v>0</v>
      </c>
      <c r="G1124" s="41" t="s">
        <v>505</v>
      </c>
      <c r="H1124" s="41">
        <v>1</v>
      </c>
      <c r="I1124" s="41">
        <v>1</v>
      </c>
      <c r="J1124" s="108">
        <f>POWER(POWER(Table210[[#This Row],[mv]],4)/10,0.25)</f>
        <v>9.5598025282359327E-4</v>
      </c>
      <c r="K1124" s="41">
        <v>0</v>
      </c>
      <c r="L1124" s="41">
        <v>55</v>
      </c>
      <c r="M1124" s="41">
        <v>-1</v>
      </c>
      <c r="N1124" s="41">
        <v>2</v>
      </c>
      <c r="O1124" s="111" t="s">
        <v>3225</v>
      </c>
      <c r="P1124" s="109"/>
      <c r="Q1124" s="41"/>
      <c r="R1124" s="111"/>
      <c r="S1124" s="110"/>
    </row>
    <row r="1125" spans="1:19">
      <c r="A1125" s="105">
        <v>2507</v>
      </c>
      <c r="B1125" s="41">
        <v>12000000</v>
      </c>
      <c r="C1125" s="41">
        <v>1.6999999999999999E-3</v>
      </c>
      <c r="D1125" s="41">
        <v>22.627400000000002</v>
      </c>
      <c r="E1125" s="41">
        <v>30</v>
      </c>
      <c r="F1125" s="41">
        <v>0</v>
      </c>
      <c r="G1125" s="41" t="s">
        <v>505</v>
      </c>
      <c r="H1125" s="41">
        <v>1</v>
      </c>
      <c r="I1125" s="41">
        <v>1</v>
      </c>
      <c r="J1125" s="108">
        <f>POWER(POWER(Table210[[#This Row],[mv]],4)/10,0.25)</f>
        <v>9.5598025282359327E-4</v>
      </c>
      <c r="K1125" s="41">
        <v>0</v>
      </c>
      <c r="L1125" s="41">
        <v>55</v>
      </c>
      <c r="M1125" s="41">
        <v>-1</v>
      </c>
      <c r="N1125" s="41">
        <v>2</v>
      </c>
      <c r="O1125" s="111" t="s">
        <v>3226</v>
      </c>
      <c r="P1125" s="109"/>
      <c r="Q1125" s="41"/>
      <c r="R1125" s="111"/>
      <c r="S1125" s="110"/>
    </row>
    <row r="1126" spans="1:19">
      <c r="A1126" s="105">
        <v>2508</v>
      </c>
      <c r="B1126" s="41">
        <v>12000000</v>
      </c>
      <c r="C1126" s="41">
        <v>1.9E-3</v>
      </c>
      <c r="D1126" s="41">
        <v>1.4141999999999999</v>
      </c>
      <c r="E1126" s="41">
        <v>30</v>
      </c>
      <c r="F1126" s="41">
        <v>0</v>
      </c>
      <c r="G1126" s="41" t="s">
        <v>505</v>
      </c>
      <c r="H1126" s="41">
        <v>1</v>
      </c>
      <c r="I1126" s="41">
        <v>1</v>
      </c>
      <c r="J1126" s="108">
        <f>POWER(POWER(Table210[[#This Row],[mv]],4)/10,0.25)</f>
        <v>1.0684485178616638E-3</v>
      </c>
      <c r="K1126" s="41">
        <v>0</v>
      </c>
      <c r="L1126" s="41">
        <v>55</v>
      </c>
      <c r="M1126" s="41">
        <v>-1</v>
      </c>
      <c r="N1126" s="41">
        <v>2</v>
      </c>
      <c r="O1126" s="111" t="s">
        <v>3227</v>
      </c>
      <c r="P1126" s="109"/>
      <c r="Q1126" s="41"/>
      <c r="R1126" s="111"/>
      <c r="S1126" s="110"/>
    </row>
    <row r="1127" spans="1:19">
      <c r="A1127" s="105">
        <v>2509</v>
      </c>
      <c r="B1127" s="41">
        <v>12000000</v>
      </c>
      <c r="C1127" s="41">
        <v>1.9E-3</v>
      </c>
      <c r="D1127" s="41">
        <v>2</v>
      </c>
      <c r="E1127" s="41">
        <v>30</v>
      </c>
      <c r="F1127" s="41">
        <v>0</v>
      </c>
      <c r="G1127" s="41" t="s">
        <v>505</v>
      </c>
      <c r="H1127" s="41">
        <v>1</v>
      </c>
      <c r="I1127" s="41">
        <v>1</v>
      </c>
      <c r="J1127" s="108">
        <f>POWER(POWER(Table210[[#This Row],[mv]],4)/10,0.25)</f>
        <v>1.0684485178616638E-3</v>
      </c>
      <c r="K1127" s="41">
        <v>0</v>
      </c>
      <c r="L1127" s="41">
        <v>55</v>
      </c>
      <c r="M1127" s="41">
        <v>-1</v>
      </c>
      <c r="N1127" s="41">
        <v>2</v>
      </c>
      <c r="O1127" s="111" t="s">
        <v>3228</v>
      </c>
      <c r="P1127" s="109"/>
      <c r="Q1127" s="41"/>
      <c r="R1127" s="111"/>
      <c r="S1127" s="110"/>
    </row>
    <row r="1128" spans="1:19">
      <c r="A1128" s="105">
        <v>2510</v>
      </c>
      <c r="B1128" s="41">
        <v>12000000</v>
      </c>
      <c r="C1128" s="41">
        <v>1.9E-3</v>
      </c>
      <c r="D1128" s="41">
        <v>2.8283999999999998</v>
      </c>
      <c r="E1128" s="41">
        <v>30</v>
      </c>
      <c r="F1128" s="41">
        <v>0</v>
      </c>
      <c r="G1128" s="41" t="s">
        <v>505</v>
      </c>
      <c r="H1128" s="41">
        <v>1</v>
      </c>
      <c r="I1128" s="41">
        <v>1</v>
      </c>
      <c r="J1128" s="108">
        <f>POWER(POWER(Table210[[#This Row],[mv]],4)/10,0.25)</f>
        <v>1.0684485178616638E-3</v>
      </c>
      <c r="K1128" s="41">
        <v>0</v>
      </c>
      <c r="L1128" s="41">
        <v>55</v>
      </c>
      <c r="M1128" s="41">
        <v>-1</v>
      </c>
      <c r="N1128" s="41">
        <v>2</v>
      </c>
      <c r="O1128" s="111" t="s">
        <v>3229</v>
      </c>
      <c r="P1128" s="109"/>
      <c r="Q1128" s="41"/>
      <c r="R1128" s="111"/>
      <c r="S1128" s="110"/>
    </row>
    <row r="1129" spans="1:19">
      <c r="A1129" s="105">
        <v>2511</v>
      </c>
      <c r="B1129" s="41">
        <v>12000000</v>
      </c>
      <c r="C1129" s="41">
        <v>1.9E-3</v>
      </c>
      <c r="D1129" s="41">
        <v>4</v>
      </c>
      <c r="E1129" s="41">
        <v>30</v>
      </c>
      <c r="F1129" s="41">
        <v>0</v>
      </c>
      <c r="G1129" s="41" t="s">
        <v>505</v>
      </c>
      <c r="H1129" s="41">
        <v>1</v>
      </c>
      <c r="I1129" s="41">
        <v>1</v>
      </c>
      <c r="J1129" s="108">
        <f>POWER(POWER(Table210[[#This Row],[mv]],4)/10,0.25)</f>
        <v>1.0684485178616638E-3</v>
      </c>
      <c r="K1129" s="41">
        <v>0</v>
      </c>
      <c r="L1129" s="41">
        <v>55</v>
      </c>
      <c r="M1129" s="41">
        <v>-1</v>
      </c>
      <c r="N1129" s="41">
        <v>2</v>
      </c>
      <c r="O1129" s="111" t="s">
        <v>3230</v>
      </c>
      <c r="P1129" s="109"/>
      <c r="Q1129" s="41"/>
      <c r="R1129" s="111"/>
      <c r="S1129" s="110"/>
    </row>
    <row r="1130" spans="1:19">
      <c r="A1130" s="105">
        <v>2512</v>
      </c>
      <c r="B1130" s="41">
        <v>12000000</v>
      </c>
      <c r="C1130" s="41">
        <v>1.9E-3</v>
      </c>
      <c r="D1130" s="41">
        <v>5.6569000000000003</v>
      </c>
      <c r="E1130" s="41">
        <v>30</v>
      </c>
      <c r="F1130" s="41">
        <v>0</v>
      </c>
      <c r="G1130" s="41" t="s">
        <v>505</v>
      </c>
      <c r="H1130" s="41">
        <v>1</v>
      </c>
      <c r="I1130" s="41">
        <v>1</v>
      </c>
      <c r="J1130" s="108">
        <f>POWER(POWER(Table210[[#This Row],[mv]],4)/10,0.25)</f>
        <v>1.0684485178616638E-3</v>
      </c>
      <c r="K1130" s="41">
        <v>0</v>
      </c>
      <c r="L1130" s="41">
        <v>55</v>
      </c>
      <c r="M1130" s="41">
        <v>-1</v>
      </c>
      <c r="N1130" s="41">
        <v>2</v>
      </c>
      <c r="O1130" s="111" t="s">
        <v>3231</v>
      </c>
      <c r="P1130" s="109"/>
      <c r="Q1130" s="41"/>
      <c r="R1130" s="111"/>
      <c r="S1130" s="110"/>
    </row>
    <row r="1131" spans="1:19">
      <c r="A1131" s="105">
        <v>2513</v>
      </c>
      <c r="B1131" s="41">
        <v>12000000</v>
      </c>
      <c r="C1131" s="41">
        <v>1.9E-3</v>
      </c>
      <c r="D1131" s="41">
        <v>8</v>
      </c>
      <c r="E1131" s="41">
        <v>30</v>
      </c>
      <c r="F1131" s="41">
        <v>0</v>
      </c>
      <c r="G1131" s="41" t="s">
        <v>505</v>
      </c>
      <c r="H1131" s="41">
        <v>1</v>
      </c>
      <c r="I1131" s="41">
        <v>1</v>
      </c>
      <c r="J1131" s="108">
        <f>POWER(POWER(Table210[[#This Row],[mv]],4)/10,0.25)</f>
        <v>1.0684485178616638E-3</v>
      </c>
      <c r="K1131" s="41">
        <v>0</v>
      </c>
      <c r="L1131" s="41">
        <v>55</v>
      </c>
      <c r="M1131" s="41">
        <v>-1</v>
      </c>
      <c r="N1131" s="41">
        <v>2</v>
      </c>
      <c r="O1131" s="111" t="s">
        <v>3232</v>
      </c>
      <c r="P1131" s="109"/>
      <c r="Q1131" s="41"/>
      <c r="R1131" s="111"/>
      <c r="S1131" s="110"/>
    </row>
    <row r="1132" spans="1:19">
      <c r="A1132" s="105">
        <v>2514</v>
      </c>
      <c r="B1132" s="41">
        <v>12000000</v>
      </c>
      <c r="C1132" s="41">
        <v>1.9E-3</v>
      </c>
      <c r="D1132" s="41">
        <v>11.313700000000001</v>
      </c>
      <c r="E1132" s="41">
        <v>30</v>
      </c>
      <c r="F1132" s="41">
        <v>0</v>
      </c>
      <c r="G1132" s="41" t="s">
        <v>505</v>
      </c>
      <c r="H1132" s="41">
        <v>1</v>
      </c>
      <c r="I1132" s="41">
        <v>1</v>
      </c>
      <c r="J1132" s="108">
        <f>POWER(POWER(Table210[[#This Row],[mv]],4)/10,0.25)</f>
        <v>1.0684485178616638E-3</v>
      </c>
      <c r="K1132" s="41">
        <v>0</v>
      </c>
      <c r="L1132" s="41">
        <v>55</v>
      </c>
      <c r="M1132" s="41">
        <v>-1</v>
      </c>
      <c r="N1132" s="41">
        <v>2</v>
      </c>
      <c r="O1132" s="111" t="s">
        <v>3233</v>
      </c>
      <c r="P1132" s="109"/>
      <c r="Q1132" s="41"/>
      <c r="R1132" s="111"/>
      <c r="S1132" s="110"/>
    </row>
    <row r="1133" spans="1:19">
      <c r="A1133" s="105">
        <v>2515</v>
      </c>
      <c r="B1133" s="41">
        <v>12000000</v>
      </c>
      <c r="C1133" s="41">
        <v>1.9E-3</v>
      </c>
      <c r="D1133" s="41">
        <v>16</v>
      </c>
      <c r="E1133" s="41">
        <v>30</v>
      </c>
      <c r="F1133" s="41">
        <v>0</v>
      </c>
      <c r="G1133" s="41" t="s">
        <v>505</v>
      </c>
      <c r="H1133" s="41">
        <v>1</v>
      </c>
      <c r="I1133" s="41">
        <v>1</v>
      </c>
      <c r="J1133" s="108">
        <f>POWER(POWER(Table210[[#This Row],[mv]],4)/10,0.25)</f>
        <v>1.0684485178616638E-3</v>
      </c>
      <c r="K1133" s="41">
        <v>0</v>
      </c>
      <c r="L1133" s="41">
        <v>55</v>
      </c>
      <c r="M1133" s="41">
        <v>-1</v>
      </c>
      <c r="N1133" s="41">
        <v>2</v>
      </c>
      <c r="O1133" s="111" t="s">
        <v>3234</v>
      </c>
      <c r="P1133" s="109"/>
      <c r="Q1133" s="41"/>
      <c r="R1133" s="111"/>
      <c r="S1133" s="110"/>
    </row>
    <row r="1134" spans="1:19">
      <c r="A1134" s="105">
        <v>2516</v>
      </c>
      <c r="B1134" s="41">
        <v>12000000</v>
      </c>
      <c r="C1134" s="41">
        <v>1.9E-3</v>
      </c>
      <c r="D1134" s="41">
        <v>22.627400000000002</v>
      </c>
      <c r="E1134" s="41">
        <v>30</v>
      </c>
      <c r="F1134" s="41">
        <v>0</v>
      </c>
      <c r="G1134" s="41" t="s">
        <v>505</v>
      </c>
      <c r="H1134" s="41">
        <v>1</v>
      </c>
      <c r="I1134" s="41">
        <v>1</v>
      </c>
      <c r="J1134" s="108">
        <f>POWER(POWER(Table210[[#This Row],[mv]],4)/10,0.25)</f>
        <v>1.0684485178616638E-3</v>
      </c>
      <c r="K1134" s="41">
        <v>0</v>
      </c>
      <c r="L1134" s="41">
        <v>55</v>
      </c>
      <c r="M1134" s="41">
        <v>-1</v>
      </c>
      <c r="N1134" s="41">
        <v>2</v>
      </c>
      <c r="O1134" s="111" t="s">
        <v>3235</v>
      </c>
      <c r="P1134" s="109"/>
      <c r="Q1134" s="41"/>
      <c r="R1134" s="111"/>
      <c r="S1134" s="110"/>
    </row>
    <row r="1135" spans="1:19">
      <c r="A1135" s="105">
        <v>2517</v>
      </c>
      <c r="B1135" s="41">
        <v>12000000</v>
      </c>
      <c r="C1135" s="41">
        <v>1.9E-3</v>
      </c>
      <c r="D1135" s="41">
        <v>32</v>
      </c>
      <c r="E1135" s="41">
        <v>30</v>
      </c>
      <c r="F1135" s="41">
        <v>0</v>
      </c>
      <c r="G1135" s="41" t="s">
        <v>505</v>
      </c>
      <c r="H1135" s="41">
        <v>1</v>
      </c>
      <c r="I1135" s="41">
        <v>1</v>
      </c>
      <c r="J1135" s="108">
        <f>POWER(POWER(Table210[[#This Row],[mv]],4)/10,0.25)</f>
        <v>1.0684485178616638E-3</v>
      </c>
      <c r="K1135" s="41">
        <v>0</v>
      </c>
      <c r="L1135" s="41">
        <v>55</v>
      </c>
      <c r="M1135" s="41">
        <v>-1</v>
      </c>
      <c r="N1135" s="41">
        <v>2</v>
      </c>
      <c r="O1135" s="111" t="s">
        <v>3236</v>
      </c>
      <c r="P1135" s="109"/>
      <c r="Q1135" s="41"/>
      <c r="R1135" s="111"/>
      <c r="S1135" s="110"/>
    </row>
    <row r="1136" spans="1:19">
      <c r="A1136" s="105">
        <v>2518</v>
      </c>
      <c r="B1136" s="41">
        <v>12000000</v>
      </c>
      <c r="C1136" s="41">
        <v>2.0999999999999999E-3</v>
      </c>
      <c r="D1136" s="41">
        <v>1.4141999999999999</v>
      </c>
      <c r="E1136" s="41">
        <v>30</v>
      </c>
      <c r="F1136" s="41">
        <v>0</v>
      </c>
      <c r="G1136" s="41" t="s">
        <v>505</v>
      </c>
      <c r="H1136" s="41">
        <v>1</v>
      </c>
      <c r="I1136" s="41">
        <v>1</v>
      </c>
      <c r="J1136" s="108">
        <f>POWER(POWER(Table210[[#This Row],[mv]],4)/10,0.25)</f>
        <v>1.1809167828997333E-3</v>
      </c>
      <c r="K1136" s="41">
        <v>0</v>
      </c>
      <c r="L1136" s="41">
        <v>55</v>
      </c>
      <c r="M1136" s="41">
        <v>-1</v>
      </c>
      <c r="N1136" s="41">
        <v>2</v>
      </c>
      <c r="O1136" s="111" t="s">
        <v>3237</v>
      </c>
      <c r="P1136" s="109"/>
      <c r="Q1136" s="41"/>
      <c r="R1136" s="111"/>
      <c r="S1136" s="110"/>
    </row>
    <row r="1137" spans="1:19">
      <c r="A1137" s="105">
        <v>2519</v>
      </c>
      <c r="B1137" s="41">
        <v>12000000</v>
      </c>
      <c r="C1137" s="41">
        <v>2.0999999999999999E-3</v>
      </c>
      <c r="D1137" s="41">
        <v>2</v>
      </c>
      <c r="E1137" s="41">
        <v>30</v>
      </c>
      <c r="F1137" s="41">
        <v>0</v>
      </c>
      <c r="G1137" s="41" t="s">
        <v>505</v>
      </c>
      <c r="H1137" s="41">
        <v>1</v>
      </c>
      <c r="I1137" s="41">
        <v>1</v>
      </c>
      <c r="J1137" s="108">
        <f>POWER(POWER(Table210[[#This Row],[mv]],4)/10,0.25)</f>
        <v>1.1809167828997333E-3</v>
      </c>
      <c r="K1137" s="41">
        <v>0</v>
      </c>
      <c r="L1137" s="41">
        <v>55</v>
      </c>
      <c r="M1137" s="41">
        <v>-1</v>
      </c>
      <c r="N1137" s="41">
        <v>2</v>
      </c>
      <c r="O1137" s="111" t="s">
        <v>3238</v>
      </c>
      <c r="P1137" s="109"/>
      <c r="Q1137" s="41"/>
      <c r="R1137" s="111"/>
      <c r="S1137" s="110"/>
    </row>
    <row r="1138" spans="1:19">
      <c r="A1138" s="105">
        <v>2520</v>
      </c>
      <c r="B1138" s="41">
        <v>12000000</v>
      </c>
      <c r="C1138" s="41">
        <v>2.0999999999999999E-3</v>
      </c>
      <c r="D1138" s="41">
        <v>2.8283999999999998</v>
      </c>
      <c r="E1138" s="41">
        <v>30</v>
      </c>
      <c r="F1138" s="41">
        <v>0</v>
      </c>
      <c r="G1138" s="41" t="s">
        <v>505</v>
      </c>
      <c r="H1138" s="41">
        <v>1</v>
      </c>
      <c r="I1138" s="41">
        <v>1</v>
      </c>
      <c r="J1138" s="108">
        <f>POWER(POWER(Table210[[#This Row],[mv]],4)/10,0.25)</f>
        <v>1.1809167828997333E-3</v>
      </c>
      <c r="K1138" s="41">
        <v>0</v>
      </c>
      <c r="L1138" s="41">
        <v>55</v>
      </c>
      <c r="M1138" s="41">
        <v>-1</v>
      </c>
      <c r="N1138" s="41">
        <v>2</v>
      </c>
      <c r="O1138" s="111" t="s">
        <v>3239</v>
      </c>
      <c r="P1138" s="109"/>
      <c r="Q1138" s="41"/>
      <c r="R1138" s="111"/>
      <c r="S1138" s="110"/>
    </row>
    <row r="1139" spans="1:19">
      <c r="A1139" s="105">
        <v>2521</v>
      </c>
      <c r="B1139" s="41">
        <v>12000000</v>
      </c>
      <c r="C1139" s="41">
        <v>2.0999999999999999E-3</v>
      </c>
      <c r="D1139" s="41">
        <v>4</v>
      </c>
      <c r="E1139" s="41">
        <v>30</v>
      </c>
      <c r="F1139" s="41">
        <v>0</v>
      </c>
      <c r="G1139" s="41" t="s">
        <v>505</v>
      </c>
      <c r="H1139" s="41">
        <v>1</v>
      </c>
      <c r="I1139" s="41">
        <v>1</v>
      </c>
      <c r="J1139" s="108">
        <f>POWER(POWER(Table210[[#This Row],[mv]],4)/10,0.25)</f>
        <v>1.1809167828997333E-3</v>
      </c>
      <c r="K1139" s="41">
        <v>0</v>
      </c>
      <c r="L1139" s="41">
        <v>55</v>
      </c>
      <c r="M1139" s="41">
        <v>-1</v>
      </c>
      <c r="N1139" s="41">
        <v>2</v>
      </c>
      <c r="O1139" s="111" t="s">
        <v>3240</v>
      </c>
      <c r="P1139" s="109"/>
      <c r="Q1139" s="41"/>
      <c r="R1139" s="111"/>
      <c r="S1139" s="110"/>
    </row>
    <row r="1140" spans="1:19">
      <c r="A1140" s="105">
        <v>2522</v>
      </c>
      <c r="B1140" s="41">
        <v>12000000</v>
      </c>
      <c r="C1140" s="41">
        <v>2.0999999999999999E-3</v>
      </c>
      <c r="D1140" s="41">
        <v>5.6569000000000003</v>
      </c>
      <c r="E1140" s="41">
        <v>30</v>
      </c>
      <c r="F1140" s="41">
        <v>0</v>
      </c>
      <c r="G1140" s="41" t="s">
        <v>505</v>
      </c>
      <c r="H1140" s="41">
        <v>1</v>
      </c>
      <c r="I1140" s="41">
        <v>1</v>
      </c>
      <c r="J1140" s="108">
        <f>POWER(POWER(Table210[[#This Row],[mv]],4)/10,0.25)</f>
        <v>1.1809167828997333E-3</v>
      </c>
      <c r="K1140" s="41">
        <v>0</v>
      </c>
      <c r="L1140" s="41">
        <v>55</v>
      </c>
      <c r="M1140" s="41">
        <v>-1</v>
      </c>
      <c r="N1140" s="41">
        <v>2</v>
      </c>
      <c r="O1140" s="111" t="s">
        <v>3241</v>
      </c>
      <c r="P1140" s="109"/>
      <c r="Q1140" s="41"/>
      <c r="R1140" s="111"/>
      <c r="S1140" s="110"/>
    </row>
    <row r="1141" spans="1:19">
      <c r="A1141" s="105">
        <v>2523</v>
      </c>
      <c r="B1141" s="41">
        <v>12000000</v>
      </c>
      <c r="C1141" s="41">
        <v>2.0999999999999999E-3</v>
      </c>
      <c r="D1141" s="41">
        <v>8</v>
      </c>
      <c r="E1141" s="41">
        <v>30</v>
      </c>
      <c r="F1141" s="41">
        <v>0</v>
      </c>
      <c r="G1141" s="41" t="s">
        <v>505</v>
      </c>
      <c r="H1141" s="41">
        <v>1</v>
      </c>
      <c r="I1141" s="41">
        <v>1</v>
      </c>
      <c r="J1141" s="108">
        <f>POWER(POWER(Table210[[#This Row],[mv]],4)/10,0.25)</f>
        <v>1.1809167828997333E-3</v>
      </c>
      <c r="K1141" s="41">
        <v>0</v>
      </c>
      <c r="L1141" s="41">
        <v>55</v>
      </c>
      <c r="M1141" s="41">
        <v>-1</v>
      </c>
      <c r="N1141" s="41">
        <v>2</v>
      </c>
      <c r="O1141" s="111" t="s">
        <v>3242</v>
      </c>
      <c r="P1141" s="109"/>
      <c r="Q1141" s="41"/>
      <c r="R1141" s="111"/>
      <c r="S1141" s="110"/>
    </row>
    <row r="1142" spans="1:19">
      <c r="A1142" s="105">
        <v>2524</v>
      </c>
      <c r="B1142" s="41">
        <v>12000000</v>
      </c>
      <c r="C1142" s="41">
        <v>2.0999999999999999E-3</v>
      </c>
      <c r="D1142" s="41">
        <v>11.313700000000001</v>
      </c>
      <c r="E1142" s="41">
        <v>30</v>
      </c>
      <c r="F1142" s="41">
        <v>0</v>
      </c>
      <c r="G1142" s="41" t="s">
        <v>505</v>
      </c>
      <c r="H1142" s="41">
        <v>1</v>
      </c>
      <c r="I1142" s="41">
        <v>1</v>
      </c>
      <c r="J1142" s="108">
        <f>POWER(POWER(Table210[[#This Row],[mv]],4)/10,0.25)</f>
        <v>1.1809167828997333E-3</v>
      </c>
      <c r="K1142" s="41">
        <v>0</v>
      </c>
      <c r="L1142" s="41">
        <v>55</v>
      </c>
      <c r="M1142" s="41">
        <v>-1</v>
      </c>
      <c r="N1142" s="41">
        <v>2</v>
      </c>
      <c r="O1142" s="111" t="s">
        <v>3243</v>
      </c>
      <c r="P1142" s="109"/>
      <c r="Q1142" s="41"/>
      <c r="R1142" s="111"/>
      <c r="S1142" s="110"/>
    </row>
    <row r="1143" spans="1:19">
      <c r="A1143" s="105">
        <v>2525</v>
      </c>
      <c r="B1143" s="41">
        <v>12000000</v>
      </c>
      <c r="C1143" s="41">
        <v>2.0999999999999999E-3</v>
      </c>
      <c r="D1143" s="41">
        <v>16</v>
      </c>
      <c r="E1143" s="41">
        <v>30</v>
      </c>
      <c r="F1143" s="41">
        <v>0</v>
      </c>
      <c r="G1143" s="41" t="s">
        <v>505</v>
      </c>
      <c r="H1143" s="41">
        <v>1</v>
      </c>
      <c r="I1143" s="41">
        <v>1</v>
      </c>
      <c r="J1143" s="108">
        <f>POWER(POWER(Table210[[#This Row],[mv]],4)/10,0.25)</f>
        <v>1.1809167828997333E-3</v>
      </c>
      <c r="K1143" s="41">
        <v>0</v>
      </c>
      <c r="L1143" s="41">
        <v>55</v>
      </c>
      <c r="M1143" s="41">
        <v>-1</v>
      </c>
      <c r="N1143" s="41">
        <v>2</v>
      </c>
      <c r="O1143" s="111" t="s">
        <v>3244</v>
      </c>
      <c r="P1143" s="109"/>
      <c r="Q1143" s="41"/>
      <c r="R1143" s="111"/>
      <c r="S1143" s="110"/>
    </row>
    <row r="1144" spans="1:19">
      <c r="A1144" s="105">
        <v>2526</v>
      </c>
      <c r="B1144" s="41">
        <v>12000000</v>
      </c>
      <c r="C1144" s="41">
        <v>2.0999999999999999E-3</v>
      </c>
      <c r="D1144" s="41">
        <v>22.627400000000002</v>
      </c>
      <c r="E1144" s="41">
        <v>30</v>
      </c>
      <c r="F1144" s="41">
        <v>0</v>
      </c>
      <c r="G1144" s="41" t="s">
        <v>505</v>
      </c>
      <c r="H1144" s="41">
        <v>1</v>
      </c>
      <c r="I1144" s="41">
        <v>1</v>
      </c>
      <c r="J1144" s="108">
        <f>POWER(POWER(Table210[[#This Row],[mv]],4)/10,0.25)</f>
        <v>1.1809167828997333E-3</v>
      </c>
      <c r="K1144" s="41">
        <v>0</v>
      </c>
      <c r="L1144" s="41">
        <v>55</v>
      </c>
      <c r="M1144" s="41">
        <v>-1</v>
      </c>
      <c r="N1144" s="41">
        <v>2</v>
      </c>
      <c r="O1144" s="111" t="s">
        <v>3245</v>
      </c>
      <c r="P1144" s="109"/>
      <c r="Q1144" s="41"/>
      <c r="R1144" s="111"/>
      <c r="S1144" s="110"/>
    </row>
    <row r="1145" spans="1:19">
      <c r="A1145" s="105">
        <v>2527</v>
      </c>
      <c r="B1145" s="41">
        <v>12000000</v>
      </c>
      <c r="C1145" s="41">
        <v>2.0999999999999999E-3</v>
      </c>
      <c r="D1145" s="41">
        <v>32</v>
      </c>
      <c r="E1145" s="41">
        <v>30</v>
      </c>
      <c r="F1145" s="41">
        <v>0</v>
      </c>
      <c r="G1145" s="41" t="s">
        <v>505</v>
      </c>
      <c r="H1145" s="41">
        <v>1</v>
      </c>
      <c r="I1145" s="41">
        <v>1</v>
      </c>
      <c r="J1145" s="108">
        <f>POWER(POWER(Table210[[#This Row],[mv]],4)/10,0.25)</f>
        <v>1.1809167828997333E-3</v>
      </c>
      <c r="K1145" s="41">
        <v>0</v>
      </c>
      <c r="L1145" s="41">
        <v>55</v>
      </c>
      <c r="M1145" s="41">
        <v>-1</v>
      </c>
      <c r="N1145" s="41">
        <v>2</v>
      </c>
      <c r="O1145" s="111" t="s">
        <v>3246</v>
      </c>
      <c r="P1145" s="109"/>
      <c r="Q1145" s="41"/>
      <c r="R1145" s="111"/>
      <c r="S1145" s="110"/>
    </row>
    <row r="1146" spans="1:19">
      <c r="A1146" s="105">
        <v>2528</v>
      </c>
      <c r="B1146" s="41">
        <v>12000000</v>
      </c>
      <c r="C1146" s="41">
        <v>2.3E-3</v>
      </c>
      <c r="D1146" s="41">
        <v>2</v>
      </c>
      <c r="E1146" s="41">
        <v>30</v>
      </c>
      <c r="F1146" s="41">
        <v>0</v>
      </c>
      <c r="G1146" s="41" t="s">
        <v>505</v>
      </c>
      <c r="H1146" s="41">
        <v>1</v>
      </c>
      <c r="I1146" s="41">
        <v>1</v>
      </c>
      <c r="J1146" s="108">
        <f>POWER(POWER(Table210[[#This Row],[mv]],4)/10,0.25)</f>
        <v>1.2933850479378026E-3</v>
      </c>
      <c r="K1146" s="41">
        <v>0</v>
      </c>
      <c r="L1146" s="41">
        <v>55</v>
      </c>
      <c r="M1146" s="41">
        <v>-1</v>
      </c>
      <c r="N1146" s="41">
        <v>2</v>
      </c>
      <c r="O1146" s="111" t="s">
        <v>3247</v>
      </c>
      <c r="P1146" s="109"/>
      <c r="Q1146" s="41"/>
      <c r="R1146" s="111"/>
      <c r="S1146" s="110"/>
    </row>
    <row r="1147" spans="1:19">
      <c r="A1147" s="105">
        <v>2529</v>
      </c>
      <c r="B1147" s="41">
        <v>12000000</v>
      </c>
      <c r="C1147" s="41">
        <v>2.3E-3</v>
      </c>
      <c r="D1147" s="41">
        <v>2.8283999999999998</v>
      </c>
      <c r="E1147" s="41">
        <v>30</v>
      </c>
      <c r="F1147" s="41">
        <v>0</v>
      </c>
      <c r="G1147" s="41" t="s">
        <v>505</v>
      </c>
      <c r="H1147" s="41">
        <v>1</v>
      </c>
      <c r="I1147" s="41">
        <v>1</v>
      </c>
      <c r="J1147" s="108">
        <f>POWER(POWER(Table210[[#This Row],[mv]],4)/10,0.25)</f>
        <v>1.2933850479378026E-3</v>
      </c>
      <c r="K1147" s="41">
        <v>0</v>
      </c>
      <c r="L1147" s="41">
        <v>55</v>
      </c>
      <c r="M1147" s="41">
        <v>-1</v>
      </c>
      <c r="N1147" s="41">
        <v>2</v>
      </c>
      <c r="O1147" s="111" t="s">
        <v>3248</v>
      </c>
      <c r="P1147" s="109"/>
      <c r="Q1147" s="41"/>
      <c r="R1147" s="111"/>
      <c r="S1147" s="110"/>
    </row>
    <row r="1148" spans="1:19">
      <c r="A1148" s="105">
        <v>2530</v>
      </c>
      <c r="B1148" s="41">
        <v>12000000</v>
      </c>
      <c r="C1148" s="41">
        <v>2.3E-3</v>
      </c>
      <c r="D1148" s="41">
        <v>4</v>
      </c>
      <c r="E1148" s="41">
        <v>30</v>
      </c>
      <c r="F1148" s="41">
        <v>0</v>
      </c>
      <c r="G1148" s="41" t="s">
        <v>505</v>
      </c>
      <c r="H1148" s="41">
        <v>1</v>
      </c>
      <c r="I1148" s="41">
        <v>1</v>
      </c>
      <c r="J1148" s="108">
        <f>POWER(POWER(Table210[[#This Row],[mv]],4)/10,0.25)</f>
        <v>1.2933850479378026E-3</v>
      </c>
      <c r="K1148" s="41">
        <v>0</v>
      </c>
      <c r="L1148" s="41">
        <v>55</v>
      </c>
      <c r="M1148" s="41">
        <v>-1</v>
      </c>
      <c r="N1148" s="41">
        <v>2</v>
      </c>
      <c r="O1148" s="111" t="s">
        <v>3249</v>
      </c>
      <c r="P1148" s="109"/>
      <c r="Q1148" s="41"/>
      <c r="R1148" s="111"/>
      <c r="S1148" s="110"/>
    </row>
    <row r="1149" spans="1:19">
      <c r="A1149" s="105">
        <v>2531</v>
      </c>
      <c r="B1149" s="41">
        <v>12000000</v>
      </c>
      <c r="C1149" s="41">
        <v>2.3E-3</v>
      </c>
      <c r="D1149" s="41">
        <v>5.6569000000000003</v>
      </c>
      <c r="E1149" s="41">
        <v>30</v>
      </c>
      <c r="F1149" s="41">
        <v>0</v>
      </c>
      <c r="G1149" s="41" t="s">
        <v>505</v>
      </c>
      <c r="H1149" s="41">
        <v>1</v>
      </c>
      <c r="I1149" s="41">
        <v>1</v>
      </c>
      <c r="J1149" s="108">
        <f>POWER(POWER(Table210[[#This Row],[mv]],4)/10,0.25)</f>
        <v>1.2933850479378026E-3</v>
      </c>
      <c r="K1149" s="41">
        <v>0</v>
      </c>
      <c r="L1149" s="41">
        <v>55</v>
      </c>
      <c r="M1149" s="41">
        <v>-1</v>
      </c>
      <c r="N1149" s="41">
        <v>2</v>
      </c>
      <c r="O1149" s="111" t="s">
        <v>3250</v>
      </c>
      <c r="P1149" s="109"/>
      <c r="Q1149" s="41"/>
      <c r="R1149" s="111"/>
      <c r="S1149" s="110"/>
    </row>
    <row r="1150" spans="1:19">
      <c r="A1150" s="105">
        <v>2532</v>
      </c>
      <c r="B1150" s="41">
        <v>12000000</v>
      </c>
      <c r="C1150" s="41">
        <v>2.3E-3</v>
      </c>
      <c r="D1150" s="41">
        <v>8</v>
      </c>
      <c r="E1150" s="41">
        <v>30</v>
      </c>
      <c r="F1150" s="41">
        <v>0</v>
      </c>
      <c r="G1150" s="41" t="s">
        <v>505</v>
      </c>
      <c r="H1150" s="41">
        <v>1</v>
      </c>
      <c r="I1150" s="41">
        <v>1</v>
      </c>
      <c r="J1150" s="108">
        <f>POWER(POWER(Table210[[#This Row],[mv]],4)/10,0.25)</f>
        <v>1.2933850479378026E-3</v>
      </c>
      <c r="K1150" s="41">
        <v>0</v>
      </c>
      <c r="L1150" s="41">
        <v>55</v>
      </c>
      <c r="M1150" s="41">
        <v>-1</v>
      </c>
      <c r="N1150" s="41">
        <v>2</v>
      </c>
      <c r="O1150" s="111" t="s">
        <v>3251</v>
      </c>
      <c r="P1150" s="109"/>
      <c r="Q1150" s="41"/>
      <c r="R1150" s="111"/>
      <c r="S1150" s="110"/>
    </row>
    <row r="1151" spans="1:19">
      <c r="A1151" s="105">
        <v>2533</v>
      </c>
      <c r="B1151" s="41">
        <v>12000000</v>
      </c>
      <c r="C1151" s="41">
        <v>2.3E-3</v>
      </c>
      <c r="D1151" s="41">
        <v>11.313700000000001</v>
      </c>
      <c r="E1151" s="41">
        <v>30</v>
      </c>
      <c r="F1151" s="41">
        <v>0</v>
      </c>
      <c r="G1151" s="41" t="s">
        <v>505</v>
      </c>
      <c r="H1151" s="41">
        <v>1</v>
      </c>
      <c r="I1151" s="41">
        <v>1</v>
      </c>
      <c r="J1151" s="108">
        <f>POWER(POWER(Table210[[#This Row],[mv]],4)/10,0.25)</f>
        <v>1.2933850479378026E-3</v>
      </c>
      <c r="K1151" s="41">
        <v>0</v>
      </c>
      <c r="L1151" s="41">
        <v>55</v>
      </c>
      <c r="M1151" s="41">
        <v>-1</v>
      </c>
      <c r="N1151" s="41">
        <v>2</v>
      </c>
      <c r="O1151" s="111" t="s">
        <v>3252</v>
      </c>
      <c r="P1151" s="109"/>
      <c r="Q1151" s="41"/>
      <c r="R1151" s="111"/>
      <c r="S1151" s="110"/>
    </row>
    <row r="1152" spans="1:19">
      <c r="A1152" s="105">
        <v>2534</v>
      </c>
      <c r="B1152" s="41">
        <v>12000000</v>
      </c>
      <c r="C1152" s="41">
        <v>2.3E-3</v>
      </c>
      <c r="D1152" s="41">
        <v>16</v>
      </c>
      <c r="E1152" s="41">
        <v>30</v>
      </c>
      <c r="F1152" s="41">
        <v>0</v>
      </c>
      <c r="G1152" s="41" t="s">
        <v>505</v>
      </c>
      <c r="H1152" s="41">
        <v>1</v>
      </c>
      <c r="I1152" s="41">
        <v>1</v>
      </c>
      <c r="J1152" s="108">
        <f>POWER(POWER(Table210[[#This Row],[mv]],4)/10,0.25)</f>
        <v>1.2933850479378026E-3</v>
      </c>
      <c r="K1152" s="41">
        <v>0</v>
      </c>
      <c r="L1152" s="41">
        <v>55</v>
      </c>
      <c r="M1152" s="41">
        <v>-1</v>
      </c>
      <c r="N1152" s="41">
        <v>2</v>
      </c>
      <c r="O1152" s="111" t="s">
        <v>3253</v>
      </c>
      <c r="P1152" s="109"/>
      <c r="Q1152" s="41"/>
      <c r="R1152" s="111"/>
      <c r="S1152" s="110"/>
    </row>
    <row r="1153" spans="1:19">
      <c r="A1153" s="105">
        <v>2535</v>
      </c>
      <c r="B1153" s="41">
        <v>12000000</v>
      </c>
      <c r="C1153" s="41">
        <v>2.3E-3</v>
      </c>
      <c r="D1153" s="41">
        <v>22.627400000000002</v>
      </c>
      <c r="E1153" s="41">
        <v>30</v>
      </c>
      <c r="F1153" s="41">
        <v>0</v>
      </c>
      <c r="G1153" s="41" t="s">
        <v>505</v>
      </c>
      <c r="H1153" s="41">
        <v>1</v>
      </c>
      <c r="I1153" s="41">
        <v>1</v>
      </c>
      <c r="J1153" s="108">
        <f>POWER(POWER(Table210[[#This Row],[mv]],4)/10,0.25)</f>
        <v>1.2933850479378026E-3</v>
      </c>
      <c r="K1153" s="41">
        <v>0</v>
      </c>
      <c r="L1153" s="41">
        <v>55</v>
      </c>
      <c r="M1153" s="41">
        <v>-1</v>
      </c>
      <c r="N1153" s="41">
        <v>2</v>
      </c>
      <c r="O1153" s="111" t="s">
        <v>3254</v>
      </c>
      <c r="P1153" s="109"/>
      <c r="Q1153" s="41"/>
      <c r="R1153" s="111"/>
      <c r="S1153" s="110"/>
    </row>
    <row r="1154" spans="1:19">
      <c r="A1154" s="105">
        <v>2536</v>
      </c>
      <c r="B1154" s="41">
        <v>12000000</v>
      </c>
      <c r="C1154" s="41">
        <v>2.3E-3</v>
      </c>
      <c r="D1154" s="41">
        <v>32</v>
      </c>
      <c r="E1154" s="41">
        <v>30</v>
      </c>
      <c r="F1154" s="41">
        <v>0</v>
      </c>
      <c r="G1154" s="41" t="s">
        <v>505</v>
      </c>
      <c r="H1154" s="41">
        <v>1</v>
      </c>
      <c r="I1154" s="41">
        <v>1</v>
      </c>
      <c r="J1154" s="108">
        <f>POWER(POWER(Table210[[#This Row],[mv]],4)/10,0.25)</f>
        <v>1.2933850479378026E-3</v>
      </c>
      <c r="K1154" s="41">
        <v>0</v>
      </c>
      <c r="L1154" s="41">
        <v>55</v>
      </c>
      <c r="M1154" s="41">
        <v>-1</v>
      </c>
      <c r="N1154" s="41">
        <v>2</v>
      </c>
      <c r="O1154" s="111" t="s">
        <v>3255</v>
      </c>
      <c r="P1154" s="109"/>
      <c r="Q1154" s="41"/>
      <c r="R1154" s="111"/>
      <c r="S1154" s="110"/>
    </row>
    <row r="1155" spans="1:19">
      <c r="A1155" s="105">
        <v>2537</v>
      </c>
      <c r="B1155" s="41">
        <v>12000000</v>
      </c>
      <c r="C1155" s="41">
        <v>2.3E-3</v>
      </c>
      <c r="D1155" s="41">
        <v>45.254800000000003</v>
      </c>
      <c r="E1155" s="41">
        <v>30</v>
      </c>
      <c r="F1155" s="41">
        <v>0</v>
      </c>
      <c r="G1155" s="41" t="s">
        <v>505</v>
      </c>
      <c r="H1155" s="41">
        <v>1</v>
      </c>
      <c r="I1155" s="41">
        <v>1</v>
      </c>
      <c r="J1155" s="108">
        <f>POWER(POWER(Table210[[#This Row],[mv]],4)/10,0.25)</f>
        <v>1.2933850479378026E-3</v>
      </c>
      <c r="K1155" s="41">
        <v>0</v>
      </c>
      <c r="L1155" s="41">
        <v>55</v>
      </c>
      <c r="M1155" s="41">
        <v>-1</v>
      </c>
      <c r="N1155" s="41">
        <v>2</v>
      </c>
      <c r="O1155" s="111" t="s">
        <v>3256</v>
      </c>
      <c r="P1155" s="109"/>
      <c r="Q1155" s="41"/>
      <c r="R1155" s="111"/>
      <c r="S1155" s="110"/>
    </row>
    <row r="1156" spans="1:19">
      <c r="A1156" s="105">
        <v>2538</v>
      </c>
      <c r="B1156" s="41">
        <v>12000000</v>
      </c>
      <c r="C1156" s="41">
        <v>2.5000000000000001E-3</v>
      </c>
      <c r="D1156" s="41">
        <v>2</v>
      </c>
      <c r="E1156" s="41">
        <v>30</v>
      </c>
      <c r="F1156" s="41">
        <v>0</v>
      </c>
      <c r="G1156" s="41" t="s">
        <v>505</v>
      </c>
      <c r="H1156" s="41">
        <v>1</v>
      </c>
      <c r="I1156" s="41">
        <v>1</v>
      </c>
      <c r="J1156" s="108">
        <f>POWER(POWER(Table210[[#This Row],[mv]],4)/10,0.25)</f>
        <v>1.4058533129758727E-3</v>
      </c>
      <c r="K1156" s="41">
        <v>0</v>
      </c>
      <c r="L1156" s="41">
        <v>55</v>
      </c>
      <c r="M1156" s="41">
        <v>-1</v>
      </c>
      <c r="N1156" s="41">
        <v>2</v>
      </c>
      <c r="O1156" s="111" t="s">
        <v>3257</v>
      </c>
      <c r="P1156" s="109">
        <v>20727</v>
      </c>
      <c r="Q1156" s="41"/>
      <c r="R1156" s="111"/>
      <c r="S1156" s="110"/>
    </row>
    <row r="1157" spans="1:19">
      <c r="A1157" s="105">
        <v>2539</v>
      </c>
      <c r="B1157" s="41">
        <v>12000000</v>
      </c>
      <c r="C1157" s="41">
        <v>2.5000000000000001E-3</v>
      </c>
      <c r="D1157" s="41">
        <v>2.8283999999999998</v>
      </c>
      <c r="E1157" s="41">
        <v>30</v>
      </c>
      <c r="F1157" s="41">
        <v>0</v>
      </c>
      <c r="G1157" s="41" t="s">
        <v>505</v>
      </c>
      <c r="H1157" s="41">
        <v>1</v>
      </c>
      <c r="I1157" s="41">
        <v>1</v>
      </c>
      <c r="J1157" s="108">
        <f>POWER(POWER(Table210[[#This Row],[mv]],4)/10,0.25)</f>
        <v>1.4058533129758727E-3</v>
      </c>
      <c r="K1157" s="41">
        <v>0</v>
      </c>
      <c r="L1157" s="41">
        <v>55</v>
      </c>
      <c r="M1157" s="41">
        <v>-1</v>
      </c>
      <c r="N1157" s="41">
        <v>2</v>
      </c>
      <c r="O1157" s="111" t="s">
        <v>3258</v>
      </c>
      <c r="P1157" s="109"/>
      <c r="Q1157" s="41"/>
      <c r="R1157" s="111"/>
      <c r="S1157" s="110"/>
    </row>
    <row r="1158" spans="1:19">
      <c r="A1158" s="105">
        <v>2540</v>
      </c>
      <c r="B1158" s="41">
        <v>12000000</v>
      </c>
      <c r="C1158" s="41">
        <v>2.5000000000000001E-3</v>
      </c>
      <c r="D1158" s="41">
        <v>4</v>
      </c>
      <c r="E1158" s="41">
        <v>30</v>
      </c>
      <c r="F1158" s="41">
        <v>0</v>
      </c>
      <c r="G1158" s="41" t="s">
        <v>505</v>
      </c>
      <c r="H1158" s="41">
        <v>1</v>
      </c>
      <c r="I1158" s="41">
        <v>1</v>
      </c>
      <c r="J1158" s="108">
        <f>POWER(POWER(Table210[[#This Row],[mv]],4)/10,0.25)</f>
        <v>1.4058533129758727E-3</v>
      </c>
      <c r="K1158" s="41">
        <v>0</v>
      </c>
      <c r="L1158" s="41">
        <v>55</v>
      </c>
      <c r="M1158" s="41">
        <v>-1</v>
      </c>
      <c r="N1158" s="41">
        <v>2</v>
      </c>
      <c r="O1158" s="111" t="s">
        <v>3259</v>
      </c>
      <c r="P1158" s="109"/>
      <c r="Q1158" s="41"/>
      <c r="R1158" s="111"/>
      <c r="S1158" s="110"/>
    </row>
    <row r="1159" spans="1:19">
      <c r="A1159" s="105">
        <v>2541</v>
      </c>
      <c r="B1159" s="41">
        <v>12000000</v>
      </c>
      <c r="C1159" s="41">
        <v>2.5000000000000001E-3</v>
      </c>
      <c r="D1159" s="41">
        <v>5.6569000000000003</v>
      </c>
      <c r="E1159" s="41">
        <v>30</v>
      </c>
      <c r="F1159" s="41">
        <v>0</v>
      </c>
      <c r="G1159" s="41" t="s">
        <v>505</v>
      </c>
      <c r="H1159" s="41">
        <v>1</v>
      </c>
      <c r="I1159" s="41">
        <v>1</v>
      </c>
      <c r="J1159" s="108">
        <f>POWER(POWER(Table210[[#This Row],[mv]],4)/10,0.25)</f>
        <v>1.4058533129758727E-3</v>
      </c>
      <c r="K1159" s="41">
        <v>0</v>
      </c>
      <c r="L1159" s="41">
        <v>55</v>
      </c>
      <c r="M1159" s="41">
        <v>-1</v>
      </c>
      <c r="N1159" s="41">
        <v>2</v>
      </c>
      <c r="O1159" s="111" t="s">
        <v>3260</v>
      </c>
      <c r="P1159" s="109"/>
      <c r="Q1159" s="41"/>
      <c r="R1159" s="111"/>
      <c r="S1159" s="110"/>
    </row>
    <row r="1160" spans="1:19">
      <c r="A1160" s="105">
        <v>2542</v>
      </c>
      <c r="B1160" s="41">
        <v>12000000</v>
      </c>
      <c r="C1160" s="41">
        <v>2.5000000000000001E-3</v>
      </c>
      <c r="D1160" s="41">
        <v>8</v>
      </c>
      <c r="E1160" s="41">
        <v>30</v>
      </c>
      <c r="F1160" s="41">
        <v>0</v>
      </c>
      <c r="G1160" s="41" t="s">
        <v>505</v>
      </c>
      <c r="H1160" s="41">
        <v>1</v>
      </c>
      <c r="I1160" s="41">
        <v>1</v>
      </c>
      <c r="J1160" s="108">
        <f>POWER(POWER(Table210[[#This Row],[mv]],4)/10,0.25)</f>
        <v>1.4058533129758727E-3</v>
      </c>
      <c r="K1160" s="41">
        <v>0</v>
      </c>
      <c r="L1160" s="41">
        <v>55</v>
      </c>
      <c r="M1160" s="41">
        <v>-1</v>
      </c>
      <c r="N1160" s="41">
        <v>2</v>
      </c>
      <c r="O1160" s="111" t="s">
        <v>3261</v>
      </c>
      <c r="P1160" s="109"/>
      <c r="Q1160" s="41"/>
      <c r="R1160" s="111"/>
      <c r="S1160" s="110"/>
    </row>
    <row r="1161" spans="1:19">
      <c r="A1161" s="105">
        <v>2543</v>
      </c>
      <c r="B1161" s="41">
        <v>12000000</v>
      </c>
      <c r="C1161" s="41">
        <v>2.5000000000000001E-3</v>
      </c>
      <c r="D1161" s="41">
        <v>11.313700000000001</v>
      </c>
      <c r="E1161" s="41">
        <v>30</v>
      </c>
      <c r="F1161" s="41">
        <v>0</v>
      </c>
      <c r="G1161" s="41" t="s">
        <v>505</v>
      </c>
      <c r="H1161" s="41">
        <v>1</v>
      </c>
      <c r="I1161" s="41">
        <v>1</v>
      </c>
      <c r="J1161" s="108">
        <f>POWER(POWER(Table210[[#This Row],[mv]],4)/10,0.25)</f>
        <v>1.4058533129758727E-3</v>
      </c>
      <c r="K1161" s="41">
        <v>0</v>
      </c>
      <c r="L1161" s="41">
        <v>55</v>
      </c>
      <c r="M1161" s="41">
        <v>-1</v>
      </c>
      <c r="N1161" s="41">
        <v>2</v>
      </c>
      <c r="O1161" s="111" t="s">
        <v>3262</v>
      </c>
      <c r="P1161" s="109"/>
      <c r="Q1161" s="41"/>
      <c r="R1161" s="111"/>
      <c r="S1161" s="110"/>
    </row>
    <row r="1162" spans="1:19">
      <c r="A1162" s="105">
        <v>2544</v>
      </c>
      <c r="B1162" s="41">
        <v>12000000</v>
      </c>
      <c r="C1162" s="41">
        <v>2.5000000000000001E-3</v>
      </c>
      <c r="D1162" s="41">
        <v>16</v>
      </c>
      <c r="E1162" s="41">
        <v>30</v>
      </c>
      <c r="F1162" s="41">
        <v>0</v>
      </c>
      <c r="G1162" s="41" t="s">
        <v>505</v>
      </c>
      <c r="H1162" s="41">
        <v>1</v>
      </c>
      <c r="I1162" s="41">
        <v>1</v>
      </c>
      <c r="J1162" s="108">
        <f>POWER(POWER(Table210[[#This Row],[mv]],4)/10,0.25)</f>
        <v>1.4058533129758727E-3</v>
      </c>
      <c r="K1162" s="41">
        <v>0</v>
      </c>
      <c r="L1162" s="41">
        <v>55</v>
      </c>
      <c r="M1162" s="41">
        <v>-1</v>
      </c>
      <c r="N1162" s="41">
        <v>2</v>
      </c>
      <c r="O1162" s="111" t="s">
        <v>3263</v>
      </c>
      <c r="P1162" s="109"/>
      <c r="Q1162" s="41"/>
      <c r="R1162" s="111"/>
      <c r="S1162" s="110"/>
    </row>
    <row r="1163" spans="1:19">
      <c r="A1163" s="105">
        <v>2545</v>
      </c>
      <c r="B1163" s="41">
        <v>12000000</v>
      </c>
      <c r="C1163" s="41">
        <v>2.5000000000000001E-3</v>
      </c>
      <c r="D1163" s="41">
        <v>22.627400000000002</v>
      </c>
      <c r="E1163" s="41">
        <v>30</v>
      </c>
      <c r="F1163" s="41">
        <v>0</v>
      </c>
      <c r="G1163" s="41" t="s">
        <v>505</v>
      </c>
      <c r="H1163" s="41">
        <v>1</v>
      </c>
      <c r="I1163" s="41">
        <v>1</v>
      </c>
      <c r="J1163" s="108">
        <f>POWER(POWER(Table210[[#This Row],[mv]],4)/10,0.25)</f>
        <v>1.4058533129758727E-3</v>
      </c>
      <c r="K1163" s="41">
        <v>0</v>
      </c>
      <c r="L1163" s="41">
        <v>55</v>
      </c>
      <c r="M1163" s="41">
        <v>-1</v>
      </c>
      <c r="N1163" s="41">
        <v>2</v>
      </c>
      <c r="O1163" s="111" t="s">
        <v>3264</v>
      </c>
      <c r="P1163" s="109"/>
      <c r="Q1163" s="41"/>
      <c r="R1163" s="111"/>
      <c r="S1163" s="110"/>
    </row>
    <row r="1164" spans="1:19">
      <c r="A1164" s="105">
        <v>2546</v>
      </c>
      <c r="B1164" s="41">
        <v>12000000</v>
      </c>
      <c r="C1164" s="41">
        <v>2.5000000000000001E-3</v>
      </c>
      <c r="D1164" s="41">
        <v>32</v>
      </c>
      <c r="E1164" s="41">
        <v>30</v>
      </c>
      <c r="F1164" s="41">
        <v>0</v>
      </c>
      <c r="G1164" s="41" t="s">
        <v>505</v>
      </c>
      <c r="H1164" s="41">
        <v>1</v>
      </c>
      <c r="I1164" s="41">
        <v>1</v>
      </c>
      <c r="J1164" s="108">
        <f>POWER(POWER(Table210[[#This Row],[mv]],4)/10,0.25)</f>
        <v>1.4058533129758727E-3</v>
      </c>
      <c r="K1164" s="41">
        <v>0</v>
      </c>
      <c r="L1164" s="41">
        <v>55</v>
      </c>
      <c r="M1164" s="41">
        <v>-1</v>
      </c>
      <c r="N1164" s="41">
        <v>2</v>
      </c>
      <c r="O1164" s="111" t="s">
        <v>3265</v>
      </c>
      <c r="P1164" s="109"/>
      <c r="Q1164" s="41"/>
      <c r="R1164" s="111"/>
      <c r="S1164" s="110"/>
    </row>
    <row r="1165" spans="1:19">
      <c r="A1165" s="105">
        <v>2547</v>
      </c>
      <c r="B1165" s="41">
        <v>12000000</v>
      </c>
      <c r="C1165" s="41">
        <v>2.5000000000000001E-3</v>
      </c>
      <c r="D1165" s="41">
        <v>45.254800000000003</v>
      </c>
      <c r="E1165" s="41">
        <v>30</v>
      </c>
      <c r="F1165" s="41">
        <v>0</v>
      </c>
      <c r="G1165" s="41" t="s">
        <v>505</v>
      </c>
      <c r="H1165" s="41">
        <v>1</v>
      </c>
      <c r="I1165" s="41">
        <v>1</v>
      </c>
      <c r="J1165" s="108">
        <f>POWER(POWER(Table210[[#This Row],[mv]],4)/10,0.25)</f>
        <v>1.4058533129758727E-3</v>
      </c>
      <c r="K1165" s="41">
        <v>0</v>
      </c>
      <c r="L1165" s="41">
        <v>55</v>
      </c>
      <c r="M1165" s="41">
        <v>-1</v>
      </c>
      <c r="N1165" s="41">
        <v>2</v>
      </c>
      <c r="O1165" s="111" t="s">
        <v>3266</v>
      </c>
      <c r="P1165" s="109"/>
      <c r="Q1165" s="41"/>
      <c r="R1165" s="111"/>
      <c r="S1165" s="110"/>
    </row>
    <row r="1166" spans="1:19">
      <c r="A1166" s="105">
        <v>2548</v>
      </c>
      <c r="B1166" s="41">
        <v>12000000</v>
      </c>
      <c r="C1166" s="41">
        <v>2.7000000000000001E-3</v>
      </c>
      <c r="D1166" s="41">
        <v>2.8283999999999998</v>
      </c>
      <c r="E1166" s="41">
        <v>30</v>
      </c>
      <c r="F1166" s="41">
        <v>0</v>
      </c>
      <c r="G1166" s="41" t="s">
        <v>505</v>
      </c>
      <c r="H1166" s="41">
        <v>1</v>
      </c>
      <c r="I1166" s="41">
        <v>1</v>
      </c>
      <c r="J1166" s="108">
        <f>POWER(POWER(Table210[[#This Row],[mv]],4)/10,0.25)</f>
        <v>1.5183215780139423E-3</v>
      </c>
      <c r="K1166" s="41">
        <v>0</v>
      </c>
      <c r="L1166" s="41">
        <v>55</v>
      </c>
      <c r="M1166" s="41">
        <v>-1</v>
      </c>
      <c r="N1166" s="41">
        <v>2</v>
      </c>
      <c r="O1166" s="111" t="s">
        <v>3267</v>
      </c>
      <c r="P1166" s="109"/>
      <c r="Q1166" s="41"/>
      <c r="R1166" s="111"/>
      <c r="S1166" s="110"/>
    </row>
    <row r="1167" spans="1:19">
      <c r="A1167" s="105">
        <v>2549</v>
      </c>
      <c r="B1167" s="41">
        <v>12000000</v>
      </c>
      <c r="C1167" s="41">
        <v>2.7000000000000001E-3</v>
      </c>
      <c r="D1167" s="41">
        <v>4</v>
      </c>
      <c r="E1167" s="41">
        <v>30</v>
      </c>
      <c r="F1167" s="41">
        <v>0</v>
      </c>
      <c r="G1167" s="41" t="s">
        <v>505</v>
      </c>
      <c r="H1167" s="41">
        <v>1</v>
      </c>
      <c r="I1167" s="41">
        <v>1</v>
      </c>
      <c r="J1167" s="108">
        <f>POWER(POWER(Table210[[#This Row],[mv]],4)/10,0.25)</f>
        <v>1.5183215780139423E-3</v>
      </c>
      <c r="K1167" s="41">
        <v>0</v>
      </c>
      <c r="L1167" s="41">
        <v>55</v>
      </c>
      <c r="M1167" s="41">
        <v>-1</v>
      </c>
      <c r="N1167" s="41">
        <v>2</v>
      </c>
      <c r="O1167" s="111" t="s">
        <v>3268</v>
      </c>
      <c r="P1167" s="109"/>
      <c r="Q1167" s="41"/>
      <c r="R1167" s="111"/>
      <c r="S1167" s="110"/>
    </row>
    <row r="1168" spans="1:19">
      <c r="A1168" s="105">
        <v>2550</v>
      </c>
      <c r="B1168" s="41">
        <v>12000000</v>
      </c>
      <c r="C1168" s="41">
        <v>2.7000000000000001E-3</v>
      </c>
      <c r="D1168" s="41">
        <v>5.6569000000000003</v>
      </c>
      <c r="E1168" s="41">
        <v>30</v>
      </c>
      <c r="F1168" s="41">
        <v>0</v>
      </c>
      <c r="G1168" s="41" t="s">
        <v>505</v>
      </c>
      <c r="H1168" s="41">
        <v>1</v>
      </c>
      <c r="I1168" s="41">
        <v>1</v>
      </c>
      <c r="J1168" s="108">
        <f>POWER(POWER(Table210[[#This Row],[mv]],4)/10,0.25)</f>
        <v>1.5183215780139423E-3</v>
      </c>
      <c r="K1168" s="41">
        <v>0</v>
      </c>
      <c r="L1168" s="41">
        <v>55</v>
      </c>
      <c r="M1168" s="41">
        <v>-1</v>
      </c>
      <c r="N1168" s="41">
        <v>2</v>
      </c>
      <c r="O1168" s="111" t="s">
        <v>3269</v>
      </c>
      <c r="P1168" s="109"/>
      <c r="Q1168" s="41"/>
      <c r="R1168" s="111"/>
      <c r="S1168" s="110"/>
    </row>
    <row r="1169" spans="1:19">
      <c r="A1169" s="105">
        <v>2551</v>
      </c>
      <c r="B1169" s="41">
        <v>12000000</v>
      </c>
      <c r="C1169" s="41">
        <v>2.7000000000000001E-3</v>
      </c>
      <c r="D1169" s="41">
        <v>8</v>
      </c>
      <c r="E1169" s="41">
        <v>30</v>
      </c>
      <c r="F1169" s="41">
        <v>0</v>
      </c>
      <c r="G1169" s="41" t="s">
        <v>505</v>
      </c>
      <c r="H1169" s="41">
        <v>1</v>
      </c>
      <c r="I1169" s="41">
        <v>1</v>
      </c>
      <c r="J1169" s="108">
        <f>POWER(POWER(Table210[[#This Row],[mv]],4)/10,0.25)</f>
        <v>1.5183215780139423E-3</v>
      </c>
      <c r="K1169" s="41">
        <v>0</v>
      </c>
      <c r="L1169" s="41">
        <v>55</v>
      </c>
      <c r="M1169" s="41">
        <v>-1</v>
      </c>
      <c r="N1169" s="41">
        <v>2</v>
      </c>
      <c r="O1169" s="111" t="s">
        <v>3270</v>
      </c>
      <c r="P1169" s="109"/>
      <c r="Q1169" s="41"/>
      <c r="R1169" s="111"/>
      <c r="S1169" s="110"/>
    </row>
    <row r="1170" spans="1:19">
      <c r="A1170" s="105">
        <v>2552</v>
      </c>
      <c r="B1170" s="41">
        <v>12000000</v>
      </c>
      <c r="C1170" s="41">
        <v>2.7000000000000001E-3</v>
      </c>
      <c r="D1170" s="41">
        <v>11.313700000000001</v>
      </c>
      <c r="E1170" s="41">
        <v>30</v>
      </c>
      <c r="F1170" s="41">
        <v>0</v>
      </c>
      <c r="G1170" s="41" t="s">
        <v>505</v>
      </c>
      <c r="H1170" s="41">
        <v>1</v>
      </c>
      <c r="I1170" s="41">
        <v>1</v>
      </c>
      <c r="J1170" s="108">
        <f>POWER(POWER(Table210[[#This Row],[mv]],4)/10,0.25)</f>
        <v>1.5183215780139423E-3</v>
      </c>
      <c r="K1170" s="41">
        <v>0</v>
      </c>
      <c r="L1170" s="41">
        <v>55</v>
      </c>
      <c r="M1170" s="41">
        <v>-1</v>
      </c>
      <c r="N1170" s="41">
        <v>2</v>
      </c>
      <c r="O1170" s="111" t="s">
        <v>3271</v>
      </c>
      <c r="P1170" s="109"/>
      <c r="Q1170" s="41"/>
      <c r="R1170" s="111"/>
      <c r="S1170" s="110"/>
    </row>
    <row r="1171" spans="1:19">
      <c r="A1171" s="105">
        <v>2553</v>
      </c>
      <c r="B1171" s="41">
        <v>12000000</v>
      </c>
      <c r="C1171" s="41">
        <v>2.7000000000000001E-3</v>
      </c>
      <c r="D1171" s="41">
        <v>16</v>
      </c>
      <c r="E1171" s="41">
        <v>30</v>
      </c>
      <c r="F1171" s="41">
        <v>0</v>
      </c>
      <c r="G1171" s="41" t="s">
        <v>505</v>
      </c>
      <c r="H1171" s="41">
        <v>1</v>
      </c>
      <c r="I1171" s="41">
        <v>1</v>
      </c>
      <c r="J1171" s="108">
        <f>POWER(POWER(Table210[[#This Row],[mv]],4)/10,0.25)</f>
        <v>1.5183215780139423E-3</v>
      </c>
      <c r="K1171" s="41">
        <v>0</v>
      </c>
      <c r="L1171" s="41">
        <v>55</v>
      </c>
      <c r="M1171" s="41">
        <v>-1</v>
      </c>
      <c r="N1171" s="41">
        <v>2</v>
      </c>
      <c r="O1171" s="111" t="s">
        <v>3272</v>
      </c>
      <c r="P1171" s="109"/>
      <c r="Q1171" s="41"/>
      <c r="R1171" s="111"/>
      <c r="S1171" s="110"/>
    </row>
    <row r="1172" spans="1:19">
      <c r="A1172" s="105">
        <v>2554</v>
      </c>
      <c r="B1172" s="41">
        <v>12000000</v>
      </c>
      <c r="C1172" s="41">
        <v>2.7000000000000001E-3</v>
      </c>
      <c r="D1172" s="41">
        <v>22.627400000000002</v>
      </c>
      <c r="E1172" s="41">
        <v>30</v>
      </c>
      <c r="F1172" s="41">
        <v>0</v>
      </c>
      <c r="G1172" s="41" t="s">
        <v>505</v>
      </c>
      <c r="H1172" s="41">
        <v>1</v>
      </c>
      <c r="I1172" s="41">
        <v>1</v>
      </c>
      <c r="J1172" s="108">
        <f>POWER(POWER(Table210[[#This Row],[mv]],4)/10,0.25)</f>
        <v>1.5183215780139423E-3</v>
      </c>
      <c r="K1172" s="41">
        <v>0</v>
      </c>
      <c r="L1172" s="41">
        <v>55</v>
      </c>
      <c r="M1172" s="41">
        <v>-1</v>
      </c>
      <c r="N1172" s="41">
        <v>2</v>
      </c>
      <c r="O1172" s="111" t="s">
        <v>3273</v>
      </c>
      <c r="P1172" s="109"/>
      <c r="Q1172" s="41"/>
      <c r="R1172" s="111"/>
      <c r="S1172" s="110"/>
    </row>
    <row r="1173" spans="1:19">
      <c r="A1173" s="105">
        <v>2555</v>
      </c>
      <c r="B1173" s="41">
        <v>12000000</v>
      </c>
      <c r="C1173" s="41">
        <v>2.7000000000000001E-3</v>
      </c>
      <c r="D1173" s="41">
        <v>32</v>
      </c>
      <c r="E1173" s="41">
        <v>30</v>
      </c>
      <c r="F1173" s="41">
        <v>0</v>
      </c>
      <c r="G1173" s="41" t="s">
        <v>505</v>
      </c>
      <c r="H1173" s="41">
        <v>1</v>
      </c>
      <c r="I1173" s="41">
        <v>1</v>
      </c>
      <c r="J1173" s="108">
        <f>POWER(POWER(Table210[[#This Row],[mv]],4)/10,0.25)</f>
        <v>1.5183215780139423E-3</v>
      </c>
      <c r="K1173" s="41">
        <v>0</v>
      </c>
      <c r="L1173" s="41">
        <v>55</v>
      </c>
      <c r="M1173" s="41">
        <v>-1</v>
      </c>
      <c r="N1173" s="41">
        <v>2</v>
      </c>
      <c r="O1173" s="111" t="s">
        <v>3274</v>
      </c>
      <c r="P1173" s="109"/>
      <c r="Q1173" s="41"/>
      <c r="R1173" s="111"/>
      <c r="S1173" s="110"/>
    </row>
    <row r="1174" spans="1:19">
      <c r="A1174" s="105">
        <v>2556</v>
      </c>
      <c r="B1174" s="41">
        <v>12000000</v>
      </c>
      <c r="C1174" s="41">
        <v>2.7000000000000001E-3</v>
      </c>
      <c r="D1174" s="41">
        <v>45.254800000000003</v>
      </c>
      <c r="E1174" s="41">
        <v>30</v>
      </c>
      <c r="F1174" s="41">
        <v>0</v>
      </c>
      <c r="G1174" s="41" t="s">
        <v>505</v>
      </c>
      <c r="H1174" s="41">
        <v>1</v>
      </c>
      <c r="I1174" s="41">
        <v>1</v>
      </c>
      <c r="J1174" s="108">
        <f>POWER(POWER(Table210[[#This Row],[mv]],4)/10,0.25)</f>
        <v>1.5183215780139423E-3</v>
      </c>
      <c r="K1174" s="41">
        <v>0</v>
      </c>
      <c r="L1174" s="41">
        <v>55</v>
      </c>
      <c r="M1174" s="41">
        <v>-1</v>
      </c>
      <c r="N1174" s="41">
        <v>2</v>
      </c>
      <c r="O1174" s="111" t="s">
        <v>3275</v>
      </c>
      <c r="P1174" s="109"/>
      <c r="Q1174" s="41"/>
      <c r="R1174" s="111"/>
      <c r="S1174" s="110"/>
    </row>
    <row r="1175" spans="1:19">
      <c r="A1175" s="105">
        <v>2557</v>
      </c>
      <c r="B1175" s="41">
        <v>12000000</v>
      </c>
      <c r="C1175" s="41">
        <v>2.8999999999999998E-3</v>
      </c>
      <c r="D1175" s="41">
        <v>2.8283999999999998</v>
      </c>
      <c r="E1175" s="41">
        <v>30</v>
      </c>
      <c r="F1175" s="41">
        <v>0</v>
      </c>
      <c r="G1175" s="41" t="s">
        <v>505</v>
      </c>
      <c r="H1175" s="41">
        <v>1</v>
      </c>
      <c r="I1175" s="41">
        <v>1</v>
      </c>
      <c r="J1175" s="108">
        <f>POWER(POWER(Table210[[#This Row],[mv]],4)/10,0.25)</f>
        <v>1.6307898430520129E-3</v>
      </c>
      <c r="K1175" s="41">
        <v>0</v>
      </c>
      <c r="L1175" s="41">
        <v>55</v>
      </c>
      <c r="M1175" s="41">
        <v>-1</v>
      </c>
      <c r="N1175" s="41">
        <v>2</v>
      </c>
      <c r="O1175" s="111" t="s">
        <v>3276</v>
      </c>
      <c r="P1175" s="109"/>
      <c r="Q1175" s="41"/>
      <c r="R1175" s="111"/>
      <c r="S1175" s="110"/>
    </row>
    <row r="1176" spans="1:19">
      <c r="A1176" s="105">
        <v>2558</v>
      </c>
      <c r="B1176" s="41">
        <v>12000000</v>
      </c>
      <c r="C1176" s="41">
        <v>2.8999999999999998E-3</v>
      </c>
      <c r="D1176" s="41">
        <v>4</v>
      </c>
      <c r="E1176" s="41">
        <v>30</v>
      </c>
      <c r="F1176" s="41">
        <v>0</v>
      </c>
      <c r="G1176" s="41" t="s">
        <v>505</v>
      </c>
      <c r="H1176" s="41">
        <v>1</v>
      </c>
      <c r="I1176" s="41">
        <v>1</v>
      </c>
      <c r="J1176" s="108">
        <f>POWER(POWER(Table210[[#This Row],[mv]],4)/10,0.25)</f>
        <v>1.6307898430520129E-3</v>
      </c>
      <c r="K1176" s="41">
        <v>0</v>
      </c>
      <c r="L1176" s="41">
        <v>55</v>
      </c>
      <c r="M1176" s="41">
        <v>-1</v>
      </c>
      <c r="N1176" s="41">
        <v>2</v>
      </c>
      <c r="O1176" s="111" t="s">
        <v>3277</v>
      </c>
      <c r="P1176" s="109"/>
      <c r="Q1176" s="41"/>
      <c r="R1176" s="111"/>
      <c r="S1176" s="110"/>
    </row>
    <row r="1177" spans="1:19">
      <c r="A1177" s="105">
        <v>2559</v>
      </c>
      <c r="B1177" s="41">
        <v>12000000</v>
      </c>
      <c r="C1177" s="41">
        <v>2.8999999999999998E-3</v>
      </c>
      <c r="D1177" s="41">
        <v>5.6569000000000003</v>
      </c>
      <c r="E1177" s="41">
        <v>30</v>
      </c>
      <c r="F1177" s="41">
        <v>0</v>
      </c>
      <c r="G1177" s="41" t="s">
        <v>505</v>
      </c>
      <c r="H1177" s="41">
        <v>1</v>
      </c>
      <c r="I1177" s="41">
        <v>1</v>
      </c>
      <c r="J1177" s="108">
        <f>POWER(POWER(Table210[[#This Row],[mv]],4)/10,0.25)</f>
        <v>1.6307898430520129E-3</v>
      </c>
      <c r="K1177" s="41">
        <v>0</v>
      </c>
      <c r="L1177" s="41">
        <v>55</v>
      </c>
      <c r="M1177" s="41">
        <v>-1</v>
      </c>
      <c r="N1177" s="41">
        <v>2</v>
      </c>
      <c r="O1177" s="111" t="s">
        <v>3278</v>
      </c>
      <c r="P1177" s="109"/>
      <c r="Q1177" s="41"/>
      <c r="R1177" s="111"/>
      <c r="S1177" s="110"/>
    </row>
    <row r="1178" spans="1:19">
      <c r="A1178" s="105">
        <v>2560</v>
      </c>
      <c r="B1178" s="41">
        <v>12000000</v>
      </c>
      <c r="C1178" s="41">
        <v>2.8999999999999998E-3</v>
      </c>
      <c r="D1178" s="41">
        <v>8</v>
      </c>
      <c r="E1178" s="41">
        <v>30</v>
      </c>
      <c r="F1178" s="41">
        <v>0</v>
      </c>
      <c r="G1178" s="41" t="s">
        <v>505</v>
      </c>
      <c r="H1178" s="41">
        <v>1</v>
      </c>
      <c r="I1178" s="41">
        <v>1</v>
      </c>
      <c r="J1178" s="108">
        <f>POWER(POWER(Table210[[#This Row],[mv]],4)/10,0.25)</f>
        <v>1.6307898430520129E-3</v>
      </c>
      <c r="K1178" s="41">
        <v>0</v>
      </c>
      <c r="L1178" s="41">
        <v>55</v>
      </c>
      <c r="M1178" s="41">
        <v>-1</v>
      </c>
      <c r="N1178" s="41">
        <v>2</v>
      </c>
      <c r="O1178" s="111" t="s">
        <v>3279</v>
      </c>
      <c r="P1178" s="109"/>
      <c r="Q1178" s="41"/>
      <c r="R1178" s="111"/>
      <c r="S1178" s="110"/>
    </row>
    <row r="1179" spans="1:19">
      <c r="A1179" s="105">
        <v>2561</v>
      </c>
      <c r="B1179" s="41">
        <v>12000000</v>
      </c>
      <c r="C1179" s="41">
        <v>2.8999999999999998E-3</v>
      </c>
      <c r="D1179" s="41">
        <v>11.313700000000001</v>
      </c>
      <c r="E1179" s="41">
        <v>30</v>
      </c>
      <c r="F1179" s="41">
        <v>0</v>
      </c>
      <c r="G1179" s="41" t="s">
        <v>505</v>
      </c>
      <c r="H1179" s="41">
        <v>1</v>
      </c>
      <c r="I1179" s="41">
        <v>1</v>
      </c>
      <c r="J1179" s="108">
        <f>POWER(POWER(Table210[[#This Row],[mv]],4)/10,0.25)</f>
        <v>1.6307898430520129E-3</v>
      </c>
      <c r="K1179" s="41">
        <v>0</v>
      </c>
      <c r="L1179" s="41">
        <v>55</v>
      </c>
      <c r="M1179" s="41">
        <v>-1</v>
      </c>
      <c r="N1179" s="41">
        <v>2</v>
      </c>
      <c r="O1179" s="111" t="s">
        <v>3280</v>
      </c>
      <c r="P1179" s="109"/>
      <c r="Q1179" s="41"/>
      <c r="R1179" s="111"/>
      <c r="S1179" s="110"/>
    </row>
    <row r="1180" spans="1:19">
      <c r="A1180" s="105">
        <v>2562</v>
      </c>
      <c r="B1180" s="41">
        <v>12000000</v>
      </c>
      <c r="C1180" s="41">
        <v>2.8999999999999998E-3</v>
      </c>
      <c r="D1180" s="41">
        <v>16</v>
      </c>
      <c r="E1180" s="41">
        <v>30</v>
      </c>
      <c r="F1180" s="41">
        <v>0</v>
      </c>
      <c r="G1180" s="41" t="s">
        <v>505</v>
      </c>
      <c r="H1180" s="41">
        <v>1</v>
      </c>
      <c r="I1180" s="41">
        <v>1</v>
      </c>
      <c r="J1180" s="108">
        <f>POWER(POWER(Table210[[#This Row],[mv]],4)/10,0.25)</f>
        <v>1.6307898430520129E-3</v>
      </c>
      <c r="K1180" s="41">
        <v>0</v>
      </c>
      <c r="L1180" s="41">
        <v>55</v>
      </c>
      <c r="M1180" s="41">
        <v>-1</v>
      </c>
      <c r="N1180" s="41">
        <v>2</v>
      </c>
      <c r="O1180" s="111" t="s">
        <v>3281</v>
      </c>
      <c r="P1180" s="109"/>
      <c r="Q1180" s="41"/>
      <c r="R1180" s="111"/>
      <c r="S1180" s="110"/>
    </row>
    <row r="1181" spans="1:19">
      <c r="A1181" s="105">
        <v>2563</v>
      </c>
      <c r="B1181" s="41">
        <v>12000000</v>
      </c>
      <c r="C1181" s="41">
        <v>2.8999999999999998E-3</v>
      </c>
      <c r="D1181" s="41">
        <v>22.627400000000002</v>
      </c>
      <c r="E1181" s="41">
        <v>30</v>
      </c>
      <c r="F1181" s="41">
        <v>0</v>
      </c>
      <c r="G1181" s="41" t="s">
        <v>505</v>
      </c>
      <c r="H1181" s="41">
        <v>1</v>
      </c>
      <c r="I1181" s="41">
        <v>1</v>
      </c>
      <c r="J1181" s="108">
        <f>POWER(POWER(Table210[[#This Row],[mv]],4)/10,0.25)</f>
        <v>1.6307898430520129E-3</v>
      </c>
      <c r="K1181" s="41">
        <v>0</v>
      </c>
      <c r="L1181" s="41">
        <v>55</v>
      </c>
      <c r="M1181" s="41">
        <v>-1</v>
      </c>
      <c r="N1181" s="41">
        <v>2</v>
      </c>
      <c r="O1181" s="111" t="s">
        <v>3282</v>
      </c>
      <c r="P1181" s="109"/>
      <c r="Q1181" s="41"/>
      <c r="R1181" s="111"/>
      <c r="S1181" s="110"/>
    </row>
    <row r="1182" spans="1:19">
      <c r="A1182" s="105">
        <v>2564</v>
      </c>
      <c r="B1182" s="41">
        <v>12000000</v>
      </c>
      <c r="C1182" s="41">
        <v>2.8999999999999998E-3</v>
      </c>
      <c r="D1182" s="41">
        <v>32</v>
      </c>
      <c r="E1182" s="41">
        <v>30</v>
      </c>
      <c r="F1182" s="41">
        <v>0</v>
      </c>
      <c r="G1182" s="41" t="s">
        <v>505</v>
      </c>
      <c r="H1182" s="41">
        <v>1</v>
      </c>
      <c r="I1182" s="41">
        <v>1</v>
      </c>
      <c r="J1182" s="108">
        <f>POWER(POWER(Table210[[#This Row],[mv]],4)/10,0.25)</f>
        <v>1.6307898430520129E-3</v>
      </c>
      <c r="K1182" s="41">
        <v>0</v>
      </c>
      <c r="L1182" s="41">
        <v>55</v>
      </c>
      <c r="M1182" s="41">
        <v>-1</v>
      </c>
      <c r="N1182" s="41">
        <v>2</v>
      </c>
      <c r="O1182" s="111" t="s">
        <v>3283</v>
      </c>
      <c r="P1182" s="109"/>
      <c r="Q1182" s="41"/>
      <c r="R1182" s="111"/>
      <c r="S1182" s="110"/>
    </row>
    <row r="1183" spans="1:19">
      <c r="A1183" s="105">
        <v>2565</v>
      </c>
      <c r="B1183" s="41">
        <v>12000000</v>
      </c>
      <c r="C1183" s="41">
        <v>2.8999999999999998E-3</v>
      </c>
      <c r="D1183" s="41">
        <v>45.254800000000003</v>
      </c>
      <c r="E1183" s="41">
        <v>30</v>
      </c>
      <c r="F1183" s="41">
        <v>0</v>
      </c>
      <c r="G1183" s="41" t="s">
        <v>505</v>
      </c>
      <c r="H1183" s="41">
        <v>1</v>
      </c>
      <c r="I1183" s="41">
        <v>1</v>
      </c>
      <c r="J1183" s="108">
        <f>POWER(POWER(Table210[[#This Row],[mv]],4)/10,0.25)</f>
        <v>1.6307898430520129E-3</v>
      </c>
      <c r="K1183" s="41">
        <v>0</v>
      </c>
      <c r="L1183" s="41">
        <v>55</v>
      </c>
      <c r="M1183" s="41">
        <v>-1</v>
      </c>
      <c r="N1183" s="41">
        <v>2</v>
      </c>
      <c r="O1183" s="111" t="s">
        <v>3284</v>
      </c>
      <c r="P1183" s="109"/>
      <c r="Q1183" s="41"/>
      <c r="R1183" s="111"/>
      <c r="S1183" s="110"/>
    </row>
    <row r="1184" spans="1:19">
      <c r="A1184" s="105">
        <v>2566</v>
      </c>
      <c r="B1184" s="41">
        <v>12000000</v>
      </c>
      <c r="C1184" s="41">
        <v>3.2000000000000002E-3</v>
      </c>
      <c r="D1184" s="41">
        <v>4</v>
      </c>
      <c r="E1184" s="41">
        <v>30</v>
      </c>
      <c r="F1184" s="41">
        <v>0</v>
      </c>
      <c r="G1184" s="41" t="s">
        <v>505</v>
      </c>
      <c r="H1184" s="41">
        <v>1</v>
      </c>
      <c r="I1184" s="41">
        <v>1</v>
      </c>
      <c r="J1184" s="108">
        <f>POWER(POWER(Table210[[#This Row],[mv]],4)/10,0.25)</f>
        <v>1.7994922406091175E-3</v>
      </c>
      <c r="K1184" s="41">
        <v>0</v>
      </c>
      <c r="L1184" s="41">
        <v>55</v>
      </c>
      <c r="M1184" s="41">
        <v>-1</v>
      </c>
      <c r="N1184" s="41">
        <v>2</v>
      </c>
      <c r="O1184" s="111" t="s">
        <v>3285</v>
      </c>
      <c r="P1184" s="109"/>
      <c r="Q1184" s="41"/>
      <c r="R1184" s="111"/>
      <c r="S1184" s="110"/>
    </row>
    <row r="1185" spans="1:19">
      <c r="A1185" s="105">
        <v>2567</v>
      </c>
      <c r="B1185" s="41">
        <v>12000000</v>
      </c>
      <c r="C1185" s="41">
        <v>3.2000000000000002E-3</v>
      </c>
      <c r="D1185" s="41">
        <v>5.6569000000000003</v>
      </c>
      <c r="E1185" s="41">
        <v>30</v>
      </c>
      <c r="F1185" s="41">
        <v>0</v>
      </c>
      <c r="G1185" s="41" t="s">
        <v>505</v>
      </c>
      <c r="H1185" s="41">
        <v>1</v>
      </c>
      <c r="I1185" s="41">
        <v>1</v>
      </c>
      <c r="J1185" s="108">
        <f>POWER(POWER(Table210[[#This Row],[mv]],4)/10,0.25)</f>
        <v>1.7994922406091175E-3</v>
      </c>
      <c r="K1185" s="41">
        <v>0</v>
      </c>
      <c r="L1185" s="41">
        <v>55</v>
      </c>
      <c r="M1185" s="41">
        <v>-1</v>
      </c>
      <c r="N1185" s="41">
        <v>2</v>
      </c>
      <c r="O1185" s="111" t="s">
        <v>3286</v>
      </c>
      <c r="P1185" s="109">
        <v>20730</v>
      </c>
      <c r="Q1185" s="41"/>
      <c r="R1185" s="111"/>
      <c r="S1185" s="110"/>
    </row>
    <row r="1186" spans="1:19">
      <c r="A1186" s="105">
        <v>2568</v>
      </c>
      <c r="B1186" s="41">
        <v>12000000</v>
      </c>
      <c r="C1186" s="41">
        <v>3.2000000000000002E-3</v>
      </c>
      <c r="D1186" s="41">
        <v>8</v>
      </c>
      <c r="E1186" s="41">
        <v>30</v>
      </c>
      <c r="F1186" s="41">
        <v>0</v>
      </c>
      <c r="G1186" s="41" t="s">
        <v>505</v>
      </c>
      <c r="H1186" s="41">
        <v>1</v>
      </c>
      <c r="I1186" s="41">
        <v>1</v>
      </c>
      <c r="J1186" s="108">
        <f>POWER(POWER(Table210[[#This Row],[mv]],4)/10,0.25)</f>
        <v>1.7994922406091175E-3</v>
      </c>
      <c r="K1186" s="41">
        <v>0</v>
      </c>
      <c r="L1186" s="41">
        <v>55</v>
      </c>
      <c r="M1186" s="41">
        <v>-1</v>
      </c>
      <c r="N1186" s="41">
        <v>2</v>
      </c>
      <c r="O1186" s="111" t="s">
        <v>3287</v>
      </c>
      <c r="P1186" s="109"/>
      <c r="Q1186" s="41"/>
      <c r="R1186" s="111"/>
      <c r="S1186" s="110"/>
    </row>
    <row r="1187" spans="1:19">
      <c r="A1187" s="105">
        <v>2569</v>
      </c>
      <c r="B1187" s="41">
        <v>12000000</v>
      </c>
      <c r="C1187" s="41">
        <v>3.2000000000000002E-3</v>
      </c>
      <c r="D1187" s="41">
        <v>11.313700000000001</v>
      </c>
      <c r="E1187" s="41">
        <v>30</v>
      </c>
      <c r="F1187" s="41">
        <v>0</v>
      </c>
      <c r="G1187" s="41" t="s">
        <v>505</v>
      </c>
      <c r="H1187" s="41">
        <v>1</v>
      </c>
      <c r="I1187" s="41">
        <v>1</v>
      </c>
      <c r="J1187" s="108">
        <f>POWER(POWER(Table210[[#This Row],[mv]],4)/10,0.25)</f>
        <v>1.7994922406091175E-3</v>
      </c>
      <c r="K1187" s="41">
        <v>0</v>
      </c>
      <c r="L1187" s="41">
        <v>55</v>
      </c>
      <c r="M1187" s="41">
        <v>-1</v>
      </c>
      <c r="N1187" s="41">
        <v>2</v>
      </c>
      <c r="O1187" s="111" t="s">
        <v>3288</v>
      </c>
      <c r="P1187" s="109"/>
      <c r="Q1187" s="41"/>
      <c r="R1187" s="111"/>
      <c r="S1187" s="110"/>
    </row>
    <row r="1188" spans="1:19">
      <c r="A1188" s="105">
        <v>2570</v>
      </c>
      <c r="B1188" s="41">
        <v>12000000</v>
      </c>
      <c r="C1188" s="41">
        <v>3.2000000000000002E-3</v>
      </c>
      <c r="D1188" s="41">
        <v>16</v>
      </c>
      <c r="E1188" s="41">
        <v>30</v>
      </c>
      <c r="F1188" s="41">
        <v>0</v>
      </c>
      <c r="G1188" s="41" t="s">
        <v>505</v>
      </c>
      <c r="H1188" s="41">
        <v>1</v>
      </c>
      <c r="I1188" s="41">
        <v>1</v>
      </c>
      <c r="J1188" s="108">
        <f>POWER(POWER(Table210[[#This Row],[mv]],4)/10,0.25)</f>
        <v>1.7994922406091175E-3</v>
      </c>
      <c r="K1188" s="41">
        <v>0</v>
      </c>
      <c r="L1188" s="41">
        <v>55</v>
      </c>
      <c r="M1188" s="41">
        <v>-1</v>
      </c>
      <c r="N1188" s="41">
        <v>2</v>
      </c>
      <c r="O1188" s="111" t="s">
        <v>3289</v>
      </c>
      <c r="P1188" s="109"/>
      <c r="Q1188" s="41"/>
      <c r="R1188" s="111"/>
      <c r="S1188" s="110"/>
    </row>
    <row r="1189" spans="1:19">
      <c r="A1189" s="105">
        <v>2571</v>
      </c>
      <c r="B1189" s="41">
        <v>12000000</v>
      </c>
      <c r="C1189" s="41">
        <v>3.2000000000000002E-3</v>
      </c>
      <c r="D1189" s="41">
        <v>22.627400000000002</v>
      </c>
      <c r="E1189" s="41">
        <v>30</v>
      </c>
      <c r="F1189" s="41">
        <v>0</v>
      </c>
      <c r="G1189" s="41" t="s">
        <v>505</v>
      </c>
      <c r="H1189" s="41">
        <v>1</v>
      </c>
      <c r="I1189" s="41">
        <v>1</v>
      </c>
      <c r="J1189" s="108">
        <f>POWER(POWER(Table210[[#This Row],[mv]],4)/10,0.25)</f>
        <v>1.7994922406091175E-3</v>
      </c>
      <c r="K1189" s="41">
        <v>0</v>
      </c>
      <c r="L1189" s="41">
        <v>55</v>
      </c>
      <c r="M1189" s="41">
        <v>-1</v>
      </c>
      <c r="N1189" s="41">
        <v>2</v>
      </c>
      <c r="O1189" s="111" t="s">
        <v>3290</v>
      </c>
      <c r="P1189" s="109"/>
      <c r="Q1189" s="41"/>
      <c r="R1189" s="111"/>
      <c r="S1189" s="110"/>
    </row>
    <row r="1190" spans="1:19">
      <c r="A1190" s="105">
        <v>2572</v>
      </c>
      <c r="B1190" s="41">
        <v>12000000</v>
      </c>
      <c r="C1190" s="41">
        <v>3.2000000000000002E-3</v>
      </c>
      <c r="D1190" s="41">
        <v>32</v>
      </c>
      <c r="E1190" s="41">
        <v>30</v>
      </c>
      <c r="F1190" s="41">
        <v>0</v>
      </c>
      <c r="G1190" s="41" t="s">
        <v>505</v>
      </c>
      <c r="H1190" s="41">
        <v>1</v>
      </c>
      <c r="I1190" s="41">
        <v>1</v>
      </c>
      <c r="J1190" s="108">
        <f>POWER(POWER(Table210[[#This Row],[mv]],4)/10,0.25)</f>
        <v>1.7994922406091175E-3</v>
      </c>
      <c r="K1190" s="41">
        <v>0</v>
      </c>
      <c r="L1190" s="41">
        <v>55</v>
      </c>
      <c r="M1190" s="41">
        <v>-1</v>
      </c>
      <c r="N1190" s="41">
        <v>2</v>
      </c>
      <c r="O1190" s="111" t="s">
        <v>3291</v>
      </c>
      <c r="P1190" s="109"/>
      <c r="Q1190" s="41"/>
      <c r="R1190" s="111"/>
      <c r="S1190" s="110"/>
    </row>
    <row r="1191" spans="1:19">
      <c r="A1191" s="105">
        <v>2573</v>
      </c>
      <c r="B1191" s="41">
        <v>12000000</v>
      </c>
      <c r="C1191" s="41">
        <v>3.2000000000000002E-3</v>
      </c>
      <c r="D1191" s="41">
        <v>45.254800000000003</v>
      </c>
      <c r="E1191" s="41">
        <v>30</v>
      </c>
      <c r="F1191" s="41">
        <v>0</v>
      </c>
      <c r="G1191" s="41" t="s">
        <v>505</v>
      </c>
      <c r="H1191" s="41">
        <v>1</v>
      </c>
      <c r="I1191" s="41">
        <v>1</v>
      </c>
      <c r="J1191" s="108">
        <f>POWER(POWER(Table210[[#This Row],[mv]],4)/10,0.25)</f>
        <v>1.7994922406091175E-3</v>
      </c>
      <c r="K1191" s="41">
        <v>0</v>
      </c>
      <c r="L1191" s="41">
        <v>55</v>
      </c>
      <c r="M1191" s="41">
        <v>-1</v>
      </c>
      <c r="N1191" s="41">
        <v>2</v>
      </c>
      <c r="O1191" s="111" t="s">
        <v>3292</v>
      </c>
      <c r="P1191" s="109"/>
      <c r="Q1191" s="41"/>
      <c r="R1191" s="111"/>
      <c r="S1191" s="110"/>
    </row>
    <row r="1192" spans="1:19">
      <c r="A1192" s="105">
        <v>2574</v>
      </c>
      <c r="B1192" s="41">
        <v>12000000</v>
      </c>
      <c r="C1192" s="41">
        <v>3.5000000000000001E-3</v>
      </c>
      <c r="D1192" s="41">
        <v>4</v>
      </c>
      <c r="E1192" s="41">
        <v>30</v>
      </c>
      <c r="F1192" s="41">
        <v>0</v>
      </c>
      <c r="G1192" s="41" t="s">
        <v>505</v>
      </c>
      <c r="H1192" s="41">
        <v>1</v>
      </c>
      <c r="I1192" s="41">
        <v>1</v>
      </c>
      <c r="J1192" s="108">
        <f>POWER(POWER(Table210[[#This Row],[mv]],4)/10,0.25)</f>
        <v>1.9681946381662216E-3</v>
      </c>
      <c r="K1192" s="41">
        <v>0</v>
      </c>
      <c r="L1192" s="41">
        <v>55</v>
      </c>
      <c r="M1192" s="41">
        <v>-1</v>
      </c>
      <c r="N1192" s="41">
        <v>2</v>
      </c>
      <c r="O1192" s="111" t="s">
        <v>3293</v>
      </c>
      <c r="P1192" s="109"/>
      <c r="Q1192" s="41"/>
      <c r="R1192" s="111"/>
      <c r="S1192" s="110"/>
    </row>
    <row r="1193" spans="1:19">
      <c r="A1193" s="105">
        <v>2575</v>
      </c>
      <c r="B1193" s="41">
        <v>12000000</v>
      </c>
      <c r="C1193" s="41">
        <v>3.5000000000000001E-3</v>
      </c>
      <c r="D1193" s="41">
        <v>5.6569000000000003</v>
      </c>
      <c r="E1193" s="41">
        <v>30</v>
      </c>
      <c r="F1193" s="41">
        <v>0</v>
      </c>
      <c r="G1193" s="41" t="s">
        <v>505</v>
      </c>
      <c r="H1193" s="41">
        <v>1</v>
      </c>
      <c r="I1193" s="41">
        <v>1</v>
      </c>
      <c r="J1193" s="108">
        <f>POWER(POWER(Table210[[#This Row],[mv]],4)/10,0.25)</f>
        <v>1.9681946381662216E-3</v>
      </c>
      <c r="K1193" s="41">
        <v>0</v>
      </c>
      <c r="L1193" s="41">
        <v>55</v>
      </c>
      <c r="M1193" s="41">
        <v>-1</v>
      </c>
      <c r="N1193" s="41">
        <v>2</v>
      </c>
      <c r="O1193" s="111" t="s">
        <v>3294</v>
      </c>
      <c r="P1193" s="109"/>
      <c r="Q1193" s="41"/>
      <c r="R1193" s="111"/>
      <c r="S1193" s="110"/>
    </row>
    <row r="1194" spans="1:19">
      <c r="A1194" s="105">
        <v>2576</v>
      </c>
      <c r="B1194" s="41">
        <v>12000000</v>
      </c>
      <c r="C1194" s="41">
        <v>3.5000000000000001E-3</v>
      </c>
      <c r="D1194" s="41">
        <v>8</v>
      </c>
      <c r="E1194" s="41">
        <v>30</v>
      </c>
      <c r="F1194" s="41">
        <v>0</v>
      </c>
      <c r="G1194" s="41" t="s">
        <v>505</v>
      </c>
      <c r="H1194" s="41">
        <v>1</v>
      </c>
      <c r="I1194" s="41">
        <v>1</v>
      </c>
      <c r="J1194" s="108">
        <f>POWER(POWER(Table210[[#This Row],[mv]],4)/10,0.25)</f>
        <v>1.9681946381662216E-3</v>
      </c>
      <c r="K1194" s="41">
        <v>0</v>
      </c>
      <c r="L1194" s="41">
        <v>55</v>
      </c>
      <c r="M1194" s="41">
        <v>-1</v>
      </c>
      <c r="N1194" s="41">
        <v>2</v>
      </c>
      <c r="O1194" s="111" t="s">
        <v>3295</v>
      </c>
      <c r="P1194" s="109"/>
      <c r="Q1194" s="41"/>
      <c r="R1194" s="111"/>
      <c r="S1194" s="110"/>
    </row>
    <row r="1195" spans="1:19">
      <c r="A1195" s="105">
        <v>2577</v>
      </c>
      <c r="B1195" s="41">
        <v>12000000</v>
      </c>
      <c r="C1195" s="41">
        <v>3.5000000000000001E-3</v>
      </c>
      <c r="D1195" s="41">
        <v>11.313700000000001</v>
      </c>
      <c r="E1195" s="41">
        <v>30</v>
      </c>
      <c r="F1195" s="41">
        <v>0</v>
      </c>
      <c r="G1195" s="41" t="s">
        <v>505</v>
      </c>
      <c r="H1195" s="41">
        <v>1</v>
      </c>
      <c r="I1195" s="41">
        <v>1</v>
      </c>
      <c r="J1195" s="108">
        <f>POWER(POWER(Table210[[#This Row],[mv]],4)/10,0.25)</f>
        <v>1.9681946381662216E-3</v>
      </c>
      <c r="K1195" s="41">
        <v>0</v>
      </c>
      <c r="L1195" s="41">
        <v>55</v>
      </c>
      <c r="M1195" s="41">
        <v>-1</v>
      </c>
      <c r="N1195" s="41">
        <v>2</v>
      </c>
      <c r="O1195" s="111" t="s">
        <v>3296</v>
      </c>
      <c r="P1195" s="109"/>
      <c r="Q1195" s="41"/>
      <c r="R1195" s="111"/>
      <c r="S1195" s="110"/>
    </row>
    <row r="1196" spans="1:19">
      <c r="A1196" s="105">
        <v>2578</v>
      </c>
      <c r="B1196" s="41">
        <v>12000000</v>
      </c>
      <c r="C1196" s="41">
        <v>3.5000000000000001E-3</v>
      </c>
      <c r="D1196" s="41">
        <v>16</v>
      </c>
      <c r="E1196" s="41">
        <v>30</v>
      </c>
      <c r="F1196" s="41">
        <v>0</v>
      </c>
      <c r="G1196" s="41" t="s">
        <v>505</v>
      </c>
      <c r="H1196" s="41">
        <v>1</v>
      </c>
      <c r="I1196" s="41">
        <v>1</v>
      </c>
      <c r="J1196" s="108">
        <f>POWER(POWER(Table210[[#This Row],[mv]],4)/10,0.25)</f>
        <v>1.9681946381662216E-3</v>
      </c>
      <c r="K1196" s="41">
        <v>0</v>
      </c>
      <c r="L1196" s="41">
        <v>55</v>
      </c>
      <c r="M1196" s="41">
        <v>-1</v>
      </c>
      <c r="N1196" s="41">
        <v>2</v>
      </c>
      <c r="O1196" s="111" t="s">
        <v>3297</v>
      </c>
      <c r="P1196" s="109"/>
      <c r="Q1196" s="41"/>
      <c r="R1196" s="111"/>
      <c r="S1196" s="110"/>
    </row>
    <row r="1197" spans="1:19">
      <c r="A1197" s="105">
        <v>2579</v>
      </c>
      <c r="B1197" s="41">
        <v>12000000</v>
      </c>
      <c r="C1197" s="41">
        <v>3.5000000000000001E-3</v>
      </c>
      <c r="D1197" s="41">
        <v>22.627400000000002</v>
      </c>
      <c r="E1197" s="41">
        <v>30</v>
      </c>
      <c r="F1197" s="41">
        <v>0</v>
      </c>
      <c r="G1197" s="41" t="s">
        <v>505</v>
      </c>
      <c r="H1197" s="41">
        <v>1</v>
      </c>
      <c r="I1197" s="41">
        <v>1</v>
      </c>
      <c r="J1197" s="108">
        <f>POWER(POWER(Table210[[#This Row],[mv]],4)/10,0.25)</f>
        <v>1.9681946381662216E-3</v>
      </c>
      <c r="K1197" s="41">
        <v>0</v>
      </c>
      <c r="L1197" s="41">
        <v>55</v>
      </c>
      <c r="M1197" s="41">
        <v>-1</v>
      </c>
      <c r="N1197" s="41">
        <v>2</v>
      </c>
      <c r="O1197" s="111" t="s">
        <v>3298</v>
      </c>
      <c r="P1197" s="109"/>
      <c r="Q1197" s="41"/>
      <c r="R1197" s="111"/>
      <c r="S1197" s="110"/>
    </row>
    <row r="1198" spans="1:19">
      <c r="A1198" s="105">
        <v>2580</v>
      </c>
      <c r="B1198" s="41">
        <v>12000000</v>
      </c>
      <c r="C1198" s="41">
        <v>3.5000000000000001E-3</v>
      </c>
      <c r="D1198" s="41">
        <v>32</v>
      </c>
      <c r="E1198" s="41">
        <v>30</v>
      </c>
      <c r="F1198" s="41">
        <v>0</v>
      </c>
      <c r="G1198" s="41" t="s">
        <v>505</v>
      </c>
      <c r="H1198" s="41">
        <v>1</v>
      </c>
      <c r="I1198" s="41">
        <v>1</v>
      </c>
      <c r="J1198" s="108">
        <f>POWER(POWER(Table210[[#This Row],[mv]],4)/10,0.25)</f>
        <v>1.9681946381662216E-3</v>
      </c>
      <c r="K1198" s="41">
        <v>0</v>
      </c>
      <c r="L1198" s="41">
        <v>55</v>
      </c>
      <c r="M1198" s="41">
        <v>-1</v>
      </c>
      <c r="N1198" s="41">
        <v>2</v>
      </c>
      <c r="O1198" s="111" t="s">
        <v>3299</v>
      </c>
      <c r="P1198" s="109"/>
      <c r="Q1198" s="41"/>
      <c r="R1198" s="111"/>
      <c r="S1198" s="110"/>
    </row>
    <row r="1199" spans="1:19">
      <c r="A1199" s="105">
        <v>2581</v>
      </c>
      <c r="B1199" s="41">
        <v>12000000</v>
      </c>
      <c r="C1199" s="41">
        <v>3.5000000000000001E-3</v>
      </c>
      <c r="D1199" s="41">
        <v>45.254800000000003</v>
      </c>
      <c r="E1199" s="41">
        <v>30</v>
      </c>
      <c r="F1199" s="41">
        <v>0</v>
      </c>
      <c r="G1199" s="41" t="s">
        <v>505</v>
      </c>
      <c r="H1199" s="41">
        <v>1</v>
      </c>
      <c r="I1199" s="41">
        <v>1</v>
      </c>
      <c r="J1199" s="108">
        <f>POWER(POWER(Table210[[#This Row],[mv]],4)/10,0.25)</f>
        <v>1.9681946381662216E-3</v>
      </c>
      <c r="K1199" s="41">
        <v>0</v>
      </c>
      <c r="L1199" s="41">
        <v>55</v>
      </c>
      <c r="M1199" s="41">
        <v>-1</v>
      </c>
      <c r="N1199" s="41">
        <v>2</v>
      </c>
      <c r="O1199" s="111" t="s">
        <v>3300</v>
      </c>
      <c r="P1199" s="109"/>
      <c r="Q1199" s="41"/>
      <c r="R1199" s="111"/>
      <c r="S1199" s="110"/>
    </row>
    <row r="1200" spans="1:19">
      <c r="A1200" s="105">
        <v>2582</v>
      </c>
      <c r="B1200" s="41">
        <v>12000000</v>
      </c>
      <c r="C1200" s="41">
        <v>3.8E-3</v>
      </c>
      <c r="D1200" s="41">
        <v>5.6569000000000003</v>
      </c>
      <c r="E1200" s="41">
        <v>30</v>
      </c>
      <c r="F1200" s="41">
        <v>0</v>
      </c>
      <c r="G1200" s="41" t="s">
        <v>505</v>
      </c>
      <c r="H1200" s="41">
        <v>1</v>
      </c>
      <c r="I1200" s="41">
        <v>1</v>
      </c>
      <c r="J1200" s="108">
        <f>POWER(POWER(Table210[[#This Row],[mv]],4)/10,0.25)</f>
        <v>2.1368970357233258E-3</v>
      </c>
      <c r="K1200" s="41">
        <v>0</v>
      </c>
      <c r="L1200" s="41">
        <v>55</v>
      </c>
      <c r="M1200" s="41">
        <v>-1</v>
      </c>
      <c r="N1200" s="41">
        <v>2</v>
      </c>
      <c r="O1200" s="111" t="s">
        <v>3301</v>
      </c>
      <c r="P1200" s="109"/>
      <c r="Q1200" s="41"/>
      <c r="R1200" s="111"/>
      <c r="S1200" s="110"/>
    </row>
    <row r="1201" spans="1:19">
      <c r="A1201" s="105">
        <v>2583</v>
      </c>
      <c r="B1201" s="41">
        <v>12000000</v>
      </c>
      <c r="C1201" s="41">
        <v>3.8E-3</v>
      </c>
      <c r="D1201" s="41">
        <v>8</v>
      </c>
      <c r="E1201" s="41">
        <v>30</v>
      </c>
      <c r="F1201" s="41">
        <v>0</v>
      </c>
      <c r="G1201" s="41" t="s">
        <v>505</v>
      </c>
      <c r="H1201" s="41">
        <v>1</v>
      </c>
      <c r="I1201" s="41">
        <v>1</v>
      </c>
      <c r="J1201" s="108">
        <f>POWER(POWER(Table210[[#This Row],[mv]],4)/10,0.25)</f>
        <v>2.1368970357233258E-3</v>
      </c>
      <c r="K1201" s="41">
        <v>0</v>
      </c>
      <c r="L1201" s="41">
        <v>55</v>
      </c>
      <c r="M1201" s="41">
        <v>-1</v>
      </c>
      <c r="N1201" s="41">
        <v>2</v>
      </c>
      <c r="O1201" s="111" t="s">
        <v>3302</v>
      </c>
      <c r="P1201" s="109"/>
      <c r="Q1201" s="41"/>
      <c r="R1201" s="111"/>
      <c r="S1201" s="110"/>
    </row>
    <row r="1202" spans="1:19">
      <c r="A1202" s="105">
        <v>2584</v>
      </c>
      <c r="B1202" s="41">
        <v>12000000</v>
      </c>
      <c r="C1202" s="41">
        <v>3.8E-3</v>
      </c>
      <c r="D1202" s="41">
        <v>11.313700000000001</v>
      </c>
      <c r="E1202" s="41">
        <v>30</v>
      </c>
      <c r="F1202" s="41">
        <v>0</v>
      </c>
      <c r="G1202" s="41" t="s">
        <v>505</v>
      </c>
      <c r="H1202" s="41">
        <v>1</v>
      </c>
      <c r="I1202" s="41">
        <v>1</v>
      </c>
      <c r="J1202" s="108">
        <f>POWER(POWER(Table210[[#This Row],[mv]],4)/10,0.25)</f>
        <v>2.1368970357233258E-3</v>
      </c>
      <c r="K1202" s="41">
        <v>0</v>
      </c>
      <c r="L1202" s="41">
        <v>55</v>
      </c>
      <c r="M1202" s="41">
        <v>-1</v>
      </c>
      <c r="N1202" s="41">
        <v>2</v>
      </c>
      <c r="O1202" s="111" t="s">
        <v>3303</v>
      </c>
      <c r="P1202" s="109"/>
      <c r="Q1202" s="41"/>
      <c r="R1202" s="111"/>
      <c r="S1202" s="110"/>
    </row>
    <row r="1203" spans="1:19">
      <c r="A1203" s="105">
        <v>2585</v>
      </c>
      <c r="B1203" s="41">
        <v>12000000</v>
      </c>
      <c r="C1203" s="41">
        <v>3.8E-3</v>
      </c>
      <c r="D1203" s="41">
        <v>16</v>
      </c>
      <c r="E1203" s="41">
        <v>30</v>
      </c>
      <c r="F1203" s="41">
        <v>0</v>
      </c>
      <c r="G1203" s="41" t="s">
        <v>505</v>
      </c>
      <c r="H1203" s="41">
        <v>1</v>
      </c>
      <c r="I1203" s="41">
        <v>1</v>
      </c>
      <c r="J1203" s="108">
        <f>POWER(POWER(Table210[[#This Row],[mv]],4)/10,0.25)</f>
        <v>2.1368970357233258E-3</v>
      </c>
      <c r="K1203" s="41">
        <v>0</v>
      </c>
      <c r="L1203" s="41">
        <v>55</v>
      </c>
      <c r="M1203" s="41">
        <v>-1</v>
      </c>
      <c r="N1203" s="41">
        <v>2</v>
      </c>
      <c r="O1203" s="111" t="s">
        <v>3304</v>
      </c>
      <c r="P1203" s="109"/>
      <c r="Q1203" s="41"/>
      <c r="R1203" s="111"/>
      <c r="S1203" s="110"/>
    </row>
    <row r="1204" spans="1:19">
      <c r="A1204" s="105">
        <v>2586</v>
      </c>
      <c r="B1204" s="41">
        <v>12000000</v>
      </c>
      <c r="C1204" s="41">
        <v>3.8E-3</v>
      </c>
      <c r="D1204" s="41">
        <v>22.627400000000002</v>
      </c>
      <c r="E1204" s="41">
        <v>30</v>
      </c>
      <c r="F1204" s="41">
        <v>0</v>
      </c>
      <c r="G1204" s="41" t="s">
        <v>505</v>
      </c>
      <c r="H1204" s="41">
        <v>1</v>
      </c>
      <c r="I1204" s="41">
        <v>1</v>
      </c>
      <c r="J1204" s="108">
        <f>POWER(POWER(Table210[[#This Row],[mv]],4)/10,0.25)</f>
        <v>2.1368970357233258E-3</v>
      </c>
      <c r="K1204" s="41">
        <v>0</v>
      </c>
      <c r="L1204" s="41">
        <v>55</v>
      </c>
      <c r="M1204" s="41">
        <v>-1</v>
      </c>
      <c r="N1204" s="41">
        <v>2</v>
      </c>
      <c r="O1204" s="111" t="s">
        <v>3305</v>
      </c>
      <c r="P1204" s="109"/>
      <c r="Q1204" s="41"/>
      <c r="R1204" s="111"/>
      <c r="S1204" s="110"/>
    </row>
    <row r="1205" spans="1:19">
      <c r="A1205" s="105">
        <v>2587</v>
      </c>
      <c r="B1205" s="41">
        <v>12000000</v>
      </c>
      <c r="C1205" s="41">
        <v>3.8E-3</v>
      </c>
      <c r="D1205" s="41">
        <v>32</v>
      </c>
      <c r="E1205" s="41">
        <v>30</v>
      </c>
      <c r="F1205" s="41">
        <v>0</v>
      </c>
      <c r="G1205" s="41" t="s">
        <v>505</v>
      </c>
      <c r="H1205" s="41">
        <v>1</v>
      </c>
      <c r="I1205" s="41">
        <v>1</v>
      </c>
      <c r="J1205" s="108">
        <f>POWER(POWER(Table210[[#This Row],[mv]],4)/10,0.25)</f>
        <v>2.1368970357233258E-3</v>
      </c>
      <c r="K1205" s="41">
        <v>0</v>
      </c>
      <c r="L1205" s="41">
        <v>55</v>
      </c>
      <c r="M1205" s="41">
        <v>-1</v>
      </c>
      <c r="N1205" s="41">
        <v>2</v>
      </c>
      <c r="O1205" s="111" t="s">
        <v>3306</v>
      </c>
      <c r="P1205" s="109"/>
      <c r="Q1205" s="41"/>
      <c r="R1205" s="111"/>
      <c r="S1205" s="110"/>
    </row>
    <row r="1206" spans="1:19">
      <c r="A1206" s="105">
        <v>2588</v>
      </c>
      <c r="B1206" s="41">
        <v>12000000</v>
      </c>
      <c r="C1206" s="41">
        <v>3.8E-3</v>
      </c>
      <c r="D1206" s="41">
        <v>45.254800000000003</v>
      </c>
      <c r="E1206" s="41">
        <v>30</v>
      </c>
      <c r="F1206" s="41">
        <v>0</v>
      </c>
      <c r="G1206" s="41" t="s">
        <v>505</v>
      </c>
      <c r="H1206" s="41">
        <v>1</v>
      </c>
      <c r="I1206" s="41">
        <v>1</v>
      </c>
      <c r="J1206" s="108">
        <f>POWER(POWER(Table210[[#This Row],[mv]],4)/10,0.25)</f>
        <v>2.1368970357233258E-3</v>
      </c>
      <c r="K1206" s="41">
        <v>0</v>
      </c>
      <c r="L1206" s="41">
        <v>55</v>
      </c>
      <c r="M1206" s="41">
        <v>-1</v>
      </c>
      <c r="N1206" s="41">
        <v>2</v>
      </c>
      <c r="O1206" s="111" t="s">
        <v>3307</v>
      </c>
      <c r="P1206" s="109"/>
      <c r="Q1206" s="41"/>
      <c r="R1206" s="111"/>
      <c r="S1206" s="110"/>
    </row>
    <row r="1207" spans="1:19">
      <c r="A1207" s="105">
        <v>2589</v>
      </c>
      <c r="B1207" s="41">
        <v>12000000</v>
      </c>
      <c r="C1207" s="41">
        <v>4.1999999999999997E-3</v>
      </c>
      <c r="D1207" s="41">
        <v>5.6569000000000003</v>
      </c>
      <c r="E1207" s="41">
        <v>30</v>
      </c>
      <c r="F1207" s="41">
        <v>0</v>
      </c>
      <c r="G1207" s="41" t="s">
        <v>505</v>
      </c>
      <c r="H1207" s="41">
        <v>1</v>
      </c>
      <c r="I1207" s="41">
        <v>1</v>
      </c>
      <c r="J1207" s="108">
        <f>POWER(POWER(Table210[[#This Row],[mv]],4)/10,0.25)</f>
        <v>2.361833565799467E-3</v>
      </c>
      <c r="K1207" s="41">
        <v>0</v>
      </c>
      <c r="L1207" s="41">
        <v>55</v>
      </c>
      <c r="M1207" s="41">
        <v>-1</v>
      </c>
      <c r="N1207" s="41">
        <v>2</v>
      </c>
      <c r="O1207" s="111" t="s">
        <v>3308</v>
      </c>
      <c r="P1207" s="109"/>
      <c r="Q1207" s="41"/>
      <c r="R1207" s="111"/>
      <c r="S1207" s="110"/>
    </row>
    <row r="1208" spans="1:19">
      <c r="A1208" s="105">
        <v>2590</v>
      </c>
      <c r="B1208" s="41">
        <v>12000000</v>
      </c>
      <c r="C1208" s="41">
        <v>4.1999999999999997E-3</v>
      </c>
      <c r="D1208" s="41">
        <v>8</v>
      </c>
      <c r="E1208" s="41">
        <v>30</v>
      </c>
      <c r="F1208" s="41">
        <v>0</v>
      </c>
      <c r="G1208" s="41" t="s">
        <v>505</v>
      </c>
      <c r="H1208" s="41">
        <v>1</v>
      </c>
      <c r="I1208" s="41">
        <v>1</v>
      </c>
      <c r="J1208" s="108">
        <f>POWER(POWER(Table210[[#This Row],[mv]],4)/10,0.25)</f>
        <v>2.361833565799467E-3</v>
      </c>
      <c r="K1208" s="41">
        <v>0</v>
      </c>
      <c r="L1208" s="41">
        <v>55</v>
      </c>
      <c r="M1208" s="41">
        <v>-1</v>
      </c>
      <c r="N1208" s="41">
        <v>2</v>
      </c>
      <c r="O1208" s="111" t="s">
        <v>3309</v>
      </c>
      <c r="P1208" s="109"/>
      <c r="Q1208" s="41"/>
      <c r="R1208" s="111"/>
      <c r="S1208" s="110"/>
    </row>
    <row r="1209" spans="1:19">
      <c r="A1209" s="105">
        <v>2591</v>
      </c>
      <c r="B1209" s="41">
        <v>12000000</v>
      </c>
      <c r="C1209" s="41">
        <v>4.1999999999999997E-3</v>
      </c>
      <c r="D1209" s="41">
        <v>11.313700000000001</v>
      </c>
      <c r="E1209" s="41">
        <v>30</v>
      </c>
      <c r="F1209" s="41">
        <v>0</v>
      </c>
      <c r="G1209" s="41" t="s">
        <v>505</v>
      </c>
      <c r="H1209" s="41">
        <v>1</v>
      </c>
      <c r="I1209" s="41">
        <v>1</v>
      </c>
      <c r="J1209" s="108">
        <f>POWER(POWER(Table210[[#This Row],[mv]],4)/10,0.25)</f>
        <v>2.361833565799467E-3</v>
      </c>
      <c r="K1209" s="41">
        <v>0</v>
      </c>
      <c r="L1209" s="41">
        <v>55</v>
      </c>
      <c r="M1209" s="41">
        <v>-1</v>
      </c>
      <c r="N1209" s="41">
        <v>2</v>
      </c>
      <c r="O1209" s="111" t="s">
        <v>3310</v>
      </c>
      <c r="P1209" s="109"/>
      <c r="Q1209" s="41"/>
      <c r="R1209" s="111"/>
      <c r="S1209" s="110"/>
    </row>
    <row r="1210" spans="1:19">
      <c r="A1210" s="105">
        <v>2592</v>
      </c>
      <c r="B1210" s="41">
        <v>12000000</v>
      </c>
      <c r="C1210" s="41">
        <v>4.1999999999999997E-3</v>
      </c>
      <c r="D1210" s="41">
        <v>16</v>
      </c>
      <c r="E1210" s="41">
        <v>30</v>
      </c>
      <c r="F1210" s="41">
        <v>0</v>
      </c>
      <c r="G1210" s="41" t="s">
        <v>505</v>
      </c>
      <c r="H1210" s="41">
        <v>1</v>
      </c>
      <c r="I1210" s="41">
        <v>1</v>
      </c>
      <c r="J1210" s="108">
        <f>POWER(POWER(Table210[[#This Row],[mv]],4)/10,0.25)</f>
        <v>2.361833565799467E-3</v>
      </c>
      <c r="K1210" s="41">
        <v>0</v>
      </c>
      <c r="L1210" s="41">
        <v>55</v>
      </c>
      <c r="M1210" s="41">
        <v>-1</v>
      </c>
      <c r="N1210" s="41">
        <v>2</v>
      </c>
      <c r="O1210" s="111" t="s">
        <v>3311</v>
      </c>
      <c r="P1210" s="109"/>
      <c r="Q1210" s="41"/>
      <c r="R1210" s="111"/>
      <c r="S1210" s="110"/>
    </row>
    <row r="1211" spans="1:19">
      <c r="A1211" s="105">
        <v>2593</v>
      </c>
      <c r="B1211" s="41">
        <v>12000000</v>
      </c>
      <c r="C1211" s="41">
        <v>4.1999999999999997E-3</v>
      </c>
      <c r="D1211" s="41">
        <v>22.627400000000002</v>
      </c>
      <c r="E1211" s="41">
        <v>30</v>
      </c>
      <c r="F1211" s="41">
        <v>0</v>
      </c>
      <c r="G1211" s="41" t="s">
        <v>505</v>
      </c>
      <c r="H1211" s="41">
        <v>1</v>
      </c>
      <c r="I1211" s="41">
        <v>1</v>
      </c>
      <c r="J1211" s="108">
        <f>POWER(POWER(Table210[[#This Row],[mv]],4)/10,0.25)</f>
        <v>2.361833565799467E-3</v>
      </c>
      <c r="K1211" s="41">
        <v>0</v>
      </c>
      <c r="L1211" s="41">
        <v>55</v>
      </c>
      <c r="M1211" s="41">
        <v>-1</v>
      </c>
      <c r="N1211" s="41">
        <v>2</v>
      </c>
      <c r="O1211" s="111" t="s">
        <v>3312</v>
      </c>
      <c r="P1211" s="109"/>
      <c r="Q1211" s="41"/>
      <c r="R1211" s="111"/>
      <c r="S1211" s="110"/>
    </row>
    <row r="1212" spans="1:19">
      <c r="A1212" s="105">
        <v>2594</v>
      </c>
      <c r="B1212" s="41">
        <v>12000000</v>
      </c>
      <c r="C1212" s="41">
        <v>4.1999999999999997E-3</v>
      </c>
      <c r="D1212" s="41">
        <v>32</v>
      </c>
      <c r="E1212" s="41">
        <v>30</v>
      </c>
      <c r="F1212" s="41">
        <v>0</v>
      </c>
      <c r="G1212" s="41" t="s">
        <v>505</v>
      </c>
      <c r="H1212" s="41">
        <v>1</v>
      </c>
      <c r="I1212" s="41">
        <v>1</v>
      </c>
      <c r="J1212" s="108">
        <f>POWER(POWER(Table210[[#This Row],[mv]],4)/10,0.25)</f>
        <v>2.361833565799467E-3</v>
      </c>
      <c r="K1212" s="41">
        <v>0</v>
      </c>
      <c r="L1212" s="41">
        <v>55</v>
      </c>
      <c r="M1212" s="41">
        <v>-1</v>
      </c>
      <c r="N1212" s="41">
        <v>2</v>
      </c>
      <c r="O1212" s="111" t="s">
        <v>3313</v>
      </c>
      <c r="P1212" s="109"/>
      <c r="Q1212" s="41"/>
      <c r="R1212" s="111"/>
      <c r="S1212" s="110"/>
    </row>
    <row r="1213" spans="1:19">
      <c r="A1213" s="105">
        <v>2595</v>
      </c>
      <c r="B1213" s="41">
        <v>12000000</v>
      </c>
      <c r="C1213" s="41">
        <v>4.1999999999999997E-3</v>
      </c>
      <c r="D1213" s="41">
        <v>45.254800000000003</v>
      </c>
      <c r="E1213" s="41">
        <v>30</v>
      </c>
      <c r="F1213" s="41">
        <v>0</v>
      </c>
      <c r="G1213" s="41" t="s">
        <v>505</v>
      </c>
      <c r="H1213" s="41">
        <v>1</v>
      </c>
      <c r="I1213" s="41">
        <v>1</v>
      </c>
      <c r="J1213" s="108">
        <f>POWER(POWER(Table210[[#This Row],[mv]],4)/10,0.25)</f>
        <v>2.361833565799467E-3</v>
      </c>
      <c r="K1213" s="41">
        <v>0</v>
      </c>
      <c r="L1213" s="41">
        <v>55</v>
      </c>
      <c r="M1213" s="41">
        <v>-1</v>
      </c>
      <c r="N1213" s="41">
        <v>2</v>
      </c>
      <c r="O1213" s="111" t="s">
        <v>3314</v>
      </c>
      <c r="P1213" s="109"/>
      <c r="Q1213" s="41"/>
      <c r="R1213" s="111"/>
      <c r="S1213" s="110"/>
    </row>
    <row r="1214" spans="1:19">
      <c r="A1214" s="105">
        <v>2596</v>
      </c>
      <c r="B1214" s="41">
        <v>12000000</v>
      </c>
      <c r="C1214" s="41">
        <v>4.4999999999999997E-3</v>
      </c>
      <c r="D1214" s="41">
        <v>8</v>
      </c>
      <c r="E1214" s="41">
        <v>30</v>
      </c>
      <c r="F1214" s="41">
        <v>0</v>
      </c>
      <c r="G1214" s="41" t="s">
        <v>505</v>
      </c>
      <c r="H1214" s="41">
        <v>1</v>
      </c>
      <c r="I1214" s="41">
        <v>1</v>
      </c>
      <c r="J1214" s="108">
        <f>POWER(POWER(Table210[[#This Row],[mv]],4)/10,0.25)</f>
        <v>2.5305359633565699E-3</v>
      </c>
      <c r="K1214" s="41">
        <v>0</v>
      </c>
      <c r="L1214" s="41">
        <v>55</v>
      </c>
      <c r="M1214" s="41">
        <v>-1</v>
      </c>
      <c r="N1214" s="41">
        <v>2</v>
      </c>
      <c r="O1214" s="111" t="s">
        <v>3315</v>
      </c>
      <c r="P1214" s="109"/>
      <c r="Q1214" s="41"/>
      <c r="R1214" s="111"/>
      <c r="S1214" s="110"/>
    </row>
    <row r="1215" spans="1:19">
      <c r="A1215" s="105">
        <v>2597</v>
      </c>
      <c r="B1215" s="41">
        <v>12000000</v>
      </c>
      <c r="C1215" s="41">
        <v>4.4999999999999997E-3</v>
      </c>
      <c r="D1215" s="41">
        <v>11.313700000000001</v>
      </c>
      <c r="E1215" s="41">
        <v>30</v>
      </c>
      <c r="F1215" s="41">
        <v>0</v>
      </c>
      <c r="G1215" s="41" t="s">
        <v>505</v>
      </c>
      <c r="H1215" s="41">
        <v>1</v>
      </c>
      <c r="I1215" s="41">
        <v>1</v>
      </c>
      <c r="J1215" s="108">
        <f>POWER(POWER(Table210[[#This Row],[mv]],4)/10,0.25)</f>
        <v>2.5305359633565699E-3</v>
      </c>
      <c r="K1215" s="41">
        <v>0</v>
      </c>
      <c r="L1215" s="41">
        <v>55</v>
      </c>
      <c r="M1215" s="41">
        <v>-1</v>
      </c>
      <c r="N1215" s="41">
        <v>2</v>
      </c>
      <c r="O1215" s="111" t="s">
        <v>3316</v>
      </c>
      <c r="P1215" s="109"/>
      <c r="Q1215" s="41"/>
      <c r="R1215" s="111"/>
      <c r="S1215" s="110"/>
    </row>
    <row r="1216" spans="1:19">
      <c r="A1216" s="105">
        <v>2598</v>
      </c>
      <c r="B1216" s="41">
        <v>12000000</v>
      </c>
      <c r="C1216" s="41">
        <v>4.4999999999999997E-3</v>
      </c>
      <c r="D1216" s="41">
        <v>16</v>
      </c>
      <c r="E1216" s="41">
        <v>30</v>
      </c>
      <c r="F1216" s="41">
        <v>0</v>
      </c>
      <c r="G1216" s="41" t="s">
        <v>505</v>
      </c>
      <c r="H1216" s="41">
        <v>1</v>
      </c>
      <c r="I1216" s="41">
        <v>1</v>
      </c>
      <c r="J1216" s="108">
        <f>POWER(POWER(Table210[[#This Row],[mv]],4)/10,0.25)</f>
        <v>2.5305359633565699E-3</v>
      </c>
      <c r="K1216" s="41">
        <v>0</v>
      </c>
      <c r="L1216" s="41">
        <v>55</v>
      </c>
      <c r="M1216" s="41">
        <v>-1</v>
      </c>
      <c r="N1216" s="41">
        <v>2</v>
      </c>
      <c r="O1216" s="111" t="s">
        <v>3317</v>
      </c>
      <c r="P1216" s="109">
        <v>20717</v>
      </c>
      <c r="Q1216" s="41"/>
      <c r="R1216" s="111"/>
      <c r="S1216" s="110"/>
    </row>
    <row r="1217" spans="1:19">
      <c r="A1217" s="105">
        <v>2599</v>
      </c>
      <c r="B1217" s="41">
        <v>12000000</v>
      </c>
      <c r="C1217" s="41">
        <v>4.4999999999999997E-3</v>
      </c>
      <c r="D1217" s="41">
        <v>22.627400000000002</v>
      </c>
      <c r="E1217" s="41">
        <v>30</v>
      </c>
      <c r="F1217" s="41">
        <v>0</v>
      </c>
      <c r="G1217" s="41" t="s">
        <v>505</v>
      </c>
      <c r="H1217" s="41">
        <v>1</v>
      </c>
      <c r="I1217" s="41">
        <v>1</v>
      </c>
      <c r="J1217" s="108">
        <f>POWER(POWER(Table210[[#This Row],[mv]],4)/10,0.25)</f>
        <v>2.5305359633565699E-3</v>
      </c>
      <c r="K1217" s="41">
        <v>0</v>
      </c>
      <c r="L1217" s="41">
        <v>55</v>
      </c>
      <c r="M1217" s="41">
        <v>-1</v>
      </c>
      <c r="N1217" s="41">
        <v>2</v>
      </c>
      <c r="O1217" s="111" t="s">
        <v>3318</v>
      </c>
      <c r="P1217" s="109"/>
      <c r="Q1217" s="41"/>
      <c r="R1217" s="111"/>
      <c r="S1217" s="110"/>
    </row>
    <row r="1218" spans="1:19">
      <c r="A1218" s="105">
        <v>2600</v>
      </c>
      <c r="B1218" s="41">
        <v>12000000</v>
      </c>
      <c r="C1218" s="41">
        <v>4.4999999999999997E-3</v>
      </c>
      <c r="D1218" s="41">
        <v>32</v>
      </c>
      <c r="E1218" s="41">
        <v>30</v>
      </c>
      <c r="F1218" s="41">
        <v>0</v>
      </c>
      <c r="G1218" s="41" t="s">
        <v>505</v>
      </c>
      <c r="H1218" s="41">
        <v>1</v>
      </c>
      <c r="I1218" s="41">
        <v>1</v>
      </c>
      <c r="J1218" s="108">
        <f>POWER(POWER(Table210[[#This Row],[mv]],4)/10,0.25)</f>
        <v>2.5305359633565699E-3</v>
      </c>
      <c r="K1218" s="41">
        <v>0</v>
      </c>
      <c r="L1218" s="41">
        <v>55</v>
      </c>
      <c r="M1218" s="41">
        <v>-1</v>
      </c>
      <c r="N1218" s="41">
        <v>2</v>
      </c>
      <c r="O1218" s="111" t="s">
        <v>3319</v>
      </c>
      <c r="P1218" s="109"/>
      <c r="Q1218" s="41"/>
      <c r="R1218" s="111"/>
      <c r="S1218" s="110"/>
    </row>
    <row r="1219" spans="1:19">
      <c r="A1219" s="105">
        <v>2601</v>
      </c>
      <c r="B1219" s="41">
        <v>12000000</v>
      </c>
      <c r="C1219" s="41">
        <v>4.4999999999999997E-3</v>
      </c>
      <c r="D1219" s="41">
        <v>45.254800000000003</v>
      </c>
      <c r="E1219" s="41">
        <v>30</v>
      </c>
      <c r="F1219" s="41">
        <v>0</v>
      </c>
      <c r="G1219" s="41" t="s">
        <v>505</v>
      </c>
      <c r="H1219" s="41">
        <v>1</v>
      </c>
      <c r="I1219" s="41">
        <v>1</v>
      </c>
      <c r="J1219" s="108">
        <f>POWER(POWER(Table210[[#This Row],[mv]],4)/10,0.25)</f>
        <v>2.5305359633565699E-3</v>
      </c>
      <c r="K1219" s="41">
        <v>0</v>
      </c>
      <c r="L1219" s="41">
        <v>55</v>
      </c>
      <c r="M1219" s="41">
        <v>-1</v>
      </c>
      <c r="N1219" s="41">
        <v>2</v>
      </c>
      <c r="O1219" s="111" t="s">
        <v>3320</v>
      </c>
      <c r="P1219" s="109"/>
      <c r="Q1219" s="41"/>
      <c r="R1219" s="111"/>
      <c r="S1219" s="110"/>
    </row>
    <row r="1220" spans="1:19">
      <c r="A1220" s="105">
        <v>2602</v>
      </c>
      <c r="B1220" s="41">
        <v>12000000</v>
      </c>
      <c r="C1220" s="41">
        <v>4.8999999999999998E-3</v>
      </c>
      <c r="D1220" s="41">
        <v>8</v>
      </c>
      <c r="E1220" s="41">
        <v>30</v>
      </c>
      <c r="F1220" s="41">
        <v>0</v>
      </c>
      <c r="G1220" s="41" t="s">
        <v>505</v>
      </c>
      <c r="H1220" s="41">
        <v>1</v>
      </c>
      <c r="I1220" s="41">
        <v>1</v>
      </c>
      <c r="J1220" s="108">
        <f>POWER(POWER(Table210[[#This Row],[mv]],4)/10,0.25)</f>
        <v>2.7554724934327106E-3</v>
      </c>
      <c r="K1220" s="41">
        <v>0</v>
      </c>
      <c r="L1220" s="41">
        <v>55</v>
      </c>
      <c r="M1220" s="41">
        <v>-1</v>
      </c>
      <c r="N1220" s="41">
        <v>2</v>
      </c>
      <c r="O1220" s="111" t="s">
        <v>3321</v>
      </c>
      <c r="P1220" s="109"/>
      <c r="Q1220" s="41"/>
      <c r="R1220" s="111"/>
      <c r="S1220" s="110"/>
    </row>
    <row r="1221" spans="1:19">
      <c r="A1221" s="105">
        <v>2603</v>
      </c>
      <c r="B1221" s="41">
        <v>12000000</v>
      </c>
      <c r="C1221" s="41">
        <v>4.8999999999999998E-3</v>
      </c>
      <c r="D1221" s="41">
        <v>11.313700000000001</v>
      </c>
      <c r="E1221" s="41">
        <v>30</v>
      </c>
      <c r="F1221" s="41">
        <v>0</v>
      </c>
      <c r="G1221" s="41" t="s">
        <v>505</v>
      </c>
      <c r="H1221" s="41">
        <v>1</v>
      </c>
      <c r="I1221" s="41">
        <v>1</v>
      </c>
      <c r="J1221" s="108">
        <f>POWER(POWER(Table210[[#This Row],[mv]],4)/10,0.25)</f>
        <v>2.7554724934327106E-3</v>
      </c>
      <c r="K1221" s="41">
        <v>0</v>
      </c>
      <c r="L1221" s="41">
        <v>55</v>
      </c>
      <c r="M1221" s="41">
        <v>-1</v>
      </c>
      <c r="N1221" s="41">
        <v>2</v>
      </c>
      <c r="O1221" s="111" t="s">
        <v>3322</v>
      </c>
      <c r="P1221" s="109"/>
      <c r="Q1221" s="41"/>
      <c r="R1221" s="111"/>
      <c r="S1221" s="110"/>
    </row>
    <row r="1222" spans="1:19">
      <c r="A1222" s="105">
        <v>2604</v>
      </c>
      <c r="B1222" s="41">
        <v>12000000</v>
      </c>
      <c r="C1222" s="41">
        <v>4.8999999999999998E-3</v>
      </c>
      <c r="D1222" s="41">
        <v>16</v>
      </c>
      <c r="E1222" s="41">
        <v>30</v>
      </c>
      <c r="F1222" s="41">
        <v>0</v>
      </c>
      <c r="G1222" s="41" t="s">
        <v>505</v>
      </c>
      <c r="H1222" s="41">
        <v>1</v>
      </c>
      <c r="I1222" s="41">
        <v>1</v>
      </c>
      <c r="J1222" s="108">
        <f>POWER(POWER(Table210[[#This Row],[mv]],4)/10,0.25)</f>
        <v>2.7554724934327106E-3</v>
      </c>
      <c r="K1222" s="41">
        <v>0</v>
      </c>
      <c r="L1222" s="41">
        <v>55</v>
      </c>
      <c r="M1222" s="41">
        <v>-1</v>
      </c>
      <c r="N1222" s="41">
        <v>2</v>
      </c>
      <c r="O1222" s="111" t="s">
        <v>3323</v>
      </c>
      <c r="P1222" s="109"/>
      <c r="Q1222" s="41"/>
      <c r="R1222" s="111"/>
      <c r="S1222" s="110"/>
    </row>
    <row r="1223" spans="1:19">
      <c r="A1223" s="105">
        <v>2605</v>
      </c>
      <c r="B1223" s="41">
        <v>12000000</v>
      </c>
      <c r="C1223" s="41">
        <v>4.8999999999999998E-3</v>
      </c>
      <c r="D1223" s="41">
        <v>22.627400000000002</v>
      </c>
      <c r="E1223" s="41">
        <v>30</v>
      </c>
      <c r="F1223" s="41">
        <v>0</v>
      </c>
      <c r="G1223" s="41" t="s">
        <v>505</v>
      </c>
      <c r="H1223" s="41">
        <v>1</v>
      </c>
      <c r="I1223" s="41">
        <v>1</v>
      </c>
      <c r="J1223" s="108">
        <f>POWER(POWER(Table210[[#This Row],[mv]],4)/10,0.25)</f>
        <v>2.7554724934327106E-3</v>
      </c>
      <c r="K1223" s="41">
        <v>0</v>
      </c>
      <c r="L1223" s="41">
        <v>55</v>
      </c>
      <c r="M1223" s="41">
        <v>-1</v>
      </c>
      <c r="N1223" s="41">
        <v>2</v>
      </c>
      <c r="O1223" s="111" t="s">
        <v>3324</v>
      </c>
      <c r="P1223" s="109"/>
      <c r="Q1223" s="41"/>
      <c r="R1223" s="111"/>
      <c r="S1223" s="110"/>
    </row>
    <row r="1224" spans="1:19">
      <c r="A1224" s="105">
        <v>2606</v>
      </c>
      <c r="B1224" s="41">
        <v>12000000</v>
      </c>
      <c r="C1224" s="41">
        <v>4.8999999999999998E-3</v>
      </c>
      <c r="D1224" s="41">
        <v>32</v>
      </c>
      <c r="E1224" s="41">
        <v>30</v>
      </c>
      <c r="F1224" s="41">
        <v>0</v>
      </c>
      <c r="G1224" s="41" t="s">
        <v>505</v>
      </c>
      <c r="H1224" s="41">
        <v>1</v>
      </c>
      <c r="I1224" s="41">
        <v>1</v>
      </c>
      <c r="J1224" s="108">
        <f>POWER(POWER(Table210[[#This Row],[mv]],4)/10,0.25)</f>
        <v>2.7554724934327106E-3</v>
      </c>
      <c r="K1224" s="41">
        <v>0</v>
      </c>
      <c r="L1224" s="41">
        <v>55</v>
      </c>
      <c r="M1224" s="41">
        <v>-1</v>
      </c>
      <c r="N1224" s="41">
        <v>2</v>
      </c>
      <c r="O1224" s="111" t="s">
        <v>3325</v>
      </c>
      <c r="P1224" s="109"/>
      <c r="Q1224" s="41"/>
      <c r="R1224" s="111"/>
      <c r="S1224" s="110"/>
    </row>
    <row r="1225" spans="1:19">
      <c r="A1225" s="105">
        <v>2607</v>
      </c>
      <c r="B1225" s="41">
        <v>12000000</v>
      </c>
      <c r="C1225" s="41">
        <v>4.8999999999999998E-3</v>
      </c>
      <c r="D1225" s="41">
        <v>45.254800000000003</v>
      </c>
      <c r="E1225" s="41">
        <v>30</v>
      </c>
      <c r="F1225" s="41">
        <v>0</v>
      </c>
      <c r="G1225" s="41" t="s">
        <v>505</v>
      </c>
      <c r="H1225" s="41">
        <v>1</v>
      </c>
      <c r="I1225" s="41">
        <v>1</v>
      </c>
      <c r="J1225" s="108">
        <f>POWER(POWER(Table210[[#This Row],[mv]],4)/10,0.25)</f>
        <v>2.7554724934327106E-3</v>
      </c>
      <c r="K1225" s="41">
        <v>0</v>
      </c>
      <c r="L1225" s="41">
        <v>55</v>
      </c>
      <c r="M1225" s="41">
        <v>-1</v>
      </c>
      <c r="N1225" s="41">
        <v>2</v>
      </c>
      <c r="O1225" s="111" t="s">
        <v>3326</v>
      </c>
      <c r="P1225" s="109"/>
      <c r="Q1225" s="41"/>
      <c r="R1225" s="111"/>
      <c r="S1225" s="110"/>
    </row>
    <row r="1226" spans="1:19">
      <c r="A1226" s="105">
        <v>2608</v>
      </c>
      <c r="B1226" s="41">
        <v>12000000</v>
      </c>
      <c r="C1226" s="41">
        <v>5.4000000000000003E-3</v>
      </c>
      <c r="D1226" s="41">
        <v>11.313700000000001</v>
      </c>
      <c r="E1226" s="41">
        <v>30</v>
      </c>
      <c r="F1226" s="41">
        <v>0</v>
      </c>
      <c r="G1226" s="41" t="s">
        <v>505</v>
      </c>
      <c r="H1226" s="41">
        <v>1</v>
      </c>
      <c r="I1226" s="41">
        <v>1</v>
      </c>
      <c r="J1226" s="108">
        <f>POWER(POWER(Table210[[#This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2</v>
      </c>
      <c r="O1226" s="111" t="s">
        <v>3327</v>
      </c>
      <c r="P1226" s="109"/>
      <c r="Q1226" s="41"/>
      <c r="R1226" s="111"/>
      <c r="S1226" s="110"/>
    </row>
    <row r="1227" spans="1:19">
      <c r="A1227" s="105">
        <v>2609</v>
      </c>
      <c r="B1227" s="41">
        <v>12000000</v>
      </c>
      <c r="C1227" s="41">
        <v>5.4000000000000003E-3</v>
      </c>
      <c r="D1227" s="41">
        <v>16</v>
      </c>
      <c r="E1227" s="41">
        <v>30</v>
      </c>
      <c r="F1227" s="41">
        <v>0</v>
      </c>
      <c r="G1227" s="41" t="s">
        <v>505</v>
      </c>
      <c r="H1227" s="41">
        <v>1</v>
      </c>
      <c r="I1227" s="41">
        <v>1</v>
      </c>
      <c r="J1227" s="108">
        <f>POWER(POWER(Table210[[#This Row],[mv]],4)/10,0.25)</f>
        <v>3.0366431560278845E-3</v>
      </c>
      <c r="K1227" s="41">
        <v>0</v>
      </c>
      <c r="L1227" s="41">
        <v>55</v>
      </c>
      <c r="M1227" s="41">
        <v>-1</v>
      </c>
      <c r="N1227" s="41">
        <v>2</v>
      </c>
      <c r="O1227" s="111" t="s">
        <v>3328</v>
      </c>
      <c r="P1227" s="109"/>
      <c r="Q1227" s="41"/>
      <c r="R1227" s="111"/>
      <c r="S1227" s="110"/>
    </row>
    <row r="1228" spans="1:19">
      <c r="A1228" s="105">
        <v>2610</v>
      </c>
      <c r="B1228" s="41">
        <v>12000000</v>
      </c>
      <c r="C1228" s="41">
        <v>5.4000000000000003E-3</v>
      </c>
      <c r="D1228" s="41">
        <v>22.627400000000002</v>
      </c>
      <c r="E1228" s="41">
        <v>30</v>
      </c>
      <c r="F1228" s="41">
        <v>0</v>
      </c>
      <c r="G1228" s="41" t="s">
        <v>505</v>
      </c>
      <c r="H1228" s="41">
        <v>1</v>
      </c>
      <c r="I1228" s="41">
        <v>1</v>
      </c>
      <c r="J1228" s="108">
        <f>POWER(POWER(Table210[[#This Row],[mv]],4)/10,0.25)</f>
        <v>3.0366431560278845E-3</v>
      </c>
      <c r="K1228" s="41">
        <v>0</v>
      </c>
      <c r="L1228" s="41">
        <v>55</v>
      </c>
      <c r="M1228" s="41">
        <v>-1</v>
      </c>
      <c r="N1228" s="41">
        <v>2</v>
      </c>
      <c r="O1228" s="111" t="s">
        <v>3329</v>
      </c>
      <c r="P1228" s="109"/>
      <c r="Q1228" s="41"/>
      <c r="R1228" s="111"/>
      <c r="S1228" s="110"/>
    </row>
    <row r="1229" spans="1:19">
      <c r="A1229" s="105">
        <v>2611</v>
      </c>
      <c r="B1229" s="41">
        <v>12000000</v>
      </c>
      <c r="C1229" s="41">
        <v>5.4000000000000003E-3</v>
      </c>
      <c r="D1229" s="41">
        <v>32</v>
      </c>
      <c r="E1229" s="41">
        <v>30</v>
      </c>
      <c r="F1229" s="41">
        <v>0</v>
      </c>
      <c r="G1229" s="41" t="s">
        <v>505</v>
      </c>
      <c r="H1229" s="41">
        <v>1</v>
      </c>
      <c r="I1229" s="41">
        <v>1</v>
      </c>
      <c r="J1229" s="108">
        <f>POWER(POWER(Table210[[#This Row],[mv]],4)/10,0.25)</f>
        <v>3.0366431560278845E-3</v>
      </c>
      <c r="K1229" s="41">
        <v>0</v>
      </c>
      <c r="L1229" s="41">
        <v>55</v>
      </c>
      <c r="M1229" s="41">
        <v>-1</v>
      </c>
      <c r="N1229" s="41">
        <v>2</v>
      </c>
      <c r="O1229" s="111" t="s">
        <v>3330</v>
      </c>
      <c r="P1229" s="109"/>
      <c r="Q1229" s="41"/>
      <c r="R1229" s="111"/>
      <c r="S1229" s="110"/>
    </row>
    <row r="1230" spans="1:19">
      <c r="A1230" s="105">
        <v>2612</v>
      </c>
      <c r="B1230" s="41">
        <v>12000000</v>
      </c>
      <c r="C1230" s="41">
        <v>5.4000000000000003E-3</v>
      </c>
      <c r="D1230" s="41">
        <v>45.254800000000003</v>
      </c>
      <c r="E1230" s="41">
        <v>30</v>
      </c>
      <c r="F1230" s="41">
        <v>0</v>
      </c>
      <c r="G1230" s="41" t="s">
        <v>505</v>
      </c>
      <c r="H1230" s="41">
        <v>1</v>
      </c>
      <c r="I1230" s="41">
        <v>1</v>
      </c>
      <c r="J1230" s="108">
        <f>POWER(POWER(Table210[[#This Row],[mv]],4)/10,0.25)</f>
        <v>3.0366431560278845E-3</v>
      </c>
      <c r="K1230" s="41">
        <v>0</v>
      </c>
      <c r="L1230" s="41">
        <v>55</v>
      </c>
      <c r="M1230" s="41">
        <v>-1</v>
      </c>
      <c r="N1230" s="41">
        <v>2</v>
      </c>
      <c r="O1230" s="111" t="s">
        <v>3331</v>
      </c>
      <c r="P1230" s="109"/>
      <c r="Q1230" s="41"/>
      <c r="R1230" s="111"/>
      <c r="S1230" s="110"/>
    </row>
    <row r="1231" spans="1:19">
      <c r="A1231" s="105">
        <v>2613</v>
      </c>
      <c r="B1231" s="41">
        <v>12000000</v>
      </c>
      <c r="C1231" s="41">
        <v>5.8999999999999999E-3</v>
      </c>
      <c r="D1231" s="41">
        <v>11.313700000000001</v>
      </c>
      <c r="E1231" s="41">
        <v>30</v>
      </c>
      <c r="F1231" s="41">
        <v>0</v>
      </c>
      <c r="G1231" s="41" t="s">
        <v>505</v>
      </c>
      <c r="H1231" s="41">
        <v>1</v>
      </c>
      <c r="I1231" s="41">
        <v>1</v>
      </c>
      <c r="J1231" s="108">
        <f>POWER(POWER(Table210[[#This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2</v>
      </c>
      <c r="O1231" s="111" t="s">
        <v>3332</v>
      </c>
      <c r="P1231" s="109"/>
      <c r="Q1231" s="41"/>
      <c r="R1231" s="111"/>
      <c r="S1231" s="110"/>
    </row>
    <row r="1232" spans="1:19">
      <c r="A1232" s="105">
        <v>2614</v>
      </c>
      <c r="B1232" s="41">
        <v>12000000</v>
      </c>
      <c r="C1232" s="41">
        <v>5.8999999999999999E-3</v>
      </c>
      <c r="D1232" s="41">
        <v>16</v>
      </c>
      <c r="E1232" s="41">
        <v>30</v>
      </c>
      <c r="F1232" s="41">
        <v>0</v>
      </c>
      <c r="G1232" s="41" t="s">
        <v>505</v>
      </c>
      <c r="H1232" s="41">
        <v>1</v>
      </c>
      <c r="I1232" s="41">
        <v>1</v>
      </c>
      <c r="J1232" s="108">
        <f>POWER(POWER(Table210[[#This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2</v>
      </c>
      <c r="O1232" s="111" t="s">
        <v>3333</v>
      </c>
      <c r="P1232" s="109"/>
      <c r="Q1232" s="41"/>
      <c r="R1232" s="111"/>
      <c r="S1232" s="110"/>
    </row>
    <row r="1233" spans="1:19">
      <c r="A1233" s="105">
        <v>2615</v>
      </c>
      <c r="B1233" s="41">
        <v>12000000</v>
      </c>
      <c r="C1233" s="41">
        <v>5.8999999999999999E-3</v>
      </c>
      <c r="D1233" s="41">
        <v>22.627400000000002</v>
      </c>
      <c r="E1233" s="41">
        <v>30</v>
      </c>
      <c r="F1233" s="41">
        <v>0</v>
      </c>
      <c r="G1233" s="41" t="s">
        <v>505</v>
      </c>
      <c r="H1233" s="41">
        <v>1</v>
      </c>
      <c r="I1233" s="41">
        <v>1</v>
      </c>
      <c r="J1233" s="108">
        <f>POWER(POWER(Table210[[#This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2</v>
      </c>
      <c r="O1233" s="111" t="s">
        <v>3334</v>
      </c>
      <c r="P1233" s="109"/>
      <c r="Q1233" s="41"/>
      <c r="R1233" s="111"/>
      <c r="S1233" s="110"/>
    </row>
    <row r="1234" spans="1:19">
      <c r="A1234" s="105">
        <v>2616</v>
      </c>
      <c r="B1234" s="41">
        <v>12000000</v>
      </c>
      <c r="C1234" s="41">
        <v>5.8999999999999999E-3</v>
      </c>
      <c r="D1234" s="41">
        <v>32</v>
      </c>
      <c r="E1234" s="41">
        <v>30</v>
      </c>
      <c r="F1234" s="41">
        <v>0</v>
      </c>
      <c r="G1234" s="41" t="s">
        <v>505</v>
      </c>
      <c r="H1234" s="41">
        <v>1</v>
      </c>
      <c r="I1234" s="41">
        <v>1</v>
      </c>
      <c r="J1234" s="108">
        <f>POWER(POWER(Table210[[#This Row],[mv]],4)/10,0.25)</f>
        <v>3.3178138186230597E-3</v>
      </c>
      <c r="K1234" s="41">
        <v>0</v>
      </c>
      <c r="L1234" s="41">
        <v>55</v>
      </c>
      <c r="M1234" s="41">
        <v>-1</v>
      </c>
      <c r="N1234" s="41">
        <v>2</v>
      </c>
      <c r="O1234" s="111" t="s">
        <v>3335</v>
      </c>
      <c r="P1234" s="109"/>
      <c r="Q1234" s="41"/>
      <c r="R1234" s="111"/>
      <c r="S1234" s="110"/>
    </row>
    <row r="1235" spans="1:19">
      <c r="A1235" s="105">
        <v>2617</v>
      </c>
      <c r="B1235" s="41">
        <v>12000000</v>
      </c>
      <c r="C1235" s="41">
        <v>5.8999999999999999E-3</v>
      </c>
      <c r="D1235" s="41">
        <v>45.254800000000003</v>
      </c>
      <c r="E1235" s="41">
        <v>30</v>
      </c>
      <c r="F1235" s="41">
        <v>0</v>
      </c>
      <c r="G1235" s="41" t="s">
        <v>505</v>
      </c>
      <c r="H1235" s="41">
        <v>1</v>
      </c>
      <c r="I1235" s="41">
        <v>1</v>
      </c>
      <c r="J1235" s="108">
        <f>POWER(POWER(Table210[[#This Row],[mv]],4)/10,0.25)</f>
        <v>3.3178138186230597E-3</v>
      </c>
      <c r="K1235" s="41">
        <v>0</v>
      </c>
      <c r="L1235" s="41">
        <v>55</v>
      </c>
      <c r="M1235" s="41">
        <v>-1</v>
      </c>
      <c r="N1235" s="41">
        <v>2</v>
      </c>
      <c r="O1235" s="111" t="s">
        <v>3336</v>
      </c>
      <c r="P1235" s="109"/>
      <c r="Q1235" s="41"/>
      <c r="R1235" s="111"/>
      <c r="S1235" s="110"/>
    </row>
    <row r="1236" spans="1:19">
      <c r="A1236" s="105">
        <v>2618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505</v>
      </c>
      <c r="H1236" s="41">
        <v>1</v>
      </c>
      <c r="I1236" s="41">
        <v>1</v>
      </c>
      <c r="J1236" s="108">
        <f>POWER(POWER(Table210[[#This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2</v>
      </c>
      <c r="O1236" s="111" t="s">
        <v>3337</v>
      </c>
      <c r="P1236" s="109"/>
      <c r="Q1236" s="41"/>
      <c r="R1236" s="111"/>
      <c r="S1236" s="110"/>
    </row>
    <row r="1237" spans="1:19">
      <c r="A1237" s="105">
        <v>2619</v>
      </c>
      <c r="B1237" s="41">
        <v>12000000</v>
      </c>
      <c r="C1237" s="41">
        <v>6.4000000000000003E-3</v>
      </c>
      <c r="D1237" s="41">
        <v>22.627400000000002</v>
      </c>
      <c r="E1237" s="41">
        <v>30</v>
      </c>
      <c r="F1237" s="41">
        <v>0</v>
      </c>
      <c r="G1237" s="41" t="s">
        <v>505</v>
      </c>
      <c r="H1237" s="41">
        <v>1</v>
      </c>
      <c r="I1237" s="41">
        <v>1</v>
      </c>
      <c r="J1237" s="108">
        <f>POWER(POWER(Table210[[#This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2</v>
      </c>
      <c r="O1237" s="111" t="s">
        <v>3338</v>
      </c>
      <c r="P1237" s="109"/>
      <c r="Q1237" s="41"/>
      <c r="R1237" s="111"/>
      <c r="S1237" s="110"/>
    </row>
    <row r="1238" spans="1:19">
      <c r="A1238" s="105">
        <v>2620</v>
      </c>
      <c r="B1238" s="41">
        <v>12000000</v>
      </c>
      <c r="C1238" s="41">
        <v>6.4000000000000003E-3</v>
      </c>
      <c r="D1238" s="41">
        <v>32</v>
      </c>
      <c r="E1238" s="41">
        <v>30</v>
      </c>
      <c r="F1238" s="41">
        <v>0</v>
      </c>
      <c r="G1238" s="41" t="s">
        <v>505</v>
      </c>
      <c r="H1238" s="41">
        <v>1</v>
      </c>
      <c r="I1238" s="41">
        <v>1</v>
      </c>
      <c r="J1238" s="108">
        <f>POWER(POWER(Table210[[#This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2</v>
      </c>
      <c r="O1238" s="111" t="s">
        <v>3339</v>
      </c>
      <c r="P1238" s="109"/>
      <c r="Q1238" s="41"/>
      <c r="R1238" s="111"/>
      <c r="S1238" s="110"/>
    </row>
    <row r="1239" spans="1:19">
      <c r="A1239" s="105">
        <v>2621</v>
      </c>
      <c r="B1239" s="41">
        <v>12000000</v>
      </c>
      <c r="C1239" s="41">
        <v>6.4000000000000003E-3</v>
      </c>
      <c r="D1239" s="41">
        <v>45.254800000000003</v>
      </c>
      <c r="E1239" s="41">
        <v>30</v>
      </c>
      <c r="F1239" s="41">
        <v>0</v>
      </c>
      <c r="G1239" s="41" t="s">
        <v>505</v>
      </c>
      <c r="H1239" s="41">
        <v>1</v>
      </c>
      <c r="I1239" s="41">
        <v>1</v>
      </c>
      <c r="J1239" s="108">
        <f>POWER(POWER(Table210[[#This Row],[mv]],4)/10,0.25)</f>
        <v>3.5989844812182349E-3</v>
      </c>
      <c r="K1239" s="41">
        <v>0</v>
      </c>
      <c r="L1239" s="41">
        <v>55</v>
      </c>
      <c r="M1239" s="41">
        <v>-1</v>
      </c>
      <c r="N1239" s="41">
        <v>2</v>
      </c>
      <c r="O1239" s="111" t="s">
        <v>3340</v>
      </c>
      <c r="P1239" s="109"/>
      <c r="Q1239" s="41"/>
      <c r="R1239" s="111"/>
      <c r="S1239" s="110"/>
    </row>
    <row r="1240" spans="1:19">
      <c r="A1240" s="105">
        <v>2622</v>
      </c>
      <c r="B1240" s="41">
        <v>12000000</v>
      </c>
      <c r="C1240" s="41">
        <v>7.0000000000000001E-3</v>
      </c>
      <c r="D1240" s="41">
        <v>16</v>
      </c>
      <c r="E1240" s="41">
        <v>30</v>
      </c>
      <c r="F1240" s="41">
        <v>0</v>
      </c>
      <c r="G1240" s="41" t="s">
        <v>505</v>
      </c>
      <c r="H1240" s="41">
        <v>1</v>
      </c>
      <c r="I1240" s="41">
        <v>1</v>
      </c>
      <c r="J1240" s="108">
        <f>POWER(POWER(Table210[[#This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2</v>
      </c>
      <c r="O1240" s="111" t="s">
        <v>3341</v>
      </c>
      <c r="P1240" s="109"/>
      <c r="Q1240" s="41"/>
      <c r="R1240" s="111"/>
      <c r="S1240" s="110"/>
    </row>
    <row r="1241" spans="1:19">
      <c r="A1241" s="105">
        <v>2623</v>
      </c>
      <c r="B1241" s="41">
        <v>12000000</v>
      </c>
      <c r="C1241" s="41">
        <v>7.0000000000000001E-3</v>
      </c>
      <c r="D1241" s="41">
        <v>22.627400000000002</v>
      </c>
      <c r="E1241" s="41">
        <v>30</v>
      </c>
      <c r="F1241" s="41">
        <v>0</v>
      </c>
      <c r="G1241" s="41" t="s">
        <v>505</v>
      </c>
      <c r="H1241" s="41">
        <v>1</v>
      </c>
      <c r="I1241" s="41">
        <v>1</v>
      </c>
      <c r="J1241" s="108">
        <f>POWER(POWER(Table210[[#This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2</v>
      </c>
      <c r="O1241" s="111" t="s">
        <v>3342</v>
      </c>
      <c r="P1241" s="109"/>
      <c r="Q1241" s="41"/>
      <c r="R1241" s="111"/>
      <c r="S1241" s="110"/>
    </row>
    <row r="1242" spans="1:19">
      <c r="A1242" s="105">
        <v>2624</v>
      </c>
      <c r="B1242" s="41">
        <v>12000000</v>
      </c>
      <c r="C1242" s="41">
        <v>7.0000000000000001E-3</v>
      </c>
      <c r="D1242" s="41">
        <v>32</v>
      </c>
      <c r="E1242" s="41">
        <v>30</v>
      </c>
      <c r="F1242" s="41">
        <v>0</v>
      </c>
      <c r="G1242" s="41" t="s">
        <v>505</v>
      </c>
      <c r="H1242" s="41">
        <v>1</v>
      </c>
      <c r="I1242" s="41">
        <v>1</v>
      </c>
      <c r="J1242" s="108">
        <f>POWER(POWER(Table210[[#This Row],[mv]],4)/10,0.25)</f>
        <v>3.9363892763324441E-3</v>
      </c>
      <c r="K1242" s="41">
        <v>0</v>
      </c>
      <c r="L1242" s="41">
        <v>55</v>
      </c>
      <c r="M1242" s="41">
        <v>-1</v>
      </c>
      <c r="N1242" s="41">
        <v>2</v>
      </c>
      <c r="O1242" s="111" t="s">
        <v>3343</v>
      </c>
      <c r="P1242" s="109"/>
      <c r="Q1242" s="41"/>
      <c r="R1242" s="111"/>
      <c r="S1242" s="110"/>
    </row>
    <row r="1243" spans="1:19">
      <c r="A1243" s="105">
        <v>2625</v>
      </c>
      <c r="B1243" s="41">
        <v>12000000</v>
      </c>
      <c r="C1243" s="41">
        <v>7.0000000000000001E-3</v>
      </c>
      <c r="D1243" s="41">
        <v>45.254800000000003</v>
      </c>
      <c r="E1243" s="41">
        <v>30</v>
      </c>
      <c r="F1243" s="41">
        <v>0</v>
      </c>
      <c r="G1243" s="41" t="s">
        <v>505</v>
      </c>
      <c r="H1243" s="41">
        <v>1</v>
      </c>
      <c r="I1243" s="41">
        <v>1</v>
      </c>
      <c r="J1243" s="108">
        <f>POWER(POWER(Table210[[#This Row],[mv]],4)/10,0.25)</f>
        <v>3.9363892763324441E-3</v>
      </c>
      <c r="K1243" s="41">
        <v>0</v>
      </c>
      <c r="L1243" s="41">
        <v>55</v>
      </c>
      <c r="M1243" s="41">
        <v>-1</v>
      </c>
      <c r="N1243" s="41">
        <v>2</v>
      </c>
      <c r="O1243" s="111" t="s">
        <v>3344</v>
      </c>
      <c r="P1243" s="109"/>
      <c r="Q1243" s="41"/>
      <c r="R1243" s="111"/>
      <c r="S1243" s="110"/>
    </row>
    <row r="1244" spans="1:19">
      <c r="A1244" s="105">
        <v>2626</v>
      </c>
      <c r="B1244" s="41">
        <v>12000000</v>
      </c>
      <c r="C1244" s="41">
        <v>7.6E-3</v>
      </c>
      <c r="D1244" s="41">
        <v>22.627400000000002</v>
      </c>
      <c r="E1244" s="41">
        <v>30</v>
      </c>
      <c r="F1244" s="41">
        <v>0</v>
      </c>
      <c r="G1244" s="41" t="s">
        <v>505</v>
      </c>
      <c r="H1244" s="41">
        <v>1</v>
      </c>
      <c r="I1244" s="41">
        <v>1</v>
      </c>
      <c r="J1244" s="108">
        <f>POWER(POWER(Table210[[#This Row],[mv]],4)/10,0.25)</f>
        <v>4.2737940714466516E-3</v>
      </c>
      <c r="K1244" s="41">
        <v>0</v>
      </c>
      <c r="L1244" s="41">
        <v>55</v>
      </c>
      <c r="M1244" s="41">
        <v>-1</v>
      </c>
      <c r="N1244" s="41">
        <v>2</v>
      </c>
      <c r="O1244" s="111" t="s">
        <v>3345</v>
      </c>
      <c r="P1244" s="109"/>
      <c r="Q1244" s="41"/>
      <c r="R1244" s="111"/>
      <c r="S1244" s="110"/>
    </row>
    <row r="1245" spans="1:19">
      <c r="A1245" s="105">
        <v>2627</v>
      </c>
      <c r="B1245" s="41">
        <v>12000000</v>
      </c>
      <c r="C1245" s="41">
        <v>7.6E-3</v>
      </c>
      <c r="D1245" s="41">
        <v>32</v>
      </c>
      <c r="E1245" s="41">
        <v>30</v>
      </c>
      <c r="F1245" s="41">
        <v>0</v>
      </c>
      <c r="G1245" s="41" t="s">
        <v>505</v>
      </c>
      <c r="H1245" s="41">
        <v>1</v>
      </c>
      <c r="I1245" s="41">
        <v>1</v>
      </c>
      <c r="J1245" s="108">
        <f>POWER(POWER(Table210[[#This Row],[mv]],4)/10,0.25)</f>
        <v>4.2737940714466516E-3</v>
      </c>
      <c r="K1245" s="41">
        <v>0</v>
      </c>
      <c r="L1245" s="41">
        <v>55</v>
      </c>
      <c r="M1245" s="41">
        <v>-1</v>
      </c>
      <c r="N1245" s="41">
        <v>2</v>
      </c>
      <c r="O1245" s="111" t="s">
        <v>3346</v>
      </c>
      <c r="P1245" s="109"/>
      <c r="Q1245" s="41"/>
      <c r="R1245" s="111"/>
      <c r="S1245" s="110"/>
    </row>
    <row r="1246" spans="1:19">
      <c r="A1246" s="105">
        <v>2628</v>
      </c>
      <c r="B1246" s="41">
        <v>12000000</v>
      </c>
      <c r="C1246" s="41">
        <v>7.6E-3</v>
      </c>
      <c r="D1246" s="41">
        <v>45.254800000000003</v>
      </c>
      <c r="E1246" s="41">
        <v>30</v>
      </c>
      <c r="F1246" s="41">
        <v>0</v>
      </c>
      <c r="G1246" s="41" t="s">
        <v>505</v>
      </c>
      <c r="H1246" s="41">
        <v>1</v>
      </c>
      <c r="I1246" s="41">
        <v>1</v>
      </c>
      <c r="J1246" s="108">
        <f>POWER(POWER(Table210[[#This Row],[mv]],4)/10,0.25)</f>
        <v>4.2737940714466516E-3</v>
      </c>
      <c r="K1246" s="41">
        <v>0</v>
      </c>
      <c r="L1246" s="41">
        <v>55</v>
      </c>
      <c r="M1246" s="41">
        <v>-1</v>
      </c>
      <c r="N1246" s="41">
        <v>2</v>
      </c>
      <c r="O1246" s="111" t="s">
        <v>3347</v>
      </c>
      <c r="P1246" s="109"/>
      <c r="Q1246" s="41"/>
      <c r="R1246" s="111"/>
      <c r="S1246" s="110"/>
    </row>
    <row r="1247" spans="1:19">
      <c r="A1247" s="105">
        <v>2629</v>
      </c>
      <c r="B1247" s="41">
        <v>12000000</v>
      </c>
      <c r="C1247" s="41">
        <v>8.3000000000000001E-3</v>
      </c>
      <c r="D1247" s="41">
        <v>22.627400000000002</v>
      </c>
      <c r="E1247" s="41">
        <v>30</v>
      </c>
      <c r="F1247" s="41">
        <v>0</v>
      </c>
      <c r="G1247" s="41" t="s">
        <v>505</v>
      </c>
      <c r="H1247" s="41">
        <v>1</v>
      </c>
      <c r="I1247" s="41">
        <v>1</v>
      </c>
      <c r="J1247" s="108">
        <f>POWER(POWER(Table210[[#This Row],[mv]],4)/10,0.25)</f>
        <v>4.6674329990798978E-3</v>
      </c>
      <c r="K1247" s="41">
        <v>0</v>
      </c>
      <c r="L1247" s="41">
        <v>55</v>
      </c>
      <c r="M1247" s="41">
        <v>-1</v>
      </c>
      <c r="N1247" s="41">
        <v>2</v>
      </c>
      <c r="O1247" s="111" t="s">
        <v>3348</v>
      </c>
      <c r="P1247" s="109"/>
      <c r="Q1247" s="41"/>
      <c r="R1247" s="111"/>
      <c r="S1247" s="110"/>
    </row>
    <row r="1248" spans="1:19">
      <c r="A1248" s="105">
        <v>2630</v>
      </c>
      <c r="B1248" s="41">
        <v>12000000</v>
      </c>
      <c r="C1248" s="41">
        <v>8.3000000000000001E-3</v>
      </c>
      <c r="D1248" s="41">
        <v>32</v>
      </c>
      <c r="E1248" s="41">
        <v>30</v>
      </c>
      <c r="F1248" s="41">
        <v>0</v>
      </c>
      <c r="G1248" s="41" t="s">
        <v>505</v>
      </c>
      <c r="H1248" s="41">
        <v>1</v>
      </c>
      <c r="I1248" s="41">
        <v>1</v>
      </c>
      <c r="J1248" s="108">
        <f>POWER(POWER(Table210[[#This Row],[mv]],4)/10,0.25)</f>
        <v>4.6674329990798978E-3</v>
      </c>
      <c r="K1248" s="41">
        <v>0</v>
      </c>
      <c r="L1248" s="41">
        <v>55</v>
      </c>
      <c r="M1248" s="41">
        <v>-1</v>
      </c>
      <c r="N1248" s="41">
        <v>2</v>
      </c>
      <c r="O1248" s="111" t="s">
        <v>3349</v>
      </c>
      <c r="P1248" s="109"/>
      <c r="Q1248" s="41"/>
      <c r="R1248" s="111"/>
      <c r="S1248" s="110"/>
    </row>
    <row r="1249" spans="1:19">
      <c r="A1249" s="105">
        <v>2631</v>
      </c>
      <c r="B1249" s="41">
        <v>12000000</v>
      </c>
      <c r="C1249" s="41">
        <v>8.3000000000000001E-3</v>
      </c>
      <c r="D1249" s="41">
        <v>45.254800000000003</v>
      </c>
      <c r="E1249" s="41">
        <v>30</v>
      </c>
      <c r="F1249" s="41">
        <v>0</v>
      </c>
      <c r="G1249" s="41" t="s">
        <v>505</v>
      </c>
      <c r="H1249" s="41">
        <v>1</v>
      </c>
      <c r="I1249" s="41">
        <v>1</v>
      </c>
      <c r="J1249" s="108">
        <f>POWER(POWER(Table210[[#This Row],[mv]],4)/10,0.25)</f>
        <v>4.6674329990798978E-3</v>
      </c>
      <c r="K1249" s="41">
        <v>0</v>
      </c>
      <c r="L1249" s="41">
        <v>55</v>
      </c>
      <c r="M1249" s="41">
        <v>-1</v>
      </c>
      <c r="N1249" s="41">
        <v>2</v>
      </c>
      <c r="O1249" s="111" t="s">
        <v>3350</v>
      </c>
      <c r="P1249" s="109"/>
      <c r="Q1249" s="41"/>
      <c r="R1249" s="111"/>
      <c r="S1249" s="110"/>
    </row>
    <row r="1250" spans="1:19">
      <c r="A1250" s="105">
        <v>2632</v>
      </c>
      <c r="B1250" s="41">
        <v>12000000</v>
      </c>
      <c r="C1250" s="41">
        <v>9.1000000000000004E-3</v>
      </c>
      <c r="D1250" s="41">
        <v>32</v>
      </c>
      <c r="E1250" s="41">
        <v>30</v>
      </c>
      <c r="F1250" s="41">
        <v>0</v>
      </c>
      <c r="G1250" s="41" t="s">
        <v>505</v>
      </c>
      <c r="H1250" s="41">
        <v>1</v>
      </c>
      <c r="I1250" s="41">
        <v>1</v>
      </c>
      <c r="J1250" s="108">
        <f>POWER(POWER(Table210[[#This Row],[mv]],4)/10,0.25)</f>
        <v>5.1173060592321785E-3</v>
      </c>
      <c r="K1250" s="41">
        <v>0</v>
      </c>
      <c r="L1250" s="41">
        <v>55</v>
      </c>
      <c r="M1250" s="41">
        <v>-1</v>
      </c>
      <c r="N1250" s="41">
        <v>2</v>
      </c>
      <c r="O1250" s="111" t="s">
        <v>3351</v>
      </c>
      <c r="P1250" s="109"/>
      <c r="Q1250" s="41"/>
      <c r="R1250" s="111"/>
      <c r="S1250" s="110"/>
    </row>
    <row r="1251" spans="1:19">
      <c r="A1251" s="105">
        <v>2633</v>
      </c>
      <c r="B1251" s="41">
        <v>12000000</v>
      </c>
      <c r="C1251" s="41">
        <v>9.1000000000000004E-3</v>
      </c>
      <c r="D1251" s="41">
        <v>45.254800000000003</v>
      </c>
      <c r="E1251" s="41">
        <v>30</v>
      </c>
      <c r="F1251" s="41">
        <v>0</v>
      </c>
      <c r="G1251" s="41" t="s">
        <v>505</v>
      </c>
      <c r="H1251" s="41">
        <v>1</v>
      </c>
      <c r="I1251" s="41">
        <v>1</v>
      </c>
      <c r="J1251" s="108">
        <f>POWER(POWER(Table210[[#This Row],[mv]],4)/10,0.25)</f>
        <v>5.1173060592321785E-3</v>
      </c>
      <c r="K1251" s="41">
        <v>0</v>
      </c>
      <c r="L1251" s="41">
        <v>55</v>
      </c>
      <c r="M1251" s="41">
        <v>-1</v>
      </c>
      <c r="N1251" s="41">
        <v>2</v>
      </c>
      <c r="O1251" s="111" t="s">
        <v>3352</v>
      </c>
      <c r="P1251" s="109"/>
      <c r="Q1251" s="41"/>
      <c r="R1251" s="111"/>
      <c r="S1251" s="110"/>
    </row>
    <row r="1252" spans="1:19">
      <c r="A1252" s="105">
        <v>2634</v>
      </c>
      <c r="B1252" s="41">
        <v>12000000</v>
      </c>
      <c r="C1252" s="41">
        <v>9.9000000000000008E-3</v>
      </c>
      <c r="D1252" s="41">
        <v>32</v>
      </c>
      <c r="E1252" s="41">
        <v>30</v>
      </c>
      <c r="F1252" s="41">
        <v>0</v>
      </c>
      <c r="G1252" s="41" t="s">
        <v>505</v>
      </c>
      <c r="H1252" s="41">
        <v>1</v>
      </c>
      <c r="I1252" s="41">
        <v>1</v>
      </c>
      <c r="J1252" s="108">
        <f>POWER(POWER(Table210[[#This Row],[mv]],4)/10,0.25)</f>
        <v>5.5671791193844583E-3</v>
      </c>
      <c r="K1252" s="41">
        <v>0</v>
      </c>
      <c r="L1252" s="41">
        <v>55</v>
      </c>
      <c r="M1252" s="41">
        <v>-1</v>
      </c>
      <c r="N1252" s="41">
        <v>2</v>
      </c>
      <c r="O1252" s="111" t="s">
        <v>3353</v>
      </c>
      <c r="P1252" s="109"/>
      <c r="Q1252" s="41"/>
      <c r="R1252" s="111"/>
      <c r="S1252" s="110"/>
    </row>
    <row r="1253" spans="1:19">
      <c r="A1253" s="105">
        <v>2635</v>
      </c>
      <c r="B1253" s="41">
        <v>12000000</v>
      </c>
      <c r="C1253" s="41">
        <v>9.9000000000000008E-3</v>
      </c>
      <c r="D1253" s="41">
        <v>45.254800000000003</v>
      </c>
      <c r="E1253" s="41">
        <v>30</v>
      </c>
      <c r="F1253" s="41">
        <v>0</v>
      </c>
      <c r="G1253" s="41" t="s">
        <v>505</v>
      </c>
      <c r="H1253" s="41">
        <v>1</v>
      </c>
      <c r="I1253" s="41">
        <v>1</v>
      </c>
      <c r="J1253" s="108">
        <f>POWER(POWER(Table210[[#This Row],[mv]],4)/10,0.25)</f>
        <v>5.5671791193844583E-3</v>
      </c>
      <c r="K1253" s="41">
        <v>0</v>
      </c>
      <c r="L1253" s="41">
        <v>55</v>
      </c>
      <c r="M1253" s="41">
        <v>-1</v>
      </c>
      <c r="N1253" s="41">
        <v>2</v>
      </c>
      <c r="O1253" s="111" t="s">
        <v>3354</v>
      </c>
      <c r="P1253" s="109"/>
      <c r="Q1253" s="41"/>
      <c r="R1253" s="111"/>
      <c r="S1253" s="110"/>
    </row>
    <row r="1254" spans="1:19">
      <c r="A1254" s="105">
        <v>2636</v>
      </c>
      <c r="B1254" s="41">
        <v>12000000</v>
      </c>
      <c r="C1254" s="41">
        <v>1.0800000000000001E-2</v>
      </c>
      <c r="D1254" s="41">
        <v>45.254800000000003</v>
      </c>
      <c r="E1254" s="41">
        <v>30</v>
      </c>
      <c r="F1254" s="41">
        <v>0</v>
      </c>
      <c r="G1254" s="41" t="s">
        <v>505</v>
      </c>
      <c r="H1254" s="41">
        <v>1</v>
      </c>
      <c r="I1254" s="41">
        <v>1</v>
      </c>
      <c r="J1254" s="108">
        <f>POWER(POWER(Table210[[#This Row],[mv]],4)/10,0.25)</f>
        <v>6.0732863120557699E-3</v>
      </c>
      <c r="K1254" s="41">
        <v>0</v>
      </c>
      <c r="L1254" s="41">
        <v>55</v>
      </c>
      <c r="M1254" s="41">
        <v>-1</v>
      </c>
      <c r="N1254" s="41">
        <v>2</v>
      </c>
      <c r="O1254" s="111" t="s">
        <v>3355</v>
      </c>
      <c r="P1254" s="109"/>
      <c r="Q1254" s="41"/>
      <c r="R1254" s="111"/>
      <c r="S1254" s="110"/>
    </row>
    <row r="1255" spans="1:19">
      <c r="A1255" s="105">
        <v>2637</v>
      </c>
      <c r="B1255" s="41">
        <v>12000000</v>
      </c>
      <c r="C1255" s="41">
        <v>1.18E-2</v>
      </c>
      <c r="D1255" s="41">
        <v>45.254800000000003</v>
      </c>
      <c r="E1255" s="41">
        <v>30</v>
      </c>
      <c r="F1255" s="41">
        <v>0</v>
      </c>
      <c r="G1255" s="41" t="s">
        <v>505</v>
      </c>
      <c r="H1255" s="41">
        <v>1</v>
      </c>
      <c r="I1255" s="41">
        <v>1</v>
      </c>
      <c r="J1255" s="108">
        <f>POWER(POWER(Table210[[#This Row],[mv]],4)/10,0.25)</f>
        <v>6.6356276372461194E-3</v>
      </c>
      <c r="K1255" s="41">
        <v>0</v>
      </c>
      <c r="L1255" s="41">
        <v>55</v>
      </c>
      <c r="M1255" s="41">
        <v>-1</v>
      </c>
      <c r="N1255" s="41">
        <v>2</v>
      </c>
      <c r="O1255" s="111" t="s">
        <v>3356</v>
      </c>
      <c r="P1255" s="109"/>
      <c r="Q1255" s="41"/>
      <c r="R1255" s="111"/>
      <c r="S1255" s="110"/>
    </row>
    <row r="1256" spans="1:19">
      <c r="A1256" s="105">
        <v>2638</v>
      </c>
      <c r="B1256" s="41">
        <v>60000000</v>
      </c>
      <c r="C1256" s="41">
        <v>1.1999999999999999E-3</v>
      </c>
      <c r="D1256" s="41">
        <v>5.6569000000000003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f>POWER(POWER(Table210[[#This Row],[mv]],4)/10,0.25)</f>
        <v>6.7480959022841905E-4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3363</v>
      </c>
      <c r="P1256" s="109"/>
      <c r="Q1256" s="41"/>
      <c r="R1256" s="111"/>
      <c r="S1256" s="110" t="s">
        <v>3444</v>
      </c>
    </row>
    <row r="1257" spans="1:19">
      <c r="A1257" s="105">
        <v>2639</v>
      </c>
      <c r="B1257" s="41">
        <v>60000000</v>
      </c>
      <c r="C1257" s="41">
        <v>1.1999999999999999E-3</v>
      </c>
      <c r="D1257" s="41">
        <v>8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f>POWER(POWER(Table210[[#This Row],[mv]],4)/10,0.25)</f>
        <v>6.7480959022841905E-4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3364</v>
      </c>
      <c r="P1257" s="109"/>
      <c r="Q1257" s="41"/>
      <c r="R1257" s="111"/>
      <c r="S1257" s="110"/>
    </row>
    <row r="1258" spans="1:19">
      <c r="A1258" s="105">
        <v>2640</v>
      </c>
      <c r="B1258" s="41">
        <v>60000000</v>
      </c>
      <c r="C1258" s="41">
        <v>1.1999999999999999E-3</v>
      </c>
      <c r="D1258" s="41">
        <v>11.313700000000001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f>POWER(POWER(Table210[[#This Row],[mv]],4)/10,0.25)</f>
        <v>6.7480959022841905E-4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3365</v>
      </c>
      <c r="P1258" s="109"/>
      <c r="Q1258" s="41"/>
      <c r="R1258" s="111"/>
      <c r="S1258" s="110"/>
    </row>
    <row r="1259" spans="1:19">
      <c r="A1259" s="105">
        <v>2641</v>
      </c>
      <c r="B1259" s="41">
        <v>60000000</v>
      </c>
      <c r="C1259" s="41">
        <v>1.2999999999999999E-3</v>
      </c>
      <c r="D1259" s="41">
        <v>5.6569000000000003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f>POWER(POWER(Table210[[#This Row],[mv]],4)/10,0.25)</f>
        <v>7.3104372274745391E-4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3366</v>
      </c>
      <c r="P1259" s="109"/>
      <c r="Q1259" s="41"/>
      <c r="R1259" s="111"/>
      <c r="S1259" s="110"/>
    </row>
    <row r="1260" spans="1:19">
      <c r="A1260" s="105">
        <v>2642</v>
      </c>
      <c r="B1260" s="41">
        <v>60000000</v>
      </c>
      <c r="C1260" s="41">
        <v>1.2999999999999999E-3</v>
      </c>
      <c r="D1260" s="41">
        <v>8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f>POWER(POWER(Table210[[#This Row],[mv]],4)/10,0.25)</f>
        <v>7.3104372274745391E-4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3367</v>
      </c>
      <c r="P1260" s="109"/>
      <c r="Q1260" s="41"/>
      <c r="R1260" s="111"/>
      <c r="S1260" s="110"/>
    </row>
    <row r="1261" spans="1:19">
      <c r="A1261" s="105">
        <v>2643</v>
      </c>
      <c r="B1261" s="41">
        <v>60000000</v>
      </c>
      <c r="C1261" s="41">
        <v>1.2999999999999999E-3</v>
      </c>
      <c r="D1261" s="41">
        <v>11.313700000000001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f>POWER(POWER(Table210[[#This Row],[mv]],4)/10,0.25)</f>
        <v>7.3104372274745391E-4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3368</v>
      </c>
      <c r="P1261" s="109"/>
      <c r="Q1261" s="41"/>
      <c r="R1261" s="111"/>
      <c r="S1261" s="110"/>
    </row>
    <row r="1262" spans="1:19">
      <c r="A1262" s="105">
        <v>2644</v>
      </c>
      <c r="B1262" s="41">
        <v>60000000</v>
      </c>
      <c r="C1262" s="41">
        <v>1.2999999999999999E-3</v>
      </c>
      <c r="D1262" s="41">
        <v>16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f>POWER(POWER(Table210[[#This Row],[mv]],4)/10,0.25)</f>
        <v>7.3104372274745391E-4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3369</v>
      </c>
      <c r="P1262" s="109"/>
      <c r="Q1262" s="41"/>
      <c r="R1262" s="111"/>
      <c r="S1262" s="110"/>
    </row>
    <row r="1263" spans="1:19">
      <c r="A1263" s="105">
        <v>2645</v>
      </c>
      <c r="B1263" s="41">
        <v>60000000</v>
      </c>
      <c r="C1263" s="41">
        <v>1.5E-3</v>
      </c>
      <c r="D1263" s="41">
        <v>4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f>POWER(POWER(Table210[[#This Row],[mv]],4)/10,0.25)</f>
        <v>8.4351198778552375E-4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3370</v>
      </c>
      <c r="P1263" s="109"/>
      <c r="Q1263" s="41"/>
      <c r="R1263" s="111"/>
      <c r="S1263" s="110"/>
    </row>
    <row r="1264" spans="1:19">
      <c r="A1264" s="105">
        <v>2646</v>
      </c>
      <c r="B1264" s="41">
        <v>60000000</v>
      </c>
      <c r="C1264" s="41">
        <v>1.5E-3</v>
      </c>
      <c r="D1264" s="41">
        <v>5.6569000000000003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f>POWER(POWER(Table210[[#This Row],[mv]],4)/10,0.25)</f>
        <v>8.4351198778552375E-4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3371</v>
      </c>
      <c r="P1264" s="109"/>
      <c r="Q1264" s="41"/>
      <c r="R1264" s="111"/>
      <c r="S1264" s="110"/>
    </row>
    <row r="1265" spans="1:19">
      <c r="A1265" s="105">
        <v>2647</v>
      </c>
      <c r="B1265" s="41">
        <v>60000000</v>
      </c>
      <c r="C1265" s="41">
        <v>1.5E-3</v>
      </c>
      <c r="D1265" s="41">
        <v>8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f>POWER(POWER(Table210[[#This Row],[mv]],4)/10,0.25)</f>
        <v>8.4351198778552375E-4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3372</v>
      </c>
      <c r="P1265" s="109"/>
      <c r="Q1265" s="41"/>
      <c r="R1265" s="111"/>
      <c r="S1265" s="110"/>
    </row>
    <row r="1266" spans="1:19">
      <c r="A1266" s="105">
        <v>2648</v>
      </c>
      <c r="B1266" s="41">
        <v>60000000</v>
      </c>
      <c r="C1266" s="41">
        <v>1.5E-3</v>
      </c>
      <c r="D1266" s="41">
        <v>11.313700000000001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f>POWER(POWER(Table210[[#This Row],[mv]],4)/10,0.25)</f>
        <v>8.4351198778552375E-4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3373</v>
      </c>
      <c r="P1266" s="109"/>
      <c r="Q1266" s="41"/>
      <c r="R1266" s="111"/>
      <c r="S1266" s="110"/>
    </row>
    <row r="1267" spans="1:19">
      <c r="A1267" s="105">
        <v>2649</v>
      </c>
      <c r="B1267" s="41">
        <v>60000000</v>
      </c>
      <c r="C1267" s="41">
        <v>1.5E-3</v>
      </c>
      <c r="D1267" s="41">
        <v>16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f>POWER(POWER(Table210[[#This Row],[mv]],4)/10,0.25)</f>
        <v>8.4351198778552375E-4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3374</v>
      </c>
      <c r="P1267" s="109"/>
      <c r="Q1267" s="41"/>
      <c r="R1267" s="111"/>
      <c r="S1267" s="110"/>
    </row>
    <row r="1268" spans="1:19">
      <c r="A1268" s="105">
        <v>2650</v>
      </c>
      <c r="B1268" s="41">
        <v>60000000</v>
      </c>
      <c r="C1268" s="41">
        <v>1.6000000000000001E-3</v>
      </c>
      <c r="D1268" s="41">
        <v>4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f>POWER(POWER(Table210[[#This Row],[mv]],4)/10,0.25)</f>
        <v>8.9974612030455862E-4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3375</v>
      </c>
      <c r="P1268" s="109"/>
      <c r="Q1268" s="41"/>
      <c r="R1268" s="111"/>
      <c r="S1268" s="110"/>
    </row>
    <row r="1269" spans="1:19">
      <c r="A1269" s="105">
        <v>2651</v>
      </c>
      <c r="B1269" s="41">
        <v>60000000</v>
      </c>
      <c r="C1269" s="41">
        <v>1.6000000000000001E-3</v>
      </c>
      <c r="D1269" s="41">
        <v>5.6569000000000003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f>POWER(POWER(Table210[[#This Row],[mv]],4)/10,0.25)</f>
        <v>8.9974612030455862E-4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3376</v>
      </c>
      <c r="P1269" s="109"/>
      <c r="Q1269" s="41"/>
      <c r="R1269" s="111"/>
      <c r="S1269" s="110"/>
    </row>
    <row r="1270" spans="1:19">
      <c r="A1270" s="105">
        <v>2652</v>
      </c>
      <c r="B1270" s="41">
        <v>60000000</v>
      </c>
      <c r="C1270" s="41">
        <v>1.6000000000000001E-3</v>
      </c>
      <c r="D1270" s="41">
        <v>8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f>POWER(POWER(Table210[[#This Row],[mv]],4)/10,0.25)</f>
        <v>8.9974612030455862E-4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3377</v>
      </c>
      <c r="P1270" s="109"/>
      <c r="Q1270" s="41"/>
      <c r="R1270" s="111"/>
      <c r="S1270" s="110"/>
    </row>
    <row r="1271" spans="1:19">
      <c r="A1271" s="105">
        <v>2653</v>
      </c>
      <c r="B1271" s="41">
        <v>60000000</v>
      </c>
      <c r="C1271" s="41">
        <v>1.6000000000000001E-3</v>
      </c>
      <c r="D1271" s="41">
        <v>11.313700000000001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f>POWER(POWER(Table210[[#This Row],[mv]],4)/10,0.25)</f>
        <v>8.9974612030455862E-4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3378</v>
      </c>
      <c r="P1271" s="109"/>
      <c r="Q1271" s="41"/>
      <c r="R1271" s="111"/>
      <c r="S1271" s="110"/>
    </row>
    <row r="1272" spans="1:19">
      <c r="A1272" s="105">
        <v>2654</v>
      </c>
      <c r="B1272" s="41">
        <v>60000000</v>
      </c>
      <c r="C1272" s="41">
        <v>1.6000000000000001E-3</v>
      </c>
      <c r="D1272" s="41">
        <v>16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f>POWER(POWER(Table210[[#This Row],[mv]],4)/10,0.25)</f>
        <v>8.9974612030455862E-4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3379</v>
      </c>
      <c r="P1272" s="109"/>
      <c r="Q1272" s="41"/>
      <c r="R1272" s="111"/>
      <c r="S1272" s="110"/>
    </row>
    <row r="1273" spans="1:19">
      <c r="A1273" s="105">
        <v>2655</v>
      </c>
      <c r="B1273" s="41">
        <v>60000000</v>
      </c>
      <c r="C1273" s="41">
        <v>1.6000000000000001E-3</v>
      </c>
      <c r="D1273" s="41">
        <v>22.627400000000002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f>POWER(POWER(Table210[[#This Row],[mv]],4)/10,0.25)</f>
        <v>8.9974612030455862E-4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3380</v>
      </c>
      <c r="P1273" s="109"/>
      <c r="Q1273" s="41"/>
      <c r="R1273" s="111"/>
      <c r="S1273" s="110"/>
    </row>
    <row r="1274" spans="1:19">
      <c r="A1274" s="105">
        <v>2656</v>
      </c>
      <c r="B1274" s="41">
        <v>60000000</v>
      </c>
      <c r="C1274" s="41">
        <v>1.6999999999999999E-3</v>
      </c>
      <c r="D1274" s="41">
        <v>4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f>POWER(POWER(Table210[[#This Row],[mv]],4)/10,0.25)</f>
        <v>9.5598025282359327E-4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3381</v>
      </c>
      <c r="P1274" s="109"/>
      <c r="Q1274" s="41"/>
      <c r="R1274" s="111"/>
      <c r="S1274" s="110"/>
    </row>
    <row r="1275" spans="1:19">
      <c r="A1275" s="105">
        <v>2657</v>
      </c>
      <c r="B1275" s="41">
        <v>60000000</v>
      </c>
      <c r="C1275" s="41">
        <v>1.6999999999999999E-3</v>
      </c>
      <c r="D1275" s="41">
        <v>5.6569000000000003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f>POWER(POWER(Table210[[#This Row],[mv]],4)/10,0.25)</f>
        <v>9.5598025282359327E-4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3382</v>
      </c>
      <c r="P1275" s="109"/>
      <c r="Q1275" s="41"/>
      <c r="R1275" s="111"/>
      <c r="S1275" s="110"/>
    </row>
    <row r="1276" spans="1:19">
      <c r="A1276" s="105">
        <v>2658</v>
      </c>
      <c r="B1276" s="41">
        <v>60000000</v>
      </c>
      <c r="C1276" s="41">
        <v>1.6999999999999999E-3</v>
      </c>
      <c r="D1276" s="41">
        <v>8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f>POWER(POWER(Table210[[#This Row],[mv]],4)/10,0.25)</f>
        <v>9.5598025282359327E-4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3383</v>
      </c>
      <c r="P1276" s="109"/>
      <c r="Q1276" s="41"/>
      <c r="R1276" s="111"/>
      <c r="S1276" s="110"/>
    </row>
    <row r="1277" spans="1:19">
      <c r="A1277" s="105">
        <v>2659</v>
      </c>
      <c r="B1277" s="41">
        <v>60000000</v>
      </c>
      <c r="C1277" s="41">
        <v>1.6999999999999999E-3</v>
      </c>
      <c r="D1277" s="41">
        <v>11.313700000000001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f>POWER(POWER(Table210[[#This Row],[mv]],4)/10,0.25)</f>
        <v>9.5598025282359327E-4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3384</v>
      </c>
      <c r="P1277" s="109"/>
      <c r="Q1277" s="41"/>
      <c r="R1277" s="111"/>
      <c r="S1277" s="110"/>
    </row>
    <row r="1278" spans="1:19">
      <c r="A1278" s="105">
        <v>2660</v>
      </c>
      <c r="B1278" s="41">
        <v>60000000</v>
      </c>
      <c r="C1278" s="41">
        <v>1.6999999999999999E-3</v>
      </c>
      <c r="D1278" s="41">
        <v>16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f>POWER(POWER(Table210[[#This Row],[mv]],4)/10,0.25)</f>
        <v>9.5598025282359327E-4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3385</v>
      </c>
      <c r="P1278" s="109"/>
      <c r="Q1278" s="41"/>
      <c r="R1278" s="111"/>
      <c r="S1278" s="110"/>
    </row>
    <row r="1279" spans="1:19">
      <c r="A1279" s="105">
        <v>2661</v>
      </c>
      <c r="B1279" s="41">
        <v>60000000</v>
      </c>
      <c r="C1279" s="41">
        <v>1.6999999999999999E-3</v>
      </c>
      <c r="D1279" s="41">
        <v>22.627400000000002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f>POWER(POWER(Table210[[#This Row],[mv]],4)/10,0.25)</f>
        <v>9.5598025282359327E-4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3386</v>
      </c>
      <c r="P1279" s="109"/>
      <c r="Q1279" s="41"/>
      <c r="R1279" s="111"/>
      <c r="S1279" s="110"/>
    </row>
    <row r="1280" spans="1:19">
      <c r="A1280" s="105">
        <v>2662</v>
      </c>
      <c r="B1280" s="41">
        <v>60000000</v>
      </c>
      <c r="C1280" s="41">
        <v>1.9E-3</v>
      </c>
      <c r="D1280" s="41">
        <v>4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f>POWER(POWER(Table210[[#This Row],[mv]],4)/10,0.25)</f>
        <v>1.0684485178616638E-3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3387</v>
      </c>
      <c r="P1280" s="109"/>
      <c r="Q1280" s="41"/>
      <c r="R1280" s="111"/>
      <c r="S1280" s="110"/>
    </row>
    <row r="1281" spans="1:19">
      <c r="A1281" s="105">
        <v>2663</v>
      </c>
      <c r="B1281" s="41">
        <v>60000000</v>
      </c>
      <c r="C1281" s="41">
        <v>1.9E-3</v>
      </c>
      <c r="D1281" s="41">
        <v>5.6569000000000003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f>POWER(POWER(Table210[[#This Row],[mv]],4)/10,0.25)</f>
        <v>1.0684485178616638E-3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3388</v>
      </c>
      <c r="P1281" s="109"/>
      <c r="Q1281" s="41"/>
      <c r="R1281" s="111"/>
      <c r="S1281" s="110"/>
    </row>
    <row r="1282" spans="1:19">
      <c r="A1282" s="105">
        <v>2664</v>
      </c>
      <c r="B1282" s="41">
        <v>60000000</v>
      </c>
      <c r="C1282" s="41">
        <v>1.9E-3</v>
      </c>
      <c r="D1282" s="41">
        <v>8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f>POWER(POWER(Table210[[#This Row],[mv]],4)/10,0.25)</f>
        <v>1.0684485178616638E-3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3389</v>
      </c>
      <c r="P1282" s="109"/>
      <c r="Q1282" s="41"/>
      <c r="R1282" s="111"/>
      <c r="S1282" s="110"/>
    </row>
    <row r="1283" spans="1:19">
      <c r="A1283" s="105">
        <v>2665</v>
      </c>
      <c r="B1283" s="41">
        <v>60000000</v>
      </c>
      <c r="C1283" s="41">
        <v>1.9E-3</v>
      </c>
      <c r="D1283" s="41">
        <v>11.313700000000001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f>POWER(POWER(Table210[[#This Row],[mv]],4)/10,0.25)</f>
        <v>1.0684485178616638E-3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3390</v>
      </c>
      <c r="P1283" s="109"/>
      <c r="Q1283" s="41"/>
      <c r="R1283" s="111"/>
      <c r="S1283" s="110"/>
    </row>
    <row r="1284" spans="1:19">
      <c r="A1284" s="105">
        <v>2666</v>
      </c>
      <c r="B1284" s="41">
        <v>60000000</v>
      </c>
      <c r="C1284" s="41">
        <v>1.9E-3</v>
      </c>
      <c r="D1284" s="41">
        <v>16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f>POWER(POWER(Table210[[#This Row],[mv]],4)/10,0.25)</f>
        <v>1.0684485178616638E-3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3391</v>
      </c>
      <c r="P1284" s="109"/>
      <c r="Q1284" s="41"/>
      <c r="R1284" s="111"/>
      <c r="S1284" s="110"/>
    </row>
    <row r="1285" spans="1:19">
      <c r="A1285" s="105">
        <v>2667</v>
      </c>
      <c r="B1285" s="41">
        <v>60000000</v>
      </c>
      <c r="C1285" s="41">
        <v>1.9E-3</v>
      </c>
      <c r="D1285" s="41">
        <v>22.627400000000002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f>POWER(POWER(Table210[[#This Row],[mv]],4)/10,0.25)</f>
        <v>1.0684485178616638E-3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3392</v>
      </c>
      <c r="P1285" s="109"/>
      <c r="Q1285" s="41"/>
      <c r="R1285" s="111"/>
      <c r="S1285" s="110"/>
    </row>
    <row r="1286" spans="1:19">
      <c r="A1286" s="105">
        <v>2668</v>
      </c>
      <c r="B1286" s="41">
        <v>60000000</v>
      </c>
      <c r="C1286" s="41">
        <v>2.0999999999999999E-3</v>
      </c>
      <c r="D1286" s="41">
        <v>2.8283999999999998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f>POWER(POWER(Table210[[#This Row],[mv]],4)/10,0.25)</f>
        <v>1.1809167828997333E-3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3393</v>
      </c>
      <c r="P1286" s="109"/>
      <c r="Q1286" s="41"/>
      <c r="R1286" s="111"/>
      <c r="S1286" s="110"/>
    </row>
    <row r="1287" spans="1:19">
      <c r="A1287" s="105">
        <v>2669</v>
      </c>
      <c r="B1287" s="41">
        <v>60000000</v>
      </c>
      <c r="C1287" s="41">
        <v>2.0999999999999999E-3</v>
      </c>
      <c r="D1287" s="41">
        <v>4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f>POWER(POWER(Table210[[#This Row],[mv]],4)/10,0.25)</f>
        <v>1.1809167828997333E-3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3394</v>
      </c>
      <c r="P1287" s="109"/>
      <c r="Q1287" s="41"/>
      <c r="R1287" s="111"/>
      <c r="S1287" s="110"/>
    </row>
    <row r="1288" spans="1:19">
      <c r="A1288" s="105">
        <v>2670</v>
      </c>
      <c r="B1288" s="41">
        <v>60000000</v>
      </c>
      <c r="C1288" s="41">
        <v>2.0999999999999999E-3</v>
      </c>
      <c r="D1288" s="41">
        <v>5.6569000000000003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f>POWER(POWER(Table210[[#This Row],[mv]],4)/10,0.25)</f>
        <v>1.1809167828997333E-3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3395</v>
      </c>
      <c r="P1288" s="109"/>
      <c r="Q1288" s="41"/>
      <c r="R1288" s="111"/>
      <c r="S1288" s="110"/>
    </row>
    <row r="1289" spans="1:19">
      <c r="A1289" s="105">
        <v>2671</v>
      </c>
      <c r="B1289" s="41">
        <v>60000000</v>
      </c>
      <c r="C1289" s="41">
        <v>2.0999999999999999E-3</v>
      </c>
      <c r="D1289" s="41">
        <v>8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f>POWER(POWER(Table210[[#This Row],[mv]],4)/10,0.25)</f>
        <v>1.1809167828997333E-3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3396</v>
      </c>
      <c r="P1289" s="109"/>
      <c r="Q1289" s="41"/>
      <c r="R1289" s="111"/>
      <c r="S1289" s="110"/>
    </row>
    <row r="1290" spans="1:19">
      <c r="A1290" s="105">
        <v>2672</v>
      </c>
      <c r="B1290" s="41">
        <v>60000000</v>
      </c>
      <c r="C1290" s="41">
        <v>2.0999999999999999E-3</v>
      </c>
      <c r="D1290" s="41">
        <v>11.313700000000001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f>POWER(POWER(Table210[[#This Row],[mv]],4)/10,0.25)</f>
        <v>1.1809167828997333E-3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3397</v>
      </c>
      <c r="P1290" s="109"/>
      <c r="Q1290" s="41"/>
      <c r="R1290" s="111"/>
      <c r="S1290" s="110"/>
    </row>
    <row r="1291" spans="1:19">
      <c r="A1291" s="105">
        <v>2673</v>
      </c>
      <c r="B1291" s="41">
        <v>60000000</v>
      </c>
      <c r="C1291" s="41">
        <v>2.0999999999999999E-3</v>
      </c>
      <c r="D1291" s="41">
        <v>16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f>POWER(POWER(Table210[[#This Row],[mv]],4)/10,0.25)</f>
        <v>1.1809167828997333E-3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3398</v>
      </c>
      <c r="P1291" s="109"/>
      <c r="Q1291" s="41"/>
      <c r="R1291" s="111"/>
      <c r="S1291" s="110"/>
    </row>
    <row r="1292" spans="1:19">
      <c r="A1292" s="105">
        <v>2674</v>
      </c>
      <c r="B1292" s="41">
        <v>60000000</v>
      </c>
      <c r="C1292" s="41">
        <v>2.0999999999999999E-3</v>
      </c>
      <c r="D1292" s="41">
        <v>22.627400000000002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f>POWER(POWER(Table210[[#This Row],[mv]],4)/10,0.25)</f>
        <v>1.1809167828997333E-3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3399</v>
      </c>
      <c r="P1292" s="109"/>
      <c r="Q1292" s="41"/>
      <c r="R1292" s="111"/>
      <c r="S1292" s="110"/>
    </row>
    <row r="1293" spans="1:19">
      <c r="A1293" s="105">
        <v>2675</v>
      </c>
      <c r="B1293" s="41">
        <v>60000000</v>
      </c>
      <c r="C1293" s="41">
        <v>2.3E-3</v>
      </c>
      <c r="D1293" s="41">
        <v>2.8283999999999998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f>POWER(POWER(Table210[[#This Row],[mv]],4)/10,0.25)</f>
        <v>1.2933850479378026E-3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3400</v>
      </c>
      <c r="P1293" s="109"/>
      <c r="Q1293" s="41"/>
      <c r="R1293" s="111"/>
      <c r="S1293" s="110"/>
    </row>
    <row r="1294" spans="1:19">
      <c r="A1294" s="105">
        <v>2676</v>
      </c>
      <c r="B1294" s="41">
        <v>60000000</v>
      </c>
      <c r="C1294" s="41">
        <v>2.3E-3</v>
      </c>
      <c r="D1294" s="41">
        <v>4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f>POWER(POWER(Table210[[#This Row],[mv]],4)/10,0.25)</f>
        <v>1.2933850479378026E-3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3401</v>
      </c>
      <c r="P1294" s="109"/>
      <c r="Q1294" s="41"/>
      <c r="R1294" s="111"/>
      <c r="S1294" s="110"/>
    </row>
    <row r="1295" spans="1:19">
      <c r="A1295" s="105">
        <v>2677</v>
      </c>
      <c r="B1295" s="41">
        <v>60000000</v>
      </c>
      <c r="C1295" s="41">
        <v>2.3E-3</v>
      </c>
      <c r="D1295" s="41">
        <v>5.6569000000000003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f>POWER(POWER(Table210[[#This Row],[mv]],4)/10,0.25)</f>
        <v>1.2933850479378026E-3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3402</v>
      </c>
      <c r="P1295" s="109"/>
      <c r="Q1295" s="41"/>
      <c r="R1295" s="111"/>
      <c r="S1295" s="110"/>
    </row>
    <row r="1296" spans="1:19">
      <c r="A1296" s="105">
        <v>2678</v>
      </c>
      <c r="B1296" s="41">
        <v>60000000</v>
      </c>
      <c r="C1296" s="41">
        <v>2.3E-3</v>
      </c>
      <c r="D1296" s="41">
        <v>8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f>POWER(POWER(Table210[[#This Row],[mv]],4)/10,0.25)</f>
        <v>1.2933850479378026E-3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3403</v>
      </c>
      <c r="P1296" s="109"/>
      <c r="Q1296" s="41"/>
      <c r="R1296" s="111"/>
      <c r="S1296" s="110"/>
    </row>
    <row r="1297" spans="1:19">
      <c r="A1297" s="105">
        <v>2679</v>
      </c>
      <c r="B1297" s="41">
        <v>60000000</v>
      </c>
      <c r="C1297" s="41">
        <v>2.3E-3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f>POWER(POWER(Table210[[#This Row],[mv]],4)/10,0.25)</f>
        <v>1.2933850479378026E-3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3404</v>
      </c>
      <c r="P1297" s="109"/>
      <c r="Q1297" s="41"/>
      <c r="R1297" s="111"/>
      <c r="S1297" s="110"/>
    </row>
    <row r="1298" spans="1:19">
      <c r="A1298" s="105">
        <v>2680</v>
      </c>
      <c r="B1298" s="41">
        <v>60000000</v>
      </c>
      <c r="C1298" s="41">
        <v>2.3E-3</v>
      </c>
      <c r="D1298" s="41">
        <v>16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f>POWER(POWER(Table210[[#This Row],[mv]],4)/10,0.25)</f>
        <v>1.2933850479378026E-3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3405</v>
      </c>
      <c r="P1298" s="109"/>
      <c r="Q1298" s="41"/>
      <c r="R1298" s="111"/>
      <c r="S1298" s="110"/>
    </row>
    <row r="1299" spans="1:19">
      <c r="A1299" s="105">
        <v>2681</v>
      </c>
      <c r="B1299" s="41">
        <v>60000000</v>
      </c>
      <c r="C1299" s="41">
        <v>2.3E-3</v>
      </c>
      <c r="D1299" s="41">
        <v>22.627400000000002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f>POWER(POWER(Table210[[#This Row],[mv]],4)/10,0.25)</f>
        <v>1.2933850479378026E-3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3406</v>
      </c>
      <c r="P1299" s="109"/>
      <c r="Q1299" s="41"/>
      <c r="R1299" s="111"/>
      <c r="S1299" s="110"/>
    </row>
    <row r="1300" spans="1:19">
      <c r="A1300" s="105">
        <v>2682</v>
      </c>
      <c r="B1300" s="41">
        <v>60000000</v>
      </c>
      <c r="C1300" s="41">
        <v>2.5000000000000001E-3</v>
      </c>
      <c r="D1300" s="41">
        <v>2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f>POWER(POWER(Table210[[#This Row],[mv]],4)/10,0.25)</f>
        <v>1.4058533129758727E-3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3407</v>
      </c>
      <c r="P1300" s="109"/>
      <c r="Q1300" s="41"/>
      <c r="R1300" s="111"/>
      <c r="S1300" s="110"/>
    </row>
    <row r="1301" spans="1:19">
      <c r="A1301" s="105">
        <v>2683</v>
      </c>
      <c r="B1301" s="41">
        <v>60000000</v>
      </c>
      <c r="C1301" s="41">
        <v>2.5000000000000001E-3</v>
      </c>
      <c r="D1301" s="41">
        <v>2.8283999999999998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f>POWER(POWER(Table210[[#This Row],[mv]],4)/10,0.25)</f>
        <v>1.4058533129758727E-3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3408</v>
      </c>
      <c r="P1301" s="109"/>
      <c r="Q1301" s="41"/>
      <c r="R1301" s="111"/>
      <c r="S1301" s="110"/>
    </row>
    <row r="1302" spans="1:19">
      <c r="A1302" s="105">
        <v>2684</v>
      </c>
      <c r="B1302" s="41">
        <v>60000000</v>
      </c>
      <c r="C1302" s="41">
        <v>2.5000000000000001E-3</v>
      </c>
      <c r="D1302" s="41">
        <v>4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f>POWER(POWER(Table210[[#This Row],[mv]],4)/10,0.25)</f>
        <v>1.4058533129758727E-3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3409</v>
      </c>
      <c r="P1302" s="109"/>
      <c r="Q1302" s="41"/>
      <c r="R1302" s="111"/>
      <c r="S1302" s="110"/>
    </row>
    <row r="1303" spans="1:19">
      <c r="A1303" s="105">
        <v>2685</v>
      </c>
      <c r="B1303" s="41">
        <v>60000000</v>
      </c>
      <c r="C1303" s="41">
        <v>2.5000000000000001E-3</v>
      </c>
      <c r="D1303" s="41">
        <v>5.6569000000000003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f>POWER(POWER(Table210[[#This Row],[mv]],4)/10,0.25)</f>
        <v>1.4058533129758727E-3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3410</v>
      </c>
      <c r="P1303" s="109"/>
      <c r="Q1303" s="41"/>
      <c r="R1303" s="111"/>
      <c r="S1303" s="110"/>
    </row>
    <row r="1304" spans="1:19">
      <c r="A1304" s="105">
        <v>2686</v>
      </c>
      <c r="B1304" s="41">
        <v>60000000</v>
      </c>
      <c r="C1304" s="41">
        <v>2.5000000000000001E-3</v>
      </c>
      <c r="D1304" s="41">
        <v>8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f>POWER(POWER(Table210[[#This Row],[mv]],4)/10,0.25)</f>
        <v>1.4058533129758727E-3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3411</v>
      </c>
      <c r="P1304" s="109"/>
      <c r="Q1304" s="41"/>
      <c r="R1304" s="111"/>
      <c r="S1304" s="110"/>
    </row>
    <row r="1305" spans="1:19">
      <c r="A1305" s="105">
        <v>2687</v>
      </c>
      <c r="B1305" s="41">
        <v>60000000</v>
      </c>
      <c r="C1305" s="41">
        <v>2.5000000000000001E-3</v>
      </c>
      <c r="D1305" s="41">
        <v>11.313700000000001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f>POWER(POWER(Table210[[#This Row],[mv]],4)/10,0.25)</f>
        <v>1.4058533129758727E-3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3412</v>
      </c>
      <c r="P1305" s="109"/>
      <c r="Q1305" s="41"/>
      <c r="R1305" s="111"/>
      <c r="S1305" s="110"/>
    </row>
    <row r="1306" spans="1:19">
      <c r="A1306" s="105">
        <v>2688</v>
      </c>
      <c r="B1306" s="41">
        <v>60000000</v>
      </c>
      <c r="C1306" s="41">
        <v>2.5000000000000001E-3</v>
      </c>
      <c r="D1306" s="41">
        <v>16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f>POWER(POWER(Table210[[#This Row],[mv]],4)/10,0.25)</f>
        <v>1.4058533129758727E-3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3413</v>
      </c>
      <c r="P1306" s="109"/>
      <c r="Q1306" s="41"/>
      <c r="R1306" s="111"/>
      <c r="S1306" s="110"/>
    </row>
    <row r="1307" spans="1:19">
      <c r="A1307" s="105">
        <v>2689</v>
      </c>
      <c r="B1307" s="41">
        <v>60000000</v>
      </c>
      <c r="C1307" s="41">
        <v>2.7000000000000001E-3</v>
      </c>
      <c r="D1307" s="41">
        <v>2.8283999999999998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f>POWER(POWER(Table210[[#This Row],[mv]],4)/10,0.25)</f>
        <v>1.5183215780139423E-3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3414</v>
      </c>
      <c r="P1307" s="109"/>
      <c r="Q1307" s="41"/>
      <c r="R1307" s="111"/>
      <c r="S1307" s="110"/>
    </row>
    <row r="1308" spans="1:19">
      <c r="A1308" s="105">
        <v>2690</v>
      </c>
      <c r="B1308" s="41">
        <v>60000000</v>
      </c>
      <c r="C1308" s="41">
        <v>2.7000000000000001E-3</v>
      </c>
      <c r="D1308" s="41">
        <v>4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f>POWER(POWER(Table210[[#This Row],[mv]],4)/10,0.25)</f>
        <v>1.5183215780139423E-3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3415</v>
      </c>
      <c r="P1308" s="109"/>
      <c r="Q1308" s="41"/>
      <c r="R1308" s="111"/>
      <c r="S1308" s="110"/>
    </row>
    <row r="1309" spans="1:19">
      <c r="A1309" s="105">
        <v>2691</v>
      </c>
      <c r="B1309" s="41">
        <v>60000000</v>
      </c>
      <c r="C1309" s="41">
        <v>2.7000000000000001E-3</v>
      </c>
      <c r="D1309" s="41">
        <v>5.6569000000000003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f>POWER(POWER(Table210[[#This Row],[mv]],4)/10,0.25)</f>
        <v>1.5183215780139423E-3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3416</v>
      </c>
      <c r="P1309" s="109"/>
      <c r="Q1309" s="41"/>
      <c r="R1309" s="111"/>
      <c r="S1309" s="110"/>
    </row>
    <row r="1310" spans="1:19">
      <c r="A1310" s="105">
        <v>2692</v>
      </c>
      <c r="B1310" s="41">
        <v>60000000</v>
      </c>
      <c r="C1310" s="41">
        <v>2.7000000000000001E-3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f>POWER(POWER(Table210[[#This Row],[mv]],4)/10,0.25)</f>
        <v>1.5183215780139423E-3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3417</v>
      </c>
      <c r="P1310" s="109"/>
      <c r="Q1310" s="41"/>
      <c r="R1310" s="111"/>
      <c r="S1310" s="110"/>
    </row>
    <row r="1311" spans="1:19">
      <c r="A1311" s="105">
        <v>2693</v>
      </c>
      <c r="B1311" s="41">
        <v>60000000</v>
      </c>
      <c r="C1311" s="41">
        <v>2.7000000000000001E-3</v>
      </c>
      <c r="D1311" s="41">
        <v>11.313700000000001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f>POWER(POWER(Table210[[#This Row],[mv]],4)/10,0.25)</f>
        <v>1.5183215780139423E-3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3418</v>
      </c>
      <c r="P1311" s="109"/>
      <c r="Q1311" s="41"/>
      <c r="R1311" s="111"/>
      <c r="S1311" s="110"/>
    </row>
    <row r="1312" spans="1:19">
      <c r="A1312" s="105">
        <v>2694</v>
      </c>
      <c r="B1312" s="41">
        <v>60000000</v>
      </c>
      <c r="C1312" s="41">
        <v>2.7000000000000001E-3</v>
      </c>
      <c r="D1312" s="41">
        <v>16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f>POWER(POWER(Table210[[#This Row],[mv]],4)/10,0.25)</f>
        <v>1.5183215780139423E-3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3419</v>
      </c>
      <c r="P1312" s="109"/>
      <c r="Q1312" s="41"/>
      <c r="R1312" s="111"/>
      <c r="S1312" s="110"/>
    </row>
    <row r="1313" spans="1:19">
      <c r="A1313" s="105">
        <v>2695</v>
      </c>
      <c r="B1313" s="41">
        <v>60000000</v>
      </c>
      <c r="C1313" s="41">
        <v>2.8999999999999998E-3</v>
      </c>
      <c r="D1313" s="41">
        <v>2.8283999999999998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f>POWER(POWER(Table210[[#This Row],[mv]],4)/10,0.25)</f>
        <v>1.6307898430520129E-3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3420</v>
      </c>
      <c r="P1313" s="109"/>
      <c r="Q1313" s="41"/>
      <c r="R1313" s="111"/>
      <c r="S1313" s="110"/>
    </row>
    <row r="1314" spans="1:19">
      <c r="A1314" s="105">
        <v>2696</v>
      </c>
      <c r="B1314" s="41">
        <v>60000000</v>
      </c>
      <c r="C1314" s="41">
        <v>2.8999999999999998E-3</v>
      </c>
      <c r="D1314" s="41">
        <v>4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f>POWER(POWER(Table210[[#This Row],[mv]],4)/10,0.25)</f>
        <v>1.6307898430520129E-3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3421</v>
      </c>
      <c r="P1314" s="109"/>
      <c r="Q1314" s="41"/>
      <c r="R1314" s="111"/>
      <c r="S1314" s="110"/>
    </row>
    <row r="1315" spans="1:19">
      <c r="A1315" s="105">
        <v>2697</v>
      </c>
      <c r="B1315" s="41">
        <v>60000000</v>
      </c>
      <c r="C1315" s="41">
        <v>2.8999999999999998E-3</v>
      </c>
      <c r="D1315" s="41">
        <v>5.6569000000000003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f>POWER(POWER(Table210[[#This Row],[mv]],4)/10,0.25)</f>
        <v>1.6307898430520129E-3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3422</v>
      </c>
      <c r="P1315" s="109"/>
      <c r="Q1315" s="41"/>
      <c r="R1315" s="111"/>
      <c r="S1315" s="110"/>
    </row>
    <row r="1316" spans="1:19">
      <c r="A1316" s="105">
        <v>2698</v>
      </c>
      <c r="B1316" s="41">
        <v>60000000</v>
      </c>
      <c r="C1316" s="41">
        <v>2.8999999999999998E-3</v>
      </c>
      <c r="D1316" s="41">
        <v>8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f>POWER(POWER(Table210[[#This Row],[mv]],4)/10,0.25)</f>
        <v>1.6307898430520129E-3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3423</v>
      </c>
      <c r="P1316" s="109"/>
      <c r="Q1316" s="41"/>
      <c r="R1316" s="111"/>
      <c r="S1316" s="110"/>
    </row>
    <row r="1317" spans="1:19">
      <c r="A1317" s="105">
        <v>2699</v>
      </c>
      <c r="B1317" s="41">
        <v>60000000</v>
      </c>
      <c r="C1317" s="41">
        <v>2.8999999999999998E-3</v>
      </c>
      <c r="D1317" s="41">
        <v>11.313700000000001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f>POWER(POWER(Table210[[#This Row],[mv]],4)/10,0.25)</f>
        <v>1.6307898430520129E-3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3424</v>
      </c>
      <c r="P1317" s="109"/>
      <c r="Q1317" s="41"/>
      <c r="R1317" s="111"/>
      <c r="S1317" s="110"/>
    </row>
    <row r="1318" spans="1:19">
      <c r="A1318" s="105">
        <v>2700</v>
      </c>
      <c r="B1318" s="41">
        <v>60000000</v>
      </c>
      <c r="C1318" s="41">
        <v>2.8999999999999998E-3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f>POWER(POWER(Table210[[#This Row],[mv]],4)/10,0.25)</f>
        <v>1.6307898430520129E-3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3425</v>
      </c>
      <c r="P1318" s="109"/>
      <c r="Q1318" s="41"/>
      <c r="R1318" s="111"/>
      <c r="S1318" s="110"/>
    </row>
    <row r="1319" spans="1:19">
      <c r="A1319" s="105">
        <v>2701</v>
      </c>
      <c r="B1319" s="41">
        <v>60000000</v>
      </c>
      <c r="C1319" s="41">
        <v>3.2000000000000002E-3</v>
      </c>
      <c r="D1319" s="41">
        <v>4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f>POWER(POWER(Table210[[#This Row],[mv]],4)/10,0.25)</f>
        <v>1.7994922406091175E-3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3426</v>
      </c>
      <c r="P1319" s="109"/>
      <c r="Q1319" s="41"/>
      <c r="R1319" s="111"/>
      <c r="S1319" s="110"/>
    </row>
    <row r="1320" spans="1:19">
      <c r="A1320" s="105">
        <v>2702</v>
      </c>
      <c r="B1320" s="41">
        <v>60000000</v>
      </c>
      <c r="C1320" s="41">
        <v>3.2000000000000002E-3</v>
      </c>
      <c r="D1320" s="41">
        <v>5.6569000000000003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f>POWER(POWER(Table210[[#This Row],[mv]],4)/10,0.25)</f>
        <v>1.7994922406091175E-3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3427</v>
      </c>
      <c r="P1320" s="109"/>
      <c r="Q1320" s="41"/>
      <c r="R1320" s="111"/>
      <c r="S1320" s="110"/>
    </row>
    <row r="1321" spans="1:19">
      <c r="A1321" s="105">
        <v>2703</v>
      </c>
      <c r="B1321" s="41">
        <v>60000000</v>
      </c>
      <c r="C1321" s="41">
        <v>3.2000000000000002E-3</v>
      </c>
      <c r="D1321" s="41">
        <v>8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f>POWER(POWER(Table210[[#This Row],[mv]],4)/10,0.25)</f>
        <v>1.7994922406091175E-3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3428</v>
      </c>
      <c r="P1321" s="109"/>
      <c r="Q1321" s="41"/>
      <c r="R1321" s="111"/>
      <c r="S1321" s="110"/>
    </row>
    <row r="1322" spans="1:19">
      <c r="A1322" s="105">
        <v>2704</v>
      </c>
      <c r="B1322" s="41">
        <v>60000000</v>
      </c>
      <c r="C1322" s="41">
        <v>3.2000000000000002E-3</v>
      </c>
      <c r="D1322" s="41">
        <v>11.313700000000001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f>POWER(POWER(Table210[[#This Row],[mv]],4)/10,0.25)</f>
        <v>1.7994922406091175E-3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3429</v>
      </c>
      <c r="P1322" s="109"/>
      <c r="Q1322" s="41"/>
      <c r="R1322" s="111"/>
      <c r="S1322" s="110"/>
    </row>
    <row r="1323" spans="1:19">
      <c r="A1323" s="105">
        <v>2705</v>
      </c>
      <c r="B1323" s="41">
        <v>60000000</v>
      </c>
      <c r="C1323" s="41">
        <v>3.2000000000000002E-3</v>
      </c>
      <c r="D1323" s="41">
        <v>16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f>POWER(POWER(Table210[[#This Row],[mv]],4)/10,0.25)</f>
        <v>1.7994922406091175E-3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3430</v>
      </c>
      <c r="P1323" s="109"/>
      <c r="Q1323" s="41"/>
      <c r="R1323" s="111"/>
      <c r="S1323" s="110"/>
    </row>
    <row r="1324" spans="1:19">
      <c r="A1324" s="105">
        <v>2706</v>
      </c>
      <c r="B1324" s="41">
        <v>60000000</v>
      </c>
      <c r="C1324" s="41">
        <v>3.5000000000000001E-3</v>
      </c>
      <c r="D1324" s="41">
        <v>4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f>POWER(POWER(Table210[[#This Row],[mv]],4)/10,0.25)</f>
        <v>1.9681946381662216E-3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3431</v>
      </c>
      <c r="P1324" s="109"/>
      <c r="Q1324" s="41"/>
      <c r="R1324" s="111"/>
      <c r="S1324" s="110"/>
    </row>
    <row r="1325" spans="1:19">
      <c r="A1325" s="105">
        <v>2707</v>
      </c>
      <c r="B1325" s="41">
        <v>60000000</v>
      </c>
      <c r="C1325" s="41">
        <v>3.5000000000000001E-3</v>
      </c>
      <c r="D1325" s="41">
        <v>5.6569000000000003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f>POWER(POWER(Table210[[#This Row],[mv]],4)/10,0.25)</f>
        <v>1.9681946381662216E-3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3432</v>
      </c>
      <c r="P1325" s="109"/>
      <c r="Q1325" s="41"/>
      <c r="R1325" s="111"/>
      <c r="S1325" s="110"/>
    </row>
    <row r="1326" spans="1:19">
      <c r="A1326" s="105">
        <v>2708</v>
      </c>
      <c r="B1326" s="41">
        <v>60000000</v>
      </c>
      <c r="C1326" s="41">
        <v>3.5000000000000001E-3</v>
      </c>
      <c r="D1326" s="41">
        <v>8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f>POWER(POWER(Table210[[#This Row],[mv]],4)/10,0.25)</f>
        <v>1.9681946381662216E-3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3433</v>
      </c>
      <c r="P1326" s="109"/>
      <c r="Q1326" s="41"/>
      <c r="R1326" s="111"/>
      <c r="S1326" s="110"/>
    </row>
    <row r="1327" spans="1:19">
      <c r="A1327" s="105">
        <v>2709</v>
      </c>
      <c r="B1327" s="41">
        <v>60000000</v>
      </c>
      <c r="C1327" s="41">
        <v>3.5000000000000001E-3</v>
      </c>
      <c r="D1327" s="41">
        <v>11.313700000000001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f>POWER(POWER(Table210[[#This Row],[mv]],4)/10,0.25)</f>
        <v>1.9681946381662216E-3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3434</v>
      </c>
      <c r="P1327" s="109"/>
      <c r="Q1327" s="41"/>
      <c r="R1327" s="111"/>
      <c r="S1327" s="110"/>
    </row>
    <row r="1328" spans="1:19">
      <c r="A1328" s="105">
        <v>2710</v>
      </c>
      <c r="B1328" s="41">
        <v>60000000</v>
      </c>
      <c r="C1328" s="41">
        <v>3.8E-3</v>
      </c>
      <c r="D1328" s="41">
        <v>5.6569000000000003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f>POWER(POWER(Table210[[#This Row],[mv]],4)/10,0.25)</f>
        <v>2.1368970357233258E-3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3435</v>
      </c>
      <c r="P1328" s="109"/>
      <c r="Q1328" s="41"/>
      <c r="R1328" s="111"/>
      <c r="S1328" s="110"/>
    </row>
    <row r="1329" spans="1:19">
      <c r="A1329" s="105">
        <v>2711</v>
      </c>
      <c r="B1329" s="41">
        <v>60000000</v>
      </c>
      <c r="C1329" s="41">
        <v>3.8E-3</v>
      </c>
      <c r="D1329" s="41">
        <v>8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f>POWER(POWER(Table210[[#This Row],[mv]],4)/10,0.25)</f>
        <v>2.1368970357233258E-3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3436</v>
      </c>
      <c r="P1329" s="109"/>
      <c r="Q1329" s="41"/>
      <c r="R1329" s="111"/>
      <c r="S1329" s="110"/>
    </row>
    <row r="1330" spans="1:19">
      <c r="A1330" s="105">
        <v>2712</v>
      </c>
      <c r="B1330" s="41">
        <v>60000000</v>
      </c>
      <c r="C1330" s="41">
        <v>3.8E-3</v>
      </c>
      <c r="D1330" s="41">
        <v>11.313700000000001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f>POWER(POWER(Table210[[#This Row],[mv]],4)/10,0.25)</f>
        <v>2.1368970357233258E-3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3437</v>
      </c>
      <c r="P1330" s="109"/>
      <c r="Q1330" s="41"/>
      <c r="R1330" s="111"/>
      <c r="S1330" s="110"/>
    </row>
    <row r="1331" spans="1:19">
      <c r="A1331" s="105">
        <v>2713</v>
      </c>
      <c r="B1331" s="41">
        <v>60000000</v>
      </c>
      <c r="C1331" s="41">
        <v>4.1999999999999997E-3</v>
      </c>
      <c r="D1331" s="41">
        <v>5.6569000000000003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f>POWER(POWER(Table210[[#This Row],[mv]],4)/10,0.25)</f>
        <v>2.361833565799467E-3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3438</v>
      </c>
      <c r="P1331" s="109"/>
      <c r="Q1331" s="41"/>
      <c r="R1331" s="111"/>
      <c r="S1331" s="110"/>
    </row>
    <row r="1332" spans="1:19">
      <c r="A1332" s="105">
        <v>2714</v>
      </c>
      <c r="B1332" s="41">
        <v>60000000</v>
      </c>
      <c r="C1332" s="41">
        <v>4.1999999999999997E-3</v>
      </c>
      <c r="D1332" s="41">
        <v>8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f>POWER(POWER(Table210[[#This Row],[mv]],4)/10,0.25)</f>
        <v>2.361833565799467E-3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3439</v>
      </c>
      <c r="P1332" s="109"/>
      <c r="Q1332" s="41"/>
      <c r="R1332" s="111"/>
      <c r="S1332" s="110"/>
    </row>
    <row r="1333" spans="1:19">
      <c r="A1333" s="105">
        <v>2715</v>
      </c>
      <c r="B1333" s="41">
        <v>60000000</v>
      </c>
      <c r="C1333" s="41">
        <v>4.1999999999999997E-3</v>
      </c>
      <c r="D1333" s="41">
        <v>11.313700000000001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f>POWER(POWER(Table210[[#This Row],[mv]],4)/10,0.25)</f>
        <v>2.361833565799467E-3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3440</v>
      </c>
      <c r="P1333" s="109"/>
      <c r="Q1333" s="41"/>
      <c r="R1333" s="111"/>
      <c r="S1333" s="110"/>
    </row>
    <row r="1334" spans="1:19">
      <c r="A1334" s="105">
        <v>2716</v>
      </c>
      <c r="B1334" s="41">
        <v>60000000</v>
      </c>
      <c r="C1334" s="41">
        <v>4.4999999999999997E-3</v>
      </c>
      <c r="D1334" s="41">
        <v>8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f>POWER(POWER(Table210[[#This Row],[mv]],4)/10,0.25)</f>
        <v>2.5305359633565699E-3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3441</v>
      </c>
      <c r="P1334" s="109"/>
      <c r="Q1334" s="41"/>
      <c r="R1334" s="111"/>
      <c r="S1334" s="110"/>
    </row>
    <row r="1335" spans="1:19">
      <c r="A1335" s="105">
        <v>2717</v>
      </c>
      <c r="B1335" s="41">
        <v>60000000</v>
      </c>
      <c r="C1335" s="41">
        <v>4.4999999999999997E-3</v>
      </c>
      <c r="D1335" s="41">
        <v>11.313700000000001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f>POWER(POWER(Table210[[#This Row],[mv]],4)/10,0.25)</f>
        <v>2.5305359633565699E-3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3442</v>
      </c>
      <c r="P1335" s="109"/>
      <c r="Q1335" s="41"/>
      <c r="R1335" s="111"/>
      <c r="S1335" s="110"/>
    </row>
    <row r="1336" spans="1:19">
      <c r="A1336" s="105">
        <v>2718</v>
      </c>
      <c r="B1336" s="41">
        <v>60000000</v>
      </c>
      <c r="C1336" s="41">
        <v>4.8999999999999998E-3</v>
      </c>
      <c r="D1336" s="41">
        <v>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f>POWER(POWER(Table210[[#This Row],[mv]],4)/10,0.25)</f>
        <v>2.7554724934327106E-3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3443</v>
      </c>
      <c r="P1336" s="109"/>
      <c r="Q1336" s="41"/>
      <c r="R1336" s="111"/>
      <c r="S1336" s="110"/>
    </row>
    <row r="1337" spans="1:19">
      <c r="A1337" s="105">
        <v>2719</v>
      </c>
      <c r="B1337" s="41">
        <v>60000000</v>
      </c>
      <c r="C1337" s="41">
        <v>1.1999999999999999E-3</v>
      </c>
      <c r="D1337" s="41">
        <v>5.6569000000000003</v>
      </c>
      <c r="E1337" s="41">
        <v>30</v>
      </c>
      <c r="F1337" s="41">
        <v>0</v>
      </c>
      <c r="G1337" s="41" t="s">
        <v>3446</v>
      </c>
      <c r="H1337" s="41">
        <v>1</v>
      </c>
      <c r="I1337" s="41">
        <v>1</v>
      </c>
      <c r="J1337" s="108">
        <f>POWER(POWER(Table210[[#This Row],[mv]],4)/10,0.25)</f>
        <v>6.7480959022841905E-4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3447</v>
      </c>
      <c r="P1337" s="109"/>
      <c r="Q1337" s="41"/>
      <c r="R1337" s="111"/>
      <c r="S1337" s="110" t="s">
        <v>3528</v>
      </c>
    </row>
    <row r="1338" spans="1:19">
      <c r="A1338" s="105">
        <v>2720</v>
      </c>
      <c r="B1338" s="41">
        <v>60000000</v>
      </c>
      <c r="C1338" s="41">
        <v>1.1999999999999999E-3</v>
      </c>
      <c r="D1338" s="41">
        <v>8</v>
      </c>
      <c r="E1338" s="41">
        <v>30</v>
      </c>
      <c r="F1338" s="41">
        <v>0</v>
      </c>
      <c r="G1338" s="41" t="s">
        <v>3446</v>
      </c>
      <c r="H1338" s="41">
        <v>1</v>
      </c>
      <c r="I1338" s="41">
        <v>1</v>
      </c>
      <c r="J1338" s="108">
        <f>POWER(POWER(Table210[[#This Row],[mv]],4)/10,0.25)</f>
        <v>6.7480959022841905E-4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3448</v>
      </c>
      <c r="P1338" s="109"/>
      <c r="Q1338" s="41"/>
      <c r="R1338" s="111"/>
      <c r="S1338" s="110"/>
    </row>
    <row r="1339" spans="1:19">
      <c r="A1339" s="105">
        <v>2721</v>
      </c>
      <c r="B1339" s="41">
        <v>60000000</v>
      </c>
      <c r="C1339" s="41">
        <v>1.1999999999999999E-3</v>
      </c>
      <c r="D1339" s="41">
        <v>11.313700000000001</v>
      </c>
      <c r="E1339" s="41">
        <v>30</v>
      </c>
      <c r="F1339" s="41">
        <v>0</v>
      </c>
      <c r="G1339" s="41" t="s">
        <v>3446</v>
      </c>
      <c r="H1339" s="41">
        <v>1</v>
      </c>
      <c r="I1339" s="41">
        <v>1</v>
      </c>
      <c r="J1339" s="108">
        <f>POWER(POWER(Table210[[#This Row],[mv]],4)/10,0.25)</f>
        <v>6.7480959022841905E-4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3449</v>
      </c>
      <c r="P1339" s="109"/>
      <c r="Q1339" s="41"/>
      <c r="R1339" s="111"/>
      <c r="S1339" s="110"/>
    </row>
    <row r="1340" spans="1:19">
      <c r="A1340" s="105">
        <v>2722</v>
      </c>
      <c r="B1340" s="41">
        <v>60000000</v>
      </c>
      <c r="C1340" s="41">
        <v>1.2999999999999999E-3</v>
      </c>
      <c r="D1340" s="41">
        <v>5.6569000000000003</v>
      </c>
      <c r="E1340" s="41">
        <v>30</v>
      </c>
      <c r="F1340" s="41">
        <v>0</v>
      </c>
      <c r="G1340" s="41" t="s">
        <v>3446</v>
      </c>
      <c r="H1340" s="41">
        <v>1</v>
      </c>
      <c r="I1340" s="41">
        <v>1</v>
      </c>
      <c r="J1340" s="108">
        <f>POWER(POWER(Table210[[#This Row],[mv]],4)/10,0.25)</f>
        <v>7.3104372274745391E-4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3450</v>
      </c>
      <c r="P1340" s="109"/>
      <c r="Q1340" s="41"/>
      <c r="R1340" s="111"/>
      <c r="S1340" s="110"/>
    </row>
    <row r="1341" spans="1:19">
      <c r="A1341" s="105">
        <v>2723</v>
      </c>
      <c r="B1341" s="41">
        <v>60000000</v>
      </c>
      <c r="C1341" s="41">
        <v>1.2999999999999999E-3</v>
      </c>
      <c r="D1341" s="41">
        <v>8</v>
      </c>
      <c r="E1341" s="41">
        <v>30</v>
      </c>
      <c r="F1341" s="41">
        <v>0</v>
      </c>
      <c r="G1341" s="41" t="s">
        <v>3446</v>
      </c>
      <c r="H1341" s="41">
        <v>1</v>
      </c>
      <c r="I1341" s="41">
        <v>1</v>
      </c>
      <c r="J1341" s="108">
        <f>POWER(POWER(Table210[[#This Row],[mv]],4)/10,0.25)</f>
        <v>7.3104372274745391E-4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3451</v>
      </c>
      <c r="P1341" s="109"/>
      <c r="Q1341" s="41"/>
      <c r="R1341" s="111"/>
      <c r="S1341" s="110"/>
    </row>
    <row r="1342" spans="1:19">
      <c r="A1342" s="105">
        <v>2724</v>
      </c>
      <c r="B1342" s="41">
        <v>60000000</v>
      </c>
      <c r="C1342" s="41">
        <v>1.2999999999999999E-3</v>
      </c>
      <c r="D1342" s="41">
        <v>11.313700000000001</v>
      </c>
      <c r="E1342" s="41">
        <v>30</v>
      </c>
      <c r="F1342" s="41">
        <v>0</v>
      </c>
      <c r="G1342" s="41" t="s">
        <v>3446</v>
      </c>
      <c r="H1342" s="41">
        <v>1</v>
      </c>
      <c r="I1342" s="41">
        <v>1</v>
      </c>
      <c r="J1342" s="108">
        <f>POWER(POWER(Table210[[#This Row],[mv]],4)/10,0.25)</f>
        <v>7.3104372274745391E-4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3452</v>
      </c>
      <c r="P1342" s="109"/>
      <c r="Q1342" s="41"/>
      <c r="R1342" s="111"/>
      <c r="S1342" s="110"/>
    </row>
    <row r="1343" spans="1:19">
      <c r="A1343" s="105">
        <v>2725</v>
      </c>
      <c r="B1343" s="41">
        <v>60000000</v>
      </c>
      <c r="C1343" s="41">
        <v>1.2999999999999999E-3</v>
      </c>
      <c r="D1343" s="41">
        <v>16</v>
      </c>
      <c r="E1343" s="41">
        <v>30</v>
      </c>
      <c r="F1343" s="41">
        <v>0</v>
      </c>
      <c r="G1343" s="41" t="s">
        <v>3446</v>
      </c>
      <c r="H1343" s="41">
        <v>1</v>
      </c>
      <c r="I1343" s="41">
        <v>1</v>
      </c>
      <c r="J1343" s="108">
        <f>POWER(POWER(Table210[[#This Row],[mv]],4)/10,0.25)</f>
        <v>7.3104372274745391E-4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3453</v>
      </c>
      <c r="P1343" s="109"/>
      <c r="Q1343" s="41"/>
      <c r="R1343" s="111"/>
      <c r="S1343" s="110"/>
    </row>
    <row r="1344" spans="1:19">
      <c r="A1344" s="105">
        <v>2726</v>
      </c>
      <c r="B1344" s="41">
        <v>60000000</v>
      </c>
      <c r="C1344" s="41">
        <v>1.5E-3</v>
      </c>
      <c r="D1344" s="41">
        <v>4</v>
      </c>
      <c r="E1344" s="41">
        <v>30</v>
      </c>
      <c r="F1344" s="41">
        <v>0</v>
      </c>
      <c r="G1344" s="41" t="s">
        <v>3446</v>
      </c>
      <c r="H1344" s="41">
        <v>1</v>
      </c>
      <c r="I1344" s="41">
        <v>1</v>
      </c>
      <c r="J1344" s="108">
        <f>POWER(POWER(Table210[[#This Row],[mv]],4)/10,0.25)</f>
        <v>8.4351198778552375E-4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3454</v>
      </c>
      <c r="P1344" s="109"/>
      <c r="Q1344" s="41"/>
      <c r="R1344" s="111"/>
      <c r="S1344" s="110"/>
    </row>
    <row r="1345" spans="1:19">
      <c r="A1345" s="105">
        <v>2727</v>
      </c>
      <c r="B1345" s="41">
        <v>60000000</v>
      </c>
      <c r="C1345" s="41">
        <v>1.5E-3</v>
      </c>
      <c r="D1345" s="41">
        <v>5.6569000000000003</v>
      </c>
      <c r="E1345" s="41">
        <v>30</v>
      </c>
      <c r="F1345" s="41">
        <v>0</v>
      </c>
      <c r="G1345" s="41" t="s">
        <v>3446</v>
      </c>
      <c r="H1345" s="41">
        <v>1</v>
      </c>
      <c r="I1345" s="41">
        <v>1</v>
      </c>
      <c r="J1345" s="108">
        <f>POWER(POWER(Table210[[#This Row],[mv]],4)/10,0.25)</f>
        <v>8.4351198778552375E-4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3455</v>
      </c>
      <c r="P1345" s="109"/>
      <c r="Q1345" s="41"/>
      <c r="R1345" s="111"/>
      <c r="S1345" s="110"/>
    </row>
    <row r="1346" spans="1:19">
      <c r="A1346" s="105">
        <v>2728</v>
      </c>
      <c r="B1346" s="41">
        <v>60000000</v>
      </c>
      <c r="C1346" s="41">
        <v>1.5E-3</v>
      </c>
      <c r="D1346" s="41">
        <v>8</v>
      </c>
      <c r="E1346" s="41">
        <v>30</v>
      </c>
      <c r="F1346" s="41">
        <v>0</v>
      </c>
      <c r="G1346" s="41" t="s">
        <v>3446</v>
      </c>
      <c r="H1346" s="41">
        <v>1</v>
      </c>
      <c r="I1346" s="41">
        <v>1</v>
      </c>
      <c r="J1346" s="108">
        <f>POWER(POWER(Table210[[#This Row],[mv]],4)/10,0.25)</f>
        <v>8.4351198778552375E-4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3456</v>
      </c>
      <c r="P1346" s="109"/>
      <c r="Q1346" s="41"/>
      <c r="R1346" s="111"/>
      <c r="S1346" s="110"/>
    </row>
    <row r="1347" spans="1:19">
      <c r="A1347" s="105">
        <v>2729</v>
      </c>
      <c r="B1347" s="41">
        <v>60000000</v>
      </c>
      <c r="C1347" s="41">
        <v>1.5E-3</v>
      </c>
      <c r="D1347" s="41">
        <v>11.313700000000001</v>
      </c>
      <c r="E1347" s="41">
        <v>30</v>
      </c>
      <c r="F1347" s="41">
        <v>0</v>
      </c>
      <c r="G1347" s="41" t="s">
        <v>3446</v>
      </c>
      <c r="H1347" s="41">
        <v>1</v>
      </c>
      <c r="I1347" s="41">
        <v>1</v>
      </c>
      <c r="J1347" s="108">
        <f>POWER(POWER(Table210[[#This Row],[mv]],4)/10,0.25)</f>
        <v>8.4351198778552375E-4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3457</v>
      </c>
      <c r="P1347" s="109"/>
      <c r="Q1347" s="41"/>
      <c r="R1347" s="111"/>
      <c r="S1347" s="110"/>
    </row>
    <row r="1348" spans="1:19">
      <c r="A1348" s="105">
        <v>2730</v>
      </c>
      <c r="B1348" s="41">
        <v>60000000</v>
      </c>
      <c r="C1348" s="41">
        <v>1.5E-3</v>
      </c>
      <c r="D1348" s="41">
        <v>16</v>
      </c>
      <c r="E1348" s="41">
        <v>30</v>
      </c>
      <c r="F1348" s="41">
        <v>0</v>
      </c>
      <c r="G1348" s="41" t="s">
        <v>3446</v>
      </c>
      <c r="H1348" s="41">
        <v>1</v>
      </c>
      <c r="I1348" s="41">
        <v>1</v>
      </c>
      <c r="J1348" s="108">
        <f>POWER(POWER(Table210[[#This Row],[mv]],4)/10,0.25)</f>
        <v>8.4351198778552375E-4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3458</v>
      </c>
      <c r="P1348" s="109"/>
      <c r="Q1348" s="41"/>
      <c r="R1348" s="111"/>
      <c r="S1348" s="110"/>
    </row>
    <row r="1349" spans="1:19">
      <c r="A1349" s="105">
        <v>2731</v>
      </c>
      <c r="B1349" s="41">
        <v>60000000</v>
      </c>
      <c r="C1349" s="41">
        <v>1.6000000000000001E-3</v>
      </c>
      <c r="D1349" s="41">
        <v>4</v>
      </c>
      <c r="E1349" s="41">
        <v>30</v>
      </c>
      <c r="F1349" s="41">
        <v>0</v>
      </c>
      <c r="G1349" s="41" t="s">
        <v>3446</v>
      </c>
      <c r="H1349" s="41">
        <v>1</v>
      </c>
      <c r="I1349" s="41">
        <v>1</v>
      </c>
      <c r="J1349" s="108">
        <f>POWER(POWER(Table210[[#This Row],[mv]],4)/10,0.25)</f>
        <v>8.9974612030455862E-4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3459</v>
      </c>
      <c r="P1349" s="109"/>
      <c r="Q1349" s="41"/>
      <c r="R1349" s="111"/>
      <c r="S1349" s="110"/>
    </row>
    <row r="1350" spans="1:19">
      <c r="A1350" s="105">
        <v>2732</v>
      </c>
      <c r="B1350" s="41">
        <v>60000000</v>
      </c>
      <c r="C1350" s="41">
        <v>1.6000000000000001E-3</v>
      </c>
      <c r="D1350" s="41">
        <v>5.6569000000000003</v>
      </c>
      <c r="E1350" s="41">
        <v>30</v>
      </c>
      <c r="F1350" s="41">
        <v>0</v>
      </c>
      <c r="G1350" s="41" t="s">
        <v>3446</v>
      </c>
      <c r="H1350" s="41">
        <v>1</v>
      </c>
      <c r="I1350" s="41">
        <v>1</v>
      </c>
      <c r="J1350" s="108">
        <f>POWER(POWER(Table210[[#This Row],[mv]],4)/10,0.25)</f>
        <v>8.9974612030455862E-4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3460</v>
      </c>
      <c r="P1350" s="109"/>
      <c r="Q1350" s="41"/>
      <c r="R1350" s="111"/>
      <c r="S1350" s="110"/>
    </row>
    <row r="1351" spans="1:19">
      <c r="A1351" s="105">
        <v>2733</v>
      </c>
      <c r="B1351" s="41">
        <v>60000000</v>
      </c>
      <c r="C1351" s="41">
        <v>1.6000000000000001E-3</v>
      </c>
      <c r="D1351" s="41">
        <v>8</v>
      </c>
      <c r="E1351" s="41">
        <v>30</v>
      </c>
      <c r="F1351" s="41">
        <v>0</v>
      </c>
      <c r="G1351" s="41" t="s">
        <v>3446</v>
      </c>
      <c r="H1351" s="41">
        <v>1</v>
      </c>
      <c r="I1351" s="41">
        <v>1</v>
      </c>
      <c r="J1351" s="108">
        <f>POWER(POWER(Table210[[#This Row],[mv]],4)/10,0.25)</f>
        <v>8.9974612030455862E-4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3461</v>
      </c>
      <c r="P1351" s="109"/>
      <c r="Q1351" s="41"/>
      <c r="R1351" s="111"/>
      <c r="S1351" s="110"/>
    </row>
    <row r="1352" spans="1:19">
      <c r="A1352" s="105">
        <v>2734</v>
      </c>
      <c r="B1352" s="41">
        <v>60000000</v>
      </c>
      <c r="C1352" s="41">
        <v>1.6000000000000001E-3</v>
      </c>
      <c r="D1352" s="41">
        <v>11.313700000000001</v>
      </c>
      <c r="E1352" s="41">
        <v>30</v>
      </c>
      <c r="F1352" s="41">
        <v>0</v>
      </c>
      <c r="G1352" s="41" t="s">
        <v>3446</v>
      </c>
      <c r="H1352" s="41">
        <v>1</v>
      </c>
      <c r="I1352" s="41">
        <v>1</v>
      </c>
      <c r="J1352" s="108">
        <f>POWER(POWER(Table210[[#This Row],[mv]],4)/10,0.25)</f>
        <v>8.9974612030455862E-4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3462</v>
      </c>
      <c r="P1352" s="109"/>
      <c r="Q1352" s="41"/>
      <c r="R1352" s="111"/>
      <c r="S1352" s="110"/>
    </row>
    <row r="1353" spans="1:19">
      <c r="A1353" s="105">
        <v>2735</v>
      </c>
      <c r="B1353" s="41">
        <v>60000000</v>
      </c>
      <c r="C1353" s="41">
        <v>1.6000000000000001E-3</v>
      </c>
      <c r="D1353" s="41">
        <v>16</v>
      </c>
      <c r="E1353" s="41">
        <v>30</v>
      </c>
      <c r="F1353" s="41">
        <v>0</v>
      </c>
      <c r="G1353" s="41" t="s">
        <v>3446</v>
      </c>
      <c r="H1353" s="41">
        <v>1</v>
      </c>
      <c r="I1353" s="41">
        <v>1</v>
      </c>
      <c r="J1353" s="108">
        <f>POWER(POWER(Table210[[#This Row],[mv]],4)/10,0.25)</f>
        <v>8.9974612030455862E-4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3463</v>
      </c>
      <c r="P1353" s="109"/>
      <c r="Q1353" s="41"/>
      <c r="R1353" s="111"/>
      <c r="S1353" s="110"/>
    </row>
    <row r="1354" spans="1:19">
      <c r="A1354" s="105">
        <v>2736</v>
      </c>
      <c r="B1354" s="41">
        <v>60000000</v>
      </c>
      <c r="C1354" s="41">
        <v>1.6000000000000001E-3</v>
      </c>
      <c r="D1354" s="41">
        <v>22.627400000000002</v>
      </c>
      <c r="E1354" s="41">
        <v>30</v>
      </c>
      <c r="F1354" s="41">
        <v>0</v>
      </c>
      <c r="G1354" s="41" t="s">
        <v>3446</v>
      </c>
      <c r="H1354" s="41">
        <v>1</v>
      </c>
      <c r="I1354" s="41">
        <v>1</v>
      </c>
      <c r="J1354" s="108">
        <f>POWER(POWER(Table210[[#This Row],[mv]],4)/10,0.25)</f>
        <v>8.9974612030455862E-4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3464</v>
      </c>
      <c r="P1354" s="109"/>
      <c r="Q1354" s="41"/>
      <c r="R1354" s="111"/>
      <c r="S1354" s="110"/>
    </row>
    <row r="1355" spans="1:19">
      <c r="A1355" s="105">
        <v>2737</v>
      </c>
      <c r="B1355" s="41">
        <v>60000000</v>
      </c>
      <c r="C1355" s="41">
        <v>1.6999999999999999E-3</v>
      </c>
      <c r="D1355" s="41">
        <v>4</v>
      </c>
      <c r="E1355" s="41">
        <v>30</v>
      </c>
      <c r="F1355" s="41">
        <v>0</v>
      </c>
      <c r="G1355" s="41" t="s">
        <v>3446</v>
      </c>
      <c r="H1355" s="41">
        <v>1</v>
      </c>
      <c r="I1355" s="41">
        <v>1</v>
      </c>
      <c r="J1355" s="108">
        <f>POWER(POWER(Table210[[#This Row],[mv]],4)/10,0.25)</f>
        <v>9.5598025282359327E-4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3465</v>
      </c>
      <c r="P1355" s="109"/>
      <c r="Q1355" s="41"/>
      <c r="R1355" s="111"/>
      <c r="S1355" s="110"/>
    </row>
    <row r="1356" spans="1:19">
      <c r="A1356" s="105">
        <v>2738</v>
      </c>
      <c r="B1356" s="41">
        <v>60000000</v>
      </c>
      <c r="C1356" s="41">
        <v>1.6999999999999999E-3</v>
      </c>
      <c r="D1356" s="41">
        <v>5.6569000000000003</v>
      </c>
      <c r="E1356" s="41">
        <v>30</v>
      </c>
      <c r="F1356" s="41">
        <v>0</v>
      </c>
      <c r="G1356" s="41" t="s">
        <v>3446</v>
      </c>
      <c r="H1356" s="41">
        <v>1</v>
      </c>
      <c r="I1356" s="41">
        <v>1</v>
      </c>
      <c r="J1356" s="108">
        <f>POWER(POWER(Table210[[#This Row],[mv]],4)/10,0.25)</f>
        <v>9.5598025282359327E-4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3466</v>
      </c>
      <c r="P1356" s="109"/>
      <c r="Q1356" s="41"/>
      <c r="R1356" s="111"/>
      <c r="S1356" s="110"/>
    </row>
    <row r="1357" spans="1:19">
      <c r="A1357" s="105">
        <v>2739</v>
      </c>
      <c r="B1357" s="41">
        <v>60000000</v>
      </c>
      <c r="C1357" s="41">
        <v>1.6999999999999999E-3</v>
      </c>
      <c r="D1357" s="41">
        <v>8</v>
      </c>
      <c r="E1357" s="41">
        <v>30</v>
      </c>
      <c r="F1357" s="41">
        <v>0</v>
      </c>
      <c r="G1357" s="41" t="s">
        <v>3446</v>
      </c>
      <c r="H1357" s="41">
        <v>1</v>
      </c>
      <c r="I1357" s="41">
        <v>1</v>
      </c>
      <c r="J1357" s="108">
        <f>POWER(POWER(Table210[[#This Row],[mv]],4)/10,0.25)</f>
        <v>9.5598025282359327E-4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3467</v>
      </c>
      <c r="P1357" s="109"/>
      <c r="Q1357" s="41"/>
      <c r="R1357" s="111"/>
      <c r="S1357" s="110"/>
    </row>
    <row r="1358" spans="1:19">
      <c r="A1358" s="105">
        <v>2740</v>
      </c>
      <c r="B1358" s="41">
        <v>60000000</v>
      </c>
      <c r="C1358" s="41">
        <v>1.6999999999999999E-3</v>
      </c>
      <c r="D1358" s="41">
        <v>11.313700000000001</v>
      </c>
      <c r="E1358" s="41">
        <v>30</v>
      </c>
      <c r="F1358" s="41">
        <v>0</v>
      </c>
      <c r="G1358" s="41" t="s">
        <v>3446</v>
      </c>
      <c r="H1358" s="41">
        <v>1</v>
      </c>
      <c r="I1358" s="41">
        <v>1</v>
      </c>
      <c r="J1358" s="108">
        <f>POWER(POWER(Table210[[#This Row],[mv]],4)/10,0.25)</f>
        <v>9.5598025282359327E-4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3468</v>
      </c>
      <c r="P1358" s="109"/>
      <c r="Q1358" s="41"/>
      <c r="R1358" s="111"/>
      <c r="S1358" s="110"/>
    </row>
    <row r="1359" spans="1:19">
      <c r="A1359" s="105">
        <v>2741</v>
      </c>
      <c r="B1359" s="41">
        <v>60000000</v>
      </c>
      <c r="C1359" s="41">
        <v>1.6999999999999999E-3</v>
      </c>
      <c r="D1359" s="41">
        <v>16</v>
      </c>
      <c r="E1359" s="41">
        <v>30</v>
      </c>
      <c r="F1359" s="41">
        <v>0</v>
      </c>
      <c r="G1359" s="41" t="s">
        <v>3446</v>
      </c>
      <c r="H1359" s="41">
        <v>1</v>
      </c>
      <c r="I1359" s="41">
        <v>1</v>
      </c>
      <c r="J1359" s="108">
        <f>POWER(POWER(Table210[[#This Row],[mv]],4)/10,0.25)</f>
        <v>9.5598025282359327E-4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3469</v>
      </c>
      <c r="P1359" s="109"/>
      <c r="Q1359" s="41"/>
      <c r="R1359" s="111"/>
      <c r="S1359" s="110"/>
    </row>
    <row r="1360" spans="1:19">
      <c r="A1360" s="105">
        <v>2742</v>
      </c>
      <c r="B1360" s="41">
        <v>60000000</v>
      </c>
      <c r="C1360" s="41">
        <v>1.6999999999999999E-3</v>
      </c>
      <c r="D1360" s="41">
        <v>22.627400000000002</v>
      </c>
      <c r="E1360" s="41">
        <v>30</v>
      </c>
      <c r="F1360" s="41">
        <v>0</v>
      </c>
      <c r="G1360" s="41" t="s">
        <v>3446</v>
      </c>
      <c r="H1360" s="41">
        <v>1</v>
      </c>
      <c r="I1360" s="41">
        <v>1</v>
      </c>
      <c r="J1360" s="108">
        <f>POWER(POWER(Table210[[#This Row],[mv]],4)/10,0.25)</f>
        <v>9.5598025282359327E-4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3470</v>
      </c>
      <c r="P1360" s="109"/>
      <c r="Q1360" s="41"/>
      <c r="R1360" s="111"/>
      <c r="S1360" s="110"/>
    </row>
    <row r="1361" spans="1:19">
      <c r="A1361" s="105">
        <v>2743</v>
      </c>
      <c r="B1361" s="41">
        <v>60000000</v>
      </c>
      <c r="C1361" s="41">
        <v>1.9E-3</v>
      </c>
      <c r="D1361" s="41">
        <v>4</v>
      </c>
      <c r="E1361" s="41">
        <v>30</v>
      </c>
      <c r="F1361" s="41">
        <v>0</v>
      </c>
      <c r="G1361" s="41" t="s">
        <v>3446</v>
      </c>
      <c r="H1361" s="41">
        <v>1</v>
      </c>
      <c r="I1361" s="41">
        <v>1</v>
      </c>
      <c r="J1361" s="108">
        <f>POWER(POWER(Table210[[#This Row],[mv]],4)/10,0.25)</f>
        <v>1.0684485178616638E-3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3471</v>
      </c>
      <c r="P1361" s="109"/>
      <c r="Q1361" s="41"/>
      <c r="R1361" s="111"/>
      <c r="S1361" s="110"/>
    </row>
    <row r="1362" spans="1:19">
      <c r="A1362" s="105">
        <v>2744</v>
      </c>
      <c r="B1362" s="41">
        <v>60000000</v>
      </c>
      <c r="C1362" s="41">
        <v>1.9E-3</v>
      </c>
      <c r="D1362" s="41">
        <v>5.6569000000000003</v>
      </c>
      <c r="E1362" s="41">
        <v>30</v>
      </c>
      <c r="F1362" s="41">
        <v>0</v>
      </c>
      <c r="G1362" s="41" t="s">
        <v>3446</v>
      </c>
      <c r="H1362" s="41">
        <v>1</v>
      </c>
      <c r="I1362" s="41">
        <v>1</v>
      </c>
      <c r="J1362" s="108">
        <f>POWER(POWER(Table210[[#This Row],[mv]],4)/10,0.25)</f>
        <v>1.0684485178616638E-3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3472</v>
      </c>
      <c r="P1362" s="109"/>
      <c r="Q1362" s="41"/>
      <c r="R1362" s="111"/>
      <c r="S1362" s="110"/>
    </row>
    <row r="1363" spans="1:19">
      <c r="A1363" s="105">
        <v>2745</v>
      </c>
      <c r="B1363" s="41">
        <v>60000000</v>
      </c>
      <c r="C1363" s="41">
        <v>1.9E-3</v>
      </c>
      <c r="D1363" s="41">
        <v>8</v>
      </c>
      <c r="E1363" s="41">
        <v>30</v>
      </c>
      <c r="F1363" s="41">
        <v>0</v>
      </c>
      <c r="G1363" s="41" t="s">
        <v>3446</v>
      </c>
      <c r="H1363" s="41">
        <v>1</v>
      </c>
      <c r="I1363" s="41">
        <v>1</v>
      </c>
      <c r="J1363" s="108">
        <f>POWER(POWER(Table210[[#This Row],[mv]],4)/10,0.25)</f>
        <v>1.0684485178616638E-3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3473</v>
      </c>
      <c r="P1363" s="109"/>
      <c r="Q1363" s="41"/>
      <c r="R1363" s="111"/>
      <c r="S1363" s="110"/>
    </row>
    <row r="1364" spans="1:19">
      <c r="A1364" s="105">
        <v>2746</v>
      </c>
      <c r="B1364" s="41">
        <v>60000000</v>
      </c>
      <c r="C1364" s="41">
        <v>1.9E-3</v>
      </c>
      <c r="D1364" s="41">
        <v>11.313700000000001</v>
      </c>
      <c r="E1364" s="41">
        <v>30</v>
      </c>
      <c r="F1364" s="41">
        <v>0</v>
      </c>
      <c r="G1364" s="41" t="s">
        <v>3446</v>
      </c>
      <c r="H1364" s="41">
        <v>1</v>
      </c>
      <c r="I1364" s="41">
        <v>1</v>
      </c>
      <c r="J1364" s="108">
        <f>POWER(POWER(Table210[[#This Row],[mv]],4)/10,0.25)</f>
        <v>1.0684485178616638E-3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3474</v>
      </c>
      <c r="P1364" s="109"/>
      <c r="Q1364" s="41"/>
      <c r="R1364" s="111"/>
      <c r="S1364" s="110"/>
    </row>
    <row r="1365" spans="1:19">
      <c r="A1365" s="105">
        <v>2747</v>
      </c>
      <c r="B1365" s="41">
        <v>60000000</v>
      </c>
      <c r="C1365" s="41">
        <v>1.9E-3</v>
      </c>
      <c r="D1365" s="41">
        <v>16</v>
      </c>
      <c r="E1365" s="41">
        <v>30</v>
      </c>
      <c r="F1365" s="41">
        <v>0</v>
      </c>
      <c r="G1365" s="41" t="s">
        <v>3446</v>
      </c>
      <c r="H1365" s="41">
        <v>1</v>
      </c>
      <c r="I1365" s="41">
        <v>1</v>
      </c>
      <c r="J1365" s="108">
        <f>POWER(POWER(Table210[[#This Row],[mv]],4)/10,0.25)</f>
        <v>1.0684485178616638E-3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3475</v>
      </c>
      <c r="P1365" s="109"/>
      <c r="Q1365" s="41"/>
      <c r="R1365" s="111"/>
      <c r="S1365" s="110"/>
    </row>
    <row r="1366" spans="1:19">
      <c r="A1366" s="105">
        <v>2748</v>
      </c>
      <c r="B1366" s="41">
        <v>60000000</v>
      </c>
      <c r="C1366" s="41">
        <v>1.9E-3</v>
      </c>
      <c r="D1366" s="41">
        <v>22.627400000000002</v>
      </c>
      <c r="E1366" s="41">
        <v>30</v>
      </c>
      <c r="F1366" s="41">
        <v>0</v>
      </c>
      <c r="G1366" s="41" t="s">
        <v>3446</v>
      </c>
      <c r="H1366" s="41">
        <v>1</v>
      </c>
      <c r="I1366" s="41">
        <v>1</v>
      </c>
      <c r="J1366" s="108">
        <f>POWER(POWER(Table210[[#This Row],[mv]],4)/10,0.25)</f>
        <v>1.0684485178616638E-3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3476</v>
      </c>
      <c r="P1366" s="109"/>
      <c r="Q1366" s="41"/>
      <c r="R1366" s="111"/>
      <c r="S1366" s="110"/>
    </row>
    <row r="1367" spans="1:19">
      <c r="A1367" s="105">
        <v>2749</v>
      </c>
      <c r="B1367" s="41">
        <v>60000000</v>
      </c>
      <c r="C1367" s="41">
        <v>2.0999999999999999E-3</v>
      </c>
      <c r="D1367" s="41">
        <v>2.8283999999999998</v>
      </c>
      <c r="E1367" s="41">
        <v>30</v>
      </c>
      <c r="F1367" s="41">
        <v>0</v>
      </c>
      <c r="G1367" s="41" t="s">
        <v>3446</v>
      </c>
      <c r="H1367" s="41">
        <v>1</v>
      </c>
      <c r="I1367" s="41">
        <v>1</v>
      </c>
      <c r="J1367" s="108">
        <f>POWER(POWER(Table210[[#This Row],[mv]],4)/10,0.25)</f>
        <v>1.1809167828997333E-3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3477</v>
      </c>
      <c r="P1367" s="109"/>
      <c r="Q1367" s="41"/>
      <c r="R1367" s="111"/>
      <c r="S1367" s="110"/>
    </row>
    <row r="1368" spans="1:19">
      <c r="A1368" s="105">
        <v>2750</v>
      </c>
      <c r="B1368" s="41">
        <v>60000000</v>
      </c>
      <c r="C1368" s="41">
        <v>2.0999999999999999E-3</v>
      </c>
      <c r="D1368" s="41">
        <v>4</v>
      </c>
      <c r="E1368" s="41">
        <v>30</v>
      </c>
      <c r="F1368" s="41">
        <v>0</v>
      </c>
      <c r="G1368" s="41" t="s">
        <v>3446</v>
      </c>
      <c r="H1368" s="41">
        <v>1</v>
      </c>
      <c r="I1368" s="41">
        <v>1</v>
      </c>
      <c r="J1368" s="108">
        <f>POWER(POWER(Table210[[#This Row],[mv]],4)/10,0.25)</f>
        <v>1.1809167828997333E-3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3478</v>
      </c>
      <c r="P1368" s="109"/>
      <c r="Q1368" s="41"/>
      <c r="R1368" s="111"/>
      <c r="S1368" s="110"/>
    </row>
    <row r="1369" spans="1:19">
      <c r="A1369" s="105">
        <v>2751</v>
      </c>
      <c r="B1369" s="41">
        <v>60000000</v>
      </c>
      <c r="C1369" s="41">
        <v>2.0999999999999999E-3</v>
      </c>
      <c r="D1369" s="41">
        <v>5.6569000000000003</v>
      </c>
      <c r="E1369" s="41">
        <v>30</v>
      </c>
      <c r="F1369" s="41">
        <v>0</v>
      </c>
      <c r="G1369" s="41" t="s">
        <v>3446</v>
      </c>
      <c r="H1369" s="41">
        <v>1</v>
      </c>
      <c r="I1369" s="41">
        <v>1</v>
      </c>
      <c r="J1369" s="108">
        <f>POWER(POWER(Table210[[#This Row],[mv]],4)/10,0.25)</f>
        <v>1.1809167828997333E-3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3479</v>
      </c>
      <c r="P1369" s="109"/>
      <c r="Q1369" s="41"/>
      <c r="R1369" s="111"/>
      <c r="S1369" s="110"/>
    </row>
    <row r="1370" spans="1:19">
      <c r="A1370" s="105">
        <v>2752</v>
      </c>
      <c r="B1370" s="41">
        <v>60000000</v>
      </c>
      <c r="C1370" s="41">
        <v>2.0999999999999999E-3</v>
      </c>
      <c r="D1370" s="41">
        <v>8</v>
      </c>
      <c r="E1370" s="41">
        <v>30</v>
      </c>
      <c r="F1370" s="41">
        <v>0</v>
      </c>
      <c r="G1370" s="41" t="s">
        <v>3446</v>
      </c>
      <c r="H1370" s="41">
        <v>1</v>
      </c>
      <c r="I1370" s="41">
        <v>1</v>
      </c>
      <c r="J1370" s="108">
        <f>POWER(POWER(Table210[[#This Row],[mv]],4)/10,0.25)</f>
        <v>1.1809167828997333E-3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3480</v>
      </c>
      <c r="P1370" s="109"/>
      <c r="Q1370" s="41"/>
      <c r="R1370" s="111"/>
      <c r="S1370" s="110"/>
    </row>
    <row r="1371" spans="1:19">
      <c r="A1371" s="105">
        <v>2753</v>
      </c>
      <c r="B1371" s="41">
        <v>60000000</v>
      </c>
      <c r="C1371" s="41">
        <v>2.0999999999999999E-3</v>
      </c>
      <c r="D1371" s="41">
        <v>11.313700000000001</v>
      </c>
      <c r="E1371" s="41">
        <v>30</v>
      </c>
      <c r="F1371" s="41">
        <v>0</v>
      </c>
      <c r="G1371" s="41" t="s">
        <v>3446</v>
      </c>
      <c r="H1371" s="41">
        <v>1</v>
      </c>
      <c r="I1371" s="41">
        <v>1</v>
      </c>
      <c r="J1371" s="108">
        <f>POWER(POWER(Table210[[#This Row],[mv]],4)/10,0.25)</f>
        <v>1.1809167828997333E-3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3481</v>
      </c>
      <c r="P1371" s="109"/>
      <c r="Q1371" s="41"/>
      <c r="R1371" s="111"/>
      <c r="S1371" s="110"/>
    </row>
    <row r="1372" spans="1:19">
      <c r="A1372" s="105">
        <v>2754</v>
      </c>
      <c r="B1372" s="41">
        <v>60000000</v>
      </c>
      <c r="C1372" s="41">
        <v>2.0999999999999999E-3</v>
      </c>
      <c r="D1372" s="41">
        <v>16</v>
      </c>
      <c r="E1372" s="41">
        <v>30</v>
      </c>
      <c r="F1372" s="41">
        <v>0</v>
      </c>
      <c r="G1372" s="41" t="s">
        <v>3446</v>
      </c>
      <c r="H1372" s="41">
        <v>1</v>
      </c>
      <c r="I1372" s="41">
        <v>1</v>
      </c>
      <c r="J1372" s="108">
        <f>POWER(POWER(Table210[[#This Row],[mv]],4)/10,0.25)</f>
        <v>1.1809167828997333E-3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3482</v>
      </c>
      <c r="P1372" s="109"/>
      <c r="Q1372" s="41"/>
      <c r="R1372" s="111"/>
      <c r="S1372" s="110"/>
    </row>
    <row r="1373" spans="1:19">
      <c r="A1373" s="105">
        <v>2755</v>
      </c>
      <c r="B1373" s="41">
        <v>60000000</v>
      </c>
      <c r="C1373" s="41">
        <v>2.0999999999999999E-3</v>
      </c>
      <c r="D1373" s="41">
        <v>22.627400000000002</v>
      </c>
      <c r="E1373" s="41">
        <v>30</v>
      </c>
      <c r="F1373" s="41">
        <v>0</v>
      </c>
      <c r="G1373" s="41" t="s">
        <v>3446</v>
      </c>
      <c r="H1373" s="41">
        <v>1</v>
      </c>
      <c r="I1373" s="41">
        <v>1</v>
      </c>
      <c r="J1373" s="108">
        <f>POWER(POWER(Table210[[#This Row],[mv]],4)/10,0.25)</f>
        <v>1.1809167828997333E-3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3483</v>
      </c>
      <c r="P1373" s="109"/>
      <c r="Q1373" s="41"/>
      <c r="R1373" s="111"/>
      <c r="S1373" s="110"/>
    </row>
    <row r="1374" spans="1:19">
      <c r="A1374" s="105">
        <v>2756</v>
      </c>
      <c r="B1374" s="41">
        <v>60000000</v>
      </c>
      <c r="C1374" s="41">
        <v>2.3E-3</v>
      </c>
      <c r="D1374" s="41">
        <v>2.8283999999999998</v>
      </c>
      <c r="E1374" s="41">
        <v>30</v>
      </c>
      <c r="F1374" s="41">
        <v>0</v>
      </c>
      <c r="G1374" s="41" t="s">
        <v>3446</v>
      </c>
      <c r="H1374" s="41">
        <v>1</v>
      </c>
      <c r="I1374" s="41">
        <v>1</v>
      </c>
      <c r="J1374" s="108">
        <f>POWER(POWER(Table210[[#This Row],[mv]],4)/10,0.25)</f>
        <v>1.2933850479378026E-3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3484</v>
      </c>
      <c r="P1374" s="109"/>
      <c r="Q1374" s="41"/>
      <c r="R1374" s="111"/>
      <c r="S1374" s="110"/>
    </row>
    <row r="1375" spans="1:19">
      <c r="A1375" s="105">
        <v>2757</v>
      </c>
      <c r="B1375" s="41">
        <v>60000000</v>
      </c>
      <c r="C1375" s="41">
        <v>2.3E-3</v>
      </c>
      <c r="D1375" s="41">
        <v>4</v>
      </c>
      <c r="E1375" s="41">
        <v>30</v>
      </c>
      <c r="F1375" s="41">
        <v>0</v>
      </c>
      <c r="G1375" s="41" t="s">
        <v>3446</v>
      </c>
      <c r="H1375" s="41">
        <v>1</v>
      </c>
      <c r="I1375" s="41">
        <v>1</v>
      </c>
      <c r="J1375" s="108">
        <f>POWER(POWER(Table210[[#This Row],[mv]],4)/10,0.25)</f>
        <v>1.2933850479378026E-3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3485</v>
      </c>
      <c r="P1375" s="109"/>
      <c r="Q1375" s="41"/>
      <c r="R1375" s="111"/>
      <c r="S1375" s="110"/>
    </row>
    <row r="1376" spans="1:19">
      <c r="A1376" s="105">
        <v>2758</v>
      </c>
      <c r="B1376" s="41">
        <v>60000000</v>
      </c>
      <c r="C1376" s="41">
        <v>2.3E-3</v>
      </c>
      <c r="D1376" s="41">
        <v>5.6569000000000003</v>
      </c>
      <c r="E1376" s="41">
        <v>30</v>
      </c>
      <c r="F1376" s="41">
        <v>0</v>
      </c>
      <c r="G1376" s="41" t="s">
        <v>3446</v>
      </c>
      <c r="H1376" s="41">
        <v>1</v>
      </c>
      <c r="I1376" s="41">
        <v>1</v>
      </c>
      <c r="J1376" s="108">
        <f>POWER(POWER(Table210[[#This Row],[mv]],4)/10,0.25)</f>
        <v>1.2933850479378026E-3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3486</v>
      </c>
      <c r="P1376" s="109"/>
      <c r="Q1376" s="41"/>
      <c r="R1376" s="111"/>
      <c r="S1376" s="110"/>
    </row>
    <row r="1377" spans="1:19">
      <c r="A1377" s="105">
        <v>2759</v>
      </c>
      <c r="B1377" s="41">
        <v>60000000</v>
      </c>
      <c r="C1377" s="41">
        <v>2.3E-3</v>
      </c>
      <c r="D1377" s="41">
        <v>8</v>
      </c>
      <c r="E1377" s="41">
        <v>30</v>
      </c>
      <c r="F1377" s="41">
        <v>0</v>
      </c>
      <c r="G1377" s="41" t="s">
        <v>3446</v>
      </c>
      <c r="H1377" s="41">
        <v>1</v>
      </c>
      <c r="I1377" s="41">
        <v>1</v>
      </c>
      <c r="J1377" s="108">
        <f>POWER(POWER(Table210[[#This Row],[mv]],4)/10,0.25)</f>
        <v>1.2933850479378026E-3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3487</v>
      </c>
      <c r="P1377" s="109"/>
      <c r="Q1377" s="41"/>
      <c r="R1377" s="111"/>
      <c r="S1377" s="110"/>
    </row>
    <row r="1378" spans="1:19">
      <c r="A1378" s="105">
        <v>2760</v>
      </c>
      <c r="B1378" s="41">
        <v>60000000</v>
      </c>
      <c r="C1378" s="41">
        <v>2.3E-3</v>
      </c>
      <c r="D1378" s="41">
        <v>11.313700000000001</v>
      </c>
      <c r="E1378" s="41">
        <v>30</v>
      </c>
      <c r="F1378" s="41">
        <v>0</v>
      </c>
      <c r="G1378" s="41" t="s">
        <v>3446</v>
      </c>
      <c r="H1378" s="41">
        <v>1</v>
      </c>
      <c r="I1378" s="41">
        <v>1</v>
      </c>
      <c r="J1378" s="108">
        <f>POWER(POWER(Table210[[#This Row],[mv]],4)/10,0.25)</f>
        <v>1.2933850479378026E-3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3488</v>
      </c>
      <c r="P1378" s="109"/>
      <c r="Q1378" s="41"/>
      <c r="R1378" s="111"/>
      <c r="S1378" s="110"/>
    </row>
    <row r="1379" spans="1:19">
      <c r="A1379" s="105">
        <v>2761</v>
      </c>
      <c r="B1379" s="41">
        <v>60000000</v>
      </c>
      <c r="C1379" s="41">
        <v>2.3E-3</v>
      </c>
      <c r="D1379" s="41">
        <v>16</v>
      </c>
      <c r="E1379" s="41">
        <v>30</v>
      </c>
      <c r="F1379" s="41">
        <v>0</v>
      </c>
      <c r="G1379" s="41" t="s">
        <v>3446</v>
      </c>
      <c r="H1379" s="41">
        <v>1</v>
      </c>
      <c r="I1379" s="41">
        <v>1</v>
      </c>
      <c r="J1379" s="108">
        <f>POWER(POWER(Table210[[#This Row],[mv]],4)/10,0.25)</f>
        <v>1.2933850479378026E-3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3489</v>
      </c>
      <c r="P1379" s="109"/>
      <c r="Q1379" s="41"/>
      <c r="R1379" s="111"/>
      <c r="S1379" s="110"/>
    </row>
    <row r="1380" spans="1:19">
      <c r="A1380" s="105">
        <v>2762</v>
      </c>
      <c r="B1380" s="41">
        <v>60000000</v>
      </c>
      <c r="C1380" s="41">
        <v>2.3E-3</v>
      </c>
      <c r="D1380" s="41">
        <v>22.627400000000002</v>
      </c>
      <c r="E1380" s="41">
        <v>30</v>
      </c>
      <c r="F1380" s="41">
        <v>0</v>
      </c>
      <c r="G1380" s="41" t="s">
        <v>3446</v>
      </c>
      <c r="H1380" s="41">
        <v>1</v>
      </c>
      <c r="I1380" s="41">
        <v>1</v>
      </c>
      <c r="J1380" s="108">
        <f>POWER(POWER(Table210[[#This Row],[mv]],4)/10,0.25)</f>
        <v>1.2933850479378026E-3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3490</v>
      </c>
      <c r="P1380" s="109"/>
      <c r="Q1380" s="41"/>
      <c r="R1380" s="111"/>
      <c r="S1380" s="110"/>
    </row>
    <row r="1381" spans="1:19">
      <c r="A1381" s="105">
        <v>2763</v>
      </c>
      <c r="B1381" s="41">
        <v>60000000</v>
      </c>
      <c r="C1381" s="41">
        <v>2.5000000000000001E-3</v>
      </c>
      <c r="D1381" s="41">
        <v>2</v>
      </c>
      <c r="E1381" s="41">
        <v>30</v>
      </c>
      <c r="F1381" s="41">
        <v>0</v>
      </c>
      <c r="G1381" s="41" t="s">
        <v>3446</v>
      </c>
      <c r="H1381" s="41">
        <v>1</v>
      </c>
      <c r="I1381" s="41">
        <v>1</v>
      </c>
      <c r="J1381" s="108">
        <f>POWER(POWER(Table210[[#This Row],[mv]],4)/10,0.25)</f>
        <v>1.4058533129758727E-3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3491</v>
      </c>
      <c r="P1381" s="109"/>
      <c r="Q1381" s="41"/>
      <c r="R1381" s="111"/>
      <c r="S1381" s="110"/>
    </row>
    <row r="1382" spans="1:19">
      <c r="A1382" s="105">
        <v>2764</v>
      </c>
      <c r="B1382" s="41">
        <v>60000000</v>
      </c>
      <c r="C1382" s="41">
        <v>2.5000000000000001E-3</v>
      </c>
      <c r="D1382" s="41">
        <v>2.8283999999999998</v>
      </c>
      <c r="E1382" s="41">
        <v>30</v>
      </c>
      <c r="F1382" s="41">
        <v>0</v>
      </c>
      <c r="G1382" s="41" t="s">
        <v>3446</v>
      </c>
      <c r="H1382" s="41">
        <v>1</v>
      </c>
      <c r="I1382" s="41">
        <v>1</v>
      </c>
      <c r="J1382" s="108">
        <f>POWER(POWER(Table210[[#This Row],[mv]],4)/10,0.25)</f>
        <v>1.4058533129758727E-3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3492</v>
      </c>
      <c r="P1382" s="109"/>
      <c r="Q1382" s="41"/>
      <c r="R1382" s="111"/>
      <c r="S1382" s="110"/>
    </row>
    <row r="1383" spans="1:19">
      <c r="A1383" s="105">
        <v>2765</v>
      </c>
      <c r="B1383" s="41">
        <v>60000000</v>
      </c>
      <c r="C1383" s="41">
        <v>2.5000000000000001E-3</v>
      </c>
      <c r="D1383" s="41">
        <v>4</v>
      </c>
      <c r="E1383" s="41">
        <v>30</v>
      </c>
      <c r="F1383" s="41">
        <v>0</v>
      </c>
      <c r="G1383" s="41" t="s">
        <v>3446</v>
      </c>
      <c r="H1383" s="41">
        <v>1</v>
      </c>
      <c r="I1383" s="41">
        <v>1</v>
      </c>
      <c r="J1383" s="108">
        <f>POWER(POWER(Table210[[#This Row],[mv]],4)/10,0.25)</f>
        <v>1.4058533129758727E-3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3493</v>
      </c>
      <c r="P1383" s="109"/>
      <c r="Q1383" s="41"/>
      <c r="R1383" s="111"/>
      <c r="S1383" s="110"/>
    </row>
    <row r="1384" spans="1:19">
      <c r="A1384" s="105">
        <v>2766</v>
      </c>
      <c r="B1384" s="41">
        <v>60000000</v>
      </c>
      <c r="C1384" s="41">
        <v>2.5000000000000001E-3</v>
      </c>
      <c r="D1384" s="41">
        <v>5.6569000000000003</v>
      </c>
      <c r="E1384" s="41">
        <v>30</v>
      </c>
      <c r="F1384" s="41">
        <v>0</v>
      </c>
      <c r="G1384" s="41" t="s">
        <v>3446</v>
      </c>
      <c r="H1384" s="41">
        <v>1</v>
      </c>
      <c r="I1384" s="41">
        <v>1</v>
      </c>
      <c r="J1384" s="108">
        <f>POWER(POWER(Table210[[#This Row],[mv]],4)/10,0.25)</f>
        <v>1.4058533129758727E-3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3494</v>
      </c>
      <c r="P1384" s="109"/>
      <c r="Q1384" s="41"/>
      <c r="R1384" s="111"/>
      <c r="S1384" s="110"/>
    </row>
    <row r="1385" spans="1:19">
      <c r="A1385" s="105">
        <v>2767</v>
      </c>
      <c r="B1385" s="41">
        <v>60000000</v>
      </c>
      <c r="C1385" s="41">
        <v>2.5000000000000001E-3</v>
      </c>
      <c r="D1385" s="41">
        <v>8</v>
      </c>
      <c r="E1385" s="41">
        <v>30</v>
      </c>
      <c r="F1385" s="41">
        <v>0</v>
      </c>
      <c r="G1385" s="41" t="s">
        <v>3446</v>
      </c>
      <c r="H1385" s="41">
        <v>1</v>
      </c>
      <c r="I1385" s="41">
        <v>1</v>
      </c>
      <c r="J1385" s="108">
        <f>POWER(POWER(Table210[[#This Row],[mv]],4)/10,0.25)</f>
        <v>1.4058533129758727E-3</v>
      </c>
      <c r="K1385" s="41">
        <v>0</v>
      </c>
      <c r="L1385" s="41">
        <v>55</v>
      </c>
      <c r="M1385" s="41">
        <v>-1</v>
      </c>
      <c r="N1385" s="41">
        <v>4</v>
      </c>
      <c r="O1385" s="111" t="s">
        <v>3495</v>
      </c>
      <c r="P1385" s="109"/>
      <c r="Q1385" s="41"/>
      <c r="R1385" s="111"/>
      <c r="S1385" s="110"/>
    </row>
    <row r="1386" spans="1:19">
      <c r="A1386" s="105">
        <v>2768</v>
      </c>
      <c r="B1386" s="41">
        <v>60000000</v>
      </c>
      <c r="C1386" s="41">
        <v>2.5000000000000001E-3</v>
      </c>
      <c r="D1386" s="41">
        <v>11.313700000000001</v>
      </c>
      <c r="E1386" s="41">
        <v>30</v>
      </c>
      <c r="F1386" s="41">
        <v>0</v>
      </c>
      <c r="G1386" s="41" t="s">
        <v>3446</v>
      </c>
      <c r="H1386" s="41">
        <v>1</v>
      </c>
      <c r="I1386" s="41">
        <v>1</v>
      </c>
      <c r="J1386" s="108">
        <f>POWER(POWER(Table210[[#This Row],[mv]],4)/10,0.25)</f>
        <v>1.4058533129758727E-3</v>
      </c>
      <c r="K1386" s="41">
        <v>0</v>
      </c>
      <c r="L1386" s="41">
        <v>55</v>
      </c>
      <c r="M1386" s="41">
        <v>-1</v>
      </c>
      <c r="N1386" s="41">
        <v>4</v>
      </c>
      <c r="O1386" s="111" t="s">
        <v>3496</v>
      </c>
      <c r="P1386" s="109"/>
      <c r="Q1386" s="41"/>
      <c r="R1386" s="111"/>
      <c r="S1386" s="110"/>
    </row>
    <row r="1387" spans="1:19">
      <c r="A1387" s="105">
        <v>2769</v>
      </c>
      <c r="B1387" s="41">
        <v>60000000</v>
      </c>
      <c r="C1387" s="41">
        <v>2.5000000000000001E-3</v>
      </c>
      <c r="D1387" s="41">
        <v>16</v>
      </c>
      <c r="E1387" s="41">
        <v>30</v>
      </c>
      <c r="F1387" s="41">
        <v>0</v>
      </c>
      <c r="G1387" s="41" t="s">
        <v>3446</v>
      </c>
      <c r="H1387" s="41">
        <v>1</v>
      </c>
      <c r="I1387" s="41">
        <v>1</v>
      </c>
      <c r="J1387" s="108">
        <f>POWER(POWER(Table210[[#This Row],[mv]],4)/10,0.25)</f>
        <v>1.4058533129758727E-3</v>
      </c>
      <c r="K1387" s="41">
        <v>0</v>
      </c>
      <c r="L1387" s="41">
        <v>55</v>
      </c>
      <c r="M1387" s="41">
        <v>-1</v>
      </c>
      <c r="N1387" s="41">
        <v>4</v>
      </c>
      <c r="O1387" s="111" t="s">
        <v>3497</v>
      </c>
      <c r="P1387" s="109"/>
      <c r="Q1387" s="41"/>
      <c r="R1387" s="111"/>
      <c r="S1387" s="110"/>
    </row>
    <row r="1388" spans="1:19">
      <c r="A1388" s="105">
        <v>2770</v>
      </c>
      <c r="B1388" s="41">
        <v>60000000</v>
      </c>
      <c r="C1388" s="41">
        <v>2.7000000000000001E-3</v>
      </c>
      <c r="D1388" s="41">
        <v>2.8283999999999998</v>
      </c>
      <c r="E1388" s="41">
        <v>30</v>
      </c>
      <c r="F1388" s="41">
        <v>0</v>
      </c>
      <c r="G1388" s="41" t="s">
        <v>3446</v>
      </c>
      <c r="H1388" s="41">
        <v>1</v>
      </c>
      <c r="I1388" s="41">
        <v>1</v>
      </c>
      <c r="J1388" s="108">
        <f>POWER(POWER(Table210[[#This Row],[mv]],4)/10,0.25)</f>
        <v>1.5183215780139423E-3</v>
      </c>
      <c r="K1388" s="41">
        <v>0</v>
      </c>
      <c r="L1388" s="41">
        <v>55</v>
      </c>
      <c r="M1388" s="41">
        <v>-1</v>
      </c>
      <c r="N1388" s="41">
        <v>4</v>
      </c>
      <c r="O1388" s="111" t="s">
        <v>3498</v>
      </c>
      <c r="P1388" s="109"/>
      <c r="Q1388" s="41"/>
      <c r="R1388" s="111"/>
      <c r="S1388" s="110"/>
    </row>
    <row r="1389" spans="1:19">
      <c r="A1389" s="105">
        <v>2771</v>
      </c>
      <c r="B1389" s="41">
        <v>60000000</v>
      </c>
      <c r="C1389" s="41">
        <v>2.7000000000000001E-3</v>
      </c>
      <c r="D1389" s="41">
        <v>4</v>
      </c>
      <c r="E1389" s="41">
        <v>30</v>
      </c>
      <c r="F1389" s="41">
        <v>0</v>
      </c>
      <c r="G1389" s="41" t="s">
        <v>3446</v>
      </c>
      <c r="H1389" s="41">
        <v>1</v>
      </c>
      <c r="I1389" s="41">
        <v>1</v>
      </c>
      <c r="J1389" s="108">
        <f>POWER(POWER(Table210[[#This Row],[mv]],4)/10,0.25)</f>
        <v>1.5183215780139423E-3</v>
      </c>
      <c r="K1389" s="41">
        <v>0</v>
      </c>
      <c r="L1389" s="41">
        <v>55</v>
      </c>
      <c r="M1389" s="41">
        <v>-1</v>
      </c>
      <c r="N1389" s="41">
        <v>4</v>
      </c>
      <c r="O1389" s="111" t="s">
        <v>3499</v>
      </c>
      <c r="P1389" s="109"/>
      <c r="Q1389" s="41"/>
      <c r="R1389" s="111"/>
      <c r="S1389" s="110"/>
    </row>
    <row r="1390" spans="1:19">
      <c r="A1390" s="105">
        <v>2772</v>
      </c>
      <c r="B1390" s="41">
        <v>60000000</v>
      </c>
      <c r="C1390" s="41">
        <v>2.7000000000000001E-3</v>
      </c>
      <c r="D1390" s="41">
        <v>5.6569000000000003</v>
      </c>
      <c r="E1390" s="41">
        <v>30</v>
      </c>
      <c r="F1390" s="41">
        <v>0</v>
      </c>
      <c r="G1390" s="41" t="s">
        <v>3446</v>
      </c>
      <c r="H1390" s="41">
        <v>1</v>
      </c>
      <c r="I1390" s="41">
        <v>1</v>
      </c>
      <c r="J1390" s="108">
        <f>POWER(POWER(Table210[[#This Row],[mv]],4)/10,0.25)</f>
        <v>1.5183215780139423E-3</v>
      </c>
      <c r="K1390" s="41">
        <v>0</v>
      </c>
      <c r="L1390" s="41">
        <v>55</v>
      </c>
      <c r="M1390" s="41">
        <v>-1</v>
      </c>
      <c r="N1390" s="41">
        <v>4</v>
      </c>
      <c r="O1390" s="111" t="s">
        <v>3500</v>
      </c>
      <c r="P1390" s="109"/>
      <c r="Q1390" s="41"/>
      <c r="R1390" s="111"/>
      <c r="S1390" s="110"/>
    </row>
    <row r="1391" spans="1:19">
      <c r="A1391" s="105">
        <v>2773</v>
      </c>
      <c r="B1391" s="41">
        <v>60000000</v>
      </c>
      <c r="C1391" s="41">
        <v>2.7000000000000001E-3</v>
      </c>
      <c r="D1391" s="41">
        <v>8</v>
      </c>
      <c r="E1391" s="41">
        <v>30</v>
      </c>
      <c r="F1391" s="41">
        <v>0</v>
      </c>
      <c r="G1391" s="41" t="s">
        <v>3446</v>
      </c>
      <c r="H1391" s="41">
        <v>1</v>
      </c>
      <c r="I1391" s="41">
        <v>1</v>
      </c>
      <c r="J1391" s="108">
        <f>POWER(POWER(Table210[[#This Row],[mv]],4)/10,0.25)</f>
        <v>1.5183215780139423E-3</v>
      </c>
      <c r="K1391" s="41">
        <v>0</v>
      </c>
      <c r="L1391" s="41">
        <v>55</v>
      </c>
      <c r="M1391" s="41">
        <v>-1</v>
      </c>
      <c r="N1391" s="41">
        <v>4</v>
      </c>
      <c r="O1391" s="111" t="s">
        <v>3501</v>
      </c>
      <c r="P1391" s="109"/>
      <c r="Q1391" s="41"/>
      <c r="R1391" s="111"/>
      <c r="S1391" s="110"/>
    </row>
    <row r="1392" spans="1:19">
      <c r="A1392" s="105">
        <v>2774</v>
      </c>
      <c r="B1392" s="41">
        <v>60000000</v>
      </c>
      <c r="C1392" s="41">
        <v>2.7000000000000001E-3</v>
      </c>
      <c r="D1392" s="41">
        <v>11.313700000000001</v>
      </c>
      <c r="E1392" s="41">
        <v>30</v>
      </c>
      <c r="F1392" s="41">
        <v>0</v>
      </c>
      <c r="G1392" s="41" t="s">
        <v>3446</v>
      </c>
      <c r="H1392" s="41">
        <v>1</v>
      </c>
      <c r="I1392" s="41">
        <v>1</v>
      </c>
      <c r="J1392" s="108">
        <f>POWER(POWER(Table210[[#This Row],[mv]],4)/10,0.25)</f>
        <v>1.5183215780139423E-3</v>
      </c>
      <c r="K1392" s="41">
        <v>0</v>
      </c>
      <c r="L1392" s="41">
        <v>55</v>
      </c>
      <c r="M1392" s="41">
        <v>-1</v>
      </c>
      <c r="N1392" s="41">
        <v>4</v>
      </c>
      <c r="O1392" s="111" t="s">
        <v>3502</v>
      </c>
      <c r="P1392" s="109"/>
      <c r="Q1392" s="41"/>
      <c r="R1392" s="111"/>
      <c r="S1392" s="110"/>
    </row>
    <row r="1393" spans="1:19">
      <c r="A1393" s="105">
        <v>2775</v>
      </c>
      <c r="B1393" s="41">
        <v>60000000</v>
      </c>
      <c r="C1393" s="41">
        <v>2.7000000000000001E-3</v>
      </c>
      <c r="D1393" s="41">
        <v>16</v>
      </c>
      <c r="E1393" s="41">
        <v>30</v>
      </c>
      <c r="F1393" s="41">
        <v>0</v>
      </c>
      <c r="G1393" s="41" t="s">
        <v>3446</v>
      </c>
      <c r="H1393" s="41">
        <v>1</v>
      </c>
      <c r="I1393" s="41">
        <v>1</v>
      </c>
      <c r="J1393" s="108">
        <f>POWER(POWER(Table210[[#This Row],[mv]],4)/10,0.25)</f>
        <v>1.5183215780139423E-3</v>
      </c>
      <c r="K1393" s="41">
        <v>0</v>
      </c>
      <c r="L1393" s="41">
        <v>55</v>
      </c>
      <c r="M1393" s="41">
        <v>-1</v>
      </c>
      <c r="N1393" s="41">
        <v>4</v>
      </c>
      <c r="O1393" s="111" t="s">
        <v>3503</v>
      </c>
      <c r="P1393" s="109"/>
      <c r="Q1393" s="41"/>
      <c r="R1393" s="111"/>
      <c r="S1393" s="110"/>
    </row>
    <row r="1394" spans="1:19">
      <c r="A1394" s="105">
        <v>2776</v>
      </c>
      <c r="B1394" s="41">
        <v>60000000</v>
      </c>
      <c r="C1394" s="41">
        <v>2.8999999999999998E-3</v>
      </c>
      <c r="D1394" s="41">
        <v>2.8283999999999998</v>
      </c>
      <c r="E1394" s="41">
        <v>30</v>
      </c>
      <c r="F1394" s="41">
        <v>0</v>
      </c>
      <c r="G1394" s="41" t="s">
        <v>3446</v>
      </c>
      <c r="H1394" s="41">
        <v>1</v>
      </c>
      <c r="I1394" s="41">
        <v>1</v>
      </c>
      <c r="J1394" s="108">
        <f>POWER(POWER(Table210[[#This Row],[mv]],4)/10,0.25)</f>
        <v>1.6307898430520129E-3</v>
      </c>
      <c r="K1394" s="41">
        <v>0</v>
      </c>
      <c r="L1394" s="41">
        <v>55</v>
      </c>
      <c r="M1394" s="41">
        <v>-1</v>
      </c>
      <c r="N1394" s="41">
        <v>4</v>
      </c>
      <c r="O1394" s="111" t="s">
        <v>3504</v>
      </c>
      <c r="P1394" s="109"/>
      <c r="Q1394" s="41"/>
      <c r="R1394" s="111"/>
      <c r="S1394" s="110"/>
    </row>
    <row r="1395" spans="1:19">
      <c r="A1395" s="105">
        <v>2777</v>
      </c>
      <c r="B1395" s="41">
        <v>60000000</v>
      </c>
      <c r="C1395" s="41">
        <v>2.8999999999999998E-3</v>
      </c>
      <c r="D1395" s="41">
        <v>4</v>
      </c>
      <c r="E1395" s="41">
        <v>30</v>
      </c>
      <c r="F1395" s="41">
        <v>0</v>
      </c>
      <c r="G1395" s="41" t="s">
        <v>3446</v>
      </c>
      <c r="H1395" s="41">
        <v>1</v>
      </c>
      <c r="I1395" s="41">
        <v>1</v>
      </c>
      <c r="J1395" s="108">
        <f>POWER(POWER(Table210[[#This Row],[mv]],4)/10,0.25)</f>
        <v>1.6307898430520129E-3</v>
      </c>
      <c r="K1395" s="41">
        <v>0</v>
      </c>
      <c r="L1395" s="41">
        <v>55</v>
      </c>
      <c r="M1395" s="41">
        <v>-1</v>
      </c>
      <c r="N1395" s="41">
        <v>4</v>
      </c>
      <c r="O1395" s="111" t="s">
        <v>3505</v>
      </c>
      <c r="P1395" s="109"/>
      <c r="Q1395" s="41"/>
      <c r="R1395" s="111"/>
      <c r="S1395" s="110"/>
    </row>
    <row r="1396" spans="1:19">
      <c r="A1396" s="105">
        <v>2778</v>
      </c>
      <c r="B1396" s="41">
        <v>60000000</v>
      </c>
      <c r="C1396" s="41">
        <v>2.8999999999999998E-3</v>
      </c>
      <c r="D1396" s="41">
        <v>5.6569000000000003</v>
      </c>
      <c r="E1396" s="41">
        <v>30</v>
      </c>
      <c r="F1396" s="41">
        <v>0</v>
      </c>
      <c r="G1396" s="41" t="s">
        <v>3446</v>
      </c>
      <c r="H1396" s="41">
        <v>1</v>
      </c>
      <c r="I1396" s="41">
        <v>1</v>
      </c>
      <c r="J1396" s="108">
        <f>POWER(POWER(Table210[[#This Row],[mv]],4)/10,0.25)</f>
        <v>1.6307898430520129E-3</v>
      </c>
      <c r="K1396" s="41">
        <v>0</v>
      </c>
      <c r="L1396" s="41">
        <v>55</v>
      </c>
      <c r="M1396" s="41">
        <v>-1</v>
      </c>
      <c r="N1396" s="41">
        <v>4</v>
      </c>
      <c r="O1396" s="111" t="s">
        <v>3506</v>
      </c>
      <c r="P1396" s="109"/>
      <c r="Q1396" s="41"/>
      <c r="R1396" s="111"/>
      <c r="S1396" s="110"/>
    </row>
    <row r="1397" spans="1:19">
      <c r="A1397" s="105">
        <v>2779</v>
      </c>
      <c r="B1397" s="41">
        <v>60000000</v>
      </c>
      <c r="C1397" s="41">
        <v>2.8999999999999998E-3</v>
      </c>
      <c r="D1397" s="41">
        <v>8</v>
      </c>
      <c r="E1397" s="41">
        <v>30</v>
      </c>
      <c r="F1397" s="41">
        <v>0</v>
      </c>
      <c r="G1397" s="41" t="s">
        <v>3446</v>
      </c>
      <c r="H1397" s="41">
        <v>1</v>
      </c>
      <c r="I1397" s="41">
        <v>1</v>
      </c>
      <c r="J1397" s="108">
        <f>POWER(POWER(Table210[[#This Row],[mv]],4)/10,0.25)</f>
        <v>1.6307898430520129E-3</v>
      </c>
      <c r="K1397" s="41">
        <v>0</v>
      </c>
      <c r="L1397" s="41">
        <v>55</v>
      </c>
      <c r="M1397" s="41">
        <v>-1</v>
      </c>
      <c r="N1397" s="41">
        <v>4</v>
      </c>
      <c r="O1397" s="111" t="s">
        <v>3507</v>
      </c>
      <c r="P1397" s="109"/>
      <c r="Q1397" s="41"/>
      <c r="R1397" s="111"/>
      <c r="S1397" s="110"/>
    </row>
    <row r="1398" spans="1:19">
      <c r="A1398" s="105">
        <v>2780</v>
      </c>
      <c r="B1398" s="41">
        <v>60000000</v>
      </c>
      <c r="C1398" s="41">
        <v>2.8999999999999998E-3</v>
      </c>
      <c r="D1398" s="41">
        <v>11.313700000000001</v>
      </c>
      <c r="E1398" s="41">
        <v>30</v>
      </c>
      <c r="F1398" s="41">
        <v>0</v>
      </c>
      <c r="G1398" s="41" t="s">
        <v>3446</v>
      </c>
      <c r="H1398" s="41">
        <v>1</v>
      </c>
      <c r="I1398" s="41">
        <v>1</v>
      </c>
      <c r="J1398" s="108">
        <f>POWER(POWER(Table210[[#This Row],[mv]],4)/10,0.25)</f>
        <v>1.6307898430520129E-3</v>
      </c>
      <c r="K1398" s="41">
        <v>0</v>
      </c>
      <c r="L1398" s="41">
        <v>55</v>
      </c>
      <c r="M1398" s="41">
        <v>-1</v>
      </c>
      <c r="N1398" s="41">
        <v>4</v>
      </c>
      <c r="O1398" s="111" t="s">
        <v>3508</v>
      </c>
      <c r="P1398" s="109"/>
      <c r="Q1398" s="41"/>
      <c r="R1398" s="111"/>
      <c r="S1398" s="110"/>
    </row>
    <row r="1399" spans="1:19">
      <c r="A1399" s="105">
        <v>2781</v>
      </c>
      <c r="B1399" s="41">
        <v>60000000</v>
      </c>
      <c r="C1399" s="41">
        <v>2.8999999999999998E-3</v>
      </c>
      <c r="D1399" s="41">
        <v>16</v>
      </c>
      <c r="E1399" s="41">
        <v>30</v>
      </c>
      <c r="F1399" s="41">
        <v>0</v>
      </c>
      <c r="G1399" s="41" t="s">
        <v>3446</v>
      </c>
      <c r="H1399" s="41">
        <v>1</v>
      </c>
      <c r="I1399" s="41">
        <v>1</v>
      </c>
      <c r="J1399" s="108">
        <f>POWER(POWER(Table210[[#This Row],[mv]],4)/10,0.25)</f>
        <v>1.6307898430520129E-3</v>
      </c>
      <c r="K1399" s="41">
        <v>0</v>
      </c>
      <c r="L1399" s="41">
        <v>55</v>
      </c>
      <c r="M1399" s="41">
        <v>-1</v>
      </c>
      <c r="N1399" s="41">
        <v>4</v>
      </c>
      <c r="O1399" s="111" t="s">
        <v>3509</v>
      </c>
      <c r="P1399" s="109"/>
      <c r="Q1399" s="41"/>
      <c r="R1399" s="111"/>
      <c r="S1399" s="110"/>
    </row>
    <row r="1400" spans="1:19">
      <c r="A1400" s="105">
        <v>2782</v>
      </c>
      <c r="B1400" s="41">
        <v>60000000</v>
      </c>
      <c r="C1400" s="41">
        <v>3.2000000000000002E-3</v>
      </c>
      <c r="D1400" s="41">
        <v>4</v>
      </c>
      <c r="E1400" s="41">
        <v>30</v>
      </c>
      <c r="F1400" s="41">
        <v>0</v>
      </c>
      <c r="G1400" s="41" t="s">
        <v>3446</v>
      </c>
      <c r="H1400" s="41">
        <v>1</v>
      </c>
      <c r="I1400" s="41">
        <v>1</v>
      </c>
      <c r="J1400" s="108">
        <f>POWER(POWER(Table210[[#This Row],[mv]],4)/10,0.25)</f>
        <v>1.7994922406091175E-3</v>
      </c>
      <c r="K1400" s="41">
        <v>0</v>
      </c>
      <c r="L1400" s="41">
        <v>55</v>
      </c>
      <c r="M1400" s="41">
        <v>-1</v>
      </c>
      <c r="N1400" s="41">
        <v>4</v>
      </c>
      <c r="O1400" s="111" t="s">
        <v>3510</v>
      </c>
      <c r="P1400" s="109"/>
      <c r="Q1400" s="41"/>
      <c r="R1400" s="111"/>
      <c r="S1400" s="110"/>
    </row>
    <row r="1401" spans="1:19">
      <c r="A1401" s="105">
        <v>2783</v>
      </c>
      <c r="B1401" s="41">
        <v>60000000</v>
      </c>
      <c r="C1401" s="41">
        <v>3.2000000000000002E-3</v>
      </c>
      <c r="D1401" s="41">
        <v>5.6569000000000003</v>
      </c>
      <c r="E1401" s="41">
        <v>30</v>
      </c>
      <c r="F1401" s="41">
        <v>0</v>
      </c>
      <c r="G1401" s="41" t="s">
        <v>3446</v>
      </c>
      <c r="H1401" s="41">
        <v>1</v>
      </c>
      <c r="I1401" s="41">
        <v>1</v>
      </c>
      <c r="J1401" s="108">
        <f>POWER(POWER(Table210[[#This Row],[mv]],4)/10,0.25)</f>
        <v>1.7994922406091175E-3</v>
      </c>
      <c r="K1401" s="41">
        <v>0</v>
      </c>
      <c r="L1401" s="41">
        <v>55</v>
      </c>
      <c r="M1401" s="41">
        <v>-1</v>
      </c>
      <c r="N1401" s="41">
        <v>4</v>
      </c>
      <c r="O1401" s="111" t="s">
        <v>3511</v>
      </c>
      <c r="P1401" s="109"/>
      <c r="Q1401" s="41"/>
      <c r="R1401" s="111"/>
      <c r="S1401" s="110"/>
    </row>
    <row r="1402" spans="1:19">
      <c r="A1402" s="105">
        <v>2784</v>
      </c>
      <c r="B1402" s="41">
        <v>60000000</v>
      </c>
      <c r="C1402" s="41">
        <v>3.2000000000000002E-3</v>
      </c>
      <c r="D1402" s="41">
        <v>8</v>
      </c>
      <c r="E1402" s="41">
        <v>30</v>
      </c>
      <c r="F1402" s="41">
        <v>0</v>
      </c>
      <c r="G1402" s="41" t="s">
        <v>3446</v>
      </c>
      <c r="H1402" s="41">
        <v>1</v>
      </c>
      <c r="I1402" s="41">
        <v>1</v>
      </c>
      <c r="J1402" s="108">
        <f>POWER(POWER(Table210[[#This Row],[mv]],4)/10,0.25)</f>
        <v>1.7994922406091175E-3</v>
      </c>
      <c r="K1402" s="41">
        <v>0</v>
      </c>
      <c r="L1402" s="41">
        <v>55</v>
      </c>
      <c r="M1402" s="41">
        <v>-1</v>
      </c>
      <c r="N1402" s="41">
        <v>4</v>
      </c>
      <c r="O1402" s="111" t="s">
        <v>3512</v>
      </c>
      <c r="P1402" s="109"/>
      <c r="Q1402" s="41"/>
      <c r="R1402" s="111"/>
      <c r="S1402" s="110"/>
    </row>
    <row r="1403" spans="1:19">
      <c r="A1403" s="105">
        <v>2785</v>
      </c>
      <c r="B1403" s="41">
        <v>60000000</v>
      </c>
      <c r="C1403" s="41">
        <v>3.2000000000000002E-3</v>
      </c>
      <c r="D1403" s="41">
        <v>11.313700000000001</v>
      </c>
      <c r="E1403" s="41">
        <v>30</v>
      </c>
      <c r="F1403" s="41">
        <v>0</v>
      </c>
      <c r="G1403" s="41" t="s">
        <v>3446</v>
      </c>
      <c r="H1403" s="41">
        <v>1</v>
      </c>
      <c r="I1403" s="41">
        <v>1</v>
      </c>
      <c r="J1403" s="108">
        <f>POWER(POWER(Table210[[#This Row],[mv]],4)/10,0.25)</f>
        <v>1.7994922406091175E-3</v>
      </c>
      <c r="K1403" s="41">
        <v>0</v>
      </c>
      <c r="L1403" s="41">
        <v>55</v>
      </c>
      <c r="M1403" s="41">
        <v>-1</v>
      </c>
      <c r="N1403" s="41">
        <v>4</v>
      </c>
      <c r="O1403" s="111" t="s">
        <v>3513</v>
      </c>
      <c r="P1403" s="109"/>
      <c r="Q1403" s="41"/>
      <c r="R1403" s="111"/>
      <c r="S1403" s="110"/>
    </row>
    <row r="1404" spans="1:19">
      <c r="A1404" s="105">
        <v>2786</v>
      </c>
      <c r="B1404" s="41">
        <v>60000000</v>
      </c>
      <c r="C1404" s="41">
        <v>3.2000000000000002E-3</v>
      </c>
      <c r="D1404" s="41">
        <v>16</v>
      </c>
      <c r="E1404" s="41">
        <v>30</v>
      </c>
      <c r="F1404" s="41">
        <v>0</v>
      </c>
      <c r="G1404" s="41" t="s">
        <v>3446</v>
      </c>
      <c r="H1404" s="41">
        <v>1</v>
      </c>
      <c r="I1404" s="41">
        <v>1</v>
      </c>
      <c r="J1404" s="108">
        <f>POWER(POWER(Table210[[#This Row],[mv]],4)/10,0.25)</f>
        <v>1.7994922406091175E-3</v>
      </c>
      <c r="K1404" s="41">
        <v>0</v>
      </c>
      <c r="L1404" s="41">
        <v>55</v>
      </c>
      <c r="M1404" s="41">
        <v>-1</v>
      </c>
      <c r="N1404" s="41">
        <v>4</v>
      </c>
      <c r="O1404" s="111" t="s">
        <v>3514</v>
      </c>
      <c r="P1404" s="109"/>
      <c r="Q1404" s="41"/>
      <c r="R1404" s="111"/>
      <c r="S1404" s="110"/>
    </row>
    <row r="1405" spans="1:19">
      <c r="A1405" s="105">
        <v>2787</v>
      </c>
      <c r="B1405" s="41">
        <v>60000000</v>
      </c>
      <c r="C1405" s="41">
        <v>3.5000000000000001E-3</v>
      </c>
      <c r="D1405" s="41">
        <v>4</v>
      </c>
      <c r="E1405" s="41">
        <v>30</v>
      </c>
      <c r="F1405" s="41">
        <v>0</v>
      </c>
      <c r="G1405" s="41" t="s">
        <v>3446</v>
      </c>
      <c r="H1405" s="41">
        <v>1</v>
      </c>
      <c r="I1405" s="41">
        <v>1</v>
      </c>
      <c r="J1405" s="108">
        <f>POWER(POWER(Table210[[#This Row],[mv]],4)/10,0.25)</f>
        <v>1.9681946381662216E-3</v>
      </c>
      <c r="K1405" s="41">
        <v>0</v>
      </c>
      <c r="L1405" s="41">
        <v>55</v>
      </c>
      <c r="M1405" s="41">
        <v>-1</v>
      </c>
      <c r="N1405" s="41">
        <v>4</v>
      </c>
      <c r="O1405" s="111" t="s">
        <v>3515</v>
      </c>
      <c r="P1405" s="109"/>
      <c r="Q1405" s="41"/>
      <c r="R1405" s="111"/>
      <c r="S1405" s="110"/>
    </row>
    <row r="1406" spans="1:19">
      <c r="A1406" s="105">
        <v>2788</v>
      </c>
      <c r="B1406" s="41">
        <v>60000000</v>
      </c>
      <c r="C1406" s="41">
        <v>3.5000000000000001E-3</v>
      </c>
      <c r="D1406" s="41">
        <v>5.6569000000000003</v>
      </c>
      <c r="E1406" s="41">
        <v>30</v>
      </c>
      <c r="F1406" s="41">
        <v>0</v>
      </c>
      <c r="G1406" s="41" t="s">
        <v>3446</v>
      </c>
      <c r="H1406" s="41">
        <v>1</v>
      </c>
      <c r="I1406" s="41">
        <v>1</v>
      </c>
      <c r="J1406" s="108">
        <f>POWER(POWER(Table210[[#This Row],[mv]],4)/10,0.25)</f>
        <v>1.9681946381662216E-3</v>
      </c>
      <c r="K1406" s="41">
        <v>0</v>
      </c>
      <c r="L1406" s="41">
        <v>55</v>
      </c>
      <c r="M1406" s="41">
        <v>-1</v>
      </c>
      <c r="N1406" s="41">
        <v>4</v>
      </c>
      <c r="O1406" s="111" t="s">
        <v>3516</v>
      </c>
      <c r="P1406" s="109"/>
      <c r="Q1406" s="41"/>
      <c r="R1406" s="111"/>
      <c r="S1406" s="110"/>
    </row>
    <row r="1407" spans="1:19">
      <c r="A1407" s="105">
        <v>2789</v>
      </c>
      <c r="B1407" s="41">
        <v>60000000</v>
      </c>
      <c r="C1407" s="41">
        <v>3.5000000000000001E-3</v>
      </c>
      <c r="D1407" s="41">
        <v>8</v>
      </c>
      <c r="E1407" s="41">
        <v>30</v>
      </c>
      <c r="F1407" s="41">
        <v>0</v>
      </c>
      <c r="G1407" s="41" t="s">
        <v>3446</v>
      </c>
      <c r="H1407" s="41">
        <v>1</v>
      </c>
      <c r="I1407" s="41">
        <v>1</v>
      </c>
      <c r="J1407" s="108">
        <f>POWER(POWER(Table210[[#This Row],[mv]],4)/10,0.25)</f>
        <v>1.9681946381662216E-3</v>
      </c>
      <c r="K1407" s="41">
        <v>0</v>
      </c>
      <c r="L1407" s="41">
        <v>55</v>
      </c>
      <c r="M1407" s="41">
        <v>-1</v>
      </c>
      <c r="N1407" s="41">
        <v>4</v>
      </c>
      <c r="O1407" s="111" t="s">
        <v>3517</v>
      </c>
      <c r="P1407" s="109"/>
      <c r="Q1407" s="41"/>
      <c r="R1407" s="111"/>
      <c r="S1407" s="110"/>
    </row>
    <row r="1408" spans="1:19">
      <c r="A1408" s="105">
        <v>2790</v>
      </c>
      <c r="B1408" s="41">
        <v>60000000</v>
      </c>
      <c r="C1408" s="41">
        <v>3.5000000000000001E-3</v>
      </c>
      <c r="D1408" s="41">
        <v>11.313700000000001</v>
      </c>
      <c r="E1408" s="41">
        <v>30</v>
      </c>
      <c r="F1408" s="41">
        <v>0</v>
      </c>
      <c r="G1408" s="41" t="s">
        <v>3446</v>
      </c>
      <c r="H1408" s="41">
        <v>1</v>
      </c>
      <c r="I1408" s="41">
        <v>1</v>
      </c>
      <c r="J1408" s="108">
        <f>POWER(POWER(Table210[[#This Row],[mv]],4)/10,0.25)</f>
        <v>1.9681946381662216E-3</v>
      </c>
      <c r="K1408" s="41">
        <v>0</v>
      </c>
      <c r="L1408" s="41">
        <v>55</v>
      </c>
      <c r="M1408" s="41">
        <v>-1</v>
      </c>
      <c r="N1408" s="41">
        <v>4</v>
      </c>
      <c r="O1408" s="111" t="s">
        <v>3518</v>
      </c>
      <c r="P1408" s="109"/>
      <c r="Q1408" s="41"/>
      <c r="R1408" s="111"/>
      <c r="S1408" s="110"/>
    </row>
    <row r="1409" spans="1:19">
      <c r="A1409" s="105">
        <v>2791</v>
      </c>
      <c r="B1409" s="41">
        <v>60000000</v>
      </c>
      <c r="C1409" s="41">
        <v>3.8E-3</v>
      </c>
      <c r="D1409" s="41">
        <v>5.6569000000000003</v>
      </c>
      <c r="E1409" s="41">
        <v>30</v>
      </c>
      <c r="F1409" s="41">
        <v>0</v>
      </c>
      <c r="G1409" s="41" t="s">
        <v>3446</v>
      </c>
      <c r="H1409" s="41">
        <v>1</v>
      </c>
      <c r="I1409" s="41">
        <v>1</v>
      </c>
      <c r="J1409" s="108">
        <f>POWER(POWER(Table210[[#This Row],[mv]],4)/10,0.25)</f>
        <v>2.1368970357233258E-3</v>
      </c>
      <c r="K1409" s="41">
        <v>0</v>
      </c>
      <c r="L1409" s="41">
        <v>55</v>
      </c>
      <c r="M1409" s="41">
        <v>-1</v>
      </c>
      <c r="N1409" s="41">
        <v>4</v>
      </c>
      <c r="O1409" s="111" t="s">
        <v>3519</v>
      </c>
      <c r="P1409" s="109"/>
      <c r="Q1409" s="41"/>
      <c r="R1409" s="111"/>
      <c r="S1409" s="110"/>
    </row>
    <row r="1410" spans="1:19">
      <c r="A1410" s="105">
        <v>2792</v>
      </c>
      <c r="B1410" s="41">
        <v>60000000</v>
      </c>
      <c r="C1410" s="41">
        <v>3.8E-3</v>
      </c>
      <c r="D1410" s="41">
        <v>8</v>
      </c>
      <c r="E1410" s="41">
        <v>30</v>
      </c>
      <c r="F1410" s="41">
        <v>0</v>
      </c>
      <c r="G1410" s="41" t="s">
        <v>3446</v>
      </c>
      <c r="H1410" s="41">
        <v>1</v>
      </c>
      <c r="I1410" s="41">
        <v>1</v>
      </c>
      <c r="J1410" s="108">
        <f>POWER(POWER(Table210[[#This Row],[mv]],4)/10,0.25)</f>
        <v>2.1368970357233258E-3</v>
      </c>
      <c r="K1410" s="41">
        <v>0</v>
      </c>
      <c r="L1410" s="41">
        <v>55</v>
      </c>
      <c r="M1410" s="41">
        <v>-1</v>
      </c>
      <c r="N1410" s="41">
        <v>4</v>
      </c>
      <c r="O1410" s="111" t="s">
        <v>3520</v>
      </c>
      <c r="P1410" s="109"/>
      <c r="Q1410" s="41"/>
      <c r="R1410" s="111"/>
      <c r="S1410" s="110"/>
    </row>
    <row r="1411" spans="1:19">
      <c r="A1411" s="105">
        <v>2793</v>
      </c>
      <c r="B1411" s="41">
        <v>60000000</v>
      </c>
      <c r="C1411" s="41">
        <v>3.8E-3</v>
      </c>
      <c r="D1411" s="41">
        <v>11.313700000000001</v>
      </c>
      <c r="E1411" s="41">
        <v>30</v>
      </c>
      <c r="F1411" s="41">
        <v>0</v>
      </c>
      <c r="G1411" s="41" t="s">
        <v>3446</v>
      </c>
      <c r="H1411" s="41">
        <v>1</v>
      </c>
      <c r="I1411" s="41">
        <v>1</v>
      </c>
      <c r="J1411" s="108">
        <f>POWER(POWER(Table210[[#This Row],[mv]],4)/10,0.25)</f>
        <v>2.1368970357233258E-3</v>
      </c>
      <c r="K1411" s="41">
        <v>0</v>
      </c>
      <c r="L1411" s="41">
        <v>55</v>
      </c>
      <c r="M1411" s="41">
        <v>-1</v>
      </c>
      <c r="N1411" s="41">
        <v>4</v>
      </c>
      <c r="O1411" s="111" t="s">
        <v>3521</v>
      </c>
      <c r="P1411" s="109"/>
      <c r="Q1411" s="41"/>
      <c r="R1411" s="111"/>
      <c r="S1411" s="110"/>
    </row>
    <row r="1412" spans="1:19">
      <c r="A1412" s="105">
        <v>2794</v>
      </c>
      <c r="B1412" s="41">
        <v>60000000</v>
      </c>
      <c r="C1412" s="41">
        <v>4.1999999999999997E-3</v>
      </c>
      <c r="D1412" s="41">
        <v>5.6569000000000003</v>
      </c>
      <c r="E1412" s="41">
        <v>30</v>
      </c>
      <c r="F1412" s="41">
        <v>0</v>
      </c>
      <c r="G1412" s="41" t="s">
        <v>3446</v>
      </c>
      <c r="H1412" s="41">
        <v>1</v>
      </c>
      <c r="I1412" s="41">
        <v>1</v>
      </c>
      <c r="J1412" s="108">
        <f>POWER(POWER(Table210[[#This Row],[mv]],4)/10,0.25)</f>
        <v>2.361833565799467E-3</v>
      </c>
      <c r="K1412" s="41">
        <v>0</v>
      </c>
      <c r="L1412" s="41">
        <v>55</v>
      </c>
      <c r="M1412" s="41">
        <v>-1</v>
      </c>
      <c r="N1412" s="41">
        <v>4</v>
      </c>
      <c r="O1412" s="111" t="s">
        <v>3522</v>
      </c>
      <c r="P1412" s="109"/>
      <c r="Q1412" s="41"/>
      <c r="R1412" s="111"/>
      <c r="S1412" s="110"/>
    </row>
    <row r="1413" spans="1:19">
      <c r="A1413" s="105">
        <v>2795</v>
      </c>
      <c r="B1413" s="41">
        <v>60000000</v>
      </c>
      <c r="C1413" s="41">
        <v>4.1999999999999997E-3</v>
      </c>
      <c r="D1413" s="41">
        <v>8</v>
      </c>
      <c r="E1413" s="41">
        <v>30</v>
      </c>
      <c r="F1413" s="41">
        <v>0</v>
      </c>
      <c r="G1413" s="41" t="s">
        <v>3446</v>
      </c>
      <c r="H1413" s="41">
        <v>1</v>
      </c>
      <c r="I1413" s="41">
        <v>1</v>
      </c>
      <c r="J1413" s="108">
        <f>POWER(POWER(Table210[[#This Row],[mv]],4)/10,0.25)</f>
        <v>2.361833565799467E-3</v>
      </c>
      <c r="K1413" s="41">
        <v>0</v>
      </c>
      <c r="L1413" s="41">
        <v>55</v>
      </c>
      <c r="M1413" s="41">
        <v>-1</v>
      </c>
      <c r="N1413" s="41">
        <v>4</v>
      </c>
      <c r="O1413" s="111" t="s">
        <v>3523</v>
      </c>
      <c r="P1413" s="109"/>
      <c r="Q1413" s="41"/>
      <c r="R1413" s="111"/>
      <c r="S1413" s="110"/>
    </row>
    <row r="1414" spans="1:19">
      <c r="A1414" s="105">
        <v>2796</v>
      </c>
      <c r="B1414" s="41">
        <v>60000000</v>
      </c>
      <c r="C1414" s="41">
        <v>4.1999999999999997E-3</v>
      </c>
      <c r="D1414" s="41">
        <v>11.313700000000001</v>
      </c>
      <c r="E1414" s="41">
        <v>30</v>
      </c>
      <c r="F1414" s="41">
        <v>0</v>
      </c>
      <c r="G1414" s="41" t="s">
        <v>3446</v>
      </c>
      <c r="H1414" s="41">
        <v>1</v>
      </c>
      <c r="I1414" s="41">
        <v>1</v>
      </c>
      <c r="J1414" s="108">
        <f>POWER(POWER(Table210[[#This Row],[mv]],4)/10,0.25)</f>
        <v>2.361833565799467E-3</v>
      </c>
      <c r="K1414" s="41">
        <v>0</v>
      </c>
      <c r="L1414" s="41">
        <v>55</v>
      </c>
      <c r="M1414" s="41">
        <v>-1</v>
      </c>
      <c r="N1414" s="41">
        <v>4</v>
      </c>
      <c r="O1414" s="111" t="s">
        <v>3524</v>
      </c>
      <c r="P1414" s="109"/>
      <c r="Q1414" s="41"/>
      <c r="R1414" s="111"/>
      <c r="S1414" s="110"/>
    </row>
    <row r="1415" spans="1:19">
      <c r="A1415" s="105">
        <v>2797</v>
      </c>
      <c r="B1415" s="41">
        <v>60000000</v>
      </c>
      <c r="C1415" s="41">
        <v>4.4999999999999997E-3</v>
      </c>
      <c r="D1415" s="41">
        <v>8</v>
      </c>
      <c r="E1415" s="41">
        <v>30</v>
      </c>
      <c r="F1415" s="41">
        <v>0</v>
      </c>
      <c r="G1415" s="41" t="s">
        <v>3446</v>
      </c>
      <c r="H1415" s="41">
        <v>1</v>
      </c>
      <c r="I1415" s="41">
        <v>1</v>
      </c>
      <c r="J1415" s="108">
        <f>POWER(POWER(Table210[[#This Row],[mv]],4)/10,0.25)</f>
        <v>2.5305359633565699E-3</v>
      </c>
      <c r="K1415" s="41">
        <v>0</v>
      </c>
      <c r="L1415" s="41">
        <v>55</v>
      </c>
      <c r="M1415" s="41">
        <v>-1</v>
      </c>
      <c r="N1415" s="41">
        <v>4</v>
      </c>
      <c r="O1415" s="111" t="s">
        <v>3525</v>
      </c>
      <c r="P1415" s="109"/>
      <c r="Q1415" s="41"/>
      <c r="R1415" s="111"/>
      <c r="S1415" s="110"/>
    </row>
    <row r="1416" spans="1:19">
      <c r="A1416" s="105">
        <v>2798</v>
      </c>
      <c r="B1416" s="41">
        <v>60000000</v>
      </c>
      <c r="C1416" s="41">
        <v>4.4999999999999997E-3</v>
      </c>
      <c r="D1416" s="41">
        <v>11.313700000000001</v>
      </c>
      <c r="E1416" s="41">
        <v>30</v>
      </c>
      <c r="F1416" s="41">
        <v>0</v>
      </c>
      <c r="G1416" s="41" t="s">
        <v>3446</v>
      </c>
      <c r="H1416" s="41">
        <v>1</v>
      </c>
      <c r="I1416" s="41">
        <v>1</v>
      </c>
      <c r="J1416" s="108">
        <f>POWER(POWER(Table210[[#This Row],[mv]],4)/10,0.25)</f>
        <v>2.5305359633565699E-3</v>
      </c>
      <c r="K1416" s="41">
        <v>0</v>
      </c>
      <c r="L1416" s="41">
        <v>55</v>
      </c>
      <c r="M1416" s="41">
        <v>-1</v>
      </c>
      <c r="N1416" s="41">
        <v>4</v>
      </c>
      <c r="O1416" s="111" t="s">
        <v>3526</v>
      </c>
      <c r="P1416" s="109"/>
      <c r="Q1416" s="41"/>
      <c r="R1416" s="111"/>
      <c r="S1416" s="110"/>
    </row>
    <row r="1417" spans="1:19">
      <c r="A1417" s="105">
        <v>2799</v>
      </c>
      <c r="B1417" s="41">
        <v>60000000</v>
      </c>
      <c r="C1417" s="41">
        <v>4.8999999999999998E-3</v>
      </c>
      <c r="D1417" s="41">
        <v>8</v>
      </c>
      <c r="E1417" s="41">
        <v>30</v>
      </c>
      <c r="F1417" s="41">
        <v>0</v>
      </c>
      <c r="G1417" s="41" t="s">
        <v>3446</v>
      </c>
      <c r="H1417" s="41">
        <v>1</v>
      </c>
      <c r="I1417" s="41">
        <v>1</v>
      </c>
      <c r="J1417" s="108">
        <f>POWER(POWER(Table210[[#This Row],[mv]],4)/10,0.25)</f>
        <v>2.7554724934327106E-3</v>
      </c>
      <c r="K1417" s="41">
        <v>0</v>
      </c>
      <c r="L1417" s="41">
        <v>55</v>
      </c>
      <c r="M1417" s="41">
        <v>-1</v>
      </c>
      <c r="N1417" s="41">
        <v>4</v>
      </c>
      <c r="O1417" s="111" t="s">
        <v>3527</v>
      </c>
      <c r="P1417" s="109"/>
      <c r="Q1417" s="41"/>
      <c r="R1417" s="111"/>
      <c r="S1417" s="110"/>
    </row>
    <row r="1418" spans="1:19">
      <c r="A1418" s="105">
        <v>2800</v>
      </c>
      <c r="B1418" s="41">
        <v>60000000</v>
      </c>
      <c r="C1418" s="41">
        <v>1.1999999999999999E-3</v>
      </c>
      <c r="D1418" s="41">
        <v>5.6569000000000003</v>
      </c>
      <c r="E1418" s="41">
        <v>30</v>
      </c>
      <c r="F1418" s="41">
        <v>0</v>
      </c>
      <c r="G1418" s="41" t="s">
        <v>103</v>
      </c>
      <c r="H1418" s="41">
        <v>1</v>
      </c>
      <c r="I1418" s="41">
        <v>1</v>
      </c>
      <c r="J1418" s="108">
        <f>POWER(POWER(Table210[[#This Row],[mv]],4)/100,0.25)</f>
        <v>3.7947331922020552E-4</v>
      </c>
      <c r="K1418" s="41">
        <v>0</v>
      </c>
      <c r="L1418" s="41">
        <v>55</v>
      </c>
      <c r="M1418" s="41">
        <v>-1</v>
      </c>
      <c r="N1418" s="41">
        <v>4</v>
      </c>
      <c r="O1418" s="111" t="s">
        <v>3542</v>
      </c>
      <c r="P1418" s="109"/>
      <c r="Q1418" s="41"/>
      <c r="R1418" s="111"/>
      <c r="S1418" s="110"/>
    </row>
    <row r="1419" spans="1:19">
      <c r="A1419" s="105">
        <v>2801</v>
      </c>
      <c r="B1419" s="41">
        <v>60000000</v>
      </c>
      <c r="C1419" s="41">
        <v>1.1999999999999999E-3</v>
      </c>
      <c r="D1419" s="41">
        <v>8</v>
      </c>
      <c r="E1419" s="41">
        <v>30</v>
      </c>
      <c r="F1419" s="41">
        <v>0</v>
      </c>
      <c r="G1419" s="41" t="s">
        <v>103</v>
      </c>
      <c r="H1419" s="41">
        <v>1</v>
      </c>
      <c r="I1419" s="41">
        <v>1</v>
      </c>
      <c r="J1419" s="108">
        <f>POWER(POWER(Table210[[#This Row],[mv]],4)/100,0.25)</f>
        <v>3.7947331922020552E-4</v>
      </c>
      <c r="K1419" s="41">
        <v>0</v>
      </c>
      <c r="L1419" s="41">
        <v>55</v>
      </c>
      <c r="M1419" s="41">
        <v>-1</v>
      </c>
      <c r="N1419" s="41">
        <v>4</v>
      </c>
      <c r="O1419" s="111" t="s">
        <v>3543</v>
      </c>
      <c r="P1419" s="109"/>
      <c r="Q1419" s="41"/>
      <c r="R1419" s="111"/>
      <c r="S1419" s="110"/>
    </row>
    <row r="1420" spans="1:19">
      <c r="A1420" s="105">
        <v>2802</v>
      </c>
      <c r="B1420" s="41">
        <v>60000000</v>
      </c>
      <c r="C1420" s="41">
        <v>1.1999999999999999E-3</v>
      </c>
      <c r="D1420" s="41">
        <v>11.313700000000001</v>
      </c>
      <c r="E1420" s="41">
        <v>30</v>
      </c>
      <c r="F1420" s="41">
        <v>0</v>
      </c>
      <c r="G1420" s="41" t="s">
        <v>103</v>
      </c>
      <c r="H1420" s="41">
        <v>1</v>
      </c>
      <c r="I1420" s="41">
        <v>1</v>
      </c>
      <c r="J1420" s="108">
        <f>POWER(POWER(Table210[[#This Row],[mv]],4)/100,0.25)</f>
        <v>3.7947331922020552E-4</v>
      </c>
      <c r="K1420" s="41">
        <v>0</v>
      </c>
      <c r="L1420" s="41">
        <v>55</v>
      </c>
      <c r="M1420" s="41">
        <v>-1</v>
      </c>
      <c r="N1420" s="41">
        <v>4</v>
      </c>
      <c r="O1420" s="111" t="s">
        <v>3544</v>
      </c>
      <c r="P1420" s="109"/>
      <c r="Q1420" s="41"/>
      <c r="R1420" s="111"/>
      <c r="S1420" s="110"/>
    </row>
    <row r="1421" spans="1:19">
      <c r="A1421" s="105">
        <v>2803</v>
      </c>
      <c r="B1421" s="41">
        <v>60000000</v>
      </c>
      <c r="C1421" s="41">
        <v>1.2999999999999999E-3</v>
      </c>
      <c r="D1421" s="41">
        <v>5.6569000000000003</v>
      </c>
      <c r="E1421" s="41">
        <v>30</v>
      </c>
      <c r="F1421" s="41">
        <v>0</v>
      </c>
      <c r="G1421" s="41" t="s">
        <v>103</v>
      </c>
      <c r="H1421" s="41">
        <v>1</v>
      </c>
      <c r="I1421" s="41">
        <v>1</v>
      </c>
      <c r="J1421" s="108">
        <f>POWER(POWER(Table210[[#This Row],[mv]],4)/100,0.25)</f>
        <v>4.1109609582188928E-4</v>
      </c>
      <c r="K1421" s="41">
        <v>0</v>
      </c>
      <c r="L1421" s="41">
        <v>55</v>
      </c>
      <c r="M1421" s="41">
        <v>-1</v>
      </c>
      <c r="N1421" s="41">
        <v>4</v>
      </c>
      <c r="O1421" s="111" t="s">
        <v>3545</v>
      </c>
      <c r="P1421" s="109"/>
      <c r="Q1421" s="41"/>
      <c r="R1421" s="111"/>
      <c r="S1421" s="110"/>
    </row>
    <row r="1422" spans="1:19">
      <c r="A1422" s="105">
        <v>2804</v>
      </c>
      <c r="B1422" s="41">
        <v>60000000</v>
      </c>
      <c r="C1422" s="41">
        <v>1.2999999999999999E-3</v>
      </c>
      <c r="D1422" s="41">
        <v>8</v>
      </c>
      <c r="E1422" s="41">
        <v>30</v>
      </c>
      <c r="F1422" s="41">
        <v>0</v>
      </c>
      <c r="G1422" s="41" t="s">
        <v>103</v>
      </c>
      <c r="H1422" s="41">
        <v>1</v>
      </c>
      <c r="I1422" s="41">
        <v>1</v>
      </c>
      <c r="J1422" s="108">
        <f>POWER(POWER(Table210[[#This Row],[mv]],4)/100,0.25)</f>
        <v>4.1109609582188928E-4</v>
      </c>
      <c r="K1422" s="41">
        <v>0</v>
      </c>
      <c r="L1422" s="41">
        <v>55</v>
      </c>
      <c r="M1422" s="41">
        <v>-1</v>
      </c>
      <c r="N1422" s="41">
        <v>4</v>
      </c>
      <c r="O1422" s="111" t="s">
        <v>3546</v>
      </c>
      <c r="P1422" s="109"/>
      <c r="Q1422" s="41"/>
      <c r="R1422" s="111"/>
      <c r="S1422" s="110"/>
    </row>
    <row r="1423" spans="1:19">
      <c r="A1423" s="105">
        <v>2805</v>
      </c>
      <c r="B1423" s="41">
        <v>60000000</v>
      </c>
      <c r="C1423" s="41">
        <v>1.2999999999999999E-3</v>
      </c>
      <c r="D1423" s="41">
        <v>11.313700000000001</v>
      </c>
      <c r="E1423" s="41">
        <v>30</v>
      </c>
      <c r="F1423" s="41">
        <v>0</v>
      </c>
      <c r="G1423" s="41" t="s">
        <v>103</v>
      </c>
      <c r="H1423" s="41">
        <v>1</v>
      </c>
      <c r="I1423" s="41">
        <v>1</v>
      </c>
      <c r="J1423" s="108">
        <f>POWER(POWER(Table210[[#This Row],[mv]],4)/100,0.25)</f>
        <v>4.1109609582188928E-4</v>
      </c>
      <c r="K1423" s="41">
        <v>0</v>
      </c>
      <c r="L1423" s="41">
        <v>55</v>
      </c>
      <c r="M1423" s="41">
        <v>-1</v>
      </c>
      <c r="N1423" s="41">
        <v>4</v>
      </c>
      <c r="O1423" s="111" t="s">
        <v>3547</v>
      </c>
      <c r="P1423" s="109"/>
      <c r="Q1423" s="41"/>
      <c r="R1423" s="111"/>
      <c r="S1423" s="110"/>
    </row>
    <row r="1424" spans="1:19">
      <c r="A1424" s="105">
        <v>2806</v>
      </c>
      <c r="B1424" s="41">
        <v>60000000</v>
      </c>
      <c r="C1424" s="41">
        <v>1.2999999999999999E-3</v>
      </c>
      <c r="D1424" s="41">
        <v>16</v>
      </c>
      <c r="E1424" s="41">
        <v>30</v>
      </c>
      <c r="F1424" s="41">
        <v>0</v>
      </c>
      <c r="G1424" s="41" t="s">
        <v>103</v>
      </c>
      <c r="H1424" s="41">
        <v>1</v>
      </c>
      <c r="I1424" s="41">
        <v>1</v>
      </c>
      <c r="J1424" s="108">
        <f>POWER(POWER(Table210[[#This Row],[mv]],4)/100,0.25)</f>
        <v>4.1109609582188928E-4</v>
      </c>
      <c r="K1424" s="41">
        <v>0</v>
      </c>
      <c r="L1424" s="41">
        <v>55</v>
      </c>
      <c r="M1424" s="41">
        <v>-1</v>
      </c>
      <c r="N1424" s="41">
        <v>4</v>
      </c>
      <c r="O1424" s="111" t="s">
        <v>3548</v>
      </c>
      <c r="P1424" s="109"/>
      <c r="Q1424" s="41"/>
      <c r="R1424" s="111"/>
      <c r="S1424" s="110"/>
    </row>
    <row r="1425" spans="1:19">
      <c r="A1425" s="105">
        <v>2807</v>
      </c>
      <c r="B1425" s="41">
        <v>60000000</v>
      </c>
      <c r="C1425" s="41">
        <v>1.5E-3</v>
      </c>
      <c r="D1425" s="41">
        <v>4</v>
      </c>
      <c r="E1425" s="41">
        <v>30</v>
      </c>
      <c r="F1425" s="41">
        <v>0</v>
      </c>
      <c r="G1425" s="41" t="s">
        <v>103</v>
      </c>
      <c r="H1425" s="41">
        <v>1</v>
      </c>
      <c r="I1425" s="41">
        <v>1</v>
      </c>
      <c r="J1425" s="108">
        <f>POWER(POWER(Table210[[#This Row],[mv]],4)/100,0.25)</f>
        <v>4.7434164902525685E-4</v>
      </c>
      <c r="K1425" s="41">
        <v>0</v>
      </c>
      <c r="L1425" s="41">
        <v>55</v>
      </c>
      <c r="M1425" s="41">
        <v>-1</v>
      </c>
      <c r="N1425" s="41">
        <v>4</v>
      </c>
      <c r="O1425" s="111" t="s">
        <v>3549</v>
      </c>
      <c r="P1425" s="109"/>
      <c r="Q1425" s="41"/>
      <c r="R1425" s="111"/>
      <c r="S1425" s="110"/>
    </row>
    <row r="1426" spans="1:19">
      <c r="A1426" s="105">
        <v>2808</v>
      </c>
      <c r="B1426" s="41">
        <v>60000000</v>
      </c>
      <c r="C1426" s="41">
        <v>1.5E-3</v>
      </c>
      <c r="D1426" s="41">
        <v>5.6569000000000003</v>
      </c>
      <c r="E1426" s="41">
        <v>30</v>
      </c>
      <c r="F1426" s="41">
        <v>0</v>
      </c>
      <c r="G1426" s="41" t="s">
        <v>103</v>
      </c>
      <c r="H1426" s="41">
        <v>1</v>
      </c>
      <c r="I1426" s="41">
        <v>1</v>
      </c>
      <c r="J1426" s="108">
        <f>POWER(POWER(Table210[[#This Row],[mv]],4)/100,0.25)</f>
        <v>4.7434164902525685E-4</v>
      </c>
      <c r="K1426" s="41">
        <v>0</v>
      </c>
      <c r="L1426" s="41">
        <v>55</v>
      </c>
      <c r="M1426" s="41">
        <v>-1</v>
      </c>
      <c r="N1426" s="41">
        <v>4</v>
      </c>
      <c r="O1426" s="111" t="s">
        <v>3550</v>
      </c>
      <c r="P1426" s="109"/>
      <c r="Q1426" s="41"/>
      <c r="R1426" s="111"/>
      <c r="S1426" s="110"/>
    </row>
    <row r="1427" spans="1:19">
      <c r="A1427" s="105">
        <v>2809</v>
      </c>
      <c r="B1427" s="41">
        <v>60000000</v>
      </c>
      <c r="C1427" s="41">
        <v>1.5E-3</v>
      </c>
      <c r="D1427" s="41">
        <v>8</v>
      </c>
      <c r="E1427" s="41">
        <v>30</v>
      </c>
      <c r="F1427" s="41">
        <v>0</v>
      </c>
      <c r="G1427" s="41" t="s">
        <v>103</v>
      </c>
      <c r="H1427" s="41">
        <v>1</v>
      </c>
      <c r="I1427" s="41">
        <v>1</v>
      </c>
      <c r="J1427" s="108">
        <f>POWER(POWER(Table210[[#This Row],[mv]],4)/100,0.25)</f>
        <v>4.7434164902525685E-4</v>
      </c>
      <c r="K1427" s="41">
        <v>0</v>
      </c>
      <c r="L1427" s="41">
        <v>55</v>
      </c>
      <c r="M1427" s="41">
        <v>-1</v>
      </c>
      <c r="N1427" s="41">
        <v>4</v>
      </c>
      <c r="O1427" s="111" t="s">
        <v>3551</v>
      </c>
      <c r="P1427" s="109"/>
      <c r="Q1427" s="41"/>
      <c r="R1427" s="111"/>
      <c r="S1427" s="110"/>
    </row>
    <row r="1428" spans="1:19">
      <c r="A1428" s="105">
        <v>2810</v>
      </c>
      <c r="B1428" s="41">
        <v>60000000</v>
      </c>
      <c r="C1428" s="41">
        <v>1.5E-3</v>
      </c>
      <c r="D1428" s="41">
        <v>11.313700000000001</v>
      </c>
      <c r="E1428" s="41">
        <v>30</v>
      </c>
      <c r="F1428" s="41">
        <v>0</v>
      </c>
      <c r="G1428" s="41" t="s">
        <v>103</v>
      </c>
      <c r="H1428" s="41">
        <v>1</v>
      </c>
      <c r="I1428" s="41">
        <v>1</v>
      </c>
      <c r="J1428" s="108">
        <f>POWER(POWER(Table210[[#This Row],[mv]],4)/100,0.25)</f>
        <v>4.7434164902525685E-4</v>
      </c>
      <c r="K1428" s="41">
        <v>0</v>
      </c>
      <c r="L1428" s="41">
        <v>55</v>
      </c>
      <c r="M1428" s="41">
        <v>-1</v>
      </c>
      <c r="N1428" s="41">
        <v>4</v>
      </c>
      <c r="O1428" s="111" t="s">
        <v>3552</v>
      </c>
      <c r="P1428" s="109"/>
      <c r="Q1428" s="41"/>
      <c r="R1428" s="111"/>
      <c r="S1428" s="110"/>
    </row>
    <row r="1429" spans="1:19">
      <c r="A1429" s="105">
        <v>2811</v>
      </c>
      <c r="B1429" s="41">
        <v>60000000</v>
      </c>
      <c r="C1429" s="41">
        <v>1.5E-3</v>
      </c>
      <c r="D1429" s="41">
        <v>16</v>
      </c>
      <c r="E1429" s="41">
        <v>30</v>
      </c>
      <c r="F1429" s="41">
        <v>0</v>
      </c>
      <c r="G1429" s="41" t="s">
        <v>103</v>
      </c>
      <c r="H1429" s="41">
        <v>1</v>
      </c>
      <c r="I1429" s="41">
        <v>1</v>
      </c>
      <c r="J1429" s="108">
        <f>POWER(POWER(Table210[[#This Row],[mv]],4)/100,0.25)</f>
        <v>4.7434164902525685E-4</v>
      </c>
      <c r="K1429" s="41">
        <v>0</v>
      </c>
      <c r="L1429" s="41">
        <v>55</v>
      </c>
      <c r="M1429" s="41">
        <v>-1</v>
      </c>
      <c r="N1429" s="41">
        <v>4</v>
      </c>
      <c r="O1429" s="111" t="s">
        <v>3553</v>
      </c>
      <c r="P1429" s="109"/>
      <c r="Q1429" s="41"/>
      <c r="R1429" s="111"/>
      <c r="S1429" s="110"/>
    </row>
    <row r="1430" spans="1:19">
      <c r="A1430" s="105">
        <v>2812</v>
      </c>
      <c r="B1430" s="41">
        <v>60000000</v>
      </c>
      <c r="C1430" s="41">
        <v>1.6000000000000001E-3</v>
      </c>
      <c r="D1430" s="41">
        <v>4</v>
      </c>
      <c r="E1430" s="41">
        <v>30</v>
      </c>
      <c r="F1430" s="41">
        <v>0</v>
      </c>
      <c r="G1430" s="41" t="s">
        <v>103</v>
      </c>
      <c r="H1430" s="41">
        <v>1</v>
      </c>
      <c r="I1430" s="41">
        <v>1</v>
      </c>
      <c r="J1430" s="108">
        <f>POWER(POWER(Table210[[#This Row],[mv]],4)/100,0.25)</f>
        <v>5.0596442562694062E-4</v>
      </c>
      <c r="K1430" s="41">
        <v>0</v>
      </c>
      <c r="L1430" s="41">
        <v>55</v>
      </c>
      <c r="M1430" s="41">
        <v>-1</v>
      </c>
      <c r="N1430" s="41">
        <v>4</v>
      </c>
      <c r="O1430" s="111" t="s">
        <v>3554</v>
      </c>
      <c r="P1430" s="109"/>
      <c r="Q1430" s="41"/>
      <c r="R1430" s="111"/>
      <c r="S1430" s="110"/>
    </row>
    <row r="1431" spans="1:19">
      <c r="A1431" s="105">
        <v>2813</v>
      </c>
      <c r="B1431" s="41">
        <v>60000000</v>
      </c>
      <c r="C1431" s="41">
        <v>1.6000000000000001E-3</v>
      </c>
      <c r="D1431" s="41">
        <v>5.6569000000000003</v>
      </c>
      <c r="E1431" s="41">
        <v>30</v>
      </c>
      <c r="F1431" s="41">
        <v>0</v>
      </c>
      <c r="G1431" s="41" t="s">
        <v>103</v>
      </c>
      <c r="H1431" s="41">
        <v>1</v>
      </c>
      <c r="I1431" s="41">
        <v>1</v>
      </c>
      <c r="J1431" s="108">
        <f>POWER(POWER(Table210[[#This Row],[mv]],4)/100,0.25)</f>
        <v>5.0596442562694062E-4</v>
      </c>
      <c r="K1431" s="41">
        <v>0</v>
      </c>
      <c r="L1431" s="41">
        <v>55</v>
      </c>
      <c r="M1431" s="41">
        <v>-1</v>
      </c>
      <c r="N1431" s="41">
        <v>4</v>
      </c>
      <c r="O1431" s="111" t="s">
        <v>3555</v>
      </c>
      <c r="P1431" s="109"/>
      <c r="Q1431" s="41"/>
      <c r="R1431" s="111"/>
      <c r="S1431" s="110"/>
    </row>
    <row r="1432" spans="1:19">
      <c r="A1432" s="105">
        <v>2814</v>
      </c>
      <c r="B1432" s="41">
        <v>60000000</v>
      </c>
      <c r="C1432" s="41">
        <v>1.6000000000000001E-3</v>
      </c>
      <c r="D1432" s="41">
        <v>8</v>
      </c>
      <c r="E1432" s="41">
        <v>30</v>
      </c>
      <c r="F1432" s="41">
        <v>0</v>
      </c>
      <c r="G1432" s="41" t="s">
        <v>103</v>
      </c>
      <c r="H1432" s="41">
        <v>1</v>
      </c>
      <c r="I1432" s="41">
        <v>1</v>
      </c>
      <c r="J1432" s="108">
        <f>POWER(POWER(Table210[[#This Row],[mv]],4)/100,0.25)</f>
        <v>5.0596442562694062E-4</v>
      </c>
      <c r="K1432" s="41">
        <v>0</v>
      </c>
      <c r="L1432" s="41">
        <v>55</v>
      </c>
      <c r="M1432" s="41">
        <v>-1</v>
      </c>
      <c r="N1432" s="41">
        <v>4</v>
      </c>
      <c r="O1432" s="111" t="s">
        <v>3556</v>
      </c>
      <c r="P1432" s="109"/>
      <c r="Q1432" s="41"/>
      <c r="R1432" s="111"/>
      <c r="S1432" s="110"/>
    </row>
    <row r="1433" spans="1:19">
      <c r="A1433" s="105">
        <v>2815</v>
      </c>
      <c r="B1433" s="41">
        <v>60000000</v>
      </c>
      <c r="C1433" s="41">
        <v>1.6000000000000001E-3</v>
      </c>
      <c r="D1433" s="41">
        <v>11.313700000000001</v>
      </c>
      <c r="E1433" s="41">
        <v>30</v>
      </c>
      <c r="F1433" s="41">
        <v>0</v>
      </c>
      <c r="G1433" s="41" t="s">
        <v>103</v>
      </c>
      <c r="H1433" s="41">
        <v>1</v>
      </c>
      <c r="I1433" s="41">
        <v>1</v>
      </c>
      <c r="J1433" s="108">
        <f>POWER(POWER(Table210[[#This Row],[mv]],4)/100,0.25)</f>
        <v>5.0596442562694062E-4</v>
      </c>
      <c r="K1433" s="41">
        <v>0</v>
      </c>
      <c r="L1433" s="41">
        <v>55</v>
      </c>
      <c r="M1433" s="41">
        <v>-1</v>
      </c>
      <c r="N1433" s="41">
        <v>4</v>
      </c>
      <c r="O1433" s="111" t="s">
        <v>3557</v>
      </c>
      <c r="P1433" s="109"/>
      <c r="Q1433" s="41"/>
      <c r="R1433" s="111"/>
      <c r="S1433" s="110"/>
    </row>
    <row r="1434" spans="1:19">
      <c r="A1434" s="105">
        <v>2816</v>
      </c>
      <c r="B1434" s="41">
        <v>60000000</v>
      </c>
      <c r="C1434" s="41">
        <v>1.6000000000000001E-3</v>
      </c>
      <c r="D1434" s="41">
        <v>16</v>
      </c>
      <c r="E1434" s="41">
        <v>30</v>
      </c>
      <c r="F1434" s="41">
        <v>0</v>
      </c>
      <c r="G1434" s="41" t="s">
        <v>103</v>
      </c>
      <c r="H1434" s="41">
        <v>1</v>
      </c>
      <c r="I1434" s="41">
        <v>1</v>
      </c>
      <c r="J1434" s="108">
        <f>POWER(POWER(Table210[[#This Row],[mv]],4)/100,0.25)</f>
        <v>5.0596442562694062E-4</v>
      </c>
      <c r="K1434" s="41">
        <v>0</v>
      </c>
      <c r="L1434" s="41">
        <v>55</v>
      </c>
      <c r="M1434" s="41">
        <v>-1</v>
      </c>
      <c r="N1434" s="41">
        <v>4</v>
      </c>
      <c r="O1434" s="111" t="s">
        <v>3558</v>
      </c>
      <c r="P1434" s="109"/>
      <c r="Q1434" s="41"/>
      <c r="R1434" s="111"/>
      <c r="S1434" s="110"/>
    </row>
    <row r="1435" spans="1:19">
      <c r="A1435" s="105">
        <v>2817</v>
      </c>
      <c r="B1435" s="41">
        <v>60000000</v>
      </c>
      <c r="C1435" s="41">
        <v>1.6000000000000001E-3</v>
      </c>
      <c r="D1435" s="41">
        <v>22.627400000000002</v>
      </c>
      <c r="E1435" s="41">
        <v>30</v>
      </c>
      <c r="F1435" s="41">
        <v>0</v>
      </c>
      <c r="G1435" s="41" t="s">
        <v>103</v>
      </c>
      <c r="H1435" s="41">
        <v>1</v>
      </c>
      <c r="I1435" s="41">
        <v>1</v>
      </c>
      <c r="J1435" s="108">
        <f>POWER(POWER(Table210[[#This Row],[mv]],4)/100,0.25)</f>
        <v>5.0596442562694062E-4</v>
      </c>
      <c r="K1435" s="41">
        <v>0</v>
      </c>
      <c r="L1435" s="41">
        <v>55</v>
      </c>
      <c r="M1435" s="41">
        <v>-1</v>
      </c>
      <c r="N1435" s="41">
        <v>4</v>
      </c>
      <c r="O1435" s="111" t="s">
        <v>3559</v>
      </c>
      <c r="P1435" s="109"/>
      <c r="Q1435" s="41"/>
      <c r="R1435" s="111"/>
      <c r="S1435" s="110"/>
    </row>
    <row r="1436" spans="1:19">
      <c r="A1436" s="105">
        <v>2818</v>
      </c>
      <c r="B1436" s="41">
        <v>60000000</v>
      </c>
      <c r="C1436" s="41">
        <v>1.6999999999999999E-3</v>
      </c>
      <c r="D1436" s="41">
        <v>4</v>
      </c>
      <c r="E1436" s="41">
        <v>30</v>
      </c>
      <c r="F1436" s="41">
        <v>0</v>
      </c>
      <c r="G1436" s="41" t="s">
        <v>103</v>
      </c>
      <c r="H1436" s="41">
        <v>1</v>
      </c>
      <c r="I1436" s="41">
        <v>1</v>
      </c>
      <c r="J1436" s="108">
        <f>POWER(POWER(Table210[[#This Row],[mv]],4)/100,0.25)</f>
        <v>5.3758720222862422E-4</v>
      </c>
      <c r="K1436" s="41">
        <v>0</v>
      </c>
      <c r="L1436" s="41">
        <v>55</v>
      </c>
      <c r="M1436" s="41">
        <v>-1</v>
      </c>
      <c r="N1436" s="41">
        <v>4</v>
      </c>
      <c r="O1436" s="111" t="s">
        <v>3560</v>
      </c>
      <c r="P1436" s="109"/>
      <c r="Q1436" s="41"/>
      <c r="R1436" s="111"/>
      <c r="S1436" s="110"/>
    </row>
    <row r="1437" spans="1:19">
      <c r="A1437" s="105">
        <v>2819</v>
      </c>
      <c r="B1437" s="41">
        <v>60000000</v>
      </c>
      <c r="C1437" s="41">
        <v>1.6999999999999999E-3</v>
      </c>
      <c r="D1437" s="41">
        <v>5.6569000000000003</v>
      </c>
      <c r="E1437" s="41">
        <v>30</v>
      </c>
      <c r="F1437" s="41">
        <v>0</v>
      </c>
      <c r="G1437" s="41" t="s">
        <v>103</v>
      </c>
      <c r="H1437" s="41">
        <v>1</v>
      </c>
      <c r="I1437" s="41">
        <v>1</v>
      </c>
      <c r="J1437" s="108">
        <f>POWER(POWER(Table210[[#This Row],[mv]],4)/100,0.25)</f>
        <v>5.3758720222862422E-4</v>
      </c>
      <c r="K1437" s="41">
        <v>0</v>
      </c>
      <c r="L1437" s="41">
        <v>55</v>
      </c>
      <c r="M1437" s="41">
        <v>-1</v>
      </c>
      <c r="N1437" s="41">
        <v>4</v>
      </c>
      <c r="O1437" s="111" t="s">
        <v>3561</v>
      </c>
      <c r="P1437" s="109"/>
      <c r="Q1437" s="41"/>
      <c r="R1437" s="111"/>
      <c r="S1437" s="110"/>
    </row>
    <row r="1438" spans="1:19">
      <c r="A1438" s="105">
        <v>2820</v>
      </c>
      <c r="B1438" s="41">
        <v>60000000</v>
      </c>
      <c r="C1438" s="41">
        <v>1.6999999999999999E-3</v>
      </c>
      <c r="D1438" s="41">
        <v>8</v>
      </c>
      <c r="E1438" s="41">
        <v>30</v>
      </c>
      <c r="F1438" s="41">
        <v>0</v>
      </c>
      <c r="G1438" s="41" t="s">
        <v>103</v>
      </c>
      <c r="H1438" s="41">
        <v>1</v>
      </c>
      <c r="I1438" s="41">
        <v>1</v>
      </c>
      <c r="J1438" s="108">
        <f>POWER(POWER(Table210[[#This Row],[mv]],4)/100,0.25)</f>
        <v>5.3758720222862422E-4</v>
      </c>
      <c r="K1438" s="41">
        <v>0</v>
      </c>
      <c r="L1438" s="41">
        <v>55</v>
      </c>
      <c r="M1438" s="41">
        <v>-1</v>
      </c>
      <c r="N1438" s="41">
        <v>4</v>
      </c>
      <c r="O1438" s="111" t="s">
        <v>3562</v>
      </c>
      <c r="P1438" s="109"/>
      <c r="Q1438" s="41"/>
      <c r="R1438" s="111"/>
      <c r="S1438" s="110"/>
    </row>
    <row r="1439" spans="1:19">
      <c r="A1439" s="105">
        <v>2821</v>
      </c>
      <c r="B1439" s="41">
        <v>60000000</v>
      </c>
      <c r="C1439" s="41">
        <v>1.6999999999999999E-3</v>
      </c>
      <c r="D1439" s="41">
        <v>11.313700000000001</v>
      </c>
      <c r="E1439" s="41">
        <v>30</v>
      </c>
      <c r="F1439" s="41">
        <v>0</v>
      </c>
      <c r="G1439" s="41" t="s">
        <v>103</v>
      </c>
      <c r="H1439" s="41">
        <v>1</v>
      </c>
      <c r="I1439" s="41">
        <v>1</v>
      </c>
      <c r="J1439" s="108">
        <f>POWER(POWER(Table210[[#This Row],[mv]],4)/100,0.25)</f>
        <v>5.3758720222862422E-4</v>
      </c>
      <c r="K1439" s="41">
        <v>0</v>
      </c>
      <c r="L1439" s="41">
        <v>55</v>
      </c>
      <c r="M1439" s="41">
        <v>-1</v>
      </c>
      <c r="N1439" s="41">
        <v>4</v>
      </c>
      <c r="O1439" s="111" t="s">
        <v>3563</v>
      </c>
      <c r="P1439" s="109"/>
      <c r="Q1439" s="41"/>
      <c r="R1439" s="111"/>
      <c r="S1439" s="110"/>
    </row>
    <row r="1440" spans="1:19">
      <c r="A1440" s="105">
        <v>2822</v>
      </c>
      <c r="B1440" s="41">
        <v>60000000</v>
      </c>
      <c r="C1440" s="41">
        <v>1.6999999999999999E-3</v>
      </c>
      <c r="D1440" s="41">
        <v>16</v>
      </c>
      <c r="E1440" s="41">
        <v>30</v>
      </c>
      <c r="F1440" s="41">
        <v>0</v>
      </c>
      <c r="G1440" s="41" t="s">
        <v>103</v>
      </c>
      <c r="H1440" s="41">
        <v>1</v>
      </c>
      <c r="I1440" s="41">
        <v>1</v>
      </c>
      <c r="J1440" s="108">
        <f>POWER(POWER(Table210[[#This Row],[mv]],4)/100,0.25)</f>
        <v>5.3758720222862422E-4</v>
      </c>
      <c r="K1440" s="41">
        <v>0</v>
      </c>
      <c r="L1440" s="41">
        <v>55</v>
      </c>
      <c r="M1440" s="41">
        <v>-1</v>
      </c>
      <c r="N1440" s="41">
        <v>4</v>
      </c>
      <c r="O1440" s="111" t="s">
        <v>3564</v>
      </c>
      <c r="P1440" s="109"/>
      <c r="Q1440" s="41"/>
      <c r="R1440" s="111"/>
      <c r="S1440" s="110"/>
    </row>
    <row r="1441" spans="1:19">
      <c r="A1441" s="105">
        <v>2823</v>
      </c>
      <c r="B1441" s="41">
        <v>60000000</v>
      </c>
      <c r="C1441" s="41">
        <v>1.6999999999999999E-3</v>
      </c>
      <c r="D1441" s="41">
        <v>22.627400000000002</v>
      </c>
      <c r="E1441" s="41">
        <v>30</v>
      </c>
      <c r="F1441" s="41">
        <v>0</v>
      </c>
      <c r="G1441" s="41" t="s">
        <v>103</v>
      </c>
      <c r="H1441" s="41">
        <v>1</v>
      </c>
      <c r="I1441" s="41">
        <v>1</v>
      </c>
      <c r="J1441" s="108">
        <f>POWER(POWER(Table210[[#This Row],[mv]],4)/100,0.25)</f>
        <v>5.3758720222862422E-4</v>
      </c>
      <c r="K1441" s="41">
        <v>0</v>
      </c>
      <c r="L1441" s="41">
        <v>55</v>
      </c>
      <c r="M1441" s="41">
        <v>-1</v>
      </c>
      <c r="N1441" s="41">
        <v>4</v>
      </c>
      <c r="O1441" s="111" t="s">
        <v>3565</v>
      </c>
      <c r="P1441" s="109"/>
      <c r="Q1441" s="41"/>
      <c r="R1441" s="111"/>
      <c r="S1441" s="110"/>
    </row>
    <row r="1442" spans="1:19">
      <c r="A1442" s="105">
        <v>2824</v>
      </c>
      <c r="B1442" s="41">
        <v>60000000</v>
      </c>
      <c r="C1442" s="41">
        <v>1.9E-3</v>
      </c>
      <c r="D1442" s="41">
        <v>4</v>
      </c>
      <c r="E1442" s="41">
        <v>30</v>
      </c>
      <c r="F1442" s="41">
        <v>0</v>
      </c>
      <c r="G1442" s="41" t="s">
        <v>103</v>
      </c>
      <c r="H1442" s="41">
        <v>1</v>
      </c>
      <c r="I1442" s="41">
        <v>1</v>
      </c>
      <c r="J1442" s="108">
        <f>POWER(POWER(Table210[[#This Row],[mv]],4)/100,0.25)</f>
        <v>6.0083275543199217E-4</v>
      </c>
      <c r="K1442" s="41">
        <v>0</v>
      </c>
      <c r="L1442" s="41">
        <v>55</v>
      </c>
      <c r="M1442" s="41">
        <v>-1</v>
      </c>
      <c r="N1442" s="41">
        <v>4</v>
      </c>
      <c r="O1442" s="111" t="s">
        <v>3566</v>
      </c>
      <c r="P1442" s="109"/>
      <c r="Q1442" s="41"/>
      <c r="R1442" s="111"/>
      <c r="S1442" s="110"/>
    </row>
    <row r="1443" spans="1:19">
      <c r="A1443" s="105">
        <v>2825</v>
      </c>
      <c r="B1443" s="41">
        <v>60000000</v>
      </c>
      <c r="C1443" s="41">
        <v>1.9E-3</v>
      </c>
      <c r="D1443" s="41">
        <v>5.6569000000000003</v>
      </c>
      <c r="E1443" s="41">
        <v>30</v>
      </c>
      <c r="F1443" s="41">
        <v>0</v>
      </c>
      <c r="G1443" s="41" t="s">
        <v>103</v>
      </c>
      <c r="H1443" s="41">
        <v>1</v>
      </c>
      <c r="I1443" s="41">
        <v>1</v>
      </c>
      <c r="J1443" s="108">
        <f>POWER(POWER(Table210[[#This Row],[mv]],4)/100,0.25)</f>
        <v>6.0083275543199217E-4</v>
      </c>
      <c r="K1443" s="41">
        <v>0</v>
      </c>
      <c r="L1443" s="41">
        <v>55</v>
      </c>
      <c r="M1443" s="41">
        <v>-1</v>
      </c>
      <c r="N1443" s="41">
        <v>4</v>
      </c>
      <c r="O1443" s="111" t="s">
        <v>3567</v>
      </c>
      <c r="P1443" s="109"/>
      <c r="Q1443" s="41"/>
      <c r="R1443" s="111"/>
      <c r="S1443" s="110"/>
    </row>
    <row r="1444" spans="1:19">
      <c r="A1444" s="105">
        <v>2826</v>
      </c>
      <c r="B1444" s="41">
        <v>60000000</v>
      </c>
      <c r="C1444" s="41">
        <v>1.9E-3</v>
      </c>
      <c r="D1444" s="41">
        <v>8</v>
      </c>
      <c r="E1444" s="41">
        <v>30</v>
      </c>
      <c r="F1444" s="41">
        <v>0</v>
      </c>
      <c r="G1444" s="41" t="s">
        <v>103</v>
      </c>
      <c r="H1444" s="41">
        <v>1</v>
      </c>
      <c r="I1444" s="41">
        <v>1</v>
      </c>
      <c r="J1444" s="108">
        <f>POWER(POWER(Table210[[#This Row],[mv]],4)/100,0.25)</f>
        <v>6.0083275543199217E-4</v>
      </c>
      <c r="K1444" s="41">
        <v>0</v>
      </c>
      <c r="L1444" s="41">
        <v>55</v>
      </c>
      <c r="M1444" s="41">
        <v>-1</v>
      </c>
      <c r="N1444" s="41">
        <v>4</v>
      </c>
      <c r="O1444" s="111" t="s">
        <v>3568</v>
      </c>
      <c r="P1444" s="109"/>
      <c r="Q1444" s="41"/>
      <c r="R1444" s="111"/>
      <c r="S1444" s="110"/>
    </row>
    <row r="1445" spans="1:19">
      <c r="A1445" s="105">
        <v>2827</v>
      </c>
      <c r="B1445" s="41">
        <v>60000000</v>
      </c>
      <c r="C1445" s="41">
        <v>1.9E-3</v>
      </c>
      <c r="D1445" s="41">
        <v>11.313700000000001</v>
      </c>
      <c r="E1445" s="41">
        <v>30</v>
      </c>
      <c r="F1445" s="41">
        <v>0</v>
      </c>
      <c r="G1445" s="41" t="s">
        <v>103</v>
      </c>
      <c r="H1445" s="41">
        <v>1</v>
      </c>
      <c r="I1445" s="41">
        <v>1</v>
      </c>
      <c r="J1445" s="108">
        <f>POWER(POWER(Table210[[#This Row],[mv]],4)/100,0.25)</f>
        <v>6.0083275543199217E-4</v>
      </c>
      <c r="K1445" s="41">
        <v>0</v>
      </c>
      <c r="L1445" s="41">
        <v>55</v>
      </c>
      <c r="M1445" s="41">
        <v>-1</v>
      </c>
      <c r="N1445" s="41">
        <v>4</v>
      </c>
      <c r="O1445" s="111" t="s">
        <v>3569</v>
      </c>
      <c r="P1445" s="109"/>
      <c r="Q1445" s="41"/>
      <c r="R1445" s="111"/>
      <c r="S1445" s="110"/>
    </row>
    <row r="1446" spans="1:19">
      <c r="A1446" s="105">
        <v>2828</v>
      </c>
      <c r="B1446" s="41">
        <v>60000000</v>
      </c>
      <c r="C1446" s="41">
        <v>1.9E-3</v>
      </c>
      <c r="D1446" s="41">
        <v>16</v>
      </c>
      <c r="E1446" s="41">
        <v>30</v>
      </c>
      <c r="F1446" s="41">
        <v>0</v>
      </c>
      <c r="G1446" s="41" t="s">
        <v>103</v>
      </c>
      <c r="H1446" s="41">
        <v>1</v>
      </c>
      <c r="I1446" s="41">
        <v>1</v>
      </c>
      <c r="J1446" s="108">
        <f>POWER(POWER(Table210[[#This Row],[mv]],4)/100,0.25)</f>
        <v>6.0083275543199217E-4</v>
      </c>
      <c r="K1446" s="41">
        <v>0</v>
      </c>
      <c r="L1446" s="41">
        <v>55</v>
      </c>
      <c r="M1446" s="41">
        <v>-1</v>
      </c>
      <c r="N1446" s="41">
        <v>4</v>
      </c>
      <c r="O1446" s="111" t="s">
        <v>3570</v>
      </c>
      <c r="P1446" s="109"/>
      <c r="Q1446" s="41"/>
      <c r="R1446" s="111"/>
      <c r="S1446" s="110"/>
    </row>
    <row r="1447" spans="1:19">
      <c r="A1447" s="105">
        <v>2829</v>
      </c>
      <c r="B1447" s="41">
        <v>60000000</v>
      </c>
      <c r="C1447" s="41">
        <v>1.9E-3</v>
      </c>
      <c r="D1447" s="41">
        <v>22.627400000000002</v>
      </c>
      <c r="E1447" s="41">
        <v>30</v>
      </c>
      <c r="F1447" s="41">
        <v>0</v>
      </c>
      <c r="G1447" s="41" t="s">
        <v>103</v>
      </c>
      <c r="H1447" s="41">
        <v>1</v>
      </c>
      <c r="I1447" s="41">
        <v>1</v>
      </c>
      <c r="J1447" s="108">
        <f>POWER(POWER(Table210[[#This Row],[mv]],4)/100,0.25)</f>
        <v>6.0083275543199217E-4</v>
      </c>
      <c r="K1447" s="41">
        <v>0</v>
      </c>
      <c r="L1447" s="41">
        <v>55</v>
      </c>
      <c r="M1447" s="41">
        <v>-1</v>
      </c>
      <c r="N1447" s="41">
        <v>4</v>
      </c>
      <c r="O1447" s="111" t="s">
        <v>3571</v>
      </c>
      <c r="P1447" s="109"/>
      <c r="Q1447" s="41"/>
      <c r="R1447" s="111"/>
      <c r="S1447" s="110"/>
    </row>
    <row r="1448" spans="1:19">
      <c r="A1448" s="105">
        <v>2830</v>
      </c>
      <c r="B1448" s="41">
        <v>60000000</v>
      </c>
      <c r="C1448" s="41">
        <v>2.0999999999999999E-3</v>
      </c>
      <c r="D1448" s="41">
        <v>2.8283999999999998</v>
      </c>
      <c r="E1448" s="41">
        <v>30</v>
      </c>
      <c r="F1448" s="41">
        <v>0</v>
      </c>
      <c r="G1448" s="41" t="s">
        <v>103</v>
      </c>
      <c r="H1448" s="41">
        <v>1</v>
      </c>
      <c r="I1448" s="41">
        <v>1</v>
      </c>
      <c r="J1448" s="108">
        <f>POWER(POWER(Table210[[#This Row],[mv]],4)/100,0.25)</f>
        <v>6.6407830863535959E-4</v>
      </c>
      <c r="K1448" s="41">
        <v>0</v>
      </c>
      <c r="L1448" s="41">
        <v>55</v>
      </c>
      <c r="M1448" s="41">
        <v>-1</v>
      </c>
      <c r="N1448" s="41">
        <v>4</v>
      </c>
      <c r="O1448" s="111" t="s">
        <v>3572</v>
      </c>
      <c r="P1448" s="109"/>
      <c r="Q1448" s="41"/>
      <c r="R1448" s="111"/>
      <c r="S1448" s="110"/>
    </row>
    <row r="1449" spans="1:19">
      <c r="A1449" s="105">
        <v>2831</v>
      </c>
      <c r="B1449" s="41">
        <v>60000000</v>
      </c>
      <c r="C1449" s="41">
        <v>2.0999999999999999E-3</v>
      </c>
      <c r="D1449" s="41">
        <v>4</v>
      </c>
      <c r="E1449" s="41">
        <v>30</v>
      </c>
      <c r="F1449" s="41">
        <v>0</v>
      </c>
      <c r="G1449" s="41" t="s">
        <v>103</v>
      </c>
      <c r="H1449" s="41">
        <v>1</v>
      </c>
      <c r="I1449" s="41">
        <v>1</v>
      </c>
      <c r="J1449" s="108">
        <f>POWER(POWER(Table210[[#This Row],[mv]],4)/100,0.25)</f>
        <v>6.6407830863535959E-4</v>
      </c>
      <c r="K1449" s="41">
        <v>0</v>
      </c>
      <c r="L1449" s="41">
        <v>55</v>
      </c>
      <c r="M1449" s="41">
        <v>-1</v>
      </c>
      <c r="N1449" s="41">
        <v>4</v>
      </c>
      <c r="O1449" s="111" t="s">
        <v>3573</v>
      </c>
      <c r="P1449" s="109"/>
      <c r="Q1449" s="41"/>
      <c r="R1449" s="111"/>
      <c r="S1449" s="110"/>
    </row>
    <row r="1450" spans="1:19">
      <c r="A1450" s="105">
        <v>2832</v>
      </c>
      <c r="B1450" s="41">
        <v>60000000</v>
      </c>
      <c r="C1450" s="41">
        <v>2.0999999999999999E-3</v>
      </c>
      <c r="D1450" s="41">
        <v>5.6569000000000003</v>
      </c>
      <c r="E1450" s="41">
        <v>30</v>
      </c>
      <c r="F1450" s="41">
        <v>0</v>
      </c>
      <c r="G1450" s="41" t="s">
        <v>103</v>
      </c>
      <c r="H1450" s="41">
        <v>1</v>
      </c>
      <c r="I1450" s="41">
        <v>1</v>
      </c>
      <c r="J1450" s="108">
        <f>POWER(POWER(Table210[[#This Row],[mv]],4)/100,0.25)</f>
        <v>6.6407830863535959E-4</v>
      </c>
      <c r="K1450" s="41">
        <v>0</v>
      </c>
      <c r="L1450" s="41">
        <v>55</v>
      </c>
      <c r="M1450" s="41">
        <v>-1</v>
      </c>
      <c r="N1450" s="41">
        <v>4</v>
      </c>
      <c r="O1450" s="111" t="s">
        <v>3574</v>
      </c>
      <c r="P1450" s="109"/>
      <c r="Q1450" s="41"/>
      <c r="R1450" s="111"/>
      <c r="S1450" s="110"/>
    </row>
    <row r="1451" spans="1:19">
      <c r="A1451" s="105">
        <v>2833</v>
      </c>
      <c r="B1451" s="41">
        <v>60000000</v>
      </c>
      <c r="C1451" s="41">
        <v>2.0999999999999999E-3</v>
      </c>
      <c r="D1451" s="41">
        <v>8</v>
      </c>
      <c r="E1451" s="41">
        <v>30</v>
      </c>
      <c r="F1451" s="41">
        <v>0</v>
      </c>
      <c r="G1451" s="41" t="s">
        <v>103</v>
      </c>
      <c r="H1451" s="41">
        <v>1</v>
      </c>
      <c r="I1451" s="41">
        <v>1</v>
      </c>
      <c r="J1451" s="108">
        <f>POWER(POWER(Table210[[#This Row],[mv]],4)/100,0.25)</f>
        <v>6.6407830863535959E-4</v>
      </c>
      <c r="K1451" s="41">
        <v>0</v>
      </c>
      <c r="L1451" s="41">
        <v>55</v>
      </c>
      <c r="M1451" s="41">
        <v>-1</v>
      </c>
      <c r="N1451" s="41">
        <v>4</v>
      </c>
      <c r="O1451" s="111" t="s">
        <v>3575</v>
      </c>
      <c r="P1451" s="109"/>
      <c r="Q1451" s="41"/>
      <c r="R1451" s="111"/>
      <c r="S1451" s="110"/>
    </row>
    <row r="1452" spans="1:19">
      <c r="A1452" s="105">
        <v>2834</v>
      </c>
      <c r="B1452" s="41">
        <v>60000000</v>
      </c>
      <c r="C1452" s="41">
        <v>2.0999999999999999E-3</v>
      </c>
      <c r="D1452" s="41">
        <v>11.313700000000001</v>
      </c>
      <c r="E1452" s="41">
        <v>30</v>
      </c>
      <c r="F1452" s="41">
        <v>0</v>
      </c>
      <c r="G1452" s="41" t="s">
        <v>103</v>
      </c>
      <c r="H1452" s="41">
        <v>1</v>
      </c>
      <c r="I1452" s="41">
        <v>1</v>
      </c>
      <c r="J1452" s="108">
        <f>POWER(POWER(Table210[[#This Row],[mv]],4)/100,0.25)</f>
        <v>6.6407830863535959E-4</v>
      </c>
      <c r="K1452" s="41">
        <v>0</v>
      </c>
      <c r="L1452" s="41">
        <v>55</v>
      </c>
      <c r="M1452" s="41">
        <v>-1</v>
      </c>
      <c r="N1452" s="41">
        <v>4</v>
      </c>
      <c r="O1452" s="111" t="s">
        <v>3576</v>
      </c>
      <c r="P1452" s="109"/>
      <c r="Q1452" s="41"/>
      <c r="R1452" s="111"/>
      <c r="S1452" s="110"/>
    </row>
    <row r="1453" spans="1:19">
      <c r="A1453" s="105">
        <v>2835</v>
      </c>
      <c r="B1453" s="41">
        <v>60000000</v>
      </c>
      <c r="C1453" s="41">
        <v>2.0999999999999999E-3</v>
      </c>
      <c r="D1453" s="41">
        <v>16</v>
      </c>
      <c r="E1453" s="41">
        <v>30</v>
      </c>
      <c r="F1453" s="41">
        <v>0</v>
      </c>
      <c r="G1453" s="41" t="s">
        <v>103</v>
      </c>
      <c r="H1453" s="41">
        <v>1</v>
      </c>
      <c r="I1453" s="41">
        <v>1</v>
      </c>
      <c r="J1453" s="108">
        <f>POWER(POWER(Table210[[#This Row],[mv]],4)/100,0.25)</f>
        <v>6.6407830863535959E-4</v>
      </c>
      <c r="K1453" s="41">
        <v>0</v>
      </c>
      <c r="L1453" s="41">
        <v>55</v>
      </c>
      <c r="M1453" s="41">
        <v>-1</v>
      </c>
      <c r="N1453" s="41">
        <v>4</v>
      </c>
      <c r="O1453" s="111" t="s">
        <v>3577</v>
      </c>
      <c r="P1453" s="109"/>
      <c r="Q1453" s="41"/>
      <c r="R1453" s="111"/>
      <c r="S1453" s="110"/>
    </row>
    <row r="1454" spans="1:19">
      <c r="A1454" s="105">
        <v>2836</v>
      </c>
      <c r="B1454" s="41">
        <v>60000000</v>
      </c>
      <c r="C1454" s="41">
        <v>2.0999999999999999E-3</v>
      </c>
      <c r="D1454" s="41">
        <v>22.627400000000002</v>
      </c>
      <c r="E1454" s="41">
        <v>30</v>
      </c>
      <c r="F1454" s="41">
        <v>0</v>
      </c>
      <c r="G1454" s="41" t="s">
        <v>103</v>
      </c>
      <c r="H1454" s="41">
        <v>1</v>
      </c>
      <c r="I1454" s="41">
        <v>1</v>
      </c>
      <c r="J1454" s="108">
        <f>POWER(POWER(Table210[[#This Row],[mv]],4)/100,0.25)</f>
        <v>6.6407830863535959E-4</v>
      </c>
      <c r="K1454" s="41">
        <v>0</v>
      </c>
      <c r="L1454" s="41">
        <v>55</v>
      </c>
      <c r="M1454" s="41">
        <v>-1</v>
      </c>
      <c r="N1454" s="41">
        <v>4</v>
      </c>
      <c r="O1454" s="111" t="s">
        <v>3578</v>
      </c>
      <c r="P1454" s="109"/>
      <c r="Q1454" s="41"/>
      <c r="R1454" s="111"/>
      <c r="S1454" s="110"/>
    </row>
    <row r="1455" spans="1:19">
      <c r="A1455" s="105">
        <v>2837</v>
      </c>
      <c r="B1455" s="41">
        <v>60000000</v>
      </c>
      <c r="C1455" s="41">
        <v>2.3E-3</v>
      </c>
      <c r="D1455" s="41">
        <v>2.8283999999999998</v>
      </c>
      <c r="E1455" s="41">
        <v>30</v>
      </c>
      <c r="F1455" s="41">
        <v>0</v>
      </c>
      <c r="G1455" s="41" t="s">
        <v>103</v>
      </c>
      <c r="H1455" s="41">
        <v>1</v>
      </c>
      <c r="I1455" s="41">
        <v>1</v>
      </c>
      <c r="J1455" s="108">
        <f>POWER(POWER(Table210[[#This Row],[mv]],4)/100,0.25)</f>
        <v>7.2732386183872754E-4</v>
      </c>
      <c r="K1455" s="41">
        <v>0</v>
      </c>
      <c r="L1455" s="41">
        <v>55</v>
      </c>
      <c r="M1455" s="41">
        <v>-1</v>
      </c>
      <c r="N1455" s="41">
        <v>4</v>
      </c>
      <c r="O1455" s="111" t="s">
        <v>3579</v>
      </c>
      <c r="P1455" s="109"/>
      <c r="Q1455" s="41"/>
      <c r="R1455" s="111"/>
      <c r="S1455" s="110"/>
    </row>
    <row r="1456" spans="1:19">
      <c r="A1456" s="105">
        <v>2838</v>
      </c>
      <c r="B1456" s="41">
        <v>60000000</v>
      </c>
      <c r="C1456" s="41">
        <v>2.3E-3</v>
      </c>
      <c r="D1456" s="41">
        <v>4</v>
      </c>
      <c r="E1456" s="41">
        <v>30</v>
      </c>
      <c r="F1456" s="41">
        <v>0</v>
      </c>
      <c r="G1456" s="41" t="s">
        <v>103</v>
      </c>
      <c r="H1456" s="41">
        <v>1</v>
      </c>
      <c r="I1456" s="41">
        <v>1</v>
      </c>
      <c r="J1456" s="108">
        <f>POWER(POWER(Table210[[#This Row],[mv]],4)/100,0.25)</f>
        <v>7.2732386183872754E-4</v>
      </c>
      <c r="K1456" s="41">
        <v>0</v>
      </c>
      <c r="L1456" s="41">
        <v>55</v>
      </c>
      <c r="M1456" s="41">
        <v>-1</v>
      </c>
      <c r="N1456" s="41">
        <v>4</v>
      </c>
      <c r="O1456" s="111" t="s">
        <v>3580</v>
      </c>
      <c r="P1456" s="109"/>
      <c r="Q1456" s="41"/>
      <c r="R1456" s="111"/>
      <c r="S1456" s="110"/>
    </row>
    <row r="1457" spans="1:19">
      <c r="A1457" s="105">
        <v>2839</v>
      </c>
      <c r="B1457" s="41">
        <v>60000000</v>
      </c>
      <c r="C1457" s="41">
        <v>2.3E-3</v>
      </c>
      <c r="D1457" s="41">
        <v>5.6569000000000003</v>
      </c>
      <c r="E1457" s="41">
        <v>30</v>
      </c>
      <c r="F1457" s="41">
        <v>0</v>
      </c>
      <c r="G1457" s="41" t="s">
        <v>103</v>
      </c>
      <c r="H1457" s="41">
        <v>1</v>
      </c>
      <c r="I1457" s="41">
        <v>1</v>
      </c>
      <c r="J1457" s="108">
        <f>POWER(POWER(Table210[[#This Row],[mv]],4)/100,0.25)</f>
        <v>7.2732386183872754E-4</v>
      </c>
      <c r="K1457" s="41">
        <v>0</v>
      </c>
      <c r="L1457" s="41">
        <v>55</v>
      </c>
      <c r="M1457" s="41">
        <v>-1</v>
      </c>
      <c r="N1457" s="41">
        <v>4</v>
      </c>
      <c r="O1457" s="111" t="s">
        <v>3581</v>
      </c>
      <c r="P1457" s="109"/>
      <c r="Q1457" s="41"/>
      <c r="R1457" s="111"/>
      <c r="S1457" s="110"/>
    </row>
    <row r="1458" spans="1:19">
      <c r="A1458" s="105">
        <v>2840</v>
      </c>
      <c r="B1458" s="41">
        <v>60000000</v>
      </c>
      <c r="C1458" s="41">
        <v>2.3E-3</v>
      </c>
      <c r="D1458" s="41">
        <v>8</v>
      </c>
      <c r="E1458" s="41">
        <v>30</v>
      </c>
      <c r="F1458" s="41">
        <v>0</v>
      </c>
      <c r="G1458" s="41" t="s">
        <v>103</v>
      </c>
      <c r="H1458" s="41">
        <v>1</v>
      </c>
      <c r="I1458" s="41">
        <v>1</v>
      </c>
      <c r="J1458" s="108">
        <f>POWER(POWER(Table210[[#This Row],[mv]],4)/100,0.25)</f>
        <v>7.2732386183872754E-4</v>
      </c>
      <c r="K1458" s="41">
        <v>0</v>
      </c>
      <c r="L1458" s="41">
        <v>55</v>
      </c>
      <c r="M1458" s="41">
        <v>-1</v>
      </c>
      <c r="N1458" s="41">
        <v>4</v>
      </c>
      <c r="O1458" s="111" t="s">
        <v>3582</v>
      </c>
      <c r="P1458" s="109"/>
      <c r="Q1458" s="41"/>
      <c r="R1458" s="111"/>
      <c r="S1458" s="110"/>
    </row>
    <row r="1459" spans="1:19">
      <c r="A1459" s="105">
        <v>2841</v>
      </c>
      <c r="B1459" s="41">
        <v>60000000</v>
      </c>
      <c r="C1459" s="41">
        <v>2.3E-3</v>
      </c>
      <c r="D1459" s="41">
        <v>11.313700000000001</v>
      </c>
      <c r="E1459" s="41">
        <v>30</v>
      </c>
      <c r="F1459" s="41">
        <v>0</v>
      </c>
      <c r="G1459" s="41" t="s">
        <v>103</v>
      </c>
      <c r="H1459" s="41">
        <v>1</v>
      </c>
      <c r="I1459" s="41">
        <v>1</v>
      </c>
      <c r="J1459" s="108">
        <f>POWER(POWER(Table210[[#This Row],[mv]],4)/100,0.25)</f>
        <v>7.2732386183872754E-4</v>
      </c>
      <c r="K1459" s="41">
        <v>0</v>
      </c>
      <c r="L1459" s="41">
        <v>55</v>
      </c>
      <c r="M1459" s="41">
        <v>-1</v>
      </c>
      <c r="N1459" s="41">
        <v>4</v>
      </c>
      <c r="O1459" s="111" t="s">
        <v>3583</v>
      </c>
      <c r="P1459" s="109"/>
      <c r="Q1459" s="41"/>
      <c r="R1459" s="111"/>
      <c r="S1459" s="110"/>
    </row>
    <row r="1460" spans="1:19">
      <c r="A1460" s="105">
        <v>2842</v>
      </c>
      <c r="B1460" s="41">
        <v>60000000</v>
      </c>
      <c r="C1460" s="41">
        <v>2.3E-3</v>
      </c>
      <c r="D1460" s="41">
        <v>16</v>
      </c>
      <c r="E1460" s="41">
        <v>30</v>
      </c>
      <c r="F1460" s="41">
        <v>0</v>
      </c>
      <c r="G1460" s="41" t="s">
        <v>103</v>
      </c>
      <c r="H1460" s="41">
        <v>1</v>
      </c>
      <c r="I1460" s="41">
        <v>1</v>
      </c>
      <c r="J1460" s="108">
        <f>POWER(POWER(Table210[[#This Row],[mv]],4)/100,0.25)</f>
        <v>7.2732386183872754E-4</v>
      </c>
      <c r="K1460" s="41">
        <v>0</v>
      </c>
      <c r="L1460" s="41">
        <v>55</v>
      </c>
      <c r="M1460" s="41">
        <v>-1</v>
      </c>
      <c r="N1460" s="41">
        <v>4</v>
      </c>
      <c r="O1460" s="111" t="s">
        <v>3584</v>
      </c>
      <c r="P1460" s="109"/>
      <c r="Q1460" s="41"/>
      <c r="R1460" s="111"/>
      <c r="S1460" s="110"/>
    </row>
    <row r="1461" spans="1:19">
      <c r="A1461" s="105">
        <v>2843</v>
      </c>
      <c r="B1461" s="41">
        <v>60000000</v>
      </c>
      <c r="C1461" s="41">
        <v>2.3E-3</v>
      </c>
      <c r="D1461" s="41">
        <v>22.627400000000002</v>
      </c>
      <c r="E1461" s="41">
        <v>30</v>
      </c>
      <c r="F1461" s="41">
        <v>0</v>
      </c>
      <c r="G1461" s="41" t="s">
        <v>103</v>
      </c>
      <c r="H1461" s="41">
        <v>1</v>
      </c>
      <c r="I1461" s="41">
        <v>1</v>
      </c>
      <c r="J1461" s="108">
        <f>POWER(POWER(Table210[[#This Row],[mv]],4)/100,0.25)</f>
        <v>7.2732386183872754E-4</v>
      </c>
      <c r="K1461" s="41">
        <v>0</v>
      </c>
      <c r="L1461" s="41">
        <v>55</v>
      </c>
      <c r="M1461" s="41">
        <v>-1</v>
      </c>
      <c r="N1461" s="41">
        <v>4</v>
      </c>
      <c r="O1461" s="111" t="s">
        <v>3585</v>
      </c>
      <c r="P1461" s="109"/>
      <c r="Q1461" s="41"/>
      <c r="R1461" s="111"/>
      <c r="S1461" s="110"/>
    </row>
    <row r="1462" spans="1:19">
      <c r="A1462" s="105">
        <v>2844</v>
      </c>
      <c r="B1462" s="41">
        <v>60000000</v>
      </c>
      <c r="C1462" s="41">
        <v>2.5000000000000001E-3</v>
      </c>
      <c r="D1462" s="41">
        <v>2</v>
      </c>
      <c r="E1462" s="41">
        <v>30</v>
      </c>
      <c r="F1462" s="41">
        <v>0</v>
      </c>
      <c r="G1462" s="41" t="s">
        <v>103</v>
      </c>
      <c r="H1462" s="41">
        <v>1</v>
      </c>
      <c r="I1462" s="41">
        <v>1</v>
      </c>
      <c r="J1462" s="108">
        <f>POWER(POWER(Table210[[#This Row],[mv]],4)/100,0.25)</f>
        <v>7.9056941504209463E-4</v>
      </c>
      <c r="K1462" s="41">
        <v>0</v>
      </c>
      <c r="L1462" s="41">
        <v>55</v>
      </c>
      <c r="M1462" s="41">
        <v>-1</v>
      </c>
      <c r="N1462" s="41">
        <v>4</v>
      </c>
      <c r="O1462" s="111" t="s">
        <v>3586</v>
      </c>
      <c r="P1462" s="109"/>
      <c r="Q1462" s="41"/>
      <c r="R1462" s="111"/>
      <c r="S1462" s="110"/>
    </row>
    <row r="1463" spans="1:19">
      <c r="A1463" s="105">
        <v>2845</v>
      </c>
      <c r="B1463" s="41">
        <v>60000000</v>
      </c>
      <c r="C1463" s="41">
        <v>2.5000000000000001E-3</v>
      </c>
      <c r="D1463" s="41">
        <v>2.8283999999999998</v>
      </c>
      <c r="E1463" s="41">
        <v>30</v>
      </c>
      <c r="F1463" s="41">
        <v>0</v>
      </c>
      <c r="G1463" s="41" t="s">
        <v>103</v>
      </c>
      <c r="H1463" s="41">
        <v>1</v>
      </c>
      <c r="I1463" s="41">
        <v>1</v>
      </c>
      <c r="J1463" s="108">
        <f>POWER(POWER(Table210[[#This Row],[mv]],4)/100,0.25)</f>
        <v>7.9056941504209463E-4</v>
      </c>
      <c r="K1463" s="41">
        <v>0</v>
      </c>
      <c r="L1463" s="41">
        <v>55</v>
      </c>
      <c r="M1463" s="41">
        <v>-1</v>
      </c>
      <c r="N1463" s="41">
        <v>4</v>
      </c>
      <c r="O1463" s="111" t="s">
        <v>3587</v>
      </c>
      <c r="P1463" s="109"/>
      <c r="Q1463" s="41"/>
      <c r="R1463" s="111"/>
      <c r="S1463" s="110"/>
    </row>
    <row r="1464" spans="1:19">
      <c r="A1464" s="105">
        <v>2846</v>
      </c>
      <c r="B1464" s="41">
        <v>60000000</v>
      </c>
      <c r="C1464" s="41">
        <v>2.5000000000000001E-3</v>
      </c>
      <c r="D1464" s="41">
        <v>4</v>
      </c>
      <c r="E1464" s="41">
        <v>30</v>
      </c>
      <c r="F1464" s="41">
        <v>0</v>
      </c>
      <c r="G1464" s="41" t="s">
        <v>103</v>
      </c>
      <c r="H1464" s="41">
        <v>1</v>
      </c>
      <c r="I1464" s="41">
        <v>1</v>
      </c>
      <c r="J1464" s="108">
        <f>POWER(POWER(Table210[[#This Row],[mv]],4)/100,0.25)</f>
        <v>7.9056941504209463E-4</v>
      </c>
      <c r="K1464" s="41">
        <v>0</v>
      </c>
      <c r="L1464" s="41">
        <v>55</v>
      </c>
      <c r="M1464" s="41">
        <v>-1</v>
      </c>
      <c r="N1464" s="41">
        <v>4</v>
      </c>
      <c r="O1464" s="111" t="s">
        <v>3588</v>
      </c>
      <c r="P1464" s="109"/>
      <c r="Q1464" s="41"/>
      <c r="R1464" s="111"/>
      <c r="S1464" s="110"/>
    </row>
    <row r="1465" spans="1:19">
      <c r="A1465" s="105">
        <v>2847</v>
      </c>
      <c r="B1465" s="41">
        <v>60000000</v>
      </c>
      <c r="C1465" s="41">
        <v>2.5000000000000001E-3</v>
      </c>
      <c r="D1465" s="41">
        <v>5.6569000000000003</v>
      </c>
      <c r="E1465" s="41">
        <v>30</v>
      </c>
      <c r="F1465" s="41">
        <v>0</v>
      </c>
      <c r="G1465" s="41" t="s">
        <v>103</v>
      </c>
      <c r="H1465" s="41">
        <v>1</v>
      </c>
      <c r="I1465" s="41">
        <v>1</v>
      </c>
      <c r="J1465" s="108">
        <f>POWER(POWER(Table210[[#This Row],[mv]],4)/100,0.25)</f>
        <v>7.9056941504209463E-4</v>
      </c>
      <c r="K1465" s="41">
        <v>0</v>
      </c>
      <c r="L1465" s="41">
        <v>55</v>
      </c>
      <c r="M1465" s="41">
        <v>-1</v>
      </c>
      <c r="N1465" s="41">
        <v>4</v>
      </c>
      <c r="O1465" s="111" t="s">
        <v>3589</v>
      </c>
      <c r="P1465" s="109"/>
      <c r="Q1465" s="41"/>
      <c r="R1465" s="111"/>
      <c r="S1465" s="110"/>
    </row>
    <row r="1466" spans="1:19">
      <c r="A1466" s="105">
        <v>2848</v>
      </c>
      <c r="B1466" s="41">
        <v>60000000</v>
      </c>
      <c r="C1466" s="41">
        <v>2.5000000000000001E-3</v>
      </c>
      <c r="D1466" s="41">
        <v>8</v>
      </c>
      <c r="E1466" s="41">
        <v>30</v>
      </c>
      <c r="F1466" s="41">
        <v>0</v>
      </c>
      <c r="G1466" s="41" t="s">
        <v>103</v>
      </c>
      <c r="H1466" s="41">
        <v>1</v>
      </c>
      <c r="I1466" s="41">
        <v>1</v>
      </c>
      <c r="J1466" s="108">
        <f>POWER(POWER(Table210[[#This Row],[mv]],4)/100,0.25)</f>
        <v>7.9056941504209463E-4</v>
      </c>
      <c r="K1466" s="41">
        <v>0</v>
      </c>
      <c r="L1466" s="41">
        <v>55</v>
      </c>
      <c r="M1466" s="41">
        <v>-1</v>
      </c>
      <c r="N1466" s="41">
        <v>4</v>
      </c>
      <c r="O1466" s="111" t="s">
        <v>3590</v>
      </c>
      <c r="P1466" s="109"/>
      <c r="Q1466" s="41"/>
      <c r="R1466" s="111"/>
      <c r="S1466" s="110"/>
    </row>
    <row r="1467" spans="1:19">
      <c r="A1467" s="105">
        <v>2849</v>
      </c>
      <c r="B1467" s="41">
        <v>60000000</v>
      </c>
      <c r="C1467" s="41">
        <v>2.5000000000000001E-3</v>
      </c>
      <c r="D1467" s="41">
        <v>11.313700000000001</v>
      </c>
      <c r="E1467" s="41">
        <v>30</v>
      </c>
      <c r="F1467" s="41">
        <v>0</v>
      </c>
      <c r="G1467" s="41" t="s">
        <v>103</v>
      </c>
      <c r="H1467" s="41">
        <v>1</v>
      </c>
      <c r="I1467" s="41">
        <v>1</v>
      </c>
      <c r="J1467" s="108">
        <f>POWER(POWER(Table210[[#This Row],[mv]],4)/100,0.25)</f>
        <v>7.9056941504209463E-4</v>
      </c>
      <c r="K1467" s="41">
        <v>0</v>
      </c>
      <c r="L1467" s="41">
        <v>55</v>
      </c>
      <c r="M1467" s="41">
        <v>-1</v>
      </c>
      <c r="N1467" s="41">
        <v>4</v>
      </c>
      <c r="O1467" s="111" t="s">
        <v>3591</v>
      </c>
      <c r="P1467" s="109"/>
      <c r="Q1467" s="41"/>
      <c r="R1467" s="111"/>
      <c r="S1467" s="110"/>
    </row>
    <row r="1468" spans="1:19">
      <c r="A1468" s="105">
        <v>2850</v>
      </c>
      <c r="B1468" s="41">
        <v>60000000</v>
      </c>
      <c r="C1468" s="41">
        <v>2.5000000000000001E-3</v>
      </c>
      <c r="D1468" s="41">
        <v>16</v>
      </c>
      <c r="E1468" s="41">
        <v>30</v>
      </c>
      <c r="F1468" s="41">
        <v>0</v>
      </c>
      <c r="G1468" s="41" t="s">
        <v>103</v>
      </c>
      <c r="H1468" s="41">
        <v>1</v>
      </c>
      <c r="I1468" s="41">
        <v>1</v>
      </c>
      <c r="J1468" s="108">
        <f>POWER(POWER(Table210[[#This Row],[mv]],4)/100,0.25)</f>
        <v>7.9056941504209463E-4</v>
      </c>
      <c r="K1468" s="41">
        <v>0</v>
      </c>
      <c r="L1468" s="41">
        <v>55</v>
      </c>
      <c r="M1468" s="41">
        <v>-1</v>
      </c>
      <c r="N1468" s="41">
        <v>4</v>
      </c>
      <c r="O1468" s="111" t="s">
        <v>3592</v>
      </c>
      <c r="P1468" s="109"/>
      <c r="Q1468" s="41"/>
      <c r="R1468" s="111"/>
      <c r="S1468" s="110"/>
    </row>
    <row r="1469" spans="1:19">
      <c r="A1469" s="105">
        <v>2851</v>
      </c>
      <c r="B1469" s="41">
        <v>60000000</v>
      </c>
      <c r="C1469" s="41">
        <v>2.7000000000000001E-3</v>
      </c>
      <c r="D1469" s="41">
        <v>2.8283999999999998</v>
      </c>
      <c r="E1469" s="41">
        <v>30</v>
      </c>
      <c r="F1469" s="41">
        <v>0</v>
      </c>
      <c r="G1469" s="41" t="s">
        <v>103</v>
      </c>
      <c r="H1469" s="41">
        <v>1</v>
      </c>
      <c r="I1469" s="41">
        <v>1</v>
      </c>
      <c r="J1469" s="108">
        <f>POWER(POWER(Table210[[#This Row],[mv]],4)/100,0.25)</f>
        <v>8.5381496824546281E-4</v>
      </c>
      <c r="K1469" s="41">
        <v>0</v>
      </c>
      <c r="L1469" s="41">
        <v>55</v>
      </c>
      <c r="M1469" s="41">
        <v>-1</v>
      </c>
      <c r="N1469" s="41">
        <v>4</v>
      </c>
      <c r="O1469" s="111" t="s">
        <v>3593</v>
      </c>
      <c r="P1469" s="109"/>
      <c r="Q1469" s="41"/>
      <c r="R1469" s="111"/>
      <c r="S1469" s="110"/>
    </row>
    <row r="1470" spans="1:19">
      <c r="A1470" s="105">
        <v>2852</v>
      </c>
      <c r="B1470" s="41">
        <v>60000000</v>
      </c>
      <c r="C1470" s="41">
        <v>2.7000000000000001E-3</v>
      </c>
      <c r="D1470" s="41">
        <v>4</v>
      </c>
      <c r="E1470" s="41">
        <v>30</v>
      </c>
      <c r="F1470" s="41">
        <v>0</v>
      </c>
      <c r="G1470" s="41" t="s">
        <v>103</v>
      </c>
      <c r="H1470" s="41">
        <v>1</v>
      </c>
      <c r="I1470" s="41">
        <v>1</v>
      </c>
      <c r="J1470" s="108">
        <f>POWER(POWER(Table210[[#This Row],[mv]],4)/100,0.25)</f>
        <v>8.5381496824546281E-4</v>
      </c>
      <c r="K1470" s="41">
        <v>0</v>
      </c>
      <c r="L1470" s="41">
        <v>55</v>
      </c>
      <c r="M1470" s="41">
        <v>-1</v>
      </c>
      <c r="N1470" s="41">
        <v>4</v>
      </c>
      <c r="O1470" s="111" t="s">
        <v>3594</v>
      </c>
      <c r="P1470" s="109"/>
      <c r="Q1470" s="41"/>
      <c r="R1470" s="111"/>
      <c r="S1470" s="110"/>
    </row>
    <row r="1471" spans="1:19">
      <c r="A1471" s="105">
        <v>2853</v>
      </c>
      <c r="B1471" s="41">
        <v>60000000</v>
      </c>
      <c r="C1471" s="41">
        <v>2.7000000000000001E-3</v>
      </c>
      <c r="D1471" s="41">
        <v>5.6569000000000003</v>
      </c>
      <c r="E1471" s="41">
        <v>30</v>
      </c>
      <c r="F1471" s="41">
        <v>0</v>
      </c>
      <c r="G1471" s="41" t="s">
        <v>103</v>
      </c>
      <c r="H1471" s="41">
        <v>1</v>
      </c>
      <c r="I1471" s="41">
        <v>1</v>
      </c>
      <c r="J1471" s="108">
        <f>POWER(POWER(Table210[[#This Row],[mv]],4)/100,0.25)</f>
        <v>8.5381496824546281E-4</v>
      </c>
      <c r="K1471" s="41">
        <v>0</v>
      </c>
      <c r="L1471" s="41">
        <v>55</v>
      </c>
      <c r="M1471" s="41">
        <v>-1</v>
      </c>
      <c r="N1471" s="41">
        <v>4</v>
      </c>
      <c r="O1471" s="111" t="s">
        <v>3595</v>
      </c>
      <c r="P1471" s="109"/>
      <c r="Q1471" s="41"/>
      <c r="R1471" s="111"/>
      <c r="S1471" s="110"/>
    </row>
    <row r="1472" spans="1:19">
      <c r="A1472" s="105">
        <v>2854</v>
      </c>
      <c r="B1472" s="41">
        <v>60000000</v>
      </c>
      <c r="C1472" s="41">
        <v>2.7000000000000001E-3</v>
      </c>
      <c r="D1472" s="41">
        <v>8</v>
      </c>
      <c r="E1472" s="41">
        <v>30</v>
      </c>
      <c r="F1472" s="41">
        <v>0</v>
      </c>
      <c r="G1472" s="41" t="s">
        <v>103</v>
      </c>
      <c r="H1472" s="41">
        <v>1</v>
      </c>
      <c r="I1472" s="41">
        <v>1</v>
      </c>
      <c r="J1472" s="108">
        <f>POWER(POWER(Table210[[#This Row],[mv]],4)/100,0.25)</f>
        <v>8.5381496824546281E-4</v>
      </c>
      <c r="K1472" s="41">
        <v>0</v>
      </c>
      <c r="L1472" s="41">
        <v>55</v>
      </c>
      <c r="M1472" s="41">
        <v>-1</v>
      </c>
      <c r="N1472" s="41">
        <v>4</v>
      </c>
      <c r="O1472" s="111" t="s">
        <v>3596</v>
      </c>
      <c r="P1472" s="109"/>
      <c r="Q1472" s="41"/>
      <c r="R1472" s="111"/>
      <c r="S1472" s="110"/>
    </row>
    <row r="1473" spans="1:19">
      <c r="A1473" s="105">
        <v>2855</v>
      </c>
      <c r="B1473" s="41">
        <v>60000000</v>
      </c>
      <c r="C1473" s="41">
        <v>2.7000000000000001E-3</v>
      </c>
      <c r="D1473" s="41">
        <v>11.313700000000001</v>
      </c>
      <c r="E1473" s="41">
        <v>30</v>
      </c>
      <c r="F1473" s="41">
        <v>0</v>
      </c>
      <c r="G1473" s="41" t="s">
        <v>103</v>
      </c>
      <c r="H1473" s="41">
        <v>1</v>
      </c>
      <c r="I1473" s="41">
        <v>1</v>
      </c>
      <c r="J1473" s="108">
        <f>POWER(POWER(Table210[[#This Row],[mv]],4)/100,0.25)</f>
        <v>8.5381496824546281E-4</v>
      </c>
      <c r="K1473" s="41">
        <v>0</v>
      </c>
      <c r="L1473" s="41">
        <v>55</v>
      </c>
      <c r="M1473" s="41">
        <v>-1</v>
      </c>
      <c r="N1473" s="41">
        <v>4</v>
      </c>
      <c r="O1473" s="111" t="s">
        <v>3597</v>
      </c>
      <c r="P1473" s="109"/>
      <c r="Q1473" s="41"/>
      <c r="R1473" s="111"/>
      <c r="S1473" s="110"/>
    </row>
    <row r="1474" spans="1:19">
      <c r="A1474" s="105">
        <v>2856</v>
      </c>
      <c r="B1474" s="41">
        <v>60000000</v>
      </c>
      <c r="C1474" s="41">
        <v>2.7000000000000001E-3</v>
      </c>
      <c r="D1474" s="41">
        <v>16</v>
      </c>
      <c r="E1474" s="41">
        <v>30</v>
      </c>
      <c r="F1474" s="41">
        <v>0</v>
      </c>
      <c r="G1474" s="41" t="s">
        <v>103</v>
      </c>
      <c r="H1474" s="41">
        <v>1</v>
      </c>
      <c r="I1474" s="41">
        <v>1</v>
      </c>
      <c r="J1474" s="108">
        <f>POWER(POWER(Table210[[#This Row],[mv]],4)/100,0.25)</f>
        <v>8.5381496824546281E-4</v>
      </c>
      <c r="K1474" s="41">
        <v>0</v>
      </c>
      <c r="L1474" s="41">
        <v>55</v>
      </c>
      <c r="M1474" s="41">
        <v>-1</v>
      </c>
      <c r="N1474" s="41">
        <v>4</v>
      </c>
      <c r="O1474" s="111" t="s">
        <v>3598</v>
      </c>
      <c r="P1474" s="109"/>
      <c r="Q1474" s="41"/>
      <c r="R1474" s="111"/>
      <c r="S1474" s="110"/>
    </row>
    <row r="1475" spans="1:19">
      <c r="A1475" s="105">
        <v>2857</v>
      </c>
      <c r="B1475" s="41">
        <v>60000000</v>
      </c>
      <c r="C1475" s="41">
        <v>2.8999999999999998E-3</v>
      </c>
      <c r="D1475" s="41">
        <v>2.8283999999999998</v>
      </c>
      <c r="E1475" s="41">
        <v>30</v>
      </c>
      <c r="F1475" s="41">
        <v>0</v>
      </c>
      <c r="G1475" s="41" t="s">
        <v>103</v>
      </c>
      <c r="H1475" s="41">
        <v>1</v>
      </c>
      <c r="I1475" s="41">
        <v>1</v>
      </c>
      <c r="J1475" s="108">
        <f>POWER(POWER(Table210[[#This Row],[mv]],4)/100,0.25)</f>
        <v>9.1706052144883E-4</v>
      </c>
      <c r="K1475" s="41">
        <v>0</v>
      </c>
      <c r="L1475" s="41">
        <v>55</v>
      </c>
      <c r="M1475" s="41">
        <v>-1</v>
      </c>
      <c r="N1475" s="41">
        <v>4</v>
      </c>
      <c r="O1475" s="111" t="s">
        <v>3599</v>
      </c>
      <c r="P1475" s="109"/>
      <c r="Q1475" s="41"/>
      <c r="R1475" s="111"/>
      <c r="S1475" s="110"/>
    </row>
    <row r="1476" spans="1:19">
      <c r="A1476" s="105">
        <v>2858</v>
      </c>
      <c r="B1476" s="41">
        <v>60000000</v>
      </c>
      <c r="C1476" s="41">
        <v>2.8999999999999998E-3</v>
      </c>
      <c r="D1476" s="41">
        <v>4</v>
      </c>
      <c r="E1476" s="41">
        <v>30</v>
      </c>
      <c r="F1476" s="41">
        <v>0</v>
      </c>
      <c r="G1476" s="41" t="s">
        <v>103</v>
      </c>
      <c r="H1476" s="41">
        <v>1</v>
      </c>
      <c r="I1476" s="41">
        <v>1</v>
      </c>
      <c r="J1476" s="108">
        <f>POWER(POWER(Table210[[#This Row],[mv]],4)/100,0.25)</f>
        <v>9.1706052144883E-4</v>
      </c>
      <c r="K1476" s="41">
        <v>0</v>
      </c>
      <c r="L1476" s="41">
        <v>55</v>
      </c>
      <c r="M1476" s="41">
        <v>-1</v>
      </c>
      <c r="N1476" s="41">
        <v>4</v>
      </c>
      <c r="O1476" s="111" t="s">
        <v>3600</v>
      </c>
      <c r="P1476" s="109"/>
      <c r="Q1476" s="41"/>
      <c r="R1476" s="111"/>
      <c r="S1476" s="110"/>
    </row>
    <row r="1477" spans="1:19">
      <c r="A1477" s="105">
        <v>2859</v>
      </c>
      <c r="B1477" s="41">
        <v>60000000</v>
      </c>
      <c r="C1477" s="41">
        <v>2.8999999999999998E-3</v>
      </c>
      <c r="D1477" s="41">
        <v>5.6569000000000003</v>
      </c>
      <c r="E1477" s="41">
        <v>30</v>
      </c>
      <c r="F1477" s="41">
        <v>0</v>
      </c>
      <c r="G1477" s="41" t="s">
        <v>103</v>
      </c>
      <c r="H1477" s="41">
        <v>1</v>
      </c>
      <c r="I1477" s="41">
        <v>1</v>
      </c>
      <c r="J1477" s="108">
        <f>POWER(POWER(Table210[[#This Row],[mv]],4)/100,0.25)</f>
        <v>9.1706052144883E-4</v>
      </c>
      <c r="K1477" s="41">
        <v>0</v>
      </c>
      <c r="L1477" s="41">
        <v>55</v>
      </c>
      <c r="M1477" s="41">
        <v>-1</v>
      </c>
      <c r="N1477" s="41">
        <v>4</v>
      </c>
      <c r="O1477" s="111" t="s">
        <v>3601</v>
      </c>
      <c r="P1477" s="109"/>
      <c r="Q1477" s="41"/>
      <c r="R1477" s="111"/>
      <c r="S1477" s="110"/>
    </row>
    <row r="1478" spans="1:19">
      <c r="A1478" s="105">
        <v>2860</v>
      </c>
      <c r="B1478" s="41">
        <v>60000000</v>
      </c>
      <c r="C1478" s="41">
        <v>2.8999999999999998E-3</v>
      </c>
      <c r="D1478" s="41">
        <v>8</v>
      </c>
      <c r="E1478" s="41">
        <v>30</v>
      </c>
      <c r="F1478" s="41">
        <v>0</v>
      </c>
      <c r="G1478" s="41" t="s">
        <v>103</v>
      </c>
      <c r="H1478" s="41">
        <v>1</v>
      </c>
      <c r="I1478" s="41">
        <v>1</v>
      </c>
      <c r="J1478" s="108">
        <f>POWER(POWER(Table210[[#This Row],[mv]],4)/100,0.25)</f>
        <v>9.1706052144883E-4</v>
      </c>
      <c r="K1478" s="41">
        <v>0</v>
      </c>
      <c r="L1478" s="41">
        <v>55</v>
      </c>
      <c r="M1478" s="41">
        <v>-1</v>
      </c>
      <c r="N1478" s="41">
        <v>4</v>
      </c>
      <c r="O1478" s="111" t="s">
        <v>3602</v>
      </c>
      <c r="P1478" s="109"/>
      <c r="Q1478" s="41"/>
      <c r="R1478" s="111"/>
      <c r="S1478" s="110"/>
    </row>
    <row r="1479" spans="1:19">
      <c r="A1479" s="105">
        <v>2861</v>
      </c>
      <c r="B1479" s="41">
        <v>60000000</v>
      </c>
      <c r="C1479" s="41">
        <v>2.8999999999999998E-3</v>
      </c>
      <c r="D1479" s="41">
        <v>11.313700000000001</v>
      </c>
      <c r="E1479" s="41">
        <v>30</v>
      </c>
      <c r="F1479" s="41">
        <v>0</v>
      </c>
      <c r="G1479" s="41" t="s">
        <v>103</v>
      </c>
      <c r="H1479" s="41">
        <v>1</v>
      </c>
      <c r="I1479" s="41">
        <v>1</v>
      </c>
      <c r="J1479" s="108">
        <f>POWER(POWER(Table210[[#This Row],[mv]],4)/100,0.25)</f>
        <v>9.1706052144883E-4</v>
      </c>
      <c r="K1479" s="41">
        <v>0</v>
      </c>
      <c r="L1479" s="41">
        <v>55</v>
      </c>
      <c r="M1479" s="41">
        <v>-1</v>
      </c>
      <c r="N1479" s="41">
        <v>4</v>
      </c>
      <c r="O1479" s="111" t="s">
        <v>3603</v>
      </c>
      <c r="P1479" s="109"/>
      <c r="Q1479" s="41"/>
      <c r="R1479" s="111"/>
      <c r="S1479" s="110"/>
    </row>
    <row r="1480" spans="1:19">
      <c r="A1480" s="105">
        <v>2862</v>
      </c>
      <c r="B1480" s="41">
        <v>60000000</v>
      </c>
      <c r="C1480" s="41">
        <v>2.8999999999999998E-3</v>
      </c>
      <c r="D1480" s="41">
        <v>16</v>
      </c>
      <c r="E1480" s="41">
        <v>30</v>
      </c>
      <c r="F1480" s="41">
        <v>0</v>
      </c>
      <c r="G1480" s="41" t="s">
        <v>103</v>
      </c>
      <c r="H1480" s="41">
        <v>1</v>
      </c>
      <c r="I1480" s="41">
        <v>1</v>
      </c>
      <c r="J1480" s="108">
        <f>POWER(POWER(Table210[[#This Row],[mv]],4)/100,0.25)</f>
        <v>9.1706052144883E-4</v>
      </c>
      <c r="K1480" s="41">
        <v>0</v>
      </c>
      <c r="L1480" s="41">
        <v>55</v>
      </c>
      <c r="M1480" s="41">
        <v>-1</v>
      </c>
      <c r="N1480" s="41">
        <v>4</v>
      </c>
      <c r="O1480" s="111" t="s">
        <v>3604</v>
      </c>
      <c r="P1480" s="109"/>
      <c r="Q1480" s="41"/>
      <c r="R1480" s="111"/>
      <c r="S1480" s="110"/>
    </row>
    <row r="1481" spans="1:19">
      <c r="A1481" s="105">
        <v>2863</v>
      </c>
      <c r="B1481" s="41">
        <v>60000000</v>
      </c>
      <c r="C1481" s="41">
        <v>3.2000000000000002E-3</v>
      </c>
      <c r="D1481" s="41">
        <v>4</v>
      </c>
      <c r="E1481" s="41">
        <v>30</v>
      </c>
      <c r="F1481" s="41">
        <v>0</v>
      </c>
      <c r="G1481" s="41" t="s">
        <v>103</v>
      </c>
      <c r="H1481" s="41">
        <v>1</v>
      </c>
      <c r="I1481" s="41">
        <v>1</v>
      </c>
      <c r="J1481" s="108">
        <f>POWER(POWER(Table210[[#This Row],[mv]],4)/100,0.25)</f>
        <v>1.0119288512538812E-3</v>
      </c>
      <c r="K1481" s="41">
        <v>0</v>
      </c>
      <c r="L1481" s="41">
        <v>55</v>
      </c>
      <c r="M1481" s="41">
        <v>-1</v>
      </c>
      <c r="N1481" s="41">
        <v>4</v>
      </c>
      <c r="O1481" s="111" t="s">
        <v>3605</v>
      </c>
      <c r="P1481" s="109"/>
      <c r="Q1481" s="41"/>
      <c r="R1481" s="111"/>
      <c r="S1481" s="110"/>
    </row>
    <row r="1482" spans="1:19">
      <c r="A1482" s="105">
        <v>2864</v>
      </c>
      <c r="B1482" s="41">
        <v>60000000</v>
      </c>
      <c r="C1482" s="41">
        <v>3.2000000000000002E-3</v>
      </c>
      <c r="D1482" s="41">
        <v>5.6569000000000003</v>
      </c>
      <c r="E1482" s="41">
        <v>30</v>
      </c>
      <c r="F1482" s="41">
        <v>0</v>
      </c>
      <c r="G1482" s="41" t="s">
        <v>103</v>
      </c>
      <c r="H1482" s="41">
        <v>1</v>
      </c>
      <c r="I1482" s="41">
        <v>1</v>
      </c>
      <c r="J1482" s="108">
        <f>POWER(POWER(Table210[[#This Row],[mv]],4)/100,0.25)</f>
        <v>1.0119288512538812E-3</v>
      </c>
      <c r="K1482" s="41">
        <v>0</v>
      </c>
      <c r="L1482" s="41">
        <v>55</v>
      </c>
      <c r="M1482" s="41">
        <v>-1</v>
      </c>
      <c r="N1482" s="41">
        <v>4</v>
      </c>
      <c r="O1482" s="111" t="s">
        <v>3606</v>
      </c>
      <c r="P1482" s="109"/>
      <c r="Q1482" s="41"/>
      <c r="R1482" s="111"/>
      <c r="S1482" s="110"/>
    </row>
    <row r="1483" spans="1:19">
      <c r="A1483" s="105">
        <v>2865</v>
      </c>
      <c r="B1483" s="41">
        <v>60000000</v>
      </c>
      <c r="C1483" s="41">
        <v>3.2000000000000002E-3</v>
      </c>
      <c r="D1483" s="41">
        <v>8</v>
      </c>
      <c r="E1483" s="41">
        <v>30</v>
      </c>
      <c r="F1483" s="41">
        <v>0</v>
      </c>
      <c r="G1483" s="41" t="s">
        <v>103</v>
      </c>
      <c r="H1483" s="41">
        <v>1</v>
      </c>
      <c r="I1483" s="41">
        <v>1</v>
      </c>
      <c r="J1483" s="108">
        <f>POWER(POWER(Table210[[#This Row],[mv]],4)/100,0.25)</f>
        <v>1.0119288512538812E-3</v>
      </c>
      <c r="K1483" s="41">
        <v>0</v>
      </c>
      <c r="L1483" s="41">
        <v>55</v>
      </c>
      <c r="M1483" s="41">
        <v>-1</v>
      </c>
      <c r="N1483" s="41">
        <v>4</v>
      </c>
      <c r="O1483" s="111" t="s">
        <v>3607</v>
      </c>
      <c r="P1483" s="109"/>
      <c r="Q1483" s="41"/>
      <c r="R1483" s="111"/>
      <c r="S1483" s="110"/>
    </row>
    <row r="1484" spans="1:19">
      <c r="A1484" s="105">
        <v>2866</v>
      </c>
      <c r="B1484" s="41">
        <v>60000000</v>
      </c>
      <c r="C1484" s="41">
        <v>3.2000000000000002E-3</v>
      </c>
      <c r="D1484" s="41">
        <v>11.313700000000001</v>
      </c>
      <c r="E1484" s="41">
        <v>30</v>
      </c>
      <c r="F1484" s="41">
        <v>0</v>
      </c>
      <c r="G1484" s="41" t="s">
        <v>103</v>
      </c>
      <c r="H1484" s="41">
        <v>1</v>
      </c>
      <c r="I1484" s="41">
        <v>1</v>
      </c>
      <c r="J1484" s="108">
        <f>POWER(POWER(Table210[[#This Row],[mv]],4)/100,0.25)</f>
        <v>1.0119288512538812E-3</v>
      </c>
      <c r="K1484" s="41">
        <v>0</v>
      </c>
      <c r="L1484" s="41">
        <v>55</v>
      </c>
      <c r="M1484" s="41">
        <v>-1</v>
      </c>
      <c r="N1484" s="41">
        <v>4</v>
      </c>
      <c r="O1484" s="111" t="s">
        <v>3608</v>
      </c>
      <c r="P1484" s="109"/>
      <c r="Q1484" s="41"/>
      <c r="R1484" s="111"/>
      <c r="S1484" s="110"/>
    </row>
    <row r="1485" spans="1:19">
      <c r="A1485" s="105">
        <v>2867</v>
      </c>
      <c r="B1485" s="41">
        <v>60000000</v>
      </c>
      <c r="C1485" s="41">
        <v>3.2000000000000002E-3</v>
      </c>
      <c r="D1485" s="41">
        <v>16</v>
      </c>
      <c r="E1485" s="41">
        <v>30</v>
      </c>
      <c r="F1485" s="41">
        <v>0</v>
      </c>
      <c r="G1485" s="41" t="s">
        <v>103</v>
      </c>
      <c r="H1485" s="41">
        <v>1</v>
      </c>
      <c r="I1485" s="41">
        <v>1</v>
      </c>
      <c r="J1485" s="108">
        <f>POWER(POWER(Table210[[#This Row],[mv]],4)/100,0.25)</f>
        <v>1.0119288512538812E-3</v>
      </c>
      <c r="K1485" s="41">
        <v>0</v>
      </c>
      <c r="L1485" s="41">
        <v>55</v>
      </c>
      <c r="M1485" s="41">
        <v>-1</v>
      </c>
      <c r="N1485" s="41">
        <v>4</v>
      </c>
      <c r="O1485" s="111" t="s">
        <v>3609</v>
      </c>
      <c r="P1485" s="109"/>
      <c r="Q1485" s="41"/>
      <c r="R1485" s="111"/>
      <c r="S1485" s="110"/>
    </row>
    <row r="1486" spans="1:19">
      <c r="A1486" s="105">
        <v>2868</v>
      </c>
      <c r="B1486" s="41">
        <v>60000000</v>
      </c>
      <c r="C1486" s="41">
        <v>3.5000000000000001E-3</v>
      </c>
      <c r="D1486" s="41">
        <v>4</v>
      </c>
      <c r="E1486" s="41">
        <v>30</v>
      </c>
      <c r="F1486" s="41">
        <v>0</v>
      </c>
      <c r="G1486" s="41" t="s">
        <v>103</v>
      </c>
      <c r="H1486" s="41">
        <v>1</v>
      </c>
      <c r="I1486" s="41">
        <v>1</v>
      </c>
      <c r="J1486" s="108">
        <f>POWER(POWER(Table210[[#This Row],[mv]],4)/100,0.25)</f>
        <v>1.1067971810589325E-3</v>
      </c>
      <c r="K1486" s="41">
        <v>0</v>
      </c>
      <c r="L1486" s="41">
        <v>55</v>
      </c>
      <c r="M1486" s="41">
        <v>-1</v>
      </c>
      <c r="N1486" s="41">
        <v>4</v>
      </c>
      <c r="O1486" s="111" t="s">
        <v>3610</v>
      </c>
      <c r="P1486" s="109"/>
      <c r="Q1486" s="41"/>
      <c r="R1486" s="111"/>
      <c r="S1486" s="110"/>
    </row>
    <row r="1487" spans="1:19">
      <c r="A1487" s="105">
        <v>2869</v>
      </c>
      <c r="B1487" s="41">
        <v>60000000</v>
      </c>
      <c r="C1487" s="41">
        <v>3.5000000000000001E-3</v>
      </c>
      <c r="D1487" s="41">
        <v>5.6569000000000003</v>
      </c>
      <c r="E1487" s="41">
        <v>30</v>
      </c>
      <c r="F1487" s="41">
        <v>0</v>
      </c>
      <c r="G1487" s="41" t="s">
        <v>103</v>
      </c>
      <c r="H1487" s="41">
        <v>1</v>
      </c>
      <c r="I1487" s="41">
        <v>1</v>
      </c>
      <c r="J1487" s="108">
        <f>POWER(POWER(Table210[[#This Row],[mv]],4)/100,0.25)</f>
        <v>1.1067971810589325E-3</v>
      </c>
      <c r="K1487" s="41">
        <v>0</v>
      </c>
      <c r="L1487" s="41">
        <v>55</v>
      </c>
      <c r="M1487" s="41">
        <v>-1</v>
      </c>
      <c r="N1487" s="41">
        <v>4</v>
      </c>
      <c r="O1487" s="111" t="s">
        <v>3611</v>
      </c>
      <c r="P1487" s="109"/>
      <c r="Q1487" s="41"/>
      <c r="R1487" s="111"/>
      <c r="S1487" s="110"/>
    </row>
    <row r="1488" spans="1:19">
      <c r="A1488" s="105">
        <v>2870</v>
      </c>
      <c r="B1488" s="41">
        <v>60000000</v>
      </c>
      <c r="C1488" s="41">
        <v>3.5000000000000001E-3</v>
      </c>
      <c r="D1488" s="41">
        <v>8</v>
      </c>
      <c r="E1488" s="41">
        <v>30</v>
      </c>
      <c r="F1488" s="41">
        <v>0</v>
      </c>
      <c r="G1488" s="41" t="s">
        <v>103</v>
      </c>
      <c r="H1488" s="41">
        <v>1</v>
      </c>
      <c r="I1488" s="41">
        <v>1</v>
      </c>
      <c r="J1488" s="108">
        <f>POWER(POWER(Table210[[#This Row],[mv]],4)/100,0.25)</f>
        <v>1.1067971810589325E-3</v>
      </c>
      <c r="K1488" s="41">
        <v>0</v>
      </c>
      <c r="L1488" s="41">
        <v>55</v>
      </c>
      <c r="M1488" s="41">
        <v>-1</v>
      </c>
      <c r="N1488" s="41">
        <v>4</v>
      </c>
      <c r="O1488" s="111" t="s">
        <v>3612</v>
      </c>
      <c r="P1488" s="109"/>
      <c r="Q1488" s="41"/>
      <c r="R1488" s="111"/>
      <c r="S1488" s="110"/>
    </row>
    <row r="1489" spans="1:19">
      <c r="A1489" s="105">
        <v>2871</v>
      </c>
      <c r="B1489" s="41">
        <v>60000000</v>
      </c>
      <c r="C1489" s="41">
        <v>3.5000000000000001E-3</v>
      </c>
      <c r="D1489" s="41">
        <v>11.313700000000001</v>
      </c>
      <c r="E1489" s="41">
        <v>30</v>
      </c>
      <c r="F1489" s="41">
        <v>0</v>
      </c>
      <c r="G1489" s="41" t="s">
        <v>103</v>
      </c>
      <c r="H1489" s="41">
        <v>1</v>
      </c>
      <c r="I1489" s="41">
        <v>1</v>
      </c>
      <c r="J1489" s="108">
        <f>POWER(POWER(Table210[[#This Row],[mv]],4)/100,0.25)</f>
        <v>1.1067971810589325E-3</v>
      </c>
      <c r="K1489" s="41">
        <v>0</v>
      </c>
      <c r="L1489" s="41">
        <v>55</v>
      </c>
      <c r="M1489" s="41">
        <v>-1</v>
      </c>
      <c r="N1489" s="41">
        <v>4</v>
      </c>
      <c r="O1489" s="111" t="s">
        <v>3613</v>
      </c>
      <c r="P1489" s="109"/>
      <c r="Q1489" s="41"/>
      <c r="R1489" s="111"/>
      <c r="S1489" s="110"/>
    </row>
    <row r="1490" spans="1:19">
      <c r="A1490" s="105">
        <v>2872</v>
      </c>
      <c r="B1490" s="41">
        <v>60000000</v>
      </c>
      <c r="C1490" s="41">
        <v>3.8E-3</v>
      </c>
      <c r="D1490" s="41">
        <v>5.6569000000000003</v>
      </c>
      <c r="E1490" s="41">
        <v>30</v>
      </c>
      <c r="F1490" s="41">
        <v>0</v>
      </c>
      <c r="G1490" s="41" t="s">
        <v>103</v>
      </c>
      <c r="H1490" s="41">
        <v>1</v>
      </c>
      <c r="I1490" s="41">
        <v>1</v>
      </c>
      <c r="J1490" s="108">
        <f>POWER(POWER(Table210[[#This Row],[mv]],4)/100,0.25)</f>
        <v>1.2016655108639843E-3</v>
      </c>
      <c r="K1490" s="41">
        <v>0</v>
      </c>
      <c r="L1490" s="41">
        <v>55</v>
      </c>
      <c r="M1490" s="41">
        <v>-1</v>
      </c>
      <c r="N1490" s="41">
        <v>4</v>
      </c>
      <c r="O1490" s="111" t="s">
        <v>3614</v>
      </c>
      <c r="P1490" s="109"/>
      <c r="Q1490" s="41"/>
      <c r="R1490" s="111"/>
      <c r="S1490" s="110"/>
    </row>
    <row r="1491" spans="1:19">
      <c r="A1491" s="105">
        <v>2873</v>
      </c>
      <c r="B1491" s="41">
        <v>60000000</v>
      </c>
      <c r="C1491" s="41">
        <v>3.8E-3</v>
      </c>
      <c r="D1491" s="41">
        <v>8</v>
      </c>
      <c r="E1491" s="41">
        <v>30</v>
      </c>
      <c r="F1491" s="41">
        <v>0</v>
      </c>
      <c r="G1491" s="41" t="s">
        <v>103</v>
      </c>
      <c r="H1491" s="41">
        <v>1</v>
      </c>
      <c r="I1491" s="41">
        <v>1</v>
      </c>
      <c r="J1491" s="108">
        <f>POWER(POWER(Table210[[#This Row],[mv]],4)/100,0.25)</f>
        <v>1.2016655108639843E-3</v>
      </c>
      <c r="K1491" s="41">
        <v>0</v>
      </c>
      <c r="L1491" s="41">
        <v>55</v>
      </c>
      <c r="M1491" s="41">
        <v>-1</v>
      </c>
      <c r="N1491" s="41">
        <v>4</v>
      </c>
      <c r="O1491" s="111" t="s">
        <v>3615</v>
      </c>
      <c r="P1491" s="109"/>
      <c r="Q1491" s="41"/>
      <c r="R1491" s="111"/>
      <c r="S1491" s="110"/>
    </row>
    <row r="1492" spans="1:19">
      <c r="A1492" s="105">
        <v>2874</v>
      </c>
      <c r="B1492" s="41">
        <v>60000000</v>
      </c>
      <c r="C1492" s="41">
        <v>3.8E-3</v>
      </c>
      <c r="D1492" s="41">
        <v>11.313700000000001</v>
      </c>
      <c r="E1492" s="41">
        <v>30</v>
      </c>
      <c r="F1492" s="41">
        <v>0</v>
      </c>
      <c r="G1492" s="41" t="s">
        <v>103</v>
      </c>
      <c r="H1492" s="41">
        <v>1</v>
      </c>
      <c r="I1492" s="41">
        <v>1</v>
      </c>
      <c r="J1492" s="108">
        <f>POWER(POWER(Table210[[#This Row],[mv]],4)/100,0.25)</f>
        <v>1.2016655108639843E-3</v>
      </c>
      <c r="K1492" s="41">
        <v>0</v>
      </c>
      <c r="L1492" s="41">
        <v>55</v>
      </c>
      <c r="M1492" s="41">
        <v>-1</v>
      </c>
      <c r="N1492" s="41">
        <v>4</v>
      </c>
      <c r="O1492" s="111" t="s">
        <v>3616</v>
      </c>
      <c r="P1492" s="109"/>
      <c r="Q1492" s="41"/>
      <c r="R1492" s="111"/>
      <c r="S1492" s="110"/>
    </row>
    <row r="1493" spans="1:19">
      <c r="A1493" s="105">
        <v>2875</v>
      </c>
      <c r="B1493" s="41">
        <v>60000000</v>
      </c>
      <c r="C1493" s="41">
        <v>4.1999999999999997E-3</v>
      </c>
      <c r="D1493" s="41">
        <v>5.6569000000000003</v>
      </c>
      <c r="E1493" s="41">
        <v>30</v>
      </c>
      <c r="F1493" s="41">
        <v>0</v>
      </c>
      <c r="G1493" s="41" t="s">
        <v>103</v>
      </c>
      <c r="H1493" s="41">
        <v>1</v>
      </c>
      <c r="I1493" s="41">
        <v>1</v>
      </c>
      <c r="J1493" s="108">
        <f>POWER(POWER(Table210[[#This Row],[mv]],4)/100,0.25)</f>
        <v>1.3281566172707194E-3</v>
      </c>
      <c r="K1493" s="41">
        <v>0</v>
      </c>
      <c r="L1493" s="41">
        <v>55</v>
      </c>
      <c r="M1493" s="41">
        <v>-1</v>
      </c>
      <c r="N1493" s="41">
        <v>4</v>
      </c>
      <c r="O1493" s="111" t="s">
        <v>3617</v>
      </c>
      <c r="P1493" s="109"/>
      <c r="Q1493" s="41"/>
      <c r="R1493" s="111"/>
      <c r="S1493" s="110"/>
    </row>
    <row r="1494" spans="1:19">
      <c r="A1494" s="105">
        <v>2876</v>
      </c>
      <c r="B1494" s="41">
        <v>60000000</v>
      </c>
      <c r="C1494" s="41">
        <v>4.1999999999999997E-3</v>
      </c>
      <c r="D1494" s="41">
        <v>8</v>
      </c>
      <c r="E1494" s="41">
        <v>30</v>
      </c>
      <c r="F1494" s="41">
        <v>0</v>
      </c>
      <c r="G1494" s="41" t="s">
        <v>103</v>
      </c>
      <c r="H1494" s="41">
        <v>1</v>
      </c>
      <c r="I1494" s="41">
        <v>1</v>
      </c>
      <c r="J1494" s="108">
        <f>POWER(POWER(Table210[[#This Row],[mv]],4)/100,0.25)</f>
        <v>1.3281566172707194E-3</v>
      </c>
      <c r="K1494" s="41">
        <v>0</v>
      </c>
      <c r="L1494" s="41">
        <v>55</v>
      </c>
      <c r="M1494" s="41">
        <v>-1</v>
      </c>
      <c r="N1494" s="41">
        <v>4</v>
      </c>
      <c r="O1494" s="111" t="s">
        <v>3618</v>
      </c>
      <c r="P1494" s="109"/>
      <c r="Q1494" s="41"/>
      <c r="R1494" s="111"/>
      <c r="S1494" s="110"/>
    </row>
    <row r="1495" spans="1:19">
      <c r="A1495" s="105">
        <v>2877</v>
      </c>
      <c r="B1495" s="41">
        <v>60000000</v>
      </c>
      <c r="C1495" s="41">
        <v>4.1999999999999997E-3</v>
      </c>
      <c r="D1495" s="41">
        <v>11.313700000000001</v>
      </c>
      <c r="E1495" s="41">
        <v>30</v>
      </c>
      <c r="F1495" s="41">
        <v>0</v>
      </c>
      <c r="G1495" s="41" t="s">
        <v>103</v>
      </c>
      <c r="H1495" s="41">
        <v>1</v>
      </c>
      <c r="I1495" s="41">
        <v>1</v>
      </c>
      <c r="J1495" s="108">
        <f>POWER(POWER(Table210[[#This Row],[mv]],4)/100,0.25)</f>
        <v>1.3281566172707194E-3</v>
      </c>
      <c r="K1495" s="41">
        <v>0</v>
      </c>
      <c r="L1495" s="41">
        <v>55</v>
      </c>
      <c r="M1495" s="41">
        <v>-1</v>
      </c>
      <c r="N1495" s="41">
        <v>4</v>
      </c>
      <c r="O1495" s="111" t="s">
        <v>3619</v>
      </c>
      <c r="P1495" s="109"/>
      <c r="Q1495" s="41"/>
      <c r="R1495" s="111"/>
      <c r="S1495" s="110"/>
    </row>
    <row r="1496" spans="1:19">
      <c r="A1496" s="105">
        <v>2878</v>
      </c>
      <c r="B1496" s="41">
        <v>60000000</v>
      </c>
      <c r="C1496" s="41">
        <v>4.4999999999999997E-3</v>
      </c>
      <c r="D1496" s="41">
        <v>8</v>
      </c>
      <c r="E1496" s="41">
        <v>30</v>
      </c>
      <c r="F1496" s="41">
        <v>0</v>
      </c>
      <c r="G1496" s="41" t="s">
        <v>103</v>
      </c>
      <c r="H1496" s="41">
        <v>1</v>
      </c>
      <c r="I1496" s="41">
        <v>1</v>
      </c>
      <c r="J1496" s="108">
        <f>POWER(POWER(Table210[[#This Row],[mv]],4)/100,0.25)</f>
        <v>1.4230249470757711E-3</v>
      </c>
      <c r="K1496" s="41">
        <v>0</v>
      </c>
      <c r="L1496" s="41">
        <v>55</v>
      </c>
      <c r="M1496" s="41">
        <v>-1</v>
      </c>
      <c r="N1496" s="41">
        <v>4</v>
      </c>
      <c r="O1496" s="111" t="s">
        <v>3620</v>
      </c>
      <c r="P1496" s="109"/>
      <c r="Q1496" s="41"/>
      <c r="R1496" s="111"/>
      <c r="S1496" s="110"/>
    </row>
    <row r="1497" spans="1:19">
      <c r="A1497" s="105">
        <v>2879</v>
      </c>
      <c r="B1497" s="41">
        <v>60000000</v>
      </c>
      <c r="C1497" s="41">
        <v>4.4999999999999997E-3</v>
      </c>
      <c r="D1497" s="41">
        <v>11.313700000000001</v>
      </c>
      <c r="E1497" s="41">
        <v>30</v>
      </c>
      <c r="F1497" s="41">
        <v>0</v>
      </c>
      <c r="G1497" s="41" t="s">
        <v>103</v>
      </c>
      <c r="H1497" s="41">
        <v>1</v>
      </c>
      <c r="I1497" s="41">
        <v>1</v>
      </c>
      <c r="J1497" s="108">
        <f>POWER(POWER(Table210[[#This Row],[mv]],4)/100,0.25)</f>
        <v>1.4230249470757711E-3</v>
      </c>
      <c r="K1497" s="41">
        <v>0</v>
      </c>
      <c r="L1497" s="41">
        <v>55</v>
      </c>
      <c r="M1497" s="41">
        <v>-1</v>
      </c>
      <c r="N1497" s="41">
        <v>4</v>
      </c>
      <c r="O1497" s="111" t="s">
        <v>3621</v>
      </c>
      <c r="P1497" s="109"/>
      <c r="Q1497" s="41"/>
      <c r="R1497" s="111"/>
      <c r="S1497" s="110"/>
    </row>
    <row r="1498" spans="1:19">
      <c r="A1498" s="105">
        <v>2880</v>
      </c>
      <c r="B1498" s="41">
        <v>60000000</v>
      </c>
      <c r="C1498" s="41">
        <v>4.8999999999999998E-3</v>
      </c>
      <c r="D1498" s="41">
        <v>8</v>
      </c>
      <c r="E1498" s="41">
        <v>30</v>
      </c>
      <c r="F1498" s="41">
        <v>0</v>
      </c>
      <c r="G1498" s="41" t="s">
        <v>103</v>
      </c>
      <c r="H1498" s="41">
        <v>1</v>
      </c>
      <c r="I1498" s="41">
        <v>1</v>
      </c>
      <c r="J1498" s="108">
        <f>POWER(POWER(Table210[[#This Row],[mv]],4)/100,0.25)</f>
        <v>1.5495160534825054E-3</v>
      </c>
      <c r="K1498" s="41">
        <v>0</v>
      </c>
      <c r="L1498" s="41">
        <v>55</v>
      </c>
      <c r="M1498" s="41">
        <v>-1</v>
      </c>
      <c r="N1498" s="41">
        <v>4</v>
      </c>
      <c r="O1498" s="111" t="s">
        <v>3622</v>
      </c>
      <c r="P1498" s="109"/>
      <c r="Q1498" s="41"/>
      <c r="R1498" s="111"/>
      <c r="S1498" s="110"/>
    </row>
    <row r="1499" spans="1:19">
      <c r="A1499" s="105">
        <v>2881</v>
      </c>
      <c r="B1499" s="41">
        <v>12000000</v>
      </c>
      <c r="C1499" s="41">
        <v>1.1999999999999999E-3</v>
      </c>
      <c r="D1499" s="41">
        <v>0.5</v>
      </c>
      <c r="E1499" s="41">
        <v>30</v>
      </c>
      <c r="F1499" s="41">
        <v>0</v>
      </c>
      <c r="G1499" s="41" t="s">
        <v>505</v>
      </c>
      <c r="H1499" s="41">
        <v>1</v>
      </c>
      <c r="I1499" s="41">
        <v>1</v>
      </c>
      <c r="J1499" s="108">
        <v>0</v>
      </c>
      <c r="K1499" s="41">
        <v>0</v>
      </c>
      <c r="L1499" s="41">
        <v>55</v>
      </c>
      <c r="M1499" s="41">
        <v>-1</v>
      </c>
      <c r="N1499" s="41">
        <v>2</v>
      </c>
      <c r="O1499" s="111" t="s">
        <v>3624</v>
      </c>
      <c r="P1499" s="109">
        <v>27182</v>
      </c>
      <c r="Q1499" s="41"/>
      <c r="R1499" s="111"/>
      <c r="S1499" s="110" t="s">
        <v>3804</v>
      </c>
    </row>
    <row r="1500" spans="1:19">
      <c r="A1500" s="105">
        <v>2882</v>
      </c>
      <c r="B1500" s="41">
        <v>12000000</v>
      </c>
      <c r="C1500" s="41">
        <v>1.1999999999999999E-3</v>
      </c>
      <c r="D1500" s="41">
        <v>0.70709999999999995</v>
      </c>
      <c r="E1500" s="41">
        <v>30</v>
      </c>
      <c r="F1500" s="41">
        <v>0</v>
      </c>
      <c r="G1500" s="41" t="s">
        <v>505</v>
      </c>
      <c r="H1500" s="41">
        <v>1</v>
      </c>
      <c r="I1500" s="41">
        <v>1</v>
      </c>
      <c r="J1500" s="108">
        <f>POWER(POWER(Table210[[#This Row],[mv]],4)/10,0.25)</f>
        <v>6.7480959022841905E-4</v>
      </c>
      <c r="K1500" s="41">
        <v>0</v>
      </c>
      <c r="L1500" s="41">
        <v>55</v>
      </c>
      <c r="M1500" s="41">
        <v>-1</v>
      </c>
      <c r="N1500" s="41">
        <v>2</v>
      </c>
      <c r="O1500" s="111" t="s">
        <v>3625</v>
      </c>
      <c r="P1500" s="109">
        <v>27182</v>
      </c>
      <c r="Q1500" s="41"/>
      <c r="R1500" s="111"/>
      <c r="S1500" s="110"/>
    </row>
    <row r="1501" spans="1:19">
      <c r="A1501" s="105">
        <v>2883</v>
      </c>
      <c r="B1501" s="41">
        <v>12000000</v>
      </c>
      <c r="C1501" s="41">
        <v>1.1999999999999999E-3</v>
      </c>
      <c r="D1501" s="41">
        <v>1</v>
      </c>
      <c r="E1501" s="41">
        <v>30</v>
      </c>
      <c r="F1501" s="41">
        <v>0</v>
      </c>
      <c r="G1501" s="41" t="s">
        <v>505</v>
      </c>
      <c r="H1501" s="41">
        <v>1</v>
      </c>
      <c r="I1501" s="41">
        <v>1</v>
      </c>
      <c r="J1501" s="108">
        <f>POWER(POWER(Table210[[#This Row],[mv]],4)/10,0.25)</f>
        <v>6.7480959022841905E-4</v>
      </c>
      <c r="K1501" s="41">
        <v>0</v>
      </c>
      <c r="L1501" s="41">
        <v>55</v>
      </c>
      <c r="M1501" s="41">
        <v>-1</v>
      </c>
      <c r="N1501" s="41">
        <v>2</v>
      </c>
      <c r="O1501" s="111" t="s">
        <v>3626</v>
      </c>
      <c r="P1501" s="109">
        <v>27182</v>
      </c>
      <c r="Q1501" s="41"/>
      <c r="R1501" s="111"/>
      <c r="S1501" s="110"/>
    </row>
    <row r="1502" spans="1:19">
      <c r="A1502" s="105">
        <v>2884</v>
      </c>
      <c r="B1502" s="41">
        <v>12000000</v>
      </c>
      <c r="C1502" s="41">
        <v>1.1999999999999999E-3</v>
      </c>
      <c r="D1502" s="41">
        <v>1.4141999999999999</v>
      </c>
      <c r="E1502" s="41">
        <v>30</v>
      </c>
      <c r="F1502" s="41">
        <v>0</v>
      </c>
      <c r="G1502" s="41" t="s">
        <v>505</v>
      </c>
      <c r="H1502" s="41">
        <v>1</v>
      </c>
      <c r="I1502" s="41">
        <v>1</v>
      </c>
      <c r="J1502" s="108">
        <f>POWER(POWER(Table210[[#This Row],[mv]],4)/10,0.25)</f>
        <v>6.7480959022841905E-4</v>
      </c>
      <c r="K1502" s="41">
        <v>0</v>
      </c>
      <c r="L1502" s="41">
        <v>55</v>
      </c>
      <c r="M1502" s="41">
        <v>-1</v>
      </c>
      <c r="N1502" s="41">
        <v>2</v>
      </c>
      <c r="O1502" s="111" t="s">
        <v>3627</v>
      </c>
      <c r="P1502" s="109">
        <v>27182</v>
      </c>
      <c r="Q1502" s="41"/>
      <c r="R1502" s="111"/>
      <c r="S1502" s="110"/>
    </row>
    <row r="1503" spans="1:19">
      <c r="A1503" s="105">
        <v>2885</v>
      </c>
      <c r="B1503" s="41">
        <v>12000000</v>
      </c>
      <c r="C1503" s="41">
        <v>1.1999999999999999E-3</v>
      </c>
      <c r="D1503" s="41">
        <v>2</v>
      </c>
      <c r="E1503" s="41">
        <v>30</v>
      </c>
      <c r="F1503" s="41">
        <v>0</v>
      </c>
      <c r="G1503" s="41" t="s">
        <v>505</v>
      </c>
      <c r="H1503" s="41">
        <v>1</v>
      </c>
      <c r="I1503" s="41">
        <v>1</v>
      </c>
      <c r="J1503" s="108">
        <f>POWER(POWER(Table210[[#This Row],[mv]],4)/10,0.25)</f>
        <v>6.7480959022841905E-4</v>
      </c>
      <c r="K1503" s="41">
        <v>0</v>
      </c>
      <c r="L1503" s="41">
        <v>55</v>
      </c>
      <c r="M1503" s="41">
        <v>-1</v>
      </c>
      <c r="N1503" s="41">
        <v>2</v>
      </c>
      <c r="O1503" s="111" t="s">
        <v>3628</v>
      </c>
      <c r="P1503" s="109">
        <v>27182</v>
      </c>
      <c r="Q1503" s="41"/>
      <c r="R1503" s="111"/>
      <c r="S1503" s="110"/>
    </row>
    <row r="1504" spans="1:19">
      <c r="A1504" s="105">
        <v>2886</v>
      </c>
      <c r="B1504" s="41">
        <v>12000000</v>
      </c>
      <c r="C1504" s="41">
        <v>1.1999999999999999E-3</v>
      </c>
      <c r="D1504" s="41">
        <v>2.8283999999999998</v>
      </c>
      <c r="E1504" s="41">
        <v>30</v>
      </c>
      <c r="F1504" s="41">
        <v>0</v>
      </c>
      <c r="G1504" s="41" t="s">
        <v>505</v>
      </c>
      <c r="H1504" s="41">
        <v>1</v>
      </c>
      <c r="I1504" s="41">
        <v>1</v>
      </c>
      <c r="J1504" s="108">
        <f>POWER(POWER(Table210[[#This Row],[mv]],4)/10,0.25)</f>
        <v>6.7480959022841905E-4</v>
      </c>
      <c r="K1504" s="41">
        <v>0</v>
      </c>
      <c r="L1504" s="41">
        <v>55</v>
      </c>
      <c r="M1504" s="41">
        <v>-1</v>
      </c>
      <c r="N1504" s="41">
        <v>2</v>
      </c>
      <c r="O1504" s="111" t="s">
        <v>3629</v>
      </c>
      <c r="P1504" s="109">
        <v>27182</v>
      </c>
      <c r="Q1504" s="41"/>
      <c r="R1504" s="111"/>
      <c r="S1504" s="110"/>
    </row>
    <row r="1505" spans="1:19">
      <c r="A1505" s="105">
        <v>2887</v>
      </c>
      <c r="B1505" s="41">
        <v>12000000</v>
      </c>
      <c r="C1505" s="41">
        <v>1.1999999999999999E-3</v>
      </c>
      <c r="D1505" s="41">
        <v>4</v>
      </c>
      <c r="E1505" s="41">
        <v>30</v>
      </c>
      <c r="F1505" s="41">
        <v>0</v>
      </c>
      <c r="G1505" s="41" t="s">
        <v>505</v>
      </c>
      <c r="H1505" s="41">
        <v>1</v>
      </c>
      <c r="I1505" s="41">
        <v>1</v>
      </c>
      <c r="J1505" s="108">
        <f>POWER(POWER(Table210[[#This Row],[mv]],4)/10,0.25)</f>
        <v>6.7480959022841905E-4</v>
      </c>
      <c r="K1505" s="41">
        <v>0</v>
      </c>
      <c r="L1505" s="41">
        <v>55</v>
      </c>
      <c r="M1505" s="41">
        <v>-1</v>
      </c>
      <c r="N1505" s="41">
        <v>2</v>
      </c>
      <c r="O1505" s="111" t="s">
        <v>3630</v>
      </c>
      <c r="P1505" s="109">
        <v>27182</v>
      </c>
      <c r="Q1505" s="41"/>
      <c r="R1505" s="111"/>
      <c r="S1505" s="110"/>
    </row>
    <row r="1506" spans="1:19">
      <c r="A1506" s="105">
        <v>2888</v>
      </c>
      <c r="B1506" s="41">
        <v>12000000</v>
      </c>
      <c r="C1506" s="41">
        <v>1.1999999999999999E-3</v>
      </c>
      <c r="D1506" s="41">
        <v>5.6569000000000003</v>
      </c>
      <c r="E1506" s="41">
        <v>30</v>
      </c>
      <c r="F1506" s="41">
        <v>0</v>
      </c>
      <c r="G1506" s="41" t="s">
        <v>505</v>
      </c>
      <c r="H1506" s="41">
        <v>1</v>
      </c>
      <c r="I1506" s="41">
        <v>1</v>
      </c>
      <c r="J1506" s="108">
        <f>POWER(POWER(Table210[[#This Row],[mv]],4)/10,0.25)</f>
        <v>6.7480959022841905E-4</v>
      </c>
      <c r="K1506" s="41">
        <v>0</v>
      </c>
      <c r="L1506" s="41">
        <v>55</v>
      </c>
      <c r="M1506" s="41">
        <v>-1</v>
      </c>
      <c r="N1506" s="41">
        <v>2</v>
      </c>
      <c r="O1506" s="111" t="s">
        <v>3631</v>
      </c>
      <c r="P1506" s="109">
        <v>27182</v>
      </c>
      <c r="Q1506" s="41"/>
      <c r="R1506" s="111"/>
      <c r="S1506" s="110"/>
    </row>
    <row r="1507" spans="1:19">
      <c r="A1507" s="105">
        <v>2889</v>
      </c>
      <c r="B1507" s="41">
        <v>12000000</v>
      </c>
      <c r="C1507" s="41">
        <v>1.1999999999999999E-3</v>
      </c>
      <c r="D1507" s="41">
        <v>8</v>
      </c>
      <c r="E1507" s="41">
        <v>30</v>
      </c>
      <c r="F1507" s="41">
        <v>0</v>
      </c>
      <c r="G1507" s="41" t="s">
        <v>505</v>
      </c>
      <c r="H1507" s="41">
        <v>1</v>
      </c>
      <c r="I1507" s="41">
        <v>1</v>
      </c>
      <c r="J1507" s="108">
        <f>POWER(POWER(Table210[[#This Row],[mv]],4)/10,0.25)</f>
        <v>6.7480959022841905E-4</v>
      </c>
      <c r="K1507" s="41">
        <v>0</v>
      </c>
      <c r="L1507" s="41">
        <v>55</v>
      </c>
      <c r="M1507" s="41">
        <v>-1</v>
      </c>
      <c r="N1507" s="41">
        <v>2</v>
      </c>
      <c r="O1507" s="111" t="s">
        <v>3632</v>
      </c>
      <c r="P1507" s="109">
        <v>27182</v>
      </c>
      <c r="Q1507" s="41"/>
      <c r="R1507" s="111"/>
      <c r="S1507" s="110"/>
    </row>
    <row r="1508" spans="1:19">
      <c r="A1508" s="105">
        <v>2890</v>
      </c>
      <c r="B1508" s="41">
        <v>12000000</v>
      </c>
      <c r="C1508" s="41">
        <v>1.1999999999999999E-3</v>
      </c>
      <c r="D1508" s="41">
        <v>11.313700000000001</v>
      </c>
      <c r="E1508" s="41">
        <v>30</v>
      </c>
      <c r="F1508" s="41">
        <v>0</v>
      </c>
      <c r="G1508" s="41" t="s">
        <v>505</v>
      </c>
      <c r="H1508" s="41">
        <v>1</v>
      </c>
      <c r="I1508" s="41">
        <v>1</v>
      </c>
      <c r="J1508" s="108">
        <f>POWER(POWER(Table210[[#This Row],[mv]],4)/10,0.25)</f>
        <v>6.7480959022841905E-4</v>
      </c>
      <c r="K1508" s="41">
        <v>0</v>
      </c>
      <c r="L1508" s="41">
        <v>55</v>
      </c>
      <c r="M1508" s="41">
        <v>-1</v>
      </c>
      <c r="N1508" s="41">
        <v>2</v>
      </c>
      <c r="O1508" s="111" t="s">
        <v>3633</v>
      </c>
      <c r="P1508" s="109">
        <v>27182</v>
      </c>
      <c r="Q1508" s="41"/>
      <c r="R1508" s="111"/>
      <c r="S1508" s="110"/>
    </row>
    <row r="1509" spans="1:19">
      <c r="A1509" s="105">
        <v>2891</v>
      </c>
      <c r="B1509" s="41">
        <v>12000000</v>
      </c>
      <c r="C1509" s="41">
        <v>1.2999999999999999E-3</v>
      </c>
      <c r="D1509" s="41">
        <v>0.70709999999999995</v>
      </c>
      <c r="E1509" s="41">
        <v>30</v>
      </c>
      <c r="F1509" s="41">
        <v>0</v>
      </c>
      <c r="G1509" s="41" t="s">
        <v>505</v>
      </c>
      <c r="H1509" s="41">
        <v>1</v>
      </c>
      <c r="I1509" s="41">
        <v>1</v>
      </c>
      <c r="J1509" s="108">
        <f>POWER(POWER(Table210[[#This Row],[mv]],4)/10,0.25)</f>
        <v>7.3104372274745391E-4</v>
      </c>
      <c r="K1509" s="41">
        <v>0</v>
      </c>
      <c r="L1509" s="41">
        <v>55</v>
      </c>
      <c r="M1509" s="41">
        <v>-1</v>
      </c>
      <c r="N1509" s="41">
        <v>2</v>
      </c>
      <c r="O1509" s="111" t="s">
        <v>3634</v>
      </c>
      <c r="P1509" s="109">
        <v>27182</v>
      </c>
      <c r="Q1509" s="41"/>
      <c r="R1509" s="111"/>
      <c r="S1509" s="110"/>
    </row>
    <row r="1510" spans="1:19">
      <c r="A1510" s="105">
        <v>2892</v>
      </c>
      <c r="B1510" s="41">
        <v>12000000</v>
      </c>
      <c r="C1510" s="41">
        <v>1.2999999999999999E-3</v>
      </c>
      <c r="D1510" s="41">
        <v>1</v>
      </c>
      <c r="E1510" s="41">
        <v>30</v>
      </c>
      <c r="F1510" s="41">
        <v>0</v>
      </c>
      <c r="G1510" s="41" t="s">
        <v>505</v>
      </c>
      <c r="H1510" s="41">
        <v>1</v>
      </c>
      <c r="I1510" s="41">
        <v>1</v>
      </c>
      <c r="J1510" s="108">
        <f>POWER(POWER(Table210[[#This Row],[mv]],4)/10,0.25)</f>
        <v>7.3104372274745391E-4</v>
      </c>
      <c r="K1510" s="41">
        <v>0</v>
      </c>
      <c r="L1510" s="41">
        <v>55</v>
      </c>
      <c r="M1510" s="41">
        <v>-1</v>
      </c>
      <c r="N1510" s="41">
        <v>2</v>
      </c>
      <c r="O1510" s="111" t="s">
        <v>3635</v>
      </c>
      <c r="P1510" s="109">
        <v>27182</v>
      </c>
      <c r="Q1510" s="41"/>
      <c r="R1510" s="111"/>
      <c r="S1510" s="110"/>
    </row>
    <row r="1511" spans="1:19">
      <c r="A1511" s="105">
        <v>2893</v>
      </c>
      <c r="B1511" s="41">
        <v>12000000</v>
      </c>
      <c r="C1511" s="41">
        <v>1.2999999999999999E-3</v>
      </c>
      <c r="D1511" s="41">
        <v>1.4141999999999999</v>
      </c>
      <c r="E1511" s="41">
        <v>30</v>
      </c>
      <c r="F1511" s="41">
        <v>0</v>
      </c>
      <c r="G1511" s="41" t="s">
        <v>505</v>
      </c>
      <c r="H1511" s="41">
        <v>1</v>
      </c>
      <c r="I1511" s="41">
        <v>1</v>
      </c>
      <c r="J1511" s="108">
        <f>POWER(POWER(Table210[[#This Row],[mv]],4)/10,0.25)</f>
        <v>7.3104372274745391E-4</v>
      </c>
      <c r="K1511" s="41">
        <v>0</v>
      </c>
      <c r="L1511" s="41">
        <v>55</v>
      </c>
      <c r="M1511" s="41">
        <v>-1</v>
      </c>
      <c r="N1511" s="41">
        <v>2</v>
      </c>
      <c r="O1511" s="111" t="s">
        <v>3636</v>
      </c>
      <c r="P1511" s="109">
        <v>27182</v>
      </c>
      <c r="Q1511" s="41"/>
      <c r="R1511" s="111"/>
      <c r="S1511" s="110"/>
    </row>
    <row r="1512" spans="1:19">
      <c r="A1512" s="105">
        <v>2894</v>
      </c>
      <c r="B1512" s="41">
        <v>12000000</v>
      </c>
      <c r="C1512" s="41">
        <v>1.2999999999999999E-3</v>
      </c>
      <c r="D1512" s="41">
        <v>2</v>
      </c>
      <c r="E1512" s="41">
        <v>30</v>
      </c>
      <c r="F1512" s="41">
        <v>0</v>
      </c>
      <c r="G1512" s="41" t="s">
        <v>505</v>
      </c>
      <c r="H1512" s="41">
        <v>1</v>
      </c>
      <c r="I1512" s="41">
        <v>1</v>
      </c>
      <c r="J1512" s="108">
        <f>POWER(POWER(Table210[[#This Row],[mv]],4)/10,0.25)</f>
        <v>7.3104372274745391E-4</v>
      </c>
      <c r="K1512" s="41">
        <v>0</v>
      </c>
      <c r="L1512" s="41">
        <v>55</v>
      </c>
      <c r="M1512" s="41">
        <v>-1</v>
      </c>
      <c r="N1512" s="41">
        <v>2</v>
      </c>
      <c r="O1512" s="111" t="s">
        <v>3637</v>
      </c>
      <c r="P1512" s="109">
        <v>27182</v>
      </c>
      <c r="Q1512" s="41"/>
      <c r="R1512" s="111"/>
      <c r="S1512" s="110"/>
    </row>
    <row r="1513" spans="1:19">
      <c r="A1513" s="105">
        <v>2895</v>
      </c>
      <c r="B1513" s="41">
        <v>12000000</v>
      </c>
      <c r="C1513" s="41">
        <v>1.2999999999999999E-3</v>
      </c>
      <c r="D1513" s="41">
        <v>2.8283999999999998</v>
      </c>
      <c r="E1513" s="41">
        <v>30</v>
      </c>
      <c r="F1513" s="41">
        <v>0</v>
      </c>
      <c r="G1513" s="41" t="s">
        <v>505</v>
      </c>
      <c r="H1513" s="41">
        <v>1</v>
      </c>
      <c r="I1513" s="41">
        <v>1</v>
      </c>
      <c r="J1513" s="108">
        <f>POWER(POWER(Table210[[#This Row],[mv]],4)/10,0.25)</f>
        <v>7.3104372274745391E-4</v>
      </c>
      <c r="K1513" s="41">
        <v>0</v>
      </c>
      <c r="L1513" s="41">
        <v>55</v>
      </c>
      <c r="M1513" s="41">
        <v>-1</v>
      </c>
      <c r="N1513" s="41">
        <v>2</v>
      </c>
      <c r="O1513" s="111" t="s">
        <v>3638</v>
      </c>
      <c r="P1513" s="109">
        <v>27182</v>
      </c>
      <c r="Q1513" s="41"/>
      <c r="R1513" s="111"/>
      <c r="S1513" s="110"/>
    </row>
    <row r="1514" spans="1:19">
      <c r="A1514" s="105">
        <v>2896</v>
      </c>
      <c r="B1514" s="41">
        <v>12000000</v>
      </c>
      <c r="C1514" s="41">
        <v>1.2999999999999999E-3</v>
      </c>
      <c r="D1514" s="41">
        <v>4</v>
      </c>
      <c r="E1514" s="41">
        <v>30</v>
      </c>
      <c r="F1514" s="41">
        <v>0</v>
      </c>
      <c r="G1514" s="41" t="s">
        <v>505</v>
      </c>
      <c r="H1514" s="41">
        <v>1</v>
      </c>
      <c r="I1514" s="41">
        <v>1</v>
      </c>
      <c r="J1514" s="108">
        <f>POWER(POWER(Table210[[#This Row],[mv]],4)/10,0.25)</f>
        <v>7.3104372274745391E-4</v>
      </c>
      <c r="K1514" s="41">
        <v>0</v>
      </c>
      <c r="L1514" s="41">
        <v>55</v>
      </c>
      <c r="M1514" s="41">
        <v>-1</v>
      </c>
      <c r="N1514" s="41">
        <v>2</v>
      </c>
      <c r="O1514" s="111" t="s">
        <v>3639</v>
      </c>
      <c r="P1514" s="109">
        <v>27182</v>
      </c>
      <c r="Q1514" s="41"/>
      <c r="R1514" s="111"/>
      <c r="S1514" s="110"/>
    </row>
    <row r="1515" spans="1:19">
      <c r="A1515" s="105">
        <v>2897</v>
      </c>
      <c r="B1515" s="41">
        <v>12000000</v>
      </c>
      <c r="C1515" s="41">
        <v>1.2999999999999999E-3</v>
      </c>
      <c r="D1515" s="41">
        <v>5.6569000000000003</v>
      </c>
      <c r="E1515" s="41">
        <v>30</v>
      </c>
      <c r="F1515" s="41">
        <v>0</v>
      </c>
      <c r="G1515" s="41" t="s">
        <v>505</v>
      </c>
      <c r="H1515" s="41">
        <v>1</v>
      </c>
      <c r="I1515" s="41">
        <v>1</v>
      </c>
      <c r="J1515" s="108">
        <f>POWER(POWER(Table210[[#This Row],[mv]],4)/10,0.25)</f>
        <v>7.3104372274745391E-4</v>
      </c>
      <c r="K1515" s="41">
        <v>0</v>
      </c>
      <c r="L1515" s="41">
        <v>55</v>
      </c>
      <c r="M1515" s="41">
        <v>-1</v>
      </c>
      <c r="N1515" s="41">
        <v>2</v>
      </c>
      <c r="O1515" s="111" t="s">
        <v>3640</v>
      </c>
      <c r="P1515" s="109">
        <v>27182</v>
      </c>
      <c r="Q1515" s="41"/>
      <c r="R1515" s="111"/>
      <c r="S1515" s="110"/>
    </row>
    <row r="1516" spans="1:19">
      <c r="A1516" s="105">
        <v>2898</v>
      </c>
      <c r="B1516" s="41">
        <v>12000000</v>
      </c>
      <c r="C1516" s="41">
        <v>1.2999999999999999E-3</v>
      </c>
      <c r="D1516" s="41">
        <v>8</v>
      </c>
      <c r="E1516" s="41">
        <v>30</v>
      </c>
      <c r="F1516" s="41">
        <v>0</v>
      </c>
      <c r="G1516" s="41" t="s">
        <v>505</v>
      </c>
      <c r="H1516" s="41">
        <v>1</v>
      </c>
      <c r="I1516" s="41">
        <v>1</v>
      </c>
      <c r="J1516" s="108">
        <f>POWER(POWER(Table210[[#This Row],[mv]],4)/10,0.25)</f>
        <v>7.3104372274745391E-4</v>
      </c>
      <c r="K1516" s="41">
        <v>0</v>
      </c>
      <c r="L1516" s="41">
        <v>55</v>
      </c>
      <c r="M1516" s="41">
        <v>-1</v>
      </c>
      <c r="N1516" s="41">
        <v>2</v>
      </c>
      <c r="O1516" s="111" t="s">
        <v>3641</v>
      </c>
      <c r="P1516" s="109">
        <v>27182</v>
      </c>
      <c r="Q1516" s="41"/>
      <c r="R1516" s="111"/>
      <c r="S1516" s="110"/>
    </row>
    <row r="1517" spans="1:19">
      <c r="A1517" s="105">
        <v>2899</v>
      </c>
      <c r="B1517" s="41">
        <v>12000000</v>
      </c>
      <c r="C1517" s="41">
        <v>1.2999999999999999E-3</v>
      </c>
      <c r="D1517" s="41">
        <v>11.313700000000001</v>
      </c>
      <c r="E1517" s="41">
        <v>30</v>
      </c>
      <c r="F1517" s="41">
        <v>0</v>
      </c>
      <c r="G1517" s="41" t="s">
        <v>505</v>
      </c>
      <c r="H1517" s="41">
        <v>1</v>
      </c>
      <c r="I1517" s="41">
        <v>1</v>
      </c>
      <c r="J1517" s="108">
        <f>POWER(POWER(Table210[[#This Row],[mv]],4)/10,0.25)</f>
        <v>7.3104372274745391E-4</v>
      </c>
      <c r="K1517" s="41">
        <v>0</v>
      </c>
      <c r="L1517" s="41">
        <v>55</v>
      </c>
      <c r="M1517" s="41">
        <v>-1</v>
      </c>
      <c r="N1517" s="41">
        <v>2</v>
      </c>
      <c r="O1517" s="111" t="s">
        <v>3642</v>
      </c>
      <c r="P1517" s="109">
        <v>27182</v>
      </c>
      <c r="Q1517" s="41"/>
      <c r="R1517" s="111"/>
      <c r="S1517" s="110"/>
    </row>
    <row r="1518" spans="1:19">
      <c r="A1518" s="105">
        <v>2900</v>
      </c>
      <c r="B1518" s="41">
        <v>12000000</v>
      </c>
      <c r="C1518" s="41">
        <v>1.2999999999999999E-3</v>
      </c>
      <c r="D1518" s="41">
        <v>16</v>
      </c>
      <c r="E1518" s="41">
        <v>30</v>
      </c>
      <c r="F1518" s="41">
        <v>0</v>
      </c>
      <c r="G1518" s="41" t="s">
        <v>505</v>
      </c>
      <c r="H1518" s="41">
        <v>1</v>
      </c>
      <c r="I1518" s="41">
        <v>1</v>
      </c>
      <c r="J1518" s="108">
        <f>POWER(POWER(Table210[[#This Row],[mv]],4)/10,0.25)</f>
        <v>7.3104372274745391E-4</v>
      </c>
      <c r="K1518" s="41">
        <v>0</v>
      </c>
      <c r="L1518" s="41">
        <v>55</v>
      </c>
      <c r="M1518" s="41">
        <v>-1</v>
      </c>
      <c r="N1518" s="41">
        <v>2</v>
      </c>
      <c r="O1518" s="111" t="s">
        <v>3643</v>
      </c>
      <c r="P1518" s="109">
        <v>27182</v>
      </c>
      <c r="Q1518" s="41"/>
      <c r="R1518" s="111"/>
      <c r="S1518" s="110"/>
    </row>
    <row r="1519" spans="1:19">
      <c r="A1519" s="105">
        <v>2901</v>
      </c>
      <c r="B1519" s="41">
        <v>12000000</v>
      </c>
      <c r="C1519" s="41">
        <v>1.5E-3</v>
      </c>
      <c r="D1519" s="41">
        <v>0.70709999999999995</v>
      </c>
      <c r="E1519" s="41">
        <v>30</v>
      </c>
      <c r="F1519" s="41">
        <v>0</v>
      </c>
      <c r="G1519" s="41" t="s">
        <v>505</v>
      </c>
      <c r="H1519" s="41">
        <v>1</v>
      </c>
      <c r="I1519" s="41">
        <v>1</v>
      </c>
      <c r="J1519" s="108">
        <f>POWER(POWER(Table210[[#This Row],[mv]],4)/10,0.25)</f>
        <v>8.4351198778552375E-4</v>
      </c>
      <c r="K1519" s="41">
        <v>0</v>
      </c>
      <c r="L1519" s="41">
        <v>55</v>
      </c>
      <c r="M1519" s="41">
        <v>-1</v>
      </c>
      <c r="N1519" s="41">
        <v>2</v>
      </c>
      <c r="O1519" s="111" t="s">
        <v>3644</v>
      </c>
      <c r="P1519" s="109">
        <v>27182</v>
      </c>
      <c r="Q1519" s="41"/>
      <c r="R1519" s="111"/>
      <c r="S1519" s="110"/>
    </row>
    <row r="1520" spans="1:19">
      <c r="A1520" s="105">
        <v>2902</v>
      </c>
      <c r="B1520" s="41">
        <v>12000000</v>
      </c>
      <c r="C1520" s="41">
        <v>1.5E-3</v>
      </c>
      <c r="D1520" s="41">
        <v>1</v>
      </c>
      <c r="E1520" s="41">
        <v>30</v>
      </c>
      <c r="F1520" s="41">
        <v>0</v>
      </c>
      <c r="G1520" s="41" t="s">
        <v>505</v>
      </c>
      <c r="H1520" s="41">
        <v>1</v>
      </c>
      <c r="I1520" s="41">
        <v>1</v>
      </c>
      <c r="J1520" s="108">
        <f>POWER(POWER(Table210[[#This Row],[mv]],4)/10,0.25)</f>
        <v>8.4351198778552375E-4</v>
      </c>
      <c r="K1520" s="41">
        <v>0</v>
      </c>
      <c r="L1520" s="41">
        <v>55</v>
      </c>
      <c r="M1520" s="41">
        <v>-1</v>
      </c>
      <c r="N1520" s="41">
        <v>2</v>
      </c>
      <c r="O1520" s="111" t="s">
        <v>3645</v>
      </c>
      <c r="P1520" s="109">
        <v>27182</v>
      </c>
      <c r="Q1520" s="41"/>
      <c r="R1520" s="111"/>
      <c r="S1520" s="110"/>
    </row>
    <row r="1521" spans="1:19">
      <c r="A1521" s="105">
        <v>2903</v>
      </c>
      <c r="B1521" s="41">
        <v>12000000</v>
      </c>
      <c r="C1521" s="41">
        <v>1.5E-3</v>
      </c>
      <c r="D1521" s="41">
        <v>1.4141999999999999</v>
      </c>
      <c r="E1521" s="41">
        <v>30</v>
      </c>
      <c r="F1521" s="41">
        <v>0</v>
      </c>
      <c r="G1521" s="41" t="s">
        <v>505</v>
      </c>
      <c r="H1521" s="41">
        <v>1</v>
      </c>
      <c r="I1521" s="41">
        <v>1</v>
      </c>
      <c r="J1521" s="108">
        <f>POWER(POWER(Table210[[#This Row],[mv]],4)/10,0.25)</f>
        <v>8.4351198778552375E-4</v>
      </c>
      <c r="K1521" s="41">
        <v>0</v>
      </c>
      <c r="L1521" s="41">
        <v>55</v>
      </c>
      <c r="M1521" s="41">
        <v>-1</v>
      </c>
      <c r="N1521" s="41">
        <v>2</v>
      </c>
      <c r="O1521" s="111" t="s">
        <v>3646</v>
      </c>
      <c r="P1521" s="109">
        <v>27182</v>
      </c>
      <c r="Q1521" s="41"/>
      <c r="R1521" s="111"/>
      <c r="S1521" s="110"/>
    </row>
    <row r="1522" spans="1:19">
      <c r="A1522" s="105">
        <v>2904</v>
      </c>
      <c r="B1522" s="41">
        <v>12000000</v>
      </c>
      <c r="C1522" s="41">
        <v>1.5E-3</v>
      </c>
      <c r="D1522" s="41">
        <v>2</v>
      </c>
      <c r="E1522" s="41">
        <v>30</v>
      </c>
      <c r="F1522" s="41">
        <v>0</v>
      </c>
      <c r="G1522" s="41" t="s">
        <v>505</v>
      </c>
      <c r="H1522" s="41">
        <v>1</v>
      </c>
      <c r="I1522" s="41">
        <v>1</v>
      </c>
      <c r="J1522" s="108">
        <f>POWER(POWER(Table210[[#This Row],[mv]],4)/10,0.25)</f>
        <v>8.4351198778552375E-4</v>
      </c>
      <c r="K1522" s="41">
        <v>0</v>
      </c>
      <c r="L1522" s="41">
        <v>55</v>
      </c>
      <c r="M1522" s="41">
        <v>-1</v>
      </c>
      <c r="N1522" s="41">
        <v>2</v>
      </c>
      <c r="O1522" s="111" t="s">
        <v>3647</v>
      </c>
      <c r="P1522" s="109">
        <v>27182</v>
      </c>
      <c r="Q1522" s="41"/>
      <c r="R1522" s="111"/>
      <c r="S1522" s="110"/>
    </row>
    <row r="1523" spans="1:19">
      <c r="A1523" s="105">
        <v>2905</v>
      </c>
      <c r="B1523" s="41">
        <v>12000000</v>
      </c>
      <c r="C1523" s="41">
        <v>1.5E-3</v>
      </c>
      <c r="D1523" s="41">
        <v>2.8283999999999998</v>
      </c>
      <c r="E1523" s="41">
        <v>30</v>
      </c>
      <c r="F1523" s="41">
        <v>0</v>
      </c>
      <c r="G1523" s="41" t="s">
        <v>505</v>
      </c>
      <c r="H1523" s="41">
        <v>1</v>
      </c>
      <c r="I1523" s="41">
        <v>1</v>
      </c>
      <c r="J1523" s="108">
        <f>POWER(POWER(Table210[[#This Row],[mv]],4)/10,0.25)</f>
        <v>8.4351198778552375E-4</v>
      </c>
      <c r="K1523" s="41">
        <v>0</v>
      </c>
      <c r="L1523" s="41">
        <v>55</v>
      </c>
      <c r="M1523" s="41">
        <v>-1</v>
      </c>
      <c r="N1523" s="41">
        <v>2</v>
      </c>
      <c r="O1523" s="111" t="s">
        <v>3648</v>
      </c>
      <c r="P1523" s="109">
        <v>27182</v>
      </c>
      <c r="Q1523" s="41"/>
      <c r="R1523" s="111"/>
      <c r="S1523" s="110"/>
    </row>
    <row r="1524" spans="1:19">
      <c r="A1524" s="105">
        <v>2906</v>
      </c>
      <c r="B1524" s="41">
        <v>12000000</v>
      </c>
      <c r="C1524" s="41">
        <v>1.5E-3</v>
      </c>
      <c r="D1524" s="41">
        <v>4</v>
      </c>
      <c r="E1524" s="41">
        <v>30</v>
      </c>
      <c r="F1524" s="41">
        <v>0</v>
      </c>
      <c r="G1524" s="41" t="s">
        <v>505</v>
      </c>
      <c r="H1524" s="41">
        <v>1</v>
      </c>
      <c r="I1524" s="41">
        <v>1</v>
      </c>
      <c r="J1524" s="108">
        <f>POWER(POWER(Table210[[#This Row],[mv]],4)/10,0.25)</f>
        <v>8.4351198778552375E-4</v>
      </c>
      <c r="K1524" s="41">
        <v>0</v>
      </c>
      <c r="L1524" s="41">
        <v>55</v>
      </c>
      <c r="M1524" s="41">
        <v>-1</v>
      </c>
      <c r="N1524" s="41">
        <v>2</v>
      </c>
      <c r="O1524" s="111" t="s">
        <v>3649</v>
      </c>
      <c r="P1524" s="109">
        <v>27182</v>
      </c>
      <c r="Q1524" s="41"/>
      <c r="R1524" s="111"/>
      <c r="S1524" s="110"/>
    </row>
    <row r="1525" spans="1:19">
      <c r="A1525" s="105">
        <v>2907</v>
      </c>
      <c r="B1525" s="41">
        <v>12000000</v>
      </c>
      <c r="C1525" s="41">
        <v>1.5E-3</v>
      </c>
      <c r="D1525" s="41">
        <v>5.6569000000000003</v>
      </c>
      <c r="E1525" s="41">
        <v>30</v>
      </c>
      <c r="F1525" s="41">
        <v>0</v>
      </c>
      <c r="G1525" s="41" t="s">
        <v>505</v>
      </c>
      <c r="H1525" s="41">
        <v>1</v>
      </c>
      <c r="I1525" s="41">
        <v>1</v>
      </c>
      <c r="J1525" s="108">
        <f>POWER(POWER(Table210[[#This Row],[mv]],4)/10,0.25)</f>
        <v>8.4351198778552375E-4</v>
      </c>
      <c r="K1525" s="41">
        <v>0</v>
      </c>
      <c r="L1525" s="41">
        <v>55</v>
      </c>
      <c r="M1525" s="41">
        <v>-1</v>
      </c>
      <c r="N1525" s="41">
        <v>2</v>
      </c>
      <c r="O1525" s="111" t="s">
        <v>3650</v>
      </c>
      <c r="P1525" s="109">
        <v>27182</v>
      </c>
      <c r="Q1525" s="41"/>
      <c r="R1525" s="111"/>
      <c r="S1525" s="110"/>
    </row>
    <row r="1526" spans="1:19">
      <c r="A1526" s="105">
        <v>2908</v>
      </c>
      <c r="B1526" s="41">
        <v>12000000</v>
      </c>
      <c r="C1526" s="41">
        <v>1.5E-3</v>
      </c>
      <c r="D1526" s="41">
        <v>8</v>
      </c>
      <c r="E1526" s="41">
        <v>30</v>
      </c>
      <c r="F1526" s="41">
        <v>0</v>
      </c>
      <c r="G1526" s="41" t="s">
        <v>505</v>
      </c>
      <c r="H1526" s="41">
        <v>1</v>
      </c>
      <c r="I1526" s="41">
        <v>1</v>
      </c>
      <c r="J1526" s="108">
        <f>POWER(POWER(Table210[[#This Row],[mv]],4)/10,0.25)</f>
        <v>8.4351198778552375E-4</v>
      </c>
      <c r="K1526" s="41">
        <v>0</v>
      </c>
      <c r="L1526" s="41">
        <v>55</v>
      </c>
      <c r="M1526" s="41">
        <v>-1</v>
      </c>
      <c r="N1526" s="41">
        <v>2</v>
      </c>
      <c r="O1526" s="111" t="s">
        <v>3651</v>
      </c>
      <c r="P1526" s="109">
        <v>27182</v>
      </c>
      <c r="Q1526" s="41"/>
      <c r="R1526" s="111"/>
      <c r="S1526" s="110"/>
    </row>
    <row r="1527" spans="1:19">
      <c r="A1527" s="105">
        <v>2909</v>
      </c>
      <c r="B1527" s="41">
        <v>12000000</v>
      </c>
      <c r="C1527" s="41">
        <v>1.5E-3</v>
      </c>
      <c r="D1527" s="41">
        <v>11.313700000000001</v>
      </c>
      <c r="E1527" s="41">
        <v>30</v>
      </c>
      <c r="F1527" s="41">
        <v>0</v>
      </c>
      <c r="G1527" s="41" t="s">
        <v>505</v>
      </c>
      <c r="H1527" s="41">
        <v>1</v>
      </c>
      <c r="I1527" s="41">
        <v>1</v>
      </c>
      <c r="J1527" s="108">
        <f>POWER(POWER(Table210[[#This Row],[mv]],4)/10,0.25)</f>
        <v>8.4351198778552375E-4</v>
      </c>
      <c r="K1527" s="41">
        <v>0</v>
      </c>
      <c r="L1527" s="41">
        <v>55</v>
      </c>
      <c r="M1527" s="41">
        <v>-1</v>
      </c>
      <c r="N1527" s="41">
        <v>2</v>
      </c>
      <c r="O1527" s="111" t="s">
        <v>3652</v>
      </c>
      <c r="P1527" s="109">
        <v>27182</v>
      </c>
      <c r="Q1527" s="41"/>
      <c r="R1527" s="111"/>
      <c r="S1527" s="110"/>
    </row>
    <row r="1528" spans="1:19">
      <c r="A1528" s="105">
        <v>2910</v>
      </c>
      <c r="B1528" s="41">
        <v>12000000</v>
      </c>
      <c r="C1528" s="41">
        <v>1.5E-3</v>
      </c>
      <c r="D1528" s="41">
        <v>16</v>
      </c>
      <c r="E1528" s="41">
        <v>30</v>
      </c>
      <c r="F1528" s="41">
        <v>0</v>
      </c>
      <c r="G1528" s="41" t="s">
        <v>505</v>
      </c>
      <c r="H1528" s="41">
        <v>1</v>
      </c>
      <c r="I1528" s="41">
        <v>1</v>
      </c>
      <c r="J1528" s="108">
        <f>POWER(POWER(Table210[[#This Row],[mv]],4)/10,0.25)</f>
        <v>8.4351198778552375E-4</v>
      </c>
      <c r="K1528" s="41">
        <v>0</v>
      </c>
      <c r="L1528" s="41">
        <v>55</v>
      </c>
      <c r="M1528" s="41">
        <v>-1</v>
      </c>
      <c r="N1528" s="41">
        <v>2</v>
      </c>
      <c r="O1528" s="111" t="s">
        <v>3653</v>
      </c>
      <c r="P1528" s="109">
        <v>27182</v>
      </c>
      <c r="Q1528" s="41"/>
      <c r="R1528" s="111"/>
      <c r="S1528" s="110"/>
    </row>
    <row r="1529" spans="1:19">
      <c r="A1529" s="105">
        <v>2911</v>
      </c>
      <c r="B1529" s="41">
        <v>12000000</v>
      </c>
      <c r="C1529" s="41">
        <v>1.6000000000000001E-3</v>
      </c>
      <c r="D1529" s="41">
        <v>1</v>
      </c>
      <c r="E1529" s="41">
        <v>30</v>
      </c>
      <c r="F1529" s="41">
        <v>0</v>
      </c>
      <c r="G1529" s="41" t="s">
        <v>505</v>
      </c>
      <c r="H1529" s="41">
        <v>1</v>
      </c>
      <c r="I1529" s="41">
        <v>1</v>
      </c>
      <c r="J1529" s="108">
        <f>POWER(POWER(Table210[[#This Row],[mv]],4)/10,0.25)</f>
        <v>8.9974612030455862E-4</v>
      </c>
      <c r="K1529" s="41">
        <v>0</v>
      </c>
      <c r="L1529" s="41">
        <v>55</v>
      </c>
      <c r="M1529" s="41">
        <v>-1</v>
      </c>
      <c r="N1529" s="41">
        <v>2</v>
      </c>
      <c r="O1529" s="111" t="s">
        <v>3654</v>
      </c>
      <c r="P1529" s="109">
        <v>27182</v>
      </c>
      <c r="Q1529" s="41"/>
      <c r="R1529" s="111"/>
      <c r="S1529" s="110"/>
    </row>
    <row r="1530" spans="1:19">
      <c r="A1530" s="105">
        <v>2912</v>
      </c>
      <c r="B1530" s="41">
        <v>12000000</v>
      </c>
      <c r="C1530" s="41">
        <v>1.6000000000000001E-3</v>
      </c>
      <c r="D1530" s="41">
        <v>1.4141999999999999</v>
      </c>
      <c r="E1530" s="41">
        <v>30</v>
      </c>
      <c r="F1530" s="41">
        <v>0</v>
      </c>
      <c r="G1530" s="41" t="s">
        <v>505</v>
      </c>
      <c r="H1530" s="41">
        <v>1</v>
      </c>
      <c r="I1530" s="41">
        <v>1</v>
      </c>
      <c r="J1530" s="108">
        <f>POWER(POWER(Table210[[#This Row],[mv]],4)/10,0.25)</f>
        <v>8.9974612030455862E-4</v>
      </c>
      <c r="K1530" s="41">
        <v>0</v>
      </c>
      <c r="L1530" s="41">
        <v>55</v>
      </c>
      <c r="M1530" s="41">
        <v>-1</v>
      </c>
      <c r="N1530" s="41">
        <v>2</v>
      </c>
      <c r="O1530" s="111" t="s">
        <v>3655</v>
      </c>
      <c r="P1530" s="109">
        <v>27182</v>
      </c>
      <c r="Q1530" s="41"/>
      <c r="R1530" s="111"/>
      <c r="S1530" s="110"/>
    </row>
    <row r="1531" spans="1:19">
      <c r="A1531" s="105">
        <v>2913</v>
      </c>
      <c r="B1531" s="41">
        <v>12000000</v>
      </c>
      <c r="C1531" s="41">
        <v>1.6000000000000001E-3</v>
      </c>
      <c r="D1531" s="41">
        <v>2</v>
      </c>
      <c r="E1531" s="41">
        <v>30</v>
      </c>
      <c r="F1531" s="41">
        <v>0</v>
      </c>
      <c r="G1531" s="41" t="s">
        <v>505</v>
      </c>
      <c r="H1531" s="41">
        <v>1</v>
      </c>
      <c r="I1531" s="41">
        <v>1</v>
      </c>
      <c r="J1531" s="108">
        <f>POWER(POWER(Table210[[#This Row],[mv]],4)/10,0.25)</f>
        <v>8.9974612030455862E-4</v>
      </c>
      <c r="K1531" s="41">
        <v>0</v>
      </c>
      <c r="L1531" s="41">
        <v>55</v>
      </c>
      <c r="M1531" s="41">
        <v>-1</v>
      </c>
      <c r="N1531" s="41">
        <v>2</v>
      </c>
      <c r="O1531" s="111" t="s">
        <v>3656</v>
      </c>
      <c r="P1531" s="109">
        <v>27182</v>
      </c>
      <c r="Q1531" s="41"/>
      <c r="R1531" s="111"/>
      <c r="S1531" s="110"/>
    </row>
    <row r="1532" spans="1:19">
      <c r="A1532" s="105">
        <v>2914</v>
      </c>
      <c r="B1532" s="41">
        <v>12000000</v>
      </c>
      <c r="C1532" s="41">
        <v>1.6000000000000001E-3</v>
      </c>
      <c r="D1532" s="41">
        <v>2.8283999999999998</v>
      </c>
      <c r="E1532" s="41">
        <v>30</v>
      </c>
      <c r="F1532" s="41">
        <v>0</v>
      </c>
      <c r="G1532" s="41" t="s">
        <v>505</v>
      </c>
      <c r="H1532" s="41">
        <v>1</v>
      </c>
      <c r="I1532" s="41">
        <v>1</v>
      </c>
      <c r="J1532" s="108">
        <f>POWER(POWER(Table210[[#This Row],[mv]],4)/10,0.25)</f>
        <v>8.9974612030455862E-4</v>
      </c>
      <c r="K1532" s="41">
        <v>0</v>
      </c>
      <c r="L1532" s="41">
        <v>55</v>
      </c>
      <c r="M1532" s="41">
        <v>-1</v>
      </c>
      <c r="N1532" s="41">
        <v>2</v>
      </c>
      <c r="O1532" s="111" t="s">
        <v>3657</v>
      </c>
      <c r="P1532" s="109">
        <v>27182</v>
      </c>
      <c r="Q1532" s="41"/>
      <c r="R1532" s="111"/>
      <c r="S1532" s="110"/>
    </row>
    <row r="1533" spans="1:19">
      <c r="A1533" s="105">
        <v>2915</v>
      </c>
      <c r="B1533" s="41">
        <v>12000000</v>
      </c>
      <c r="C1533" s="41">
        <v>1.6000000000000001E-3</v>
      </c>
      <c r="D1533" s="41">
        <v>4</v>
      </c>
      <c r="E1533" s="41">
        <v>30</v>
      </c>
      <c r="F1533" s="41">
        <v>0</v>
      </c>
      <c r="G1533" s="41" t="s">
        <v>505</v>
      </c>
      <c r="H1533" s="41">
        <v>1</v>
      </c>
      <c r="I1533" s="41">
        <v>1</v>
      </c>
      <c r="J1533" s="108">
        <f>POWER(POWER(Table210[[#This Row],[mv]],4)/10,0.25)</f>
        <v>8.9974612030455862E-4</v>
      </c>
      <c r="K1533" s="41">
        <v>0</v>
      </c>
      <c r="L1533" s="41">
        <v>55</v>
      </c>
      <c r="M1533" s="41">
        <v>-1</v>
      </c>
      <c r="N1533" s="41">
        <v>2</v>
      </c>
      <c r="O1533" s="111" t="s">
        <v>3658</v>
      </c>
      <c r="P1533" s="109">
        <v>27182</v>
      </c>
      <c r="Q1533" s="41"/>
      <c r="R1533" s="111"/>
      <c r="S1533" s="110"/>
    </row>
    <row r="1534" spans="1:19">
      <c r="A1534" s="105">
        <v>2916</v>
      </c>
      <c r="B1534" s="41">
        <v>12000000</v>
      </c>
      <c r="C1534" s="41">
        <v>1.6000000000000001E-3</v>
      </c>
      <c r="D1534" s="41">
        <v>5.6569000000000003</v>
      </c>
      <c r="E1534" s="41">
        <v>30</v>
      </c>
      <c r="F1534" s="41">
        <v>0</v>
      </c>
      <c r="G1534" s="41" t="s">
        <v>505</v>
      </c>
      <c r="H1534" s="41">
        <v>1</v>
      </c>
      <c r="I1534" s="41">
        <v>1</v>
      </c>
      <c r="J1534" s="108">
        <f>POWER(POWER(Table210[[#This Row],[mv]],4)/10,0.25)</f>
        <v>8.9974612030455862E-4</v>
      </c>
      <c r="K1534" s="41">
        <v>0</v>
      </c>
      <c r="L1534" s="41">
        <v>55</v>
      </c>
      <c r="M1534" s="41">
        <v>-1</v>
      </c>
      <c r="N1534" s="41">
        <v>2</v>
      </c>
      <c r="O1534" s="111" t="s">
        <v>3659</v>
      </c>
      <c r="P1534" s="109">
        <v>27182</v>
      </c>
      <c r="Q1534" s="41"/>
      <c r="R1534" s="111"/>
      <c r="S1534" s="110"/>
    </row>
    <row r="1535" spans="1:19">
      <c r="A1535" s="105">
        <v>2917</v>
      </c>
      <c r="B1535" s="41">
        <v>12000000</v>
      </c>
      <c r="C1535" s="41">
        <v>1.6000000000000001E-3</v>
      </c>
      <c r="D1535" s="41">
        <v>8</v>
      </c>
      <c r="E1535" s="41">
        <v>30</v>
      </c>
      <c r="F1535" s="41">
        <v>0</v>
      </c>
      <c r="G1535" s="41" t="s">
        <v>505</v>
      </c>
      <c r="H1535" s="41">
        <v>1</v>
      </c>
      <c r="I1535" s="41">
        <v>1</v>
      </c>
      <c r="J1535" s="108">
        <f>POWER(POWER(Table210[[#This Row],[mv]],4)/10,0.25)</f>
        <v>8.9974612030455862E-4</v>
      </c>
      <c r="K1535" s="41">
        <v>0</v>
      </c>
      <c r="L1535" s="41">
        <v>55</v>
      </c>
      <c r="M1535" s="41">
        <v>-1</v>
      </c>
      <c r="N1535" s="41">
        <v>2</v>
      </c>
      <c r="O1535" s="111" t="s">
        <v>3660</v>
      </c>
      <c r="P1535" s="109">
        <v>27182</v>
      </c>
      <c r="Q1535" s="41"/>
      <c r="R1535" s="111"/>
      <c r="S1535" s="110"/>
    </row>
    <row r="1536" spans="1:19">
      <c r="A1536" s="105">
        <v>2918</v>
      </c>
      <c r="B1536" s="41">
        <v>12000000</v>
      </c>
      <c r="C1536" s="41">
        <v>1.6000000000000001E-3</v>
      </c>
      <c r="D1536" s="41">
        <v>11.313700000000001</v>
      </c>
      <c r="E1536" s="41">
        <v>30</v>
      </c>
      <c r="F1536" s="41">
        <v>0</v>
      </c>
      <c r="G1536" s="41" t="s">
        <v>505</v>
      </c>
      <c r="H1536" s="41">
        <v>1</v>
      </c>
      <c r="I1536" s="41">
        <v>1</v>
      </c>
      <c r="J1536" s="108">
        <f>POWER(POWER(Table210[[#This Row],[mv]],4)/10,0.25)</f>
        <v>8.9974612030455862E-4</v>
      </c>
      <c r="K1536" s="41">
        <v>0</v>
      </c>
      <c r="L1536" s="41">
        <v>55</v>
      </c>
      <c r="M1536" s="41">
        <v>-1</v>
      </c>
      <c r="N1536" s="41">
        <v>2</v>
      </c>
      <c r="O1536" s="111" t="s">
        <v>3661</v>
      </c>
      <c r="P1536" s="109">
        <v>27182</v>
      </c>
      <c r="Q1536" s="41"/>
      <c r="R1536" s="111"/>
      <c r="S1536" s="110"/>
    </row>
    <row r="1537" spans="1:19">
      <c r="A1537" s="105">
        <v>2919</v>
      </c>
      <c r="B1537" s="41">
        <v>12000000</v>
      </c>
      <c r="C1537" s="41">
        <v>1.6000000000000001E-3</v>
      </c>
      <c r="D1537" s="41">
        <v>16</v>
      </c>
      <c r="E1537" s="41">
        <v>30</v>
      </c>
      <c r="F1537" s="41">
        <v>0</v>
      </c>
      <c r="G1537" s="41" t="s">
        <v>505</v>
      </c>
      <c r="H1537" s="41">
        <v>1</v>
      </c>
      <c r="I1537" s="41">
        <v>1</v>
      </c>
      <c r="J1537" s="108">
        <f>POWER(POWER(Table210[[#This Row],[mv]],4)/10,0.25)</f>
        <v>8.9974612030455862E-4</v>
      </c>
      <c r="K1537" s="41">
        <v>0</v>
      </c>
      <c r="L1537" s="41">
        <v>55</v>
      </c>
      <c r="M1537" s="41">
        <v>-1</v>
      </c>
      <c r="N1537" s="41">
        <v>2</v>
      </c>
      <c r="O1537" s="111" t="s">
        <v>3662</v>
      </c>
      <c r="P1537" s="109">
        <v>27182</v>
      </c>
      <c r="Q1537" s="41"/>
      <c r="R1537" s="111"/>
      <c r="S1537" s="110"/>
    </row>
    <row r="1538" spans="1:19">
      <c r="A1538" s="105">
        <v>2920</v>
      </c>
      <c r="B1538" s="41">
        <v>12000000</v>
      </c>
      <c r="C1538" s="41">
        <v>1.6000000000000001E-3</v>
      </c>
      <c r="D1538" s="41">
        <v>22.627400000000002</v>
      </c>
      <c r="E1538" s="41">
        <v>30</v>
      </c>
      <c r="F1538" s="41">
        <v>0</v>
      </c>
      <c r="G1538" s="41" t="s">
        <v>505</v>
      </c>
      <c r="H1538" s="41">
        <v>1</v>
      </c>
      <c r="I1538" s="41">
        <v>1</v>
      </c>
      <c r="J1538" s="108">
        <f>POWER(POWER(Table210[[#This Row],[mv]],4)/10,0.25)</f>
        <v>8.9974612030455862E-4</v>
      </c>
      <c r="K1538" s="41">
        <v>0</v>
      </c>
      <c r="L1538" s="41">
        <v>55</v>
      </c>
      <c r="M1538" s="41">
        <v>-1</v>
      </c>
      <c r="N1538" s="41">
        <v>2</v>
      </c>
      <c r="O1538" s="111" t="s">
        <v>3663</v>
      </c>
      <c r="P1538" s="109">
        <v>27182</v>
      </c>
      <c r="Q1538" s="41"/>
      <c r="R1538" s="111"/>
      <c r="S1538" s="110"/>
    </row>
    <row r="1539" spans="1:19">
      <c r="A1539" s="105">
        <v>2921</v>
      </c>
      <c r="B1539" s="41">
        <v>12000000</v>
      </c>
      <c r="C1539" s="41">
        <v>1.6999999999999999E-3</v>
      </c>
      <c r="D1539" s="41">
        <v>1</v>
      </c>
      <c r="E1539" s="41">
        <v>30</v>
      </c>
      <c r="F1539" s="41">
        <v>0</v>
      </c>
      <c r="G1539" s="41" t="s">
        <v>505</v>
      </c>
      <c r="H1539" s="41">
        <v>1</v>
      </c>
      <c r="I1539" s="41">
        <v>1</v>
      </c>
      <c r="J1539" s="108">
        <f>POWER(POWER(Table210[[#This Row],[mv]],4)/10,0.25)</f>
        <v>9.5598025282359327E-4</v>
      </c>
      <c r="K1539" s="41">
        <v>0</v>
      </c>
      <c r="L1539" s="41">
        <v>55</v>
      </c>
      <c r="M1539" s="41">
        <v>-1</v>
      </c>
      <c r="N1539" s="41">
        <v>2</v>
      </c>
      <c r="O1539" s="111" t="s">
        <v>3664</v>
      </c>
      <c r="P1539" s="109">
        <v>27182</v>
      </c>
      <c r="Q1539" s="41"/>
      <c r="R1539" s="111"/>
      <c r="S1539" s="110"/>
    </row>
    <row r="1540" spans="1:19">
      <c r="A1540" s="105">
        <v>2922</v>
      </c>
      <c r="B1540" s="41">
        <v>12000000</v>
      </c>
      <c r="C1540" s="41">
        <v>1.6999999999999999E-3</v>
      </c>
      <c r="D1540" s="41">
        <v>1.4141999999999999</v>
      </c>
      <c r="E1540" s="41">
        <v>30</v>
      </c>
      <c r="F1540" s="41">
        <v>0</v>
      </c>
      <c r="G1540" s="41" t="s">
        <v>505</v>
      </c>
      <c r="H1540" s="41">
        <v>1</v>
      </c>
      <c r="I1540" s="41">
        <v>1</v>
      </c>
      <c r="J1540" s="108">
        <f>POWER(POWER(Table210[[#This Row],[mv]],4)/10,0.25)</f>
        <v>9.5598025282359327E-4</v>
      </c>
      <c r="K1540" s="41">
        <v>0</v>
      </c>
      <c r="L1540" s="41">
        <v>55</v>
      </c>
      <c r="M1540" s="41">
        <v>-1</v>
      </c>
      <c r="N1540" s="41">
        <v>2</v>
      </c>
      <c r="O1540" s="111" t="s">
        <v>3665</v>
      </c>
      <c r="P1540" s="109">
        <v>27182</v>
      </c>
      <c r="Q1540" s="41"/>
      <c r="R1540" s="111"/>
      <c r="S1540" s="110"/>
    </row>
    <row r="1541" spans="1:19">
      <c r="A1541" s="105">
        <v>2923</v>
      </c>
      <c r="B1541" s="41">
        <v>12000000</v>
      </c>
      <c r="C1541" s="41">
        <v>1.6999999999999999E-3</v>
      </c>
      <c r="D1541" s="41">
        <v>2</v>
      </c>
      <c r="E1541" s="41">
        <v>30</v>
      </c>
      <c r="F1541" s="41">
        <v>0</v>
      </c>
      <c r="G1541" s="41" t="s">
        <v>505</v>
      </c>
      <c r="H1541" s="41">
        <v>1</v>
      </c>
      <c r="I1541" s="41">
        <v>1</v>
      </c>
      <c r="J1541" s="108">
        <f>POWER(POWER(Table210[[#This Row],[mv]],4)/10,0.25)</f>
        <v>9.5598025282359327E-4</v>
      </c>
      <c r="K1541" s="41">
        <v>0</v>
      </c>
      <c r="L1541" s="41">
        <v>55</v>
      </c>
      <c r="M1541" s="41">
        <v>-1</v>
      </c>
      <c r="N1541" s="41">
        <v>2</v>
      </c>
      <c r="O1541" s="111" t="s">
        <v>3666</v>
      </c>
      <c r="P1541" s="109">
        <v>27182</v>
      </c>
      <c r="Q1541" s="41"/>
      <c r="R1541" s="111"/>
      <c r="S1541" s="110"/>
    </row>
    <row r="1542" spans="1:19">
      <c r="A1542" s="105">
        <v>2924</v>
      </c>
      <c r="B1542" s="41">
        <v>12000000</v>
      </c>
      <c r="C1542" s="41">
        <v>1.6999999999999999E-3</v>
      </c>
      <c r="D1542" s="41">
        <v>2.8283999999999998</v>
      </c>
      <c r="E1542" s="41">
        <v>30</v>
      </c>
      <c r="F1542" s="41">
        <v>0</v>
      </c>
      <c r="G1542" s="41" t="s">
        <v>505</v>
      </c>
      <c r="H1542" s="41">
        <v>1</v>
      </c>
      <c r="I1542" s="41">
        <v>1</v>
      </c>
      <c r="J1542" s="108">
        <f>POWER(POWER(Table210[[#This Row],[mv]],4)/10,0.25)</f>
        <v>9.5598025282359327E-4</v>
      </c>
      <c r="K1542" s="41">
        <v>0</v>
      </c>
      <c r="L1542" s="41">
        <v>55</v>
      </c>
      <c r="M1542" s="41">
        <v>-1</v>
      </c>
      <c r="N1542" s="41">
        <v>2</v>
      </c>
      <c r="O1542" s="111" t="s">
        <v>3667</v>
      </c>
      <c r="P1542" s="109">
        <v>27182</v>
      </c>
      <c r="Q1542" s="41"/>
      <c r="R1542" s="111"/>
      <c r="S1542" s="110"/>
    </row>
    <row r="1543" spans="1:19">
      <c r="A1543" s="105">
        <v>2925</v>
      </c>
      <c r="B1543" s="41">
        <v>12000000</v>
      </c>
      <c r="C1543" s="41">
        <v>1.6999999999999999E-3</v>
      </c>
      <c r="D1543" s="41">
        <v>4</v>
      </c>
      <c r="E1543" s="41">
        <v>30</v>
      </c>
      <c r="F1543" s="41">
        <v>0</v>
      </c>
      <c r="G1543" s="41" t="s">
        <v>505</v>
      </c>
      <c r="H1543" s="41">
        <v>1</v>
      </c>
      <c r="I1543" s="41">
        <v>1</v>
      </c>
      <c r="J1543" s="108">
        <f>POWER(POWER(Table210[[#This Row],[mv]],4)/10,0.25)</f>
        <v>9.5598025282359327E-4</v>
      </c>
      <c r="K1543" s="41">
        <v>0</v>
      </c>
      <c r="L1543" s="41">
        <v>55</v>
      </c>
      <c r="M1543" s="41">
        <v>-1</v>
      </c>
      <c r="N1543" s="41">
        <v>2</v>
      </c>
      <c r="O1543" s="111" t="s">
        <v>3668</v>
      </c>
      <c r="P1543" s="109">
        <v>27182</v>
      </c>
      <c r="Q1543" s="41"/>
      <c r="R1543" s="111"/>
      <c r="S1543" s="110"/>
    </row>
    <row r="1544" spans="1:19">
      <c r="A1544" s="105">
        <v>2926</v>
      </c>
      <c r="B1544" s="41">
        <v>12000000</v>
      </c>
      <c r="C1544" s="41">
        <v>1.6999999999999999E-3</v>
      </c>
      <c r="D1544" s="41">
        <v>5.6569000000000003</v>
      </c>
      <c r="E1544" s="41">
        <v>30</v>
      </c>
      <c r="F1544" s="41">
        <v>0</v>
      </c>
      <c r="G1544" s="41" t="s">
        <v>505</v>
      </c>
      <c r="H1544" s="41">
        <v>1</v>
      </c>
      <c r="I1544" s="41">
        <v>1</v>
      </c>
      <c r="J1544" s="108">
        <f>POWER(POWER(Table210[[#This Row],[mv]],4)/10,0.25)</f>
        <v>9.5598025282359327E-4</v>
      </c>
      <c r="K1544" s="41">
        <v>0</v>
      </c>
      <c r="L1544" s="41">
        <v>55</v>
      </c>
      <c r="M1544" s="41">
        <v>-1</v>
      </c>
      <c r="N1544" s="41">
        <v>2</v>
      </c>
      <c r="O1544" s="111" t="s">
        <v>3669</v>
      </c>
      <c r="P1544" s="109">
        <v>27182</v>
      </c>
      <c r="Q1544" s="41"/>
      <c r="R1544" s="111"/>
      <c r="S1544" s="110"/>
    </row>
    <row r="1545" spans="1:19">
      <c r="A1545" s="105">
        <v>2927</v>
      </c>
      <c r="B1545" s="41">
        <v>12000000</v>
      </c>
      <c r="C1545" s="41">
        <v>1.6999999999999999E-3</v>
      </c>
      <c r="D1545" s="41">
        <v>8</v>
      </c>
      <c r="E1545" s="41">
        <v>30</v>
      </c>
      <c r="F1545" s="41">
        <v>0</v>
      </c>
      <c r="G1545" s="41" t="s">
        <v>505</v>
      </c>
      <c r="H1545" s="41">
        <v>1</v>
      </c>
      <c r="I1545" s="41">
        <v>1</v>
      </c>
      <c r="J1545" s="108">
        <f>POWER(POWER(Table210[[#This Row],[mv]],4)/10,0.25)</f>
        <v>9.5598025282359327E-4</v>
      </c>
      <c r="K1545" s="41">
        <v>0</v>
      </c>
      <c r="L1545" s="41">
        <v>55</v>
      </c>
      <c r="M1545" s="41">
        <v>-1</v>
      </c>
      <c r="N1545" s="41">
        <v>2</v>
      </c>
      <c r="O1545" s="111" t="s">
        <v>3670</v>
      </c>
      <c r="P1545" s="109">
        <v>27182</v>
      </c>
      <c r="Q1545" s="41"/>
      <c r="R1545" s="111"/>
      <c r="S1545" s="110"/>
    </row>
    <row r="1546" spans="1:19">
      <c r="A1546" s="105">
        <v>2928</v>
      </c>
      <c r="B1546" s="41">
        <v>12000000</v>
      </c>
      <c r="C1546" s="41">
        <v>1.6999999999999999E-3</v>
      </c>
      <c r="D1546" s="41">
        <v>11.313700000000001</v>
      </c>
      <c r="E1546" s="41">
        <v>30</v>
      </c>
      <c r="F1546" s="41">
        <v>0</v>
      </c>
      <c r="G1546" s="41" t="s">
        <v>505</v>
      </c>
      <c r="H1546" s="41">
        <v>1</v>
      </c>
      <c r="I1546" s="41">
        <v>1</v>
      </c>
      <c r="J1546" s="108">
        <f>POWER(POWER(Table210[[#This Row],[mv]],4)/10,0.25)</f>
        <v>9.5598025282359327E-4</v>
      </c>
      <c r="K1546" s="41">
        <v>0</v>
      </c>
      <c r="L1546" s="41">
        <v>55</v>
      </c>
      <c r="M1546" s="41">
        <v>-1</v>
      </c>
      <c r="N1546" s="41">
        <v>2</v>
      </c>
      <c r="O1546" s="111" t="s">
        <v>3671</v>
      </c>
      <c r="P1546" s="109">
        <v>27182</v>
      </c>
      <c r="Q1546" s="41"/>
      <c r="R1546" s="111"/>
      <c r="S1546" s="110"/>
    </row>
    <row r="1547" spans="1:19">
      <c r="A1547" s="105">
        <v>2929</v>
      </c>
      <c r="B1547" s="41">
        <v>12000000</v>
      </c>
      <c r="C1547" s="41">
        <v>1.6999999999999999E-3</v>
      </c>
      <c r="D1547" s="41">
        <v>16</v>
      </c>
      <c r="E1547" s="41">
        <v>30</v>
      </c>
      <c r="F1547" s="41">
        <v>0</v>
      </c>
      <c r="G1547" s="41" t="s">
        <v>505</v>
      </c>
      <c r="H1547" s="41">
        <v>1</v>
      </c>
      <c r="I1547" s="41">
        <v>1</v>
      </c>
      <c r="J1547" s="108">
        <f>POWER(POWER(Table210[[#This Row],[mv]],4)/10,0.25)</f>
        <v>9.5598025282359327E-4</v>
      </c>
      <c r="K1547" s="41">
        <v>0</v>
      </c>
      <c r="L1547" s="41">
        <v>55</v>
      </c>
      <c r="M1547" s="41">
        <v>-1</v>
      </c>
      <c r="N1547" s="41">
        <v>2</v>
      </c>
      <c r="O1547" s="111" t="s">
        <v>3672</v>
      </c>
      <c r="P1547" s="109">
        <v>27182</v>
      </c>
      <c r="Q1547" s="41"/>
      <c r="R1547" s="111"/>
      <c r="S1547" s="110"/>
    </row>
    <row r="1548" spans="1:19">
      <c r="A1548" s="105">
        <v>2930</v>
      </c>
      <c r="B1548" s="41">
        <v>12000000</v>
      </c>
      <c r="C1548" s="41">
        <v>1.6999999999999999E-3</v>
      </c>
      <c r="D1548" s="41">
        <v>22.627400000000002</v>
      </c>
      <c r="E1548" s="41">
        <v>30</v>
      </c>
      <c r="F1548" s="41">
        <v>0</v>
      </c>
      <c r="G1548" s="41" t="s">
        <v>505</v>
      </c>
      <c r="H1548" s="41">
        <v>1</v>
      </c>
      <c r="I1548" s="41">
        <v>1</v>
      </c>
      <c r="J1548" s="108">
        <f>POWER(POWER(Table210[[#This Row],[mv]],4)/10,0.25)</f>
        <v>9.5598025282359327E-4</v>
      </c>
      <c r="K1548" s="41">
        <v>0</v>
      </c>
      <c r="L1548" s="41">
        <v>55</v>
      </c>
      <c r="M1548" s="41">
        <v>-1</v>
      </c>
      <c r="N1548" s="41">
        <v>2</v>
      </c>
      <c r="O1548" s="111" t="s">
        <v>3673</v>
      </c>
      <c r="P1548" s="109">
        <v>27182</v>
      </c>
      <c r="Q1548" s="41"/>
      <c r="R1548" s="111"/>
      <c r="S1548" s="110"/>
    </row>
    <row r="1549" spans="1:19">
      <c r="A1549" s="105">
        <v>2931</v>
      </c>
      <c r="B1549" s="41">
        <v>12000000</v>
      </c>
      <c r="C1549" s="41">
        <v>1.9E-3</v>
      </c>
      <c r="D1549" s="41">
        <v>1.4141999999999999</v>
      </c>
      <c r="E1549" s="41">
        <v>30</v>
      </c>
      <c r="F1549" s="41">
        <v>0</v>
      </c>
      <c r="G1549" s="41" t="s">
        <v>505</v>
      </c>
      <c r="H1549" s="41">
        <v>1</v>
      </c>
      <c r="I1549" s="41">
        <v>1</v>
      </c>
      <c r="J1549" s="108">
        <f>POWER(POWER(Table210[[#This Row],[mv]],4)/10,0.25)</f>
        <v>1.0684485178616638E-3</v>
      </c>
      <c r="K1549" s="41">
        <v>0</v>
      </c>
      <c r="L1549" s="41">
        <v>55</v>
      </c>
      <c r="M1549" s="41">
        <v>-1</v>
      </c>
      <c r="N1549" s="41">
        <v>2</v>
      </c>
      <c r="O1549" s="111" t="s">
        <v>3674</v>
      </c>
      <c r="P1549" s="109">
        <v>27182</v>
      </c>
      <c r="Q1549" s="41"/>
      <c r="R1549" s="111"/>
      <c r="S1549" s="110"/>
    </row>
    <row r="1550" spans="1:19">
      <c r="A1550" s="105">
        <v>2932</v>
      </c>
      <c r="B1550" s="41">
        <v>12000000</v>
      </c>
      <c r="C1550" s="41">
        <v>1.9E-3</v>
      </c>
      <c r="D1550" s="41">
        <v>2</v>
      </c>
      <c r="E1550" s="41">
        <v>30</v>
      </c>
      <c r="F1550" s="41">
        <v>0</v>
      </c>
      <c r="G1550" s="41" t="s">
        <v>505</v>
      </c>
      <c r="H1550" s="41">
        <v>1</v>
      </c>
      <c r="I1550" s="41">
        <v>1</v>
      </c>
      <c r="J1550" s="108">
        <f>POWER(POWER(Table210[[#This Row],[mv]],4)/10,0.25)</f>
        <v>1.0684485178616638E-3</v>
      </c>
      <c r="K1550" s="41">
        <v>0</v>
      </c>
      <c r="L1550" s="41">
        <v>55</v>
      </c>
      <c r="M1550" s="41">
        <v>-1</v>
      </c>
      <c r="N1550" s="41">
        <v>2</v>
      </c>
      <c r="O1550" s="111" t="s">
        <v>3675</v>
      </c>
      <c r="P1550" s="109">
        <v>27182</v>
      </c>
      <c r="Q1550" s="41"/>
      <c r="R1550" s="111"/>
      <c r="S1550" s="110"/>
    </row>
    <row r="1551" spans="1:19">
      <c r="A1551" s="105">
        <v>2933</v>
      </c>
      <c r="B1551" s="41">
        <v>12000000</v>
      </c>
      <c r="C1551" s="41">
        <v>1.9E-3</v>
      </c>
      <c r="D1551" s="41">
        <v>2.8283999999999998</v>
      </c>
      <c r="E1551" s="41">
        <v>30</v>
      </c>
      <c r="F1551" s="41">
        <v>0</v>
      </c>
      <c r="G1551" s="41" t="s">
        <v>505</v>
      </c>
      <c r="H1551" s="41">
        <v>1</v>
      </c>
      <c r="I1551" s="41">
        <v>1</v>
      </c>
      <c r="J1551" s="108">
        <f>POWER(POWER(Table210[[#This Row],[mv]],4)/10,0.25)</f>
        <v>1.0684485178616638E-3</v>
      </c>
      <c r="K1551" s="41">
        <v>0</v>
      </c>
      <c r="L1551" s="41">
        <v>55</v>
      </c>
      <c r="M1551" s="41">
        <v>-1</v>
      </c>
      <c r="N1551" s="41">
        <v>2</v>
      </c>
      <c r="O1551" s="111" t="s">
        <v>3676</v>
      </c>
      <c r="P1551" s="109">
        <v>27182</v>
      </c>
      <c r="Q1551" s="41"/>
      <c r="R1551" s="111"/>
      <c r="S1551" s="110"/>
    </row>
    <row r="1552" spans="1:19">
      <c r="A1552" s="105">
        <v>2934</v>
      </c>
      <c r="B1552" s="41">
        <v>12000000</v>
      </c>
      <c r="C1552" s="41">
        <v>1.9E-3</v>
      </c>
      <c r="D1552" s="41">
        <v>4</v>
      </c>
      <c r="E1552" s="41">
        <v>30</v>
      </c>
      <c r="F1552" s="41">
        <v>0</v>
      </c>
      <c r="G1552" s="41" t="s">
        <v>505</v>
      </c>
      <c r="H1552" s="41">
        <v>1</v>
      </c>
      <c r="I1552" s="41">
        <v>1</v>
      </c>
      <c r="J1552" s="108">
        <f>POWER(POWER(Table210[[#This Row],[mv]],4)/10,0.25)</f>
        <v>1.0684485178616638E-3</v>
      </c>
      <c r="K1552" s="41">
        <v>0</v>
      </c>
      <c r="L1552" s="41">
        <v>55</v>
      </c>
      <c r="M1552" s="41">
        <v>-1</v>
      </c>
      <c r="N1552" s="41">
        <v>2</v>
      </c>
      <c r="O1552" s="111" t="s">
        <v>3677</v>
      </c>
      <c r="P1552" s="109">
        <v>27182</v>
      </c>
      <c r="Q1552" s="41"/>
      <c r="R1552" s="111"/>
      <c r="S1552" s="110"/>
    </row>
    <row r="1553" spans="1:19">
      <c r="A1553" s="105">
        <v>2935</v>
      </c>
      <c r="B1553" s="41">
        <v>12000000</v>
      </c>
      <c r="C1553" s="41">
        <v>1.9E-3</v>
      </c>
      <c r="D1553" s="41">
        <v>5.6569000000000003</v>
      </c>
      <c r="E1553" s="41">
        <v>30</v>
      </c>
      <c r="F1553" s="41">
        <v>0</v>
      </c>
      <c r="G1553" s="41" t="s">
        <v>505</v>
      </c>
      <c r="H1553" s="41">
        <v>1</v>
      </c>
      <c r="I1553" s="41">
        <v>1</v>
      </c>
      <c r="J1553" s="108">
        <f>POWER(POWER(Table210[[#This Row],[mv]],4)/10,0.25)</f>
        <v>1.0684485178616638E-3</v>
      </c>
      <c r="K1553" s="41">
        <v>0</v>
      </c>
      <c r="L1553" s="41">
        <v>55</v>
      </c>
      <c r="M1553" s="41">
        <v>-1</v>
      </c>
      <c r="N1553" s="41">
        <v>2</v>
      </c>
      <c r="O1553" s="111" t="s">
        <v>3678</v>
      </c>
      <c r="P1553" s="109">
        <v>27182</v>
      </c>
      <c r="Q1553" s="41"/>
      <c r="R1553" s="111"/>
      <c r="S1553" s="110"/>
    </row>
    <row r="1554" spans="1:19">
      <c r="A1554" s="105">
        <v>2936</v>
      </c>
      <c r="B1554" s="41">
        <v>12000000</v>
      </c>
      <c r="C1554" s="41">
        <v>1.9E-3</v>
      </c>
      <c r="D1554" s="41">
        <v>8</v>
      </c>
      <c r="E1554" s="41">
        <v>30</v>
      </c>
      <c r="F1554" s="41">
        <v>0</v>
      </c>
      <c r="G1554" s="41" t="s">
        <v>505</v>
      </c>
      <c r="H1554" s="41">
        <v>1</v>
      </c>
      <c r="I1554" s="41">
        <v>1</v>
      </c>
      <c r="J1554" s="108">
        <f>POWER(POWER(Table210[[#This Row],[mv]],4)/10,0.25)</f>
        <v>1.0684485178616638E-3</v>
      </c>
      <c r="K1554" s="41">
        <v>0</v>
      </c>
      <c r="L1554" s="41">
        <v>55</v>
      </c>
      <c r="M1554" s="41">
        <v>-1</v>
      </c>
      <c r="N1554" s="41">
        <v>2</v>
      </c>
      <c r="O1554" s="111" t="s">
        <v>3679</v>
      </c>
      <c r="P1554" s="109">
        <v>27182</v>
      </c>
      <c r="Q1554" s="41"/>
      <c r="R1554" s="111"/>
      <c r="S1554" s="110"/>
    </row>
    <row r="1555" spans="1:19">
      <c r="A1555" s="105">
        <v>2937</v>
      </c>
      <c r="B1555" s="41">
        <v>12000000</v>
      </c>
      <c r="C1555" s="41">
        <v>1.9E-3</v>
      </c>
      <c r="D1555" s="41">
        <v>11.313700000000001</v>
      </c>
      <c r="E1555" s="41">
        <v>30</v>
      </c>
      <c r="F1555" s="41">
        <v>0</v>
      </c>
      <c r="G1555" s="41" t="s">
        <v>505</v>
      </c>
      <c r="H1555" s="41">
        <v>1</v>
      </c>
      <c r="I1555" s="41">
        <v>1</v>
      </c>
      <c r="J1555" s="108">
        <f>POWER(POWER(Table210[[#This Row],[mv]],4)/10,0.25)</f>
        <v>1.0684485178616638E-3</v>
      </c>
      <c r="K1555" s="41">
        <v>0</v>
      </c>
      <c r="L1555" s="41">
        <v>55</v>
      </c>
      <c r="M1555" s="41">
        <v>-1</v>
      </c>
      <c r="N1555" s="41">
        <v>2</v>
      </c>
      <c r="O1555" s="111" t="s">
        <v>3680</v>
      </c>
      <c r="P1555" s="109">
        <v>27182</v>
      </c>
      <c r="Q1555" s="41"/>
      <c r="R1555" s="111"/>
      <c r="S1555" s="110"/>
    </row>
    <row r="1556" spans="1:19">
      <c r="A1556" s="105">
        <v>2938</v>
      </c>
      <c r="B1556" s="41">
        <v>12000000</v>
      </c>
      <c r="C1556" s="41">
        <v>1.9E-3</v>
      </c>
      <c r="D1556" s="41">
        <v>16</v>
      </c>
      <c r="E1556" s="41">
        <v>30</v>
      </c>
      <c r="F1556" s="41">
        <v>0</v>
      </c>
      <c r="G1556" s="41" t="s">
        <v>505</v>
      </c>
      <c r="H1556" s="41">
        <v>1</v>
      </c>
      <c r="I1556" s="41">
        <v>1</v>
      </c>
      <c r="J1556" s="108">
        <f>POWER(POWER(Table210[[#This Row],[mv]],4)/10,0.25)</f>
        <v>1.0684485178616638E-3</v>
      </c>
      <c r="K1556" s="41">
        <v>0</v>
      </c>
      <c r="L1556" s="41">
        <v>55</v>
      </c>
      <c r="M1556" s="41">
        <v>-1</v>
      </c>
      <c r="N1556" s="41">
        <v>2</v>
      </c>
      <c r="O1556" s="111" t="s">
        <v>3681</v>
      </c>
      <c r="P1556" s="109">
        <v>27182</v>
      </c>
      <c r="Q1556" s="41"/>
      <c r="R1556" s="111"/>
      <c r="S1556" s="110"/>
    </row>
    <row r="1557" spans="1:19">
      <c r="A1557" s="105">
        <v>2939</v>
      </c>
      <c r="B1557" s="41">
        <v>12000000</v>
      </c>
      <c r="C1557" s="41">
        <v>1.9E-3</v>
      </c>
      <c r="D1557" s="41">
        <v>22.627400000000002</v>
      </c>
      <c r="E1557" s="41">
        <v>30</v>
      </c>
      <c r="F1557" s="41">
        <v>0</v>
      </c>
      <c r="G1557" s="41" t="s">
        <v>505</v>
      </c>
      <c r="H1557" s="41">
        <v>1</v>
      </c>
      <c r="I1557" s="41">
        <v>1</v>
      </c>
      <c r="J1557" s="108">
        <f>POWER(POWER(Table210[[#This Row],[mv]],4)/10,0.25)</f>
        <v>1.0684485178616638E-3</v>
      </c>
      <c r="K1557" s="41">
        <v>0</v>
      </c>
      <c r="L1557" s="41">
        <v>55</v>
      </c>
      <c r="M1557" s="41">
        <v>-1</v>
      </c>
      <c r="N1557" s="41">
        <v>2</v>
      </c>
      <c r="O1557" s="111" t="s">
        <v>3682</v>
      </c>
      <c r="P1557" s="109">
        <v>27182</v>
      </c>
      <c r="Q1557" s="41"/>
      <c r="R1557" s="111"/>
      <c r="S1557" s="110"/>
    </row>
    <row r="1558" spans="1:19">
      <c r="A1558" s="105">
        <v>2940</v>
      </c>
      <c r="B1558" s="41">
        <v>12000000</v>
      </c>
      <c r="C1558" s="41">
        <v>1.9E-3</v>
      </c>
      <c r="D1558" s="41">
        <v>32</v>
      </c>
      <c r="E1558" s="41">
        <v>30</v>
      </c>
      <c r="F1558" s="41">
        <v>0</v>
      </c>
      <c r="G1558" s="41" t="s">
        <v>505</v>
      </c>
      <c r="H1558" s="41">
        <v>1</v>
      </c>
      <c r="I1558" s="41">
        <v>1</v>
      </c>
      <c r="J1558" s="108">
        <f>POWER(POWER(Table210[[#This Row],[mv]],4)/10,0.25)</f>
        <v>1.0684485178616638E-3</v>
      </c>
      <c r="K1558" s="41">
        <v>0</v>
      </c>
      <c r="L1558" s="41">
        <v>55</v>
      </c>
      <c r="M1558" s="41">
        <v>-1</v>
      </c>
      <c r="N1558" s="41">
        <v>2</v>
      </c>
      <c r="O1558" s="111" t="s">
        <v>3683</v>
      </c>
      <c r="P1558" s="109">
        <v>27182</v>
      </c>
      <c r="Q1558" s="41"/>
      <c r="R1558" s="111"/>
      <c r="S1558" s="110"/>
    </row>
    <row r="1559" spans="1:19">
      <c r="A1559" s="105">
        <v>2941</v>
      </c>
      <c r="B1559" s="41">
        <v>12000000</v>
      </c>
      <c r="C1559" s="41">
        <v>2.0999999999999999E-3</v>
      </c>
      <c r="D1559" s="41">
        <v>1.4141999999999999</v>
      </c>
      <c r="E1559" s="41">
        <v>30</v>
      </c>
      <c r="F1559" s="41">
        <v>0</v>
      </c>
      <c r="G1559" s="41" t="s">
        <v>505</v>
      </c>
      <c r="H1559" s="41">
        <v>1</v>
      </c>
      <c r="I1559" s="41">
        <v>1</v>
      </c>
      <c r="J1559" s="108">
        <f>POWER(POWER(Table210[[#This Row],[mv]],4)/10,0.25)</f>
        <v>1.1809167828997333E-3</v>
      </c>
      <c r="K1559" s="41">
        <v>0</v>
      </c>
      <c r="L1559" s="41">
        <v>55</v>
      </c>
      <c r="M1559" s="41">
        <v>-1</v>
      </c>
      <c r="N1559" s="41">
        <v>2</v>
      </c>
      <c r="O1559" s="111" t="s">
        <v>3684</v>
      </c>
      <c r="P1559" s="109">
        <v>27182</v>
      </c>
      <c r="Q1559" s="41"/>
      <c r="R1559" s="111"/>
      <c r="S1559" s="110"/>
    </row>
    <row r="1560" spans="1:19">
      <c r="A1560" s="105">
        <v>2942</v>
      </c>
      <c r="B1560" s="41">
        <v>12000000</v>
      </c>
      <c r="C1560" s="41">
        <v>2.0999999999999999E-3</v>
      </c>
      <c r="D1560" s="41">
        <v>2</v>
      </c>
      <c r="E1560" s="41">
        <v>30</v>
      </c>
      <c r="F1560" s="41">
        <v>0</v>
      </c>
      <c r="G1560" s="41" t="s">
        <v>505</v>
      </c>
      <c r="H1560" s="41">
        <v>1</v>
      </c>
      <c r="I1560" s="41">
        <v>1</v>
      </c>
      <c r="J1560" s="108">
        <f>POWER(POWER(Table210[[#This Row],[mv]],4)/10,0.25)</f>
        <v>1.1809167828997333E-3</v>
      </c>
      <c r="K1560" s="41">
        <v>0</v>
      </c>
      <c r="L1560" s="41">
        <v>55</v>
      </c>
      <c r="M1560" s="41">
        <v>-1</v>
      </c>
      <c r="N1560" s="41">
        <v>2</v>
      </c>
      <c r="O1560" s="111" t="s">
        <v>3685</v>
      </c>
      <c r="P1560" s="109">
        <v>27182</v>
      </c>
      <c r="Q1560" s="41"/>
      <c r="R1560" s="111"/>
      <c r="S1560" s="110"/>
    </row>
    <row r="1561" spans="1:19">
      <c r="A1561" s="105">
        <v>2943</v>
      </c>
      <c r="B1561" s="41">
        <v>12000000</v>
      </c>
      <c r="C1561" s="41">
        <v>2.0999999999999999E-3</v>
      </c>
      <c r="D1561" s="41">
        <v>2.8283999999999998</v>
      </c>
      <c r="E1561" s="41">
        <v>30</v>
      </c>
      <c r="F1561" s="41">
        <v>0</v>
      </c>
      <c r="G1561" s="41" t="s">
        <v>505</v>
      </c>
      <c r="H1561" s="41">
        <v>1</v>
      </c>
      <c r="I1561" s="41">
        <v>1</v>
      </c>
      <c r="J1561" s="108">
        <f>POWER(POWER(Table210[[#This Row],[mv]],4)/10,0.25)</f>
        <v>1.1809167828997333E-3</v>
      </c>
      <c r="K1561" s="41">
        <v>0</v>
      </c>
      <c r="L1561" s="41">
        <v>55</v>
      </c>
      <c r="M1561" s="41">
        <v>-1</v>
      </c>
      <c r="N1561" s="41">
        <v>2</v>
      </c>
      <c r="O1561" s="111" t="s">
        <v>3686</v>
      </c>
      <c r="P1561" s="109">
        <v>27182</v>
      </c>
      <c r="Q1561" s="41"/>
      <c r="R1561" s="111"/>
      <c r="S1561" s="110"/>
    </row>
    <row r="1562" spans="1:19">
      <c r="A1562" s="105">
        <v>2944</v>
      </c>
      <c r="B1562" s="41">
        <v>12000000</v>
      </c>
      <c r="C1562" s="41">
        <v>2.0999999999999999E-3</v>
      </c>
      <c r="D1562" s="41">
        <v>4</v>
      </c>
      <c r="E1562" s="41">
        <v>30</v>
      </c>
      <c r="F1562" s="41">
        <v>0</v>
      </c>
      <c r="G1562" s="41" t="s">
        <v>505</v>
      </c>
      <c r="H1562" s="41">
        <v>1</v>
      </c>
      <c r="I1562" s="41">
        <v>1</v>
      </c>
      <c r="J1562" s="108">
        <f>POWER(POWER(Table210[[#This Row],[mv]],4)/10,0.25)</f>
        <v>1.1809167828997333E-3</v>
      </c>
      <c r="K1562" s="41">
        <v>0</v>
      </c>
      <c r="L1562" s="41">
        <v>55</v>
      </c>
      <c r="M1562" s="41">
        <v>-1</v>
      </c>
      <c r="N1562" s="41">
        <v>2</v>
      </c>
      <c r="O1562" s="111" t="s">
        <v>3687</v>
      </c>
      <c r="P1562" s="109">
        <v>27182</v>
      </c>
      <c r="Q1562" s="41"/>
      <c r="R1562" s="111"/>
      <c r="S1562" s="110"/>
    </row>
    <row r="1563" spans="1:19">
      <c r="A1563" s="105">
        <v>2945</v>
      </c>
      <c r="B1563" s="41">
        <v>12000000</v>
      </c>
      <c r="C1563" s="41">
        <v>2.0999999999999999E-3</v>
      </c>
      <c r="D1563" s="41">
        <v>5.6569000000000003</v>
      </c>
      <c r="E1563" s="41">
        <v>30</v>
      </c>
      <c r="F1563" s="41">
        <v>0</v>
      </c>
      <c r="G1563" s="41" t="s">
        <v>505</v>
      </c>
      <c r="H1563" s="41">
        <v>1</v>
      </c>
      <c r="I1563" s="41">
        <v>1</v>
      </c>
      <c r="J1563" s="108">
        <f>POWER(POWER(Table210[[#This Row],[mv]],4)/10,0.25)</f>
        <v>1.1809167828997333E-3</v>
      </c>
      <c r="K1563" s="41">
        <v>0</v>
      </c>
      <c r="L1563" s="41">
        <v>55</v>
      </c>
      <c r="M1563" s="41">
        <v>-1</v>
      </c>
      <c r="N1563" s="41">
        <v>2</v>
      </c>
      <c r="O1563" s="111" t="s">
        <v>3688</v>
      </c>
      <c r="P1563" s="109">
        <v>27182</v>
      </c>
      <c r="Q1563" s="41"/>
      <c r="R1563" s="111"/>
      <c r="S1563" s="110"/>
    </row>
    <row r="1564" spans="1:19">
      <c r="A1564" s="105">
        <v>2946</v>
      </c>
      <c r="B1564" s="41">
        <v>12000000</v>
      </c>
      <c r="C1564" s="41">
        <v>2.0999999999999999E-3</v>
      </c>
      <c r="D1564" s="41">
        <v>8</v>
      </c>
      <c r="E1564" s="41">
        <v>30</v>
      </c>
      <c r="F1564" s="41">
        <v>0</v>
      </c>
      <c r="G1564" s="41" t="s">
        <v>505</v>
      </c>
      <c r="H1564" s="41">
        <v>1</v>
      </c>
      <c r="I1564" s="41">
        <v>1</v>
      </c>
      <c r="J1564" s="108">
        <f>POWER(POWER(Table210[[#This Row],[mv]],4)/10,0.25)</f>
        <v>1.1809167828997333E-3</v>
      </c>
      <c r="K1564" s="41">
        <v>0</v>
      </c>
      <c r="L1564" s="41">
        <v>55</v>
      </c>
      <c r="M1564" s="41">
        <v>-1</v>
      </c>
      <c r="N1564" s="41">
        <v>2</v>
      </c>
      <c r="O1564" s="111" t="s">
        <v>3689</v>
      </c>
      <c r="P1564" s="109">
        <v>27182</v>
      </c>
      <c r="Q1564" s="41"/>
      <c r="R1564" s="111"/>
      <c r="S1564" s="110"/>
    </row>
    <row r="1565" spans="1:19">
      <c r="A1565" s="105">
        <v>2947</v>
      </c>
      <c r="B1565" s="41">
        <v>12000000</v>
      </c>
      <c r="C1565" s="41">
        <v>2.0999999999999999E-3</v>
      </c>
      <c r="D1565" s="41">
        <v>11.313700000000001</v>
      </c>
      <c r="E1565" s="41">
        <v>30</v>
      </c>
      <c r="F1565" s="41">
        <v>0</v>
      </c>
      <c r="G1565" s="41" t="s">
        <v>505</v>
      </c>
      <c r="H1565" s="41">
        <v>1</v>
      </c>
      <c r="I1565" s="41">
        <v>1</v>
      </c>
      <c r="J1565" s="108">
        <f>POWER(POWER(Table210[[#This Row],[mv]],4)/10,0.25)</f>
        <v>1.1809167828997333E-3</v>
      </c>
      <c r="K1565" s="41">
        <v>0</v>
      </c>
      <c r="L1565" s="41">
        <v>55</v>
      </c>
      <c r="M1565" s="41">
        <v>-1</v>
      </c>
      <c r="N1565" s="41">
        <v>2</v>
      </c>
      <c r="O1565" s="111" t="s">
        <v>3690</v>
      </c>
      <c r="P1565" s="109">
        <v>27182</v>
      </c>
      <c r="Q1565" s="41"/>
      <c r="R1565" s="111"/>
      <c r="S1565" s="110"/>
    </row>
    <row r="1566" spans="1:19">
      <c r="A1566" s="105">
        <v>2948</v>
      </c>
      <c r="B1566" s="41">
        <v>12000000</v>
      </c>
      <c r="C1566" s="41">
        <v>2.0999999999999999E-3</v>
      </c>
      <c r="D1566" s="41">
        <v>16</v>
      </c>
      <c r="E1566" s="41">
        <v>30</v>
      </c>
      <c r="F1566" s="41">
        <v>0</v>
      </c>
      <c r="G1566" s="41" t="s">
        <v>505</v>
      </c>
      <c r="H1566" s="41">
        <v>1</v>
      </c>
      <c r="I1566" s="41">
        <v>1</v>
      </c>
      <c r="J1566" s="108">
        <f>POWER(POWER(Table210[[#This Row],[mv]],4)/10,0.25)</f>
        <v>1.1809167828997333E-3</v>
      </c>
      <c r="K1566" s="41">
        <v>0</v>
      </c>
      <c r="L1566" s="41">
        <v>55</v>
      </c>
      <c r="M1566" s="41">
        <v>-1</v>
      </c>
      <c r="N1566" s="41">
        <v>2</v>
      </c>
      <c r="O1566" s="111" t="s">
        <v>3691</v>
      </c>
      <c r="P1566" s="109">
        <v>27182</v>
      </c>
      <c r="Q1566" s="41"/>
      <c r="R1566" s="111"/>
      <c r="S1566" s="110"/>
    </row>
    <row r="1567" spans="1:19">
      <c r="A1567" s="105">
        <v>2949</v>
      </c>
      <c r="B1567" s="41">
        <v>12000000</v>
      </c>
      <c r="C1567" s="41">
        <v>2.0999999999999999E-3</v>
      </c>
      <c r="D1567" s="41">
        <v>22.627400000000002</v>
      </c>
      <c r="E1567" s="41">
        <v>30</v>
      </c>
      <c r="F1567" s="41">
        <v>0</v>
      </c>
      <c r="G1567" s="41" t="s">
        <v>505</v>
      </c>
      <c r="H1567" s="41">
        <v>1</v>
      </c>
      <c r="I1567" s="41">
        <v>1</v>
      </c>
      <c r="J1567" s="108">
        <f>POWER(POWER(Table210[[#This Row],[mv]],4)/10,0.25)</f>
        <v>1.1809167828997333E-3</v>
      </c>
      <c r="K1567" s="41">
        <v>0</v>
      </c>
      <c r="L1567" s="41">
        <v>55</v>
      </c>
      <c r="M1567" s="41">
        <v>-1</v>
      </c>
      <c r="N1567" s="41">
        <v>2</v>
      </c>
      <c r="O1567" s="111" t="s">
        <v>3692</v>
      </c>
      <c r="P1567" s="109">
        <v>27182</v>
      </c>
      <c r="Q1567" s="41"/>
      <c r="R1567" s="111"/>
      <c r="S1567" s="110"/>
    </row>
    <row r="1568" spans="1:19">
      <c r="A1568" s="105">
        <v>2950</v>
      </c>
      <c r="B1568" s="41">
        <v>12000000</v>
      </c>
      <c r="C1568" s="41">
        <v>2.0999999999999999E-3</v>
      </c>
      <c r="D1568" s="41">
        <v>32</v>
      </c>
      <c r="E1568" s="41">
        <v>30</v>
      </c>
      <c r="F1568" s="41">
        <v>0</v>
      </c>
      <c r="G1568" s="41" t="s">
        <v>505</v>
      </c>
      <c r="H1568" s="41">
        <v>1</v>
      </c>
      <c r="I1568" s="41">
        <v>1</v>
      </c>
      <c r="J1568" s="108">
        <f>POWER(POWER(Table210[[#This Row],[mv]],4)/10,0.25)</f>
        <v>1.1809167828997333E-3</v>
      </c>
      <c r="K1568" s="41">
        <v>0</v>
      </c>
      <c r="L1568" s="41">
        <v>55</v>
      </c>
      <c r="M1568" s="41">
        <v>-1</v>
      </c>
      <c r="N1568" s="41">
        <v>2</v>
      </c>
      <c r="O1568" s="111" t="s">
        <v>3693</v>
      </c>
      <c r="P1568" s="109">
        <v>27182</v>
      </c>
      <c r="Q1568" s="41"/>
      <c r="R1568" s="111"/>
      <c r="S1568" s="110"/>
    </row>
    <row r="1569" spans="1:19">
      <c r="A1569" s="105">
        <v>2951</v>
      </c>
      <c r="B1569" s="41">
        <v>12000000</v>
      </c>
      <c r="C1569" s="41">
        <v>2.3E-3</v>
      </c>
      <c r="D1569" s="41">
        <v>2</v>
      </c>
      <c r="E1569" s="41">
        <v>30</v>
      </c>
      <c r="F1569" s="41">
        <v>0</v>
      </c>
      <c r="G1569" s="41" t="s">
        <v>505</v>
      </c>
      <c r="H1569" s="41">
        <v>1</v>
      </c>
      <c r="I1569" s="41">
        <v>1</v>
      </c>
      <c r="J1569" s="108">
        <f>POWER(POWER(Table210[[#This Row],[mv]],4)/10,0.25)</f>
        <v>1.2933850479378026E-3</v>
      </c>
      <c r="K1569" s="41">
        <v>0</v>
      </c>
      <c r="L1569" s="41">
        <v>55</v>
      </c>
      <c r="M1569" s="41">
        <v>-1</v>
      </c>
      <c r="N1569" s="41">
        <v>2</v>
      </c>
      <c r="O1569" s="111" t="s">
        <v>3694</v>
      </c>
      <c r="P1569" s="109">
        <v>27182</v>
      </c>
      <c r="Q1569" s="41"/>
      <c r="R1569" s="111"/>
      <c r="S1569" s="110"/>
    </row>
    <row r="1570" spans="1:19">
      <c r="A1570" s="105">
        <v>2952</v>
      </c>
      <c r="B1570" s="41">
        <v>12000000</v>
      </c>
      <c r="C1570" s="41">
        <v>2.3E-3</v>
      </c>
      <c r="D1570" s="41">
        <v>2.8283999999999998</v>
      </c>
      <c r="E1570" s="41">
        <v>30</v>
      </c>
      <c r="F1570" s="41">
        <v>0</v>
      </c>
      <c r="G1570" s="41" t="s">
        <v>505</v>
      </c>
      <c r="H1570" s="41">
        <v>1</v>
      </c>
      <c r="I1570" s="41">
        <v>1</v>
      </c>
      <c r="J1570" s="108">
        <f>POWER(POWER(Table210[[#This Row],[mv]],4)/10,0.25)</f>
        <v>1.2933850479378026E-3</v>
      </c>
      <c r="K1570" s="41">
        <v>0</v>
      </c>
      <c r="L1570" s="41">
        <v>55</v>
      </c>
      <c r="M1570" s="41">
        <v>-1</v>
      </c>
      <c r="N1570" s="41">
        <v>2</v>
      </c>
      <c r="O1570" s="111" t="s">
        <v>3695</v>
      </c>
      <c r="P1570" s="109">
        <v>27182</v>
      </c>
      <c r="Q1570" s="41"/>
      <c r="R1570" s="111"/>
      <c r="S1570" s="110"/>
    </row>
    <row r="1571" spans="1:19">
      <c r="A1571" s="105">
        <v>2953</v>
      </c>
      <c r="B1571" s="41">
        <v>12000000</v>
      </c>
      <c r="C1571" s="41">
        <v>2.3E-3</v>
      </c>
      <c r="D1571" s="41">
        <v>4</v>
      </c>
      <c r="E1571" s="41">
        <v>30</v>
      </c>
      <c r="F1571" s="41">
        <v>0</v>
      </c>
      <c r="G1571" s="41" t="s">
        <v>505</v>
      </c>
      <c r="H1571" s="41">
        <v>1</v>
      </c>
      <c r="I1571" s="41">
        <v>1</v>
      </c>
      <c r="J1571" s="108">
        <f>POWER(POWER(Table210[[#This Row],[mv]],4)/10,0.25)</f>
        <v>1.2933850479378026E-3</v>
      </c>
      <c r="K1571" s="41">
        <v>0</v>
      </c>
      <c r="L1571" s="41">
        <v>55</v>
      </c>
      <c r="M1571" s="41">
        <v>-1</v>
      </c>
      <c r="N1571" s="41">
        <v>2</v>
      </c>
      <c r="O1571" s="111" t="s">
        <v>3696</v>
      </c>
      <c r="P1571" s="109">
        <v>27182</v>
      </c>
      <c r="Q1571" s="41"/>
      <c r="R1571" s="111"/>
      <c r="S1571" s="110"/>
    </row>
    <row r="1572" spans="1:19">
      <c r="A1572" s="105">
        <v>2954</v>
      </c>
      <c r="B1572" s="41">
        <v>12000000</v>
      </c>
      <c r="C1572" s="41">
        <v>2.3E-3</v>
      </c>
      <c r="D1572" s="41">
        <v>5.6569000000000003</v>
      </c>
      <c r="E1572" s="41">
        <v>30</v>
      </c>
      <c r="F1572" s="41">
        <v>0</v>
      </c>
      <c r="G1572" s="41" t="s">
        <v>505</v>
      </c>
      <c r="H1572" s="41">
        <v>1</v>
      </c>
      <c r="I1572" s="41">
        <v>1</v>
      </c>
      <c r="J1572" s="108">
        <f>POWER(POWER(Table210[[#This Row],[mv]],4)/10,0.25)</f>
        <v>1.2933850479378026E-3</v>
      </c>
      <c r="K1572" s="41">
        <v>0</v>
      </c>
      <c r="L1572" s="41">
        <v>55</v>
      </c>
      <c r="M1572" s="41">
        <v>-1</v>
      </c>
      <c r="N1572" s="41">
        <v>2</v>
      </c>
      <c r="O1572" s="111" t="s">
        <v>3697</v>
      </c>
      <c r="P1572" s="109">
        <v>27182</v>
      </c>
      <c r="Q1572" s="41"/>
      <c r="R1572" s="111"/>
      <c r="S1572" s="110"/>
    </row>
    <row r="1573" spans="1:19">
      <c r="A1573" s="105">
        <v>2955</v>
      </c>
      <c r="B1573" s="41">
        <v>12000000</v>
      </c>
      <c r="C1573" s="41">
        <v>2.3E-3</v>
      </c>
      <c r="D1573" s="41">
        <v>8</v>
      </c>
      <c r="E1573" s="41">
        <v>30</v>
      </c>
      <c r="F1573" s="41">
        <v>0</v>
      </c>
      <c r="G1573" s="41" t="s">
        <v>505</v>
      </c>
      <c r="H1573" s="41">
        <v>1</v>
      </c>
      <c r="I1573" s="41">
        <v>1</v>
      </c>
      <c r="J1573" s="108">
        <f>POWER(POWER(Table210[[#This Row],[mv]],4)/10,0.25)</f>
        <v>1.2933850479378026E-3</v>
      </c>
      <c r="K1573" s="41">
        <v>0</v>
      </c>
      <c r="L1573" s="41">
        <v>55</v>
      </c>
      <c r="M1573" s="41">
        <v>-1</v>
      </c>
      <c r="N1573" s="41">
        <v>2</v>
      </c>
      <c r="O1573" s="111" t="s">
        <v>3698</v>
      </c>
      <c r="P1573" s="109">
        <v>27182</v>
      </c>
      <c r="Q1573" s="41"/>
      <c r="R1573" s="111"/>
      <c r="S1573" s="110"/>
    </row>
    <row r="1574" spans="1:19">
      <c r="A1574" s="105">
        <v>2956</v>
      </c>
      <c r="B1574" s="41">
        <v>12000000</v>
      </c>
      <c r="C1574" s="41">
        <v>2.3E-3</v>
      </c>
      <c r="D1574" s="41">
        <v>11.313700000000001</v>
      </c>
      <c r="E1574" s="41">
        <v>30</v>
      </c>
      <c r="F1574" s="41">
        <v>0</v>
      </c>
      <c r="G1574" s="41" t="s">
        <v>505</v>
      </c>
      <c r="H1574" s="41">
        <v>1</v>
      </c>
      <c r="I1574" s="41">
        <v>1</v>
      </c>
      <c r="J1574" s="108">
        <f>POWER(POWER(Table210[[#This Row],[mv]],4)/10,0.25)</f>
        <v>1.2933850479378026E-3</v>
      </c>
      <c r="K1574" s="41">
        <v>0</v>
      </c>
      <c r="L1574" s="41">
        <v>55</v>
      </c>
      <c r="M1574" s="41">
        <v>-1</v>
      </c>
      <c r="N1574" s="41">
        <v>2</v>
      </c>
      <c r="O1574" s="111" t="s">
        <v>3699</v>
      </c>
      <c r="P1574" s="109">
        <v>27182</v>
      </c>
      <c r="Q1574" s="41"/>
      <c r="R1574" s="111"/>
      <c r="S1574" s="110"/>
    </row>
    <row r="1575" spans="1:19">
      <c r="A1575" s="105">
        <v>2957</v>
      </c>
      <c r="B1575" s="41">
        <v>12000000</v>
      </c>
      <c r="C1575" s="41">
        <v>2.3E-3</v>
      </c>
      <c r="D1575" s="41">
        <v>16</v>
      </c>
      <c r="E1575" s="41">
        <v>30</v>
      </c>
      <c r="F1575" s="41">
        <v>0</v>
      </c>
      <c r="G1575" s="41" t="s">
        <v>505</v>
      </c>
      <c r="H1575" s="41">
        <v>1</v>
      </c>
      <c r="I1575" s="41">
        <v>1</v>
      </c>
      <c r="J1575" s="108">
        <f>POWER(POWER(Table210[[#This Row],[mv]],4)/10,0.25)</f>
        <v>1.2933850479378026E-3</v>
      </c>
      <c r="K1575" s="41">
        <v>0</v>
      </c>
      <c r="L1575" s="41">
        <v>55</v>
      </c>
      <c r="M1575" s="41">
        <v>-1</v>
      </c>
      <c r="N1575" s="41">
        <v>2</v>
      </c>
      <c r="O1575" s="111" t="s">
        <v>3700</v>
      </c>
      <c r="P1575" s="109">
        <v>27182</v>
      </c>
      <c r="Q1575" s="41"/>
      <c r="R1575" s="111"/>
      <c r="S1575" s="110"/>
    </row>
    <row r="1576" spans="1:19">
      <c r="A1576" s="105">
        <v>2958</v>
      </c>
      <c r="B1576" s="41">
        <v>12000000</v>
      </c>
      <c r="C1576" s="41">
        <v>2.3E-3</v>
      </c>
      <c r="D1576" s="41">
        <v>22.627400000000002</v>
      </c>
      <c r="E1576" s="41">
        <v>30</v>
      </c>
      <c r="F1576" s="41">
        <v>0</v>
      </c>
      <c r="G1576" s="41" t="s">
        <v>505</v>
      </c>
      <c r="H1576" s="41">
        <v>1</v>
      </c>
      <c r="I1576" s="41">
        <v>1</v>
      </c>
      <c r="J1576" s="108">
        <f>POWER(POWER(Table210[[#This Row],[mv]],4)/10,0.25)</f>
        <v>1.2933850479378026E-3</v>
      </c>
      <c r="K1576" s="41">
        <v>0</v>
      </c>
      <c r="L1576" s="41">
        <v>55</v>
      </c>
      <c r="M1576" s="41">
        <v>-1</v>
      </c>
      <c r="N1576" s="41">
        <v>2</v>
      </c>
      <c r="O1576" s="111" t="s">
        <v>3701</v>
      </c>
      <c r="P1576" s="109">
        <v>27182</v>
      </c>
      <c r="Q1576" s="41"/>
      <c r="R1576" s="111"/>
      <c r="S1576" s="110"/>
    </row>
    <row r="1577" spans="1:19">
      <c r="A1577" s="105">
        <v>2959</v>
      </c>
      <c r="B1577" s="41">
        <v>12000000</v>
      </c>
      <c r="C1577" s="41">
        <v>2.3E-3</v>
      </c>
      <c r="D1577" s="41">
        <v>32</v>
      </c>
      <c r="E1577" s="41">
        <v>30</v>
      </c>
      <c r="F1577" s="41">
        <v>0</v>
      </c>
      <c r="G1577" s="41" t="s">
        <v>505</v>
      </c>
      <c r="H1577" s="41">
        <v>1</v>
      </c>
      <c r="I1577" s="41">
        <v>1</v>
      </c>
      <c r="J1577" s="108">
        <f>POWER(POWER(Table210[[#This Row],[mv]],4)/10,0.25)</f>
        <v>1.2933850479378026E-3</v>
      </c>
      <c r="K1577" s="41">
        <v>0</v>
      </c>
      <c r="L1577" s="41">
        <v>55</v>
      </c>
      <c r="M1577" s="41">
        <v>-1</v>
      </c>
      <c r="N1577" s="41">
        <v>2</v>
      </c>
      <c r="O1577" s="111" t="s">
        <v>3702</v>
      </c>
      <c r="P1577" s="109">
        <v>27182</v>
      </c>
      <c r="Q1577" s="41"/>
      <c r="R1577" s="111"/>
      <c r="S1577" s="110"/>
    </row>
    <row r="1578" spans="1:19">
      <c r="A1578" s="105">
        <v>2960</v>
      </c>
      <c r="B1578" s="41">
        <v>12000000</v>
      </c>
      <c r="C1578" s="41">
        <v>2.3E-3</v>
      </c>
      <c r="D1578" s="41">
        <v>45.254800000000003</v>
      </c>
      <c r="E1578" s="41">
        <v>30</v>
      </c>
      <c r="F1578" s="41">
        <v>0</v>
      </c>
      <c r="G1578" s="41" t="s">
        <v>505</v>
      </c>
      <c r="H1578" s="41">
        <v>1</v>
      </c>
      <c r="I1578" s="41">
        <v>1</v>
      </c>
      <c r="J1578" s="108">
        <f>POWER(POWER(Table210[[#This Row],[mv]],4)/10,0.25)</f>
        <v>1.2933850479378026E-3</v>
      </c>
      <c r="K1578" s="41">
        <v>0</v>
      </c>
      <c r="L1578" s="41">
        <v>55</v>
      </c>
      <c r="M1578" s="41">
        <v>-1</v>
      </c>
      <c r="N1578" s="41">
        <v>2</v>
      </c>
      <c r="O1578" s="111" t="s">
        <v>3703</v>
      </c>
      <c r="P1578" s="109">
        <v>27182</v>
      </c>
      <c r="Q1578" s="41"/>
      <c r="R1578" s="111"/>
      <c r="S1578" s="110"/>
    </row>
    <row r="1579" spans="1:19">
      <c r="A1579" s="105">
        <v>2961</v>
      </c>
      <c r="B1579" s="41">
        <v>12000000</v>
      </c>
      <c r="C1579" s="41">
        <v>2.5000000000000001E-3</v>
      </c>
      <c r="D1579" s="41">
        <v>2</v>
      </c>
      <c r="E1579" s="41">
        <v>30</v>
      </c>
      <c r="F1579" s="41">
        <v>0</v>
      </c>
      <c r="G1579" s="41" t="s">
        <v>505</v>
      </c>
      <c r="H1579" s="41">
        <v>1</v>
      </c>
      <c r="I1579" s="41">
        <v>1</v>
      </c>
      <c r="J1579" s="108">
        <f>POWER(POWER(Table210[[#This Row],[mv]],4)/10,0.25)</f>
        <v>1.4058533129758727E-3</v>
      </c>
      <c r="K1579" s="41">
        <v>0</v>
      </c>
      <c r="L1579" s="41">
        <v>55</v>
      </c>
      <c r="M1579" s="41">
        <v>-1</v>
      </c>
      <c r="N1579" s="41">
        <v>2</v>
      </c>
      <c r="O1579" s="111" t="s">
        <v>3704</v>
      </c>
      <c r="P1579" s="109">
        <v>27182</v>
      </c>
      <c r="Q1579" s="41"/>
      <c r="R1579" s="111"/>
      <c r="S1579" s="110"/>
    </row>
    <row r="1580" spans="1:19">
      <c r="A1580" s="105">
        <v>2962</v>
      </c>
      <c r="B1580" s="41">
        <v>12000000</v>
      </c>
      <c r="C1580" s="41">
        <v>2.5000000000000001E-3</v>
      </c>
      <c r="D1580" s="41">
        <v>2.8283999999999998</v>
      </c>
      <c r="E1580" s="41">
        <v>30</v>
      </c>
      <c r="F1580" s="41">
        <v>0</v>
      </c>
      <c r="G1580" s="41" t="s">
        <v>505</v>
      </c>
      <c r="H1580" s="41">
        <v>1</v>
      </c>
      <c r="I1580" s="41">
        <v>1</v>
      </c>
      <c r="J1580" s="108">
        <f>POWER(POWER(Table210[[#This Row],[mv]],4)/10,0.25)</f>
        <v>1.4058533129758727E-3</v>
      </c>
      <c r="K1580" s="41">
        <v>0</v>
      </c>
      <c r="L1580" s="41">
        <v>55</v>
      </c>
      <c r="M1580" s="41">
        <v>-1</v>
      </c>
      <c r="N1580" s="41">
        <v>2</v>
      </c>
      <c r="O1580" s="111" t="s">
        <v>3705</v>
      </c>
      <c r="P1580" s="109">
        <v>27182</v>
      </c>
      <c r="Q1580" s="41"/>
      <c r="R1580" s="111"/>
      <c r="S1580" s="110"/>
    </row>
    <row r="1581" spans="1:19">
      <c r="A1581" s="105">
        <v>2963</v>
      </c>
      <c r="B1581" s="41">
        <v>12000000</v>
      </c>
      <c r="C1581" s="41">
        <v>2.5000000000000001E-3</v>
      </c>
      <c r="D1581" s="41">
        <v>4</v>
      </c>
      <c r="E1581" s="41">
        <v>30</v>
      </c>
      <c r="F1581" s="41">
        <v>0</v>
      </c>
      <c r="G1581" s="41" t="s">
        <v>505</v>
      </c>
      <c r="H1581" s="41">
        <v>1</v>
      </c>
      <c r="I1581" s="41">
        <v>1</v>
      </c>
      <c r="J1581" s="108">
        <f>POWER(POWER(Table210[[#This Row],[mv]],4)/10,0.25)</f>
        <v>1.4058533129758727E-3</v>
      </c>
      <c r="K1581" s="41">
        <v>0</v>
      </c>
      <c r="L1581" s="41">
        <v>55</v>
      </c>
      <c r="M1581" s="41">
        <v>-1</v>
      </c>
      <c r="N1581" s="41">
        <v>2</v>
      </c>
      <c r="O1581" s="111" t="s">
        <v>3706</v>
      </c>
      <c r="P1581" s="109">
        <v>27182</v>
      </c>
      <c r="Q1581" s="41"/>
      <c r="R1581" s="111"/>
      <c r="S1581" s="110"/>
    </row>
    <row r="1582" spans="1:19">
      <c r="A1582" s="105">
        <v>2964</v>
      </c>
      <c r="B1582" s="41">
        <v>12000000</v>
      </c>
      <c r="C1582" s="41">
        <v>2.5000000000000001E-3</v>
      </c>
      <c r="D1582" s="41">
        <v>5.6569000000000003</v>
      </c>
      <c r="E1582" s="41">
        <v>30</v>
      </c>
      <c r="F1582" s="41">
        <v>0</v>
      </c>
      <c r="G1582" s="41" t="s">
        <v>505</v>
      </c>
      <c r="H1582" s="41">
        <v>1</v>
      </c>
      <c r="I1582" s="41">
        <v>1</v>
      </c>
      <c r="J1582" s="108">
        <f>POWER(POWER(Table210[[#This Row],[mv]],4)/10,0.25)</f>
        <v>1.4058533129758727E-3</v>
      </c>
      <c r="K1582" s="41">
        <v>0</v>
      </c>
      <c r="L1582" s="41">
        <v>55</v>
      </c>
      <c r="M1582" s="41">
        <v>-1</v>
      </c>
      <c r="N1582" s="41">
        <v>2</v>
      </c>
      <c r="O1582" s="111" t="s">
        <v>3707</v>
      </c>
      <c r="P1582" s="109">
        <v>27182</v>
      </c>
      <c r="Q1582" s="41"/>
      <c r="R1582" s="111"/>
      <c r="S1582" s="110"/>
    </row>
    <row r="1583" spans="1:19">
      <c r="A1583" s="105">
        <v>2965</v>
      </c>
      <c r="B1583" s="41">
        <v>12000000</v>
      </c>
      <c r="C1583" s="41">
        <v>2.5000000000000001E-3</v>
      </c>
      <c r="D1583" s="41">
        <v>8</v>
      </c>
      <c r="E1583" s="41">
        <v>30</v>
      </c>
      <c r="F1583" s="41">
        <v>0</v>
      </c>
      <c r="G1583" s="41" t="s">
        <v>505</v>
      </c>
      <c r="H1583" s="41">
        <v>1</v>
      </c>
      <c r="I1583" s="41">
        <v>1</v>
      </c>
      <c r="J1583" s="108">
        <f>POWER(POWER(Table210[[#This Row],[mv]],4)/10,0.25)</f>
        <v>1.4058533129758727E-3</v>
      </c>
      <c r="K1583" s="41">
        <v>0</v>
      </c>
      <c r="L1583" s="41">
        <v>55</v>
      </c>
      <c r="M1583" s="41">
        <v>-1</v>
      </c>
      <c r="N1583" s="41">
        <v>2</v>
      </c>
      <c r="O1583" s="111" t="s">
        <v>3708</v>
      </c>
      <c r="P1583" s="109">
        <v>27182</v>
      </c>
      <c r="Q1583" s="41"/>
      <c r="R1583" s="111"/>
      <c r="S1583" s="110"/>
    </row>
    <row r="1584" spans="1:19">
      <c r="A1584" s="105">
        <v>2966</v>
      </c>
      <c r="B1584" s="41">
        <v>12000000</v>
      </c>
      <c r="C1584" s="41">
        <v>2.5000000000000001E-3</v>
      </c>
      <c r="D1584" s="41">
        <v>11.313700000000001</v>
      </c>
      <c r="E1584" s="41">
        <v>30</v>
      </c>
      <c r="F1584" s="41">
        <v>0</v>
      </c>
      <c r="G1584" s="41" t="s">
        <v>505</v>
      </c>
      <c r="H1584" s="41">
        <v>1</v>
      </c>
      <c r="I1584" s="41">
        <v>1</v>
      </c>
      <c r="J1584" s="108">
        <f>POWER(POWER(Table210[[#This Row],[mv]],4)/10,0.25)</f>
        <v>1.4058533129758727E-3</v>
      </c>
      <c r="K1584" s="41">
        <v>0</v>
      </c>
      <c r="L1584" s="41">
        <v>55</v>
      </c>
      <c r="M1584" s="41">
        <v>-1</v>
      </c>
      <c r="N1584" s="41">
        <v>2</v>
      </c>
      <c r="O1584" s="111" t="s">
        <v>3709</v>
      </c>
      <c r="P1584" s="109">
        <v>27182</v>
      </c>
      <c r="Q1584" s="41"/>
      <c r="R1584" s="111"/>
      <c r="S1584" s="110"/>
    </row>
    <row r="1585" spans="1:19">
      <c r="A1585" s="105">
        <v>2967</v>
      </c>
      <c r="B1585" s="41">
        <v>12000000</v>
      </c>
      <c r="C1585" s="41">
        <v>2.5000000000000001E-3</v>
      </c>
      <c r="D1585" s="41">
        <v>16</v>
      </c>
      <c r="E1585" s="41">
        <v>30</v>
      </c>
      <c r="F1585" s="41">
        <v>0</v>
      </c>
      <c r="G1585" s="41" t="s">
        <v>505</v>
      </c>
      <c r="H1585" s="41">
        <v>1</v>
      </c>
      <c r="I1585" s="41">
        <v>1</v>
      </c>
      <c r="J1585" s="108">
        <f>POWER(POWER(Table210[[#This Row],[mv]],4)/10,0.25)</f>
        <v>1.4058533129758727E-3</v>
      </c>
      <c r="K1585" s="41">
        <v>0</v>
      </c>
      <c r="L1585" s="41">
        <v>55</v>
      </c>
      <c r="M1585" s="41">
        <v>-1</v>
      </c>
      <c r="N1585" s="41">
        <v>2</v>
      </c>
      <c r="O1585" s="111" t="s">
        <v>3710</v>
      </c>
      <c r="P1585" s="109">
        <v>27182</v>
      </c>
      <c r="Q1585" s="41"/>
      <c r="R1585" s="111"/>
      <c r="S1585" s="110"/>
    </row>
    <row r="1586" spans="1:19">
      <c r="A1586" s="105">
        <v>2968</v>
      </c>
      <c r="B1586" s="41">
        <v>12000000</v>
      </c>
      <c r="C1586" s="41">
        <v>2.5000000000000001E-3</v>
      </c>
      <c r="D1586" s="41">
        <v>22.627400000000002</v>
      </c>
      <c r="E1586" s="41">
        <v>30</v>
      </c>
      <c r="F1586" s="41">
        <v>0</v>
      </c>
      <c r="G1586" s="41" t="s">
        <v>505</v>
      </c>
      <c r="H1586" s="41">
        <v>1</v>
      </c>
      <c r="I1586" s="41">
        <v>1</v>
      </c>
      <c r="J1586" s="108">
        <f>POWER(POWER(Table210[[#This Row],[mv]],4)/10,0.25)</f>
        <v>1.4058533129758727E-3</v>
      </c>
      <c r="K1586" s="41">
        <v>0</v>
      </c>
      <c r="L1586" s="41">
        <v>55</v>
      </c>
      <c r="M1586" s="41">
        <v>-1</v>
      </c>
      <c r="N1586" s="41">
        <v>2</v>
      </c>
      <c r="O1586" s="111" t="s">
        <v>3711</v>
      </c>
      <c r="P1586" s="109">
        <v>27182</v>
      </c>
      <c r="Q1586" s="41"/>
      <c r="R1586" s="111"/>
      <c r="S1586" s="110"/>
    </row>
    <row r="1587" spans="1:19">
      <c r="A1587" s="105">
        <v>2969</v>
      </c>
      <c r="B1587" s="41">
        <v>12000000</v>
      </c>
      <c r="C1587" s="41">
        <v>2.5000000000000001E-3</v>
      </c>
      <c r="D1587" s="41">
        <v>32</v>
      </c>
      <c r="E1587" s="41">
        <v>30</v>
      </c>
      <c r="F1587" s="41">
        <v>0</v>
      </c>
      <c r="G1587" s="41" t="s">
        <v>505</v>
      </c>
      <c r="H1587" s="41">
        <v>1</v>
      </c>
      <c r="I1587" s="41">
        <v>1</v>
      </c>
      <c r="J1587" s="108">
        <f>POWER(POWER(Table210[[#This Row],[mv]],4)/10,0.25)</f>
        <v>1.4058533129758727E-3</v>
      </c>
      <c r="K1587" s="41">
        <v>0</v>
      </c>
      <c r="L1587" s="41">
        <v>55</v>
      </c>
      <c r="M1587" s="41">
        <v>-1</v>
      </c>
      <c r="N1587" s="41">
        <v>2</v>
      </c>
      <c r="O1587" s="111" t="s">
        <v>3712</v>
      </c>
      <c r="P1587" s="109">
        <v>27182</v>
      </c>
      <c r="Q1587" s="41"/>
      <c r="R1587" s="111"/>
      <c r="S1587" s="110"/>
    </row>
    <row r="1588" spans="1:19">
      <c r="A1588" s="105">
        <v>2970</v>
      </c>
      <c r="B1588" s="41">
        <v>12000000</v>
      </c>
      <c r="C1588" s="41">
        <v>2.5000000000000001E-3</v>
      </c>
      <c r="D1588" s="41">
        <v>45.254800000000003</v>
      </c>
      <c r="E1588" s="41">
        <v>30</v>
      </c>
      <c r="F1588" s="41">
        <v>0</v>
      </c>
      <c r="G1588" s="41" t="s">
        <v>505</v>
      </c>
      <c r="H1588" s="41">
        <v>1</v>
      </c>
      <c r="I1588" s="41">
        <v>1</v>
      </c>
      <c r="J1588" s="108">
        <f>POWER(POWER(Table210[[#This Row],[mv]],4)/10,0.25)</f>
        <v>1.4058533129758727E-3</v>
      </c>
      <c r="K1588" s="41">
        <v>0</v>
      </c>
      <c r="L1588" s="41">
        <v>55</v>
      </c>
      <c r="M1588" s="41">
        <v>-1</v>
      </c>
      <c r="N1588" s="41">
        <v>2</v>
      </c>
      <c r="O1588" s="111" t="s">
        <v>3713</v>
      </c>
      <c r="P1588" s="109">
        <v>27182</v>
      </c>
      <c r="Q1588" s="41"/>
      <c r="R1588" s="111"/>
      <c r="S1588" s="110"/>
    </row>
    <row r="1589" spans="1:19">
      <c r="A1589" s="105">
        <v>2971</v>
      </c>
      <c r="B1589" s="41">
        <v>12000000</v>
      </c>
      <c r="C1589" s="41">
        <v>2.7000000000000001E-3</v>
      </c>
      <c r="D1589" s="41">
        <v>2.8283999999999998</v>
      </c>
      <c r="E1589" s="41">
        <v>30</v>
      </c>
      <c r="F1589" s="41">
        <v>0</v>
      </c>
      <c r="G1589" s="41" t="s">
        <v>505</v>
      </c>
      <c r="H1589" s="41">
        <v>1</v>
      </c>
      <c r="I1589" s="41">
        <v>1</v>
      </c>
      <c r="J1589" s="108">
        <f>POWER(POWER(Table210[[#This Row],[mv]],4)/10,0.25)</f>
        <v>1.5183215780139423E-3</v>
      </c>
      <c r="K1589" s="41">
        <v>0</v>
      </c>
      <c r="L1589" s="41">
        <v>55</v>
      </c>
      <c r="M1589" s="41">
        <v>-1</v>
      </c>
      <c r="N1589" s="41">
        <v>2</v>
      </c>
      <c r="O1589" s="111" t="s">
        <v>3714</v>
      </c>
      <c r="P1589" s="109">
        <v>27182</v>
      </c>
      <c r="Q1589" s="41"/>
      <c r="R1589" s="111"/>
      <c r="S1589" s="110"/>
    </row>
    <row r="1590" spans="1:19">
      <c r="A1590" s="105">
        <v>2972</v>
      </c>
      <c r="B1590" s="41">
        <v>12000000</v>
      </c>
      <c r="C1590" s="41">
        <v>2.7000000000000001E-3</v>
      </c>
      <c r="D1590" s="41">
        <v>4</v>
      </c>
      <c r="E1590" s="41">
        <v>30</v>
      </c>
      <c r="F1590" s="41">
        <v>0</v>
      </c>
      <c r="G1590" s="41" t="s">
        <v>505</v>
      </c>
      <c r="H1590" s="41">
        <v>1</v>
      </c>
      <c r="I1590" s="41">
        <v>1</v>
      </c>
      <c r="J1590" s="108">
        <f>POWER(POWER(Table210[[#This Row],[mv]],4)/10,0.25)</f>
        <v>1.5183215780139423E-3</v>
      </c>
      <c r="K1590" s="41">
        <v>0</v>
      </c>
      <c r="L1590" s="41">
        <v>55</v>
      </c>
      <c r="M1590" s="41">
        <v>-1</v>
      </c>
      <c r="N1590" s="41">
        <v>2</v>
      </c>
      <c r="O1590" s="111" t="s">
        <v>3715</v>
      </c>
      <c r="P1590" s="109">
        <v>27182</v>
      </c>
      <c r="Q1590" s="41"/>
      <c r="R1590" s="111"/>
      <c r="S1590" s="110"/>
    </row>
    <row r="1591" spans="1:19">
      <c r="A1591" s="105">
        <v>2973</v>
      </c>
      <c r="B1591" s="41">
        <v>12000000</v>
      </c>
      <c r="C1591" s="41">
        <v>2.7000000000000001E-3</v>
      </c>
      <c r="D1591" s="41">
        <v>5.6569000000000003</v>
      </c>
      <c r="E1591" s="41">
        <v>30</v>
      </c>
      <c r="F1591" s="41">
        <v>0</v>
      </c>
      <c r="G1591" s="41" t="s">
        <v>505</v>
      </c>
      <c r="H1591" s="41">
        <v>1</v>
      </c>
      <c r="I1591" s="41">
        <v>1</v>
      </c>
      <c r="J1591" s="108">
        <f>POWER(POWER(Table210[[#This Row],[mv]],4)/10,0.25)</f>
        <v>1.5183215780139423E-3</v>
      </c>
      <c r="K1591" s="41">
        <v>0</v>
      </c>
      <c r="L1591" s="41">
        <v>55</v>
      </c>
      <c r="M1591" s="41">
        <v>-1</v>
      </c>
      <c r="N1591" s="41">
        <v>2</v>
      </c>
      <c r="O1591" s="111" t="s">
        <v>3716</v>
      </c>
      <c r="P1591" s="109">
        <v>27182</v>
      </c>
      <c r="Q1591" s="41"/>
      <c r="R1591" s="111"/>
      <c r="S1591" s="110"/>
    </row>
    <row r="1592" spans="1:19">
      <c r="A1592" s="105">
        <v>2974</v>
      </c>
      <c r="B1592" s="41">
        <v>12000000</v>
      </c>
      <c r="C1592" s="41">
        <v>2.7000000000000001E-3</v>
      </c>
      <c r="D1592" s="41">
        <v>8</v>
      </c>
      <c r="E1592" s="41">
        <v>30</v>
      </c>
      <c r="F1592" s="41">
        <v>0</v>
      </c>
      <c r="G1592" s="41" t="s">
        <v>505</v>
      </c>
      <c r="H1592" s="41">
        <v>1</v>
      </c>
      <c r="I1592" s="41">
        <v>1</v>
      </c>
      <c r="J1592" s="108">
        <f>POWER(POWER(Table210[[#This Row],[mv]],4)/10,0.25)</f>
        <v>1.5183215780139423E-3</v>
      </c>
      <c r="K1592" s="41">
        <v>0</v>
      </c>
      <c r="L1592" s="41">
        <v>55</v>
      </c>
      <c r="M1592" s="41">
        <v>-1</v>
      </c>
      <c r="N1592" s="41">
        <v>2</v>
      </c>
      <c r="O1592" s="111" t="s">
        <v>3717</v>
      </c>
      <c r="P1592" s="109">
        <v>27182</v>
      </c>
      <c r="Q1592" s="41"/>
      <c r="R1592" s="111"/>
      <c r="S1592" s="110"/>
    </row>
    <row r="1593" spans="1:19">
      <c r="A1593" s="105">
        <v>2975</v>
      </c>
      <c r="B1593" s="41">
        <v>12000000</v>
      </c>
      <c r="C1593" s="41">
        <v>2.7000000000000001E-3</v>
      </c>
      <c r="D1593" s="41">
        <v>11.313700000000001</v>
      </c>
      <c r="E1593" s="41">
        <v>30</v>
      </c>
      <c r="F1593" s="41">
        <v>0</v>
      </c>
      <c r="G1593" s="41" t="s">
        <v>505</v>
      </c>
      <c r="H1593" s="41">
        <v>1</v>
      </c>
      <c r="I1593" s="41">
        <v>1</v>
      </c>
      <c r="J1593" s="108">
        <f>POWER(POWER(Table210[[#This Row],[mv]],4)/10,0.25)</f>
        <v>1.5183215780139423E-3</v>
      </c>
      <c r="K1593" s="41">
        <v>0</v>
      </c>
      <c r="L1593" s="41">
        <v>55</v>
      </c>
      <c r="M1593" s="41">
        <v>-1</v>
      </c>
      <c r="N1593" s="41">
        <v>2</v>
      </c>
      <c r="O1593" s="111" t="s">
        <v>3718</v>
      </c>
      <c r="P1593" s="109">
        <v>27182</v>
      </c>
      <c r="Q1593" s="41"/>
      <c r="R1593" s="111"/>
      <c r="S1593" s="110"/>
    </row>
    <row r="1594" spans="1:19">
      <c r="A1594" s="105">
        <v>2976</v>
      </c>
      <c r="B1594" s="41">
        <v>12000000</v>
      </c>
      <c r="C1594" s="41">
        <v>2.7000000000000001E-3</v>
      </c>
      <c r="D1594" s="41">
        <v>16</v>
      </c>
      <c r="E1594" s="41">
        <v>30</v>
      </c>
      <c r="F1594" s="41">
        <v>0</v>
      </c>
      <c r="G1594" s="41" t="s">
        <v>505</v>
      </c>
      <c r="H1594" s="41">
        <v>1</v>
      </c>
      <c r="I1594" s="41">
        <v>1</v>
      </c>
      <c r="J1594" s="108">
        <f>POWER(POWER(Table210[[#This Row],[mv]],4)/10,0.25)</f>
        <v>1.5183215780139423E-3</v>
      </c>
      <c r="K1594" s="41">
        <v>0</v>
      </c>
      <c r="L1594" s="41">
        <v>55</v>
      </c>
      <c r="M1594" s="41">
        <v>-1</v>
      </c>
      <c r="N1594" s="41">
        <v>2</v>
      </c>
      <c r="O1594" s="111" t="s">
        <v>3719</v>
      </c>
      <c r="P1594" s="109">
        <v>27182</v>
      </c>
      <c r="Q1594" s="41"/>
      <c r="R1594" s="111"/>
      <c r="S1594" s="110"/>
    </row>
    <row r="1595" spans="1:19">
      <c r="A1595" s="105">
        <v>2977</v>
      </c>
      <c r="B1595" s="41">
        <v>12000000</v>
      </c>
      <c r="C1595" s="41">
        <v>2.7000000000000001E-3</v>
      </c>
      <c r="D1595" s="41">
        <v>22.627400000000002</v>
      </c>
      <c r="E1595" s="41">
        <v>30</v>
      </c>
      <c r="F1595" s="41">
        <v>0</v>
      </c>
      <c r="G1595" s="41" t="s">
        <v>505</v>
      </c>
      <c r="H1595" s="41">
        <v>1</v>
      </c>
      <c r="I1595" s="41">
        <v>1</v>
      </c>
      <c r="J1595" s="108">
        <f>POWER(POWER(Table210[[#This Row],[mv]],4)/10,0.25)</f>
        <v>1.5183215780139423E-3</v>
      </c>
      <c r="K1595" s="41">
        <v>0</v>
      </c>
      <c r="L1595" s="41">
        <v>55</v>
      </c>
      <c r="M1595" s="41">
        <v>-1</v>
      </c>
      <c r="N1595" s="41">
        <v>2</v>
      </c>
      <c r="O1595" s="111" t="s">
        <v>3720</v>
      </c>
      <c r="P1595" s="109">
        <v>27182</v>
      </c>
      <c r="Q1595" s="41"/>
      <c r="R1595" s="111"/>
      <c r="S1595" s="110"/>
    </row>
    <row r="1596" spans="1:19">
      <c r="A1596" s="105">
        <v>2978</v>
      </c>
      <c r="B1596" s="41">
        <v>12000000</v>
      </c>
      <c r="C1596" s="41">
        <v>2.7000000000000001E-3</v>
      </c>
      <c r="D1596" s="41">
        <v>32</v>
      </c>
      <c r="E1596" s="41">
        <v>30</v>
      </c>
      <c r="F1596" s="41">
        <v>0</v>
      </c>
      <c r="G1596" s="41" t="s">
        <v>505</v>
      </c>
      <c r="H1596" s="41">
        <v>1</v>
      </c>
      <c r="I1596" s="41">
        <v>1</v>
      </c>
      <c r="J1596" s="108">
        <f>POWER(POWER(Table210[[#This Row],[mv]],4)/10,0.25)</f>
        <v>1.5183215780139423E-3</v>
      </c>
      <c r="K1596" s="41">
        <v>0</v>
      </c>
      <c r="L1596" s="41">
        <v>55</v>
      </c>
      <c r="M1596" s="41">
        <v>-1</v>
      </c>
      <c r="N1596" s="41">
        <v>2</v>
      </c>
      <c r="O1596" s="111" t="s">
        <v>3721</v>
      </c>
      <c r="P1596" s="109">
        <v>27182</v>
      </c>
      <c r="Q1596" s="41"/>
      <c r="R1596" s="111"/>
      <c r="S1596" s="110"/>
    </row>
    <row r="1597" spans="1:19">
      <c r="A1597" s="105">
        <v>2979</v>
      </c>
      <c r="B1597" s="41">
        <v>12000000</v>
      </c>
      <c r="C1597" s="41">
        <v>2.7000000000000001E-3</v>
      </c>
      <c r="D1597" s="41">
        <v>45.254800000000003</v>
      </c>
      <c r="E1597" s="41">
        <v>30</v>
      </c>
      <c r="F1597" s="41">
        <v>0</v>
      </c>
      <c r="G1597" s="41" t="s">
        <v>505</v>
      </c>
      <c r="H1597" s="41">
        <v>1</v>
      </c>
      <c r="I1597" s="41">
        <v>1</v>
      </c>
      <c r="J1597" s="108">
        <f>POWER(POWER(Table210[[#This Row],[mv]],4)/10,0.25)</f>
        <v>1.5183215780139423E-3</v>
      </c>
      <c r="K1597" s="41">
        <v>0</v>
      </c>
      <c r="L1597" s="41">
        <v>55</v>
      </c>
      <c r="M1597" s="41">
        <v>-1</v>
      </c>
      <c r="N1597" s="41">
        <v>2</v>
      </c>
      <c r="O1597" s="111" t="s">
        <v>3722</v>
      </c>
      <c r="P1597" s="109">
        <v>27182</v>
      </c>
      <c r="Q1597" s="41"/>
      <c r="R1597" s="111"/>
      <c r="S1597" s="110"/>
    </row>
    <row r="1598" spans="1:19">
      <c r="A1598" s="105">
        <v>2980</v>
      </c>
      <c r="B1598" s="41">
        <v>12000000</v>
      </c>
      <c r="C1598" s="41">
        <v>2.8999999999999998E-3</v>
      </c>
      <c r="D1598" s="41">
        <v>2.8283999999999998</v>
      </c>
      <c r="E1598" s="41">
        <v>30</v>
      </c>
      <c r="F1598" s="41">
        <v>0</v>
      </c>
      <c r="G1598" s="41" t="s">
        <v>505</v>
      </c>
      <c r="H1598" s="41">
        <v>1</v>
      </c>
      <c r="I1598" s="41">
        <v>1</v>
      </c>
      <c r="J1598" s="108">
        <f>POWER(POWER(Table210[[#This Row],[mv]],4)/10,0.25)</f>
        <v>1.6307898430520129E-3</v>
      </c>
      <c r="K1598" s="41">
        <v>0</v>
      </c>
      <c r="L1598" s="41">
        <v>55</v>
      </c>
      <c r="M1598" s="41">
        <v>-1</v>
      </c>
      <c r="N1598" s="41">
        <v>2</v>
      </c>
      <c r="O1598" s="111" t="s">
        <v>3723</v>
      </c>
      <c r="P1598" s="109">
        <v>27182</v>
      </c>
      <c r="Q1598" s="41"/>
      <c r="R1598" s="111"/>
      <c r="S1598" s="110"/>
    </row>
    <row r="1599" spans="1:19">
      <c r="A1599" s="105">
        <v>2981</v>
      </c>
      <c r="B1599" s="41">
        <v>12000000</v>
      </c>
      <c r="C1599" s="41">
        <v>2.8999999999999998E-3</v>
      </c>
      <c r="D1599" s="41">
        <v>4</v>
      </c>
      <c r="E1599" s="41">
        <v>30</v>
      </c>
      <c r="F1599" s="41">
        <v>0</v>
      </c>
      <c r="G1599" s="41" t="s">
        <v>505</v>
      </c>
      <c r="H1599" s="41">
        <v>1</v>
      </c>
      <c r="I1599" s="41">
        <v>1</v>
      </c>
      <c r="J1599" s="108">
        <f>POWER(POWER(Table210[[#This Row],[mv]],4)/10,0.25)</f>
        <v>1.6307898430520129E-3</v>
      </c>
      <c r="K1599" s="41">
        <v>0</v>
      </c>
      <c r="L1599" s="41">
        <v>55</v>
      </c>
      <c r="M1599" s="41">
        <v>-1</v>
      </c>
      <c r="N1599" s="41">
        <v>2</v>
      </c>
      <c r="O1599" s="111" t="s">
        <v>3724</v>
      </c>
      <c r="P1599" s="109">
        <v>27182</v>
      </c>
      <c r="Q1599" s="41"/>
      <c r="R1599" s="111"/>
      <c r="S1599" s="110"/>
    </row>
    <row r="1600" spans="1:19">
      <c r="A1600" s="105">
        <v>2982</v>
      </c>
      <c r="B1600" s="41">
        <v>12000000</v>
      </c>
      <c r="C1600" s="41">
        <v>2.8999999999999998E-3</v>
      </c>
      <c r="D1600" s="41">
        <v>5.6569000000000003</v>
      </c>
      <c r="E1600" s="41">
        <v>30</v>
      </c>
      <c r="F1600" s="41">
        <v>0</v>
      </c>
      <c r="G1600" s="41" t="s">
        <v>505</v>
      </c>
      <c r="H1600" s="41">
        <v>1</v>
      </c>
      <c r="I1600" s="41">
        <v>1</v>
      </c>
      <c r="J1600" s="108">
        <f>POWER(POWER(Table210[[#This Row],[mv]],4)/10,0.25)</f>
        <v>1.6307898430520129E-3</v>
      </c>
      <c r="K1600" s="41">
        <v>0</v>
      </c>
      <c r="L1600" s="41">
        <v>55</v>
      </c>
      <c r="M1600" s="41">
        <v>-1</v>
      </c>
      <c r="N1600" s="41">
        <v>2</v>
      </c>
      <c r="O1600" s="111" t="s">
        <v>3725</v>
      </c>
      <c r="P1600" s="109">
        <v>27182</v>
      </c>
      <c r="Q1600" s="41"/>
      <c r="R1600" s="111"/>
      <c r="S1600" s="110"/>
    </row>
    <row r="1601" spans="1:19">
      <c r="A1601" s="105">
        <v>2983</v>
      </c>
      <c r="B1601" s="41">
        <v>12000000</v>
      </c>
      <c r="C1601" s="41">
        <v>2.8999999999999998E-3</v>
      </c>
      <c r="D1601" s="41">
        <v>8</v>
      </c>
      <c r="E1601" s="41">
        <v>30</v>
      </c>
      <c r="F1601" s="41">
        <v>0</v>
      </c>
      <c r="G1601" s="41" t="s">
        <v>505</v>
      </c>
      <c r="H1601" s="41">
        <v>1</v>
      </c>
      <c r="I1601" s="41">
        <v>1</v>
      </c>
      <c r="J1601" s="108">
        <f>POWER(POWER(Table210[[#This Row],[mv]],4)/10,0.25)</f>
        <v>1.6307898430520129E-3</v>
      </c>
      <c r="K1601" s="41">
        <v>0</v>
      </c>
      <c r="L1601" s="41">
        <v>55</v>
      </c>
      <c r="M1601" s="41">
        <v>-1</v>
      </c>
      <c r="N1601" s="41">
        <v>2</v>
      </c>
      <c r="O1601" s="111" t="s">
        <v>3726</v>
      </c>
      <c r="P1601" s="109">
        <v>27182</v>
      </c>
      <c r="Q1601" s="41"/>
      <c r="R1601" s="111"/>
      <c r="S1601" s="110"/>
    </row>
    <row r="1602" spans="1:19">
      <c r="A1602" s="105">
        <v>2984</v>
      </c>
      <c r="B1602" s="41">
        <v>12000000</v>
      </c>
      <c r="C1602" s="41">
        <v>2.8999999999999998E-3</v>
      </c>
      <c r="D1602" s="41">
        <v>11.313700000000001</v>
      </c>
      <c r="E1602" s="41">
        <v>30</v>
      </c>
      <c r="F1602" s="41">
        <v>0</v>
      </c>
      <c r="G1602" s="41" t="s">
        <v>505</v>
      </c>
      <c r="H1602" s="41">
        <v>1</v>
      </c>
      <c r="I1602" s="41">
        <v>1</v>
      </c>
      <c r="J1602" s="108">
        <f>POWER(POWER(Table210[[#This Row],[mv]],4)/10,0.25)</f>
        <v>1.6307898430520129E-3</v>
      </c>
      <c r="K1602" s="41">
        <v>0</v>
      </c>
      <c r="L1602" s="41">
        <v>55</v>
      </c>
      <c r="M1602" s="41">
        <v>-1</v>
      </c>
      <c r="N1602" s="41">
        <v>2</v>
      </c>
      <c r="O1602" s="111" t="s">
        <v>3727</v>
      </c>
      <c r="P1602" s="109">
        <v>27182</v>
      </c>
      <c r="Q1602" s="41"/>
      <c r="R1602" s="111"/>
      <c r="S1602" s="110"/>
    </row>
    <row r="1603" spans="1:19">
      <c r="A1603" s="105">
        <v>2985</v>
      </c>
      <c r="B1603" s="41">
        <v>12000000</v>
      </c>
      <c r="C1603" s="41">
        <v>2.8999999999999998E-3</v>
      </c>
      <c r="D1603" s="41">
        <v>16</v>
      </c>
      <c r="E1603" s="41">
        <v>30</v>
      </c>
      <c r="F1603" s="41">
        <v>0</v>
      </c>
      <c r="G1603" s="41" t="s">
        <v>505</v>
      </c>
      <c r="H1603" s="41">
        <v>1</v>
      </c>
      <c r="I1603" s="41">
        <v>1</v>
      </c>
      <c r="J1603" s="108">
        <f>POWER(POWER(Table210[[#This Row],[mv]],4)/10,0.25)</f>
        <v>1.6307898430520129E-3</v>
      </c>
      <c r="K1603" s="41">
        <v>0</v>
      </c>
      <c r="L1603" s="41">
        <v>55</v>
      </c>
      <c r="M1603" s="41">
        <v>-1</v>
      </c>
      <c r="N1603" s="41">
        <v>2</v>
      </c>
      <c r="O1603" s="111" t="s">
        <v>3728</v>
      </c>
      <c r="P1603" s="109">
        <v>27182</v>
      </c>
      <c r="Q1603" s="41"/>
      <c r="R1603" s="111"/>
      <c r="S1603" s="110"/>
    </row>
    <row r="1604" spans="1:19">
      <c r="A1604" s="105">
        <v>2986</v>
      </c>
      <c r="B1604" s="41">
        <v>12000000</v>
      </c>
      <c r="C1604" s="41">
        <v>2.8999999999999998E-3</v>
      </c>
      <c r="D1604" s="41">
        <v>22.627400000000002</v>
      </c>
      <c r="E1604" s="41">
        <v>30</v>
      </c>
      <c r="F1604" s="41">
        <v>0</v>
      </c>
      <c r="G1604" s="41" t="s">
        <v>505</v>
      </c>
      <c r="H1604" s="41">
        <v>1</v>
      </c>
      <c r="I1604" s="41">
        <v>1</v>
      </c>
      <c r="J1604" s="108">
        <f>POWER(POWER(Table210[[#This Row],[mv]],4)/10,0.25)</f>
        <v>1.6307898430520129E-3</v>
      </c>
      <c r="K1604" s="41">
        <v>0</v>
      </c>
      <c r="L1604" s="41">
        <v>55</v>
      </c>
      <c r="M1604" s="41">
        <v>-1</v>
      </c>
      <c r="N1604" s="41">
        <v>2</v>
      </c>
      <c r="O1604" s="111" t="s">
        <v>3729</v>
      </c>
      <c r="P1604" s="109">
        <v>27182</v>
      </c>
      <c r="Q1604" s="41"/>
      <c r="R1604" s="111"/>
      <c r="S1604" s="110"/>
    </row>
    <row r="1605" spans="1:19">
      <c r="A1605" s="105">
        <v>2987</v>
      </c>
      <c r="B1605" s="41">
        <v>12000000</v>
      </c>
      <c r="C1605" s="41">
        <v>2.8999999999999998E-3</v>
      </c>
      <c r="D1605" s="41">
        <v>32</v>
      </c>
      <c r="E1605" s="41">
        <v>30</v>
      </c>
      <c r="F1605" s="41">
        <v>0</v>
      </c>
      <c r="G1605" s="41" t="s">
        <v>505</v>
      </c>
      <c r="H1605" s="41">
        <v>1</v>
      </c>
      <c r="I1605" s="41">
        <v>1</v>
      </c>
      <c r="J1605" s="108">
        <f>POWER(POWER(Table210[[#This Row],[mv]],4)/10,0.25)</f>
        <v>1.6307898430520129E-3</v>
      </c>
      <c r="K1605" s="41">
        <v>0</v>
      </c>
      <c r="L1605" s="41">
        <v>55</v>
      </c>
      <c r="M1605" s="41">
        <v>-1</v>
      </c>
      <c r="N1605" s="41">
        <v>2</v>
      </c>
      <c r="O1605" s="111" t="s">
        <v>3730</v>
      </c>
      <c r="P1605" s="109">
        <v>27182</v>
      </c>
      <c r="Q1605" s="41"/>
      <c r="R1605" s="111"/>
      <c r="S1605" s="110"/>
    </row>
    <row r="1606" spans="1:19">
      <c r="A1606" s="105">
        <v>2988</v>
      </c>
      <c r="B1606" s="41">
        <v>12000000</v>
      </c>
      <c r="C1606" s="41">
        <v>2.8999999999999998E-3</v>
      </c>
      <c r="D1606" s="41">
        <v>45.254800000000003</v>
      </c>
      <c r="E1606" s="41">
        <v>30</v>
      </c>
      <c r="F1606" s="41">
        <v>0</v>
      </c>
      <c r="G1606" s="41" t="s">
        <v>505</v>
      </c>
      <c r="H1606" s="41">
        <v>1</v>
      </c>
      <c r="I1606" s="41">
        <v>1</v>
      </c>
      <c r="J1606" s="108">
        <f>POWER(POWER(Table210[[#This Row],[mv]],4)/10,0.25)</f>
        <v>1.6307898430520129E-3</v>
      </c>
      <c r="K1606" s="41">
        <v>0</v>
      </c>
      <c r="L1606" s="41">
        <v>55</v>
      </c>
      <c r="M1606" s="41">
        <v>-1</v>
      </c>
      <c r="N1606" s="41">
        <v>2</v>
      </c>
      <c r="O1606" s="111" t="s">
        <v>3731</v>
      </c>
      <c r="P1606" s="109">
        <v>27182</v>
      </c>
      <c r="Q1606" s="41"/>
      <c r="R1606" s="111"/>
      <c r="S1606" s="110"/>
    </row>
    <row r="1607" spans="1:19">
      <c r="A1607" s="105">
        <v>2989</v>
      </c>
      <c r="B1607" s="41">
        <v>12000000</v>
      </c>
      <c r="C1607" s="41">
        <v>3.2000000000000002E-3</v>
      </c>
      <c r="D1607" s="41">
        <v>4</v>
      </c>
      <c r="E1607" s="41">
        <v>30</v>
      </c>
      <c r="F1607" s="41">
        <v>0</v>
      </c>
      <c r="G1607" s="41" t="s">
        <v>505</v>
      </c>
      <c r="H1607" s="41">
        <v>1</v>
      </c>
      <c r="I1607" s="41">
        <v>1</v>
      </c>
      <c r="J1607" s="108">
        <f>POWER(POWER(Table210[[#This Row],[mv]],4)/10,0.25)</f>
        <v>1.7994922406091175E-3</v>
      </c>
      <c r="K1607" s="41">
        <v>0</v>
      </c>
      <c r="L1607" s="41">
        <v>55</v>
      </c>
      <c r="M1607" s="41">
        <v>-1</v>
      </c>
      <c r="N1607" s="41">
        <v>2</v>
      </c>
      <c r="O1607" s="111" t="s">
        <v>3732</v>
      </c>
      <c r="P1607" s="109">
        <v>27182</v>
      </c>
      <c r="Q1607" s="41"/>
      <c r="R1607" s="111"/>
      <c r="S1607" s="110"/>
    </row>
    <row r="1608" spans="1:19">
      <c r="A1608" s="105">
        <v>2990</v>
      </c>
      <c r="B1608" s="41">
        <v>12000000</v>
      </c>
      <c r="C1608" s="41">
        <v>3.2000000000000002E-3</v>
      </c>
      <c r="D1608" s="41">
        <v>5.6569000000000003</v>
      </c>
      <c r="E1608" s="41">
        <v>30</v>
      </c>
      <c r="F1608" s="41">
        <v>0</v>
      </c>
      <c r="G1608" s="41" t="s">
        <v>505</v>
      </c>
      <c r="H1608" s="41">
        <v>1</v>
      </c>
      <c r="I1608" s="41">
        <v>1</v>
      </c>
      <c r="J1608" s="108">
        <f>POWER(POWER(Table210[[#This Row],[mv]],4)/10,0.25)</f>
        <v>1.7994922406091175E-3</v>
      </c>
      <c r="K1608" s="41">
        <v>0</v>
      </c>
      <c r="L1608" s="41">
        <v>55</v>
      </c>
      <c r="M1608" s="41">
        <v>-1</v>
      </c>
      <c r="N1608" s="41">
        <v>2</v>
      </c>
      <c r="O1608" s="111" t="s">
        <v>3733</v>
      </c>
      <c r="P1608" s="109">
        <v>27182</v>
      </c>
      <c r="Q1608" s="41"/>
      <c r="R1608" s="111"/>
      <c r="S1608" s="110"/>
    </row>
    <row r="1609" spans="1:19">
      <c r="A1609" s="105">
        <v>2991</v>
      </c>
      <c r="B1609" s="41">
        <v>12000000</v>
      </c>
      <c r="C1609" s="41">
        <v>3.2000000000000002E-3</v>
      </c>
      <c r="D1609" s="41">
        <v>8</v>
      </c>
      <c r="E1609" s="41">
        <v>30</v>
      </c>
      <c r="F1609" s="41">
        <v>0</v>
      </c>
      <c r="G1609" s="41" t="s">
        <v>505</v>
      </c>
      <c r="H1609" s="41">
        <v>1</v>
      </c>
      <c r="I1609" s="41">
        <v>1</v>
      </c>
      <c r="J1609" s="108">
        <f>POWER(POWER(Table210[[#This Row],[mv]],4)/10,0.25)</f>
        <v>1.7994922406091175E-3</v>
      </c>
      <c r="K1609" s="41">
        <v>0</v>
      </c>
      <c r="L1609" s="41">
        <v>55</v>
      </c>
      <c r="M1609" s="41">
        <v>-1</v>
      </c>
      <c r="N1609" s="41">
        <v>2</v>
      </c>
      <c r="O1609" s="111" t="s">
        <v>3734</v>
      </c>
      <c r="P1609" s="109">
        <v>27182</v>
      </c>
      <c r="Q1609" s="41"/>
      <c r="R1609" s="111"/>
      <c r="S1609" s="110"/>
    </row>
    <row r="1610" spans="1:19">
      <c r="A1610" s="105">
        <v>2992</v>
      </c>
      <c r="B1610" s="41">
        <v>12000000</v>
      </c>
      <c r="C1610" s="41">
        <v>3.2000000000000002E-3</v>
      </c>
      <c r="D1610" s="41">
        <v>11.313700000000001</v>
      </c>
      <c r="E1610" s="41">
        <v>30</v>
      </c>
      <c r="F1610" s="41">
        <v>0</v>
      </c>
      <c r="G1610" s="41" t="s">
        <v>505</v>
      </c>
      <c r="H1610" s="41">
        <v>1</v>
      </c>
      <c r="I1610" s="41">
        <v>1</v>
      </c>
      <c r="J1610" s="108">
        <f>POWER(POWER(Table210[[#This Row],[mv]],4)/10,0.25)</f>
        <v>1.7994922406091175E-3</v>
      </c>
      <c r="K1610" s="41">
        <v>0</v>
      </c>
      <c r="L1610" s="41">
        <v>55</v>
      </c>
      <c r="M1610" s="41">
        <v>-1</v>
      </c>
      <c r="N1610" s="41">
        <v>2</v>
      </c>
      <c r="O1610" s="111" t="s">
        <v>3735</v>
      </c>
      <c r="P1610" s="109">
        <v>27182</v>
      </c>
      <c r="Q1610" s="41"/>
      <c r="R1610" s="111"/>
      <c r="S1610" s="110"/>
    </row>
    <row r="1611" spans="1:19">
      <c r="A1611" s="105">
        <v>2993</v>
      </c>
      <c r="B1611" s="41">
        <v>12000000</v>
      </c>
      <c r="C1611" s="41">
        <v>3.2000000000000002E-3</v>
      </c>
      <c r="D1611" s="41">
        <v>16</v>
      </c>
      <c r="E1611" s="41">
        <v>30</v>
      </c>
      <c r="F1611" s="41">
        <v>0</v>
      </c>
      <c r="G1611" s="41" t="s">
        <v>505</v>
      </c>
      <c r="H1611" s="41">
        <v>1</v>
      </c>
      <c r="I1611" s="41">
        <v>1</v>
      </c>
      <c r="J1611" s="108">
        <f>POWER(POWER(Table210[[#This Row],[mv]],4)/10,0.25)</f>
        <v>1.7994922406091175E-3</v>
      </c>
      <c r="K1611" s="41">
        <v>0</v>
      </c>
      <c r="L1611" s="41">
        <v>55</v>
      </c>
      <c r="M1611" s="41">
        <v>-1</v>
      </c>
      <c r="N1611" s="41">
        <v>2</v>
      </c>
      <c r="O1611" s="111" t="s">
        <v>3736</v>
      </c>
      <c r="P1611" s="109">
        <v>27182</v>
      </c>
      <c r="Q1611" s="41"/>
      <c r="R1611" s="111"/>
      <c r="S1611" s="110"/>
    </row>
    <row r="1612" spans="1:19">
      <c r="A1612" s="105">
        <v>2994</v>
      </c>
      <c r="B1612" s="41">
        <v>12000000</v>
      </c>
      <c r="C1612" s="41">
        <v>3.2000000000000002E-3</v>
      </c>
      <c r="D1612" s="41">
        <v>22.627400000000002</v>
      </c>
      <c r="E1612" s="41">
        <v>30</v>
      </c>
      <c r="F1612" s="41">
        <v>0</v>
      </c>
      <c r="G1612" s="41" t="s">
        <v>505</v>
      </c>
      <c r="H1612" s="41">
        <v>1</v>
      </c>
      <c r="I1612" s="41">
        <v>1</v>
      </c>
      <c r="J1612" s="108">
        <f>POWER(POWER(Table210[[#This Row],[mv]],4)/10,0.25)</f>
        <v>1.7994922406091175E-3</v>
      </c>
      <c r="K1612" s="41">
        <v>0</v>
      </c>
      <c r="L1612" s="41">
        <v>55</v>
      </c>
      <c r="M1612" s="41">
        <v>-1</v>
      </c>
      <c r="N1612" s="41">
        <v>2</v>
      </c>
      <c r="O1612" s="111" t="s">
        <v>3737</v>
      </c>
      <c r="P1612" s="109">
        <v>27182</v>
      </c>
      <c r="Q1612" s="41"/>
      <c r="R1612" s="111"/>
      <c r="S1612" s="110"/>
    </row>
    <row r="1613" spans="1:19">
      <c r="A1613" s="105">
        <v>2995</v>
      </c>
      <c r="B1613" s="41">
        <v>12000000</v>
      </c>
      <c r="C1613" s="41">
        <v>3.2000000000000002E-3</v>
      </c>
      <c r="D1613" s="41">
        <v>32</v>
      </c>
      <c r="E1613" s="41">
        <v>30</v>
      </c>
      <c r="F1613" s="41">
        <v>0</v>
      </c>
      <c r="G1613" s="41" t="s">
        <v>505</v>
      </c>
      <c r="H1613" s="41">
        <v>1</v>
      </c>
      <c r="I1613" s="41">
        <v>1</v>
      </c>
      <c r="J1613" s="108">
        <f>POWER(POWER(Table210[[#This Row],[mv]],4)/10,0.25)</f>
        <v>1.7994922406091175E-3</v>
      </c>
      <c r="K1613" s="41">
        <v>0</v>
      </c>
      <c r="L1613" s="41">
        <v>55</v>
      </c>
      <c r="M1613" s="41">
        <v>-1</v>
      </c>
      <c r="N1613" s="41">
        <v>2</v>
      </c>
      <c r="O1613" s="111" t="s">
        <v>3738</v>
      </c>
      <c r="P1613" s="109">
        <v>27182</v>
      </c>
      <c r="Q1613" s="41"/>
      <c r="R1613" s="111"/>
      <c r="S1613" s="110"/>
    </row>
    <row r="1614" spans="1:19">
      <c r="A1614" s="105">
        <v>2996</v>
      </c>
      <c r="B1614" s="41">
        <v>12000000</v>
      </c>
      <c r="C1614" s="41">
        <v>3.2000000000000002E-3</v>
      </c>
      <c r="D1614" s="41">
        <v>45.254800000000003</v>
      </c>
      <c r="E1614" s="41">
        <v>30</v>
      </c>
      <c r="F1614" s="41">
        <v>0</v>
      </c>
      <c r="G1614" s="41" t="s">
        <v>505</v>
      </c>
      <c r="H1614" s="41">
        <v>1</v>
      </c>
      <c r="I1614" s="41">
        <v>1</v>
      </c>
      <c r="J1614" s="108">
        <f>POWER(POWER(Table210[[#This Row],[mv]],4)/10,0.25)</f>
        <v>1.7994922406091175E-3</v>
      </c>
      <c r="K1614" s="41">
        <v>0</v>
      </c>
      <c r="L1614" s="41">
        <v>55</v>
      </c>
      <c r="M1614" s="41">
        <v>-1</v>
      </c>
      <c r="N1614" s="41">
        <v>2</v>
      </c>
      <c r="O1614" s="111" t="s">
        <v>3739</v>
      </c>
      <c r="P1614" s="109">
        <v>27182</v>
      </c>
      <c r="Q1614" s="41"/>
      <c r="R1614" s="111"/>
      <c r="S1614" s="110"/>
    </row>
    <row r="1615" spans="1:19">
      <c r="A1615" s="105">
        <v>2997</v>
      </c>
      <c r="B1615" s="41">
        <v>12000000</v>
      </c>
      <c r="C1615" s="41">
        <v>3.5000000000000001E-3</v>
      </c>
      <c r="D1615" s="41">
        <v>4</v>
      </c>
      <c r="E1615" s="41">
        <v>30</v>
      </c>
      <c r="F1615" s="41">
        <v>0</v>
      </c>
      <c r="G1615" s="41" t="s">
        <v>505</v>
      </c>
      <c r="H1615" s="41">
        <v>1</v>
      </c>
      <c r="I1615" s="41">
        <v>1</v>
      </c>
      <c r="J1615" s="108">
        <f>POWER(POWER(Table210[[#This Row],[mv]],4)/10,0.25)</f>
        <v>1.9681946381662216E-3</v>
      </c>
      <c r="K1615" s="41">
        <v>0</v>
      </c>
      <c r="L1615" s="41">
        <v>55</v>
      </c>
      <c r="M1615" s="41">
        <v>-1</v>
      </c>
      <c r="N1615" s="41">
        <v>2</v>
      </c>
      <c r="O1615" s="111" t="s">
        <v>3740</v>
      </c>
      <c r="P1615" s="109">
        <v>27182</v>
      </c>
      <c r="Q1615" s="41"/>
      <c r="R1615" s="111"/>
      <c r="S1615" s="110"/>
    </row>
    <row r="1616" spans="1:19">
      <c r="A1616" s="105">
        <v>2998</v>
      </c>
      <c r="B1616" s="41">
        <v>12000000</v>
      </c>
      <c r="C1616" s="41">
        <v>3.5000000000000001E-3</v>
      </c>
      <c r="D1616" s="41">
        <v>5.6569000000000003</v>
      </c>
      <c r="E1616" s="41">
        <v>30</v>
      </c>
      <c r="F1616" s="41">
        <v>0</v>
      </c>
      <c r="G1616" s="41" t="s">
        <v>505</v>
      </c>
      <c r="H1616" s="41">
        <v>1</v>
      </c>
      <c r="I1616" s="41">
        <v>1</v>
      </c>
      <c r="J1616" s="108">
        <f>POWER(POWER(Table210[[#This Row],[mv]],4)/10,0.25)</f>
        <v>1.9681946381662216E-3</v>
      </c>
      <c r="K1616" s="41">
        <v>0</v>
      </c>
      <c r="L1616" s="41">
        <v>55</v>
      </c>
      <c r="M1616" s="41">
        <v>-1</v>
      </c>
      <c r="N1616" s="41">
        <v>2</v>
      </c>
      <c r="O1616" s="111" t="s">
        <v>3741</v>
      </c>
      <c r="P1616" s="109">
        <v>27182</v>
      </c>
      <c r="Q1616" s="41"/>
      <c r="R1616" s="111"/>
      <c r="S1616" s="110"/>
    </row>
    <row r="1617" spans="1:19">
      <c r="A1617" s="105">
        <v>2999</v>
      </c>
      <c r="B1617" s="41">
        <v>12000000</v>
      </c>
      <c r="C1617" s="41">
        <v>3.5000000000000001E-3</v>
      </c>
      <c r="D1617" s="41">
        <v>8</v>
      </c>
      <c r="E1617" s="41">
        <v>30</v>
      </c>
      <c r="F1617" s="41">
        <v>0</v>
      </c>
      <c r="G1617" s="41" t="s">
        <v>505</v>
      </c>
      <c r="H1617" s="41">
        <v>1</v>
      </c>
      <c r="I1617" s="41">
        <v>1</v>
      </c>
      <c r="J1617" s="108">
        <f>POWER(POWER(Table210[[#This Row],[mv]],4)/10,0.25)</f>
        <v>1.9681946381662216E-3</v>
      </c>
      <c r="K1617" s="41">
        <v>0</v>
      </c>
      <c r="L1617" s="41">
        <v>55</v>
      </c>
      <c r="M1617" s="41">
        <v>-1</v>
      </c>
      <c r="N1617" s="41">
        <v>2</v>
      </c>
      <c r="O1617" s="111" t="s">
        <v>3742</v>
      </c>
      <c r="P1617" s="109">
        <v>27182</v>
      </c>
      <c r="Q1617" s="41"/>
      <c r="R1617" s="111"/>
      <c r="S1617" s="110"/>
    </row>
    <row r="1618" spans="1:19">
      <c r="A1618" s="105">
        <v>3000</v>
      </c>
      <c r="B1618" s="41">
        <v>12000000</v>
      </c>
      <c r="C1618" s="41">
        <v>3.5000000000000001E-3</v>
      </c>
      <c r="D1618" s="41">
        <v>11.313700000000001</v>
      </c>
      <c r="E1618" s="41">
        <v>30</v>
      </c>
      <c r="F1618" s="41">
        <v>0</v>
      </c>
      <c r="G1618" s="41" t="s">
        <v>505</v>
      </c>
      <c r="H1618" s="41">
        <v>1</v>
      </c>
      <c r="I1618" s="41">
        <v>1</v>
      </c>
      <c r="J1618" s="108">
        <f>POWER(POWER(Table210[[#This Row],[mv]],4)/10,0.25)</f>
        <v>1.9681946381662216E-3</v>
      </c>
      <c r="K1618" s="41">
        <v>0</v>
      </c>
      <c r="L1618" s="41">
        <v>55</v>
      </c>
      <c r="M1618" s="41">
        <v>-1</v>
      </c>
      <c r="N1618" s="41">
        <v>2</v>
      </c>
      <c r="O1618" s="111" t="s">
        <v>3743</v>
      </c>
      <c r="P1618" s="109">
        <v>27182</v>
      </c>
      <c r="Q1618" s="41"/>
      <c r="R1618" s="111"/>
      <c r="S1618" s="110"/>
    </row>
    <row r="1619" spans="1:19">
      <c r="A1619" s="105">
        <v>3001</v>
      </c>
      <c r="B1619" s="41">
        <v>12000000</v>
      </c>
      <c r="C1619" s="41">
        <v>3.5000000000000001E-3</v>
      </c>
      <c r="D1619" s="41">
        <v>16</v>
      </c>
      <c r="E1619" s="41">
        <v>30</v>
      </c>
      <c r="F1619" s="41">
        <v>0</v>
      </c>
      <c r="G1619" s="41" t="s">
        <v>505</v>
      </c>
      <c r="H1619" s="41">
        <v>1</v>
      </c>
      <c r="I1619" s="41">
        <v>1</v>
      </c>
      <c r="J1619" s="108">
        <f>POWER(POWER(Table210[[#This Row],[mv]],4)/10,0.25)</f>
        <v>1.9681946381662216E-3</v>
      </c>
      <c r="K1619" s="41">
        <v>0</v>
      </c>
      <c r="L1619" s="41">
        <v>55</v>
      </c>
      <c r="M1619" s="41">
        <v>-1</v>
      </c>
      <c r="N1619" s="41">
        <v>2</v>
      </c>
      <c r="O1619" s="111" t="s">
        <v>3744</v>
      </c>
      <c r="P1619" s="109">
        <v>27182</v>
      </c>
      <c r="Q1619" s="41"/>
      <c r="R1619" s="111"/>
      <c r="S1619" s="110"/>
    </row>
    <row r="1620" spans="1:19">
      <c r="A1620" s="105">
        <v>3002</v>
      </c>
      <c r="B1620" s="41">
        <v>12000000</v>
      </c>
      <c r="C1620" s="41">
        <v>3.5000000000000001E-3</v>
      </c>
      <c r="D1620" s="41">
        <v>22.627400000000002</v>
      </c>
      <c r="E1620" s="41">
        <v>30</v>
      </c>
      <c r="F1620" s="41">
        <v>0</v>
      </c>
      <c r="G1620" s="41" t="s">
        <v>505</v>
      </c>
      <c r="H1620" s="41">
        <v>1</v>
      </c>
      <c r="I1620" s="41">
        <v>1</v>
      </c>
      <c r="J1620" s="108">
        <f>POWER(POWER(Table210[[#This Row],[mv]],4)/10,0.25)</f>
        <v>1.9681946381662216E-3</v>
      </c>
      <c r="K1620" s="41">
        <v>0</v>
      </c>
      <c r="L1620" s="41">
        <v>55</v>
      </c>
      <c r="M1620" s="41">
        <v>-1</v>
      </c>
      <c r="N1620" s="41">
        <v>2</v>
      </c>
      <c r="O1620" s="111" t="s">
        <v>3745</v>
      </c>
      <c r="P1620" s="109">
        <v>27182</v>
      </c>
      <c r="Q1620" s="41"/>
      <c r="R1620" s="111"/>
      <c r="S1620" s="110"/>
    </row>
    <row r="1621" spans="1:19">
      <c r="A1621" s="105">
        <v>3003</v>
      </c>
      <c r="B1621" s="41">
        <v>12000000</v>
      </c>
      <c r="C1621" s="41">
        <v>3.5000000000000001E-3</v>
      </c>
      <c r="D1621" s="41">
        <v>32</v>
      </c>
      <c r="E1621" s="41">
        <v>30</v>
      </c>
      <c r="F1621" s="41">
        <v>0</v>
      </c>
      <c r="G1621" s="41" t="s">
        <v>505</v>
      </c>
      <c r="H1621" s="41">
        <v>1</v>
      </c>
      <c r="I1621" s="41">
        <v>1</v>
      </c>
      <c r="J1621" s="108">
        <f>POWER(POWER(Table210[[#This Row],[mv]],4)/10,0.25)</f>
        <v>1.9681946381662216E-3</v>
      </c>
      <c r="K1621" s="41">
        <v>0</v>
      </c>
      <c r="L1621" s="41">
        <v>55</v>
      </c>
      <c r="M1621" s="41">
        <v>-1</v>
      </c>
      <c r="N1621" s="41">
        <v>2</v>
      </c>
      <c r="O1621" s="111" t="s">
        <v>3746</v>
      </c>
      <c r="P1621" s="109">
        <v>27182</v>
      </c>
      <c r="Q1621" s="41"/>
      <c r="R1621" s="111"/>
      <c r="S1621" s="110"/>
    </row>
    <row r="1622" spans="1:19">
      <c r="A1622" s="105">
        <v>3004</v>
      </c>
      <c r="B1622" s="41">
        <v>12000000</v>
      </c>
      <c r="C1622" s="41">
        <v>3.5000000000000001E-3</v>
      </c>
      <c r="D1622" s="41">
        <v>45.254800000000003</v>
      </c>
      <c r="E1622" s="41">
        <v>30</v>
      </c>
      <c r="F1622" s="41">
        <v>0</v>
      </c>
      <c r="G1622" s="41" t="s">
        <v>505</v>
      </c>
      <c r="H1622" s="41">
        <v>1</v>
      </c>
      <c r="I1622" s="41">
        <v>1</v>
      </c>
      <c r="J1622" s="108">
        <f>POWER(POWER(Table210[[#This Row],[mv]],4)/10,0.25)</f>
        <v>1.9681946381662216E-3</v>
      </c>
      <c r="K1622" s="41">
        <v>0</v>
      </c>
      <c r="L1622" s="41">
        <v>55</v>
      </c>
      <c r="M1622" s="41">
        <v>-1</v>
      </c>
      <c r="N1622" s="41">
        <v>2</v>
      </c>
      <c r="O1622" s="111" t="s">
        <v>3747</v>
      </c>
      <c r="P1622" s="109">
        <v>27182</v>
      </c>
      <c r="Q1622" s="41"/>
      <c r="R1622" s="111"/>
      <c r="S1622" s="110"/>
    </row>
    <row r="1623" spans="1:19">
      <c r="A1623" s="105">
        <v>3005</v>
      </c>
      <c r="B1623" s="41">
        <v>12000000</v>
      </c>
      <c r="C1623" s="41">
        <v>3.8E-3</v>
      </c>
      <c r="D1623" s="41">
        <v>5.6569000000000003</v>
      </c>
      <c r="E1623" s="41">
        <v>30</v>
      </c>
      <c r="F1623" s="41">
        <v>0</v>
      </c>
      <c r="G1623" s="41" t="s">
        <v>505</v>
      </c>
      <c r="H1623" s="41">
        <v>1</v>
      </c>
      <c r="I1623" s="41">
        <v>1</v>
      </c>
      <c r="J1623" s="108">
        <f>POWER(POWER(Table210[[#This Row],[mv]],4)/10,0.25)</f>
        <v>2.1368970357233258E-3</v>
      </c>
      <c r="K1623" s="41">
        <v>0</v>
      </c>
      <c r="L1623" s="41">
        <v>55</v>
      </c>
      <c r="M1623" s="41">
        <v>-1</v>
      </c>
      <c r="N1623" s="41">
        <v>2</v>
      </c>
      <c r="O1623" s="111" t="s">
        <v>3748</v>
      </c>
      <c r="P1623" s="109">
        <v>27182</v>
      </c>
      <c r="Q1623" s="41"/>
      <c r="R1623" s="111"/>
      <c r="S1623" s="110"/>
    </row>
    <row r="1624" spans="1:19">
      <c r="A1624" s="105">
        <v>3006</v>
      </c>
      <c r="B1624" s="41">
        <v>12000000</v>
      </c>
      <c r="C1624" s="41">
        <v>3.8E-3</v>
      </c>
      <c r="D1624" s="41">
        <v>8</v>
      </c>
      <c r="E1624" s="41">
        <v>30</v>
      </c>
      <c r="F1624" s="41">
        <v>0</v>
      </c>
      <c r="G1624" s="41" t="s">
        <v>505</v>
      </c>
      <c r="H1624" s="41">
        <v>1</v>
      </c>
      <c r="I1624" s="41">
        <v>1</v>
      </c>
      <c r="J1624" s="108">
        <f>POWER(POWER(Table210[[#This Row],[mv]],4)/10,0.25)</f>
        <v>2.1368970357233258E-3</v>
      </c>
      <c r="K1624" s="41">
        <v>0</v>
      </c>
      <c r="L1624" s="41">
        <v>55</v>
      </c>
      <c r="M1624" s="41">
        <v>-1</v>
      </c>
      <c r="N1624" s="41">
        <v>2</v>
      </c>
      <c r="O1624" s="111" t="s">
        <v>3749</v>
      </c>
      <c r="P1624" s="109">
        <v>27182</v>
      </c>
      <c r="Q1624" s="41"/>
      <c r="R1624" s="111"/>
      <c r="S1624" s="110"/>
    </row>
    <row r="1625" spans="1:19">
      <c r="A1625" s="105">
        <v>3007</v>
      </c>
      <c r="B1625" s="41">
        <v>12000000</v>
      </c>
      <c r="C1625" s="41">
        <v>3.8E-3</v>
      </c>
      <c r="D1625" s="41">
        <v>11.313700000000001</v>
      </c>
      <c r="E1625" s="41">
        <v>30</v>
      </c>
      <c r="F1625" s="41">
        <v>0</v>
      </c>
      <c r="G1625" s="41" t="s">
        <v>505</v>
      </c>
      <c r="H1625" s="41">
        <v>1</v>
      </c>
      <c r="I1625" s="41">
        <v>1</v>
      </c>
      <c r="J1625" s="108">
        <f>POWER(POWER(Table210[[#This Row],[mv]],4)/10,0.25)</f>
        <v>2.1368970357233258E-3</v>
      </c>
      <c r="K1625" s="41">
        <v>0</v>
      </c>
      <c r="L1625" s="41">
        <v>55</v>
      </c>
      <c r="M1625" s="41">
        <v>-1</v>
      </c>
      <c r="N1625" s="41">
        <v>2</v>
      </c>
      <c r="O1625" s="111" t="s">
        <v>3750</v>
      </c>
      <c r="P1625" s="109">
        <v>27182</v>
      </c>
      <c r="Q1625" s="41"/>
      <c r="R1625" s="111"/>
      <c r="S1625" s="110"/>
    </row>
    <row r="1626" spans="1:19">
      <c r="A1626" s="105">
        <v>3008</v>
      </c>
      <c r="B1626" s="41">
        <v>12000000</v>
      </c>
      <c r="C1626" s="41">
        <v>3.8E-3</v>
      </c>
      <c r="D1626" s="41">
        <v>16</v>
      </c>
      <c r="E1626" s="41">
        <v>30</v>
      </c>
      <c r="F1626" s="41">
        <v>0</v>
      </c>
      <c r="G1626" s="41" t="s">
        <v>505</v>
      </c>
      <c r="H1626" s="41">
        <v>1</v>
      </c>
      <c r="I1626" s="41">
        <v>1</v>
      </c>
      <c r="J1626" s="108">
        <f>POWER(POWER(Table210[[#This Row],[mv]],4)/10,0.25)</f>
        <v>2.1368970357233258E-3</v>
      </c>
      <c r="K1626" s="41">
        <v>0</v>
      </c>
      <c r="L1626" s="41">
        <v>55</v>
      </c>
      <c r="M1626" s="41">
        <v>-1</v>
      </c>
      <c r="N1626" s="41">
        <v>2</v>
      </c>
      <c r="O1626" s="111" t="s">
        <v>3751</v>
      </c>
      <c r="P1626" s="109">
        <v>27182</v>
      </c>
      <c r="Q1626" s="41"/>
      <c r="R1626" s="111"/>
      <c r="S1626" s="110"/>
    </row>
    <row r="1627" spans="1:19">
      <c r="A1627" s="105">
        <v>3009</v>
      </c>
      <c r="B1627" s="41">
        <v>12000000</v>
      </c>
      <c r="C1627" s="41">
        <v>3.8E-3</v>
      </c>
      <c r="D1627" s="41">
        <v>22.627400000000002</v>
      </c>
      <c r="E1627" s="41">
        <v>30</v>
      </c>
      <c r="F1627" s="41">
        <v>0</v>
      </c>
      <c r="G1627" s="41" t="s">
        <v>505</v>
      </c>
      <c r="H1627" s="41">
        <v>1</v>
      </c>
      <c r="I1627" s="41">
        <v>1</v>
      </c>
      <c r="J1627" s="108">
        <f>POWER(POWER(Table210[[#This Row],[mv]],4)/10,0.25)</f>
        <v>2.1368970357233258E-3</v>
      </c>
      <c r="K1627" s="41">
        <v>0</v>
      </c>
      <c r="L1627" s="41">
        <v>55</v>
      </c>
      <c r="M1627" s="41">
        <v>-1</v>
      </c>
      <c r="N1627" s="41">
        <v>2</v>
      </c>
      <c r="O1627" s="111" t="s">
        <v>3752</v>
      </c>
      <c r="P1627" s="109">
        <v>27182</v>
      </c>
      <c r="Q1627" s="41"/>
      <c r="R1627" s="111"/>
      <c r="S1627" s="110"/>
    </row>
    <row r="1628" spans="1:19">
      <c r="A1628" s="105">
        <v>3010</v>
      </c>
      <c r="B1628" s="41">
        <v>12000000</v>
      </c>
      <c r="C1628" s="41">
        <v>3.8E-3</v>
      </c>
      <c r="D1628" s="41">
        <v>32</v>
      </c>
      <c r="E1628" s="41">
        <v>30</v>
      </c>
      <c r="F1628" s="41">
        <v>0</v>
      </c>
      <c r="G1628" s="41" t="s">
        <v>505</v>
      </c>
      <c r="H1628" s="41">
        <v>1</v>
      </c>
      <c r="I1628" s="41">
        <v>1</v>
      </c>
      <c r="J1628" s="108">
        <f>POWER(POWER(Table210[[#This Row],[mv]],4)/10,0.25)</f>
        <v>2.1368970357233258E-3</v>
      </c>
      <c r="K1628" s="41">
        <v>0</v>
      </c>
      <c r="L1628" s="41">
        <v>55</v>
      </c>
      <c r="M1628" s="41">
        <v>-1</v>
      </c>
      <c r="N1628" s="41">
        <v>2</v>
      </c>
      <c r="O1628" s="111" t="s">
        <v>3753</v>
      </c>
      <c r="P1628" s="109">
        <v>27182</v>
      </c>
      <c r="Q1628" s="41"/>
      <c r="R1628" s="111"/>
      <c r="S1628" s="110"/>
    </row>
    <row r="1629" spans="1:19">
      <c r="A1629" s="105">
        <v>3011</v>
      </c>
      <c r="B1629" s="41">
        <v>12000000</v>
      </c>
      <c r="C1629" s="41">
        <v>3.8E-3</v>
      </c>
      <c r="D1629" s="41">
        <v>45.254800000000003</v>
      </c>
      <c r="E1629" s="41">
        <v>30</v>
      </c>
      <c r="F1629" s="41">
        <v>0</v>
      </c>
      <c r="G1629" s="41" t="s">
        <v>505</v>
      </c>
      <c r="H1629" s="41">
        <v>1</v>
      </c>
      <c r="I1629" s="41">
        <v>1</v>
      </c>
      <c r="J1629" s="108">
        <f>POWER(POWER(Table210[[#This Row],[mv]],4)/10,0.25)</f>
        <v>2.1368970357233258E-3</v>
      </c>
      <c r="K1629" s="41">
        <v>0</v>
      </c>
      <c r="L1629" s="41">
        <v>55</v>
      </c>
      <c r="M1629" s="41">
        <v>-1</v>
      </c>
      <c r="N1629" s="41">
        <v>2</v>
      </c>
      <c r="O1629" s="111" t="s">
        <v>3754</v>
      </c>
      <c r="P1629" s="109">
        <v>27182</v>
      </c>
      <c r="Q1629" s="41"/>
      <c r="R1629" s="111"/>
      <c r="S1629" s="110"/>
    </row>
    <row r="1630" spans="1:19">
      <c r="A1630" s="105">
        <v>3012</v>
      </c>
      <c r="B1630" s="41">
        <v>12000000</v>
      </c>
      <c r="C1630" s="41">
        <v>4.1999999999999997E-3</v>
      </c>
      <c r="D1630" s="41">
        <v>5.6569000000000003</v>
      </c>
      <c r="E1630" s="41">
        <v>30</v>
      </c>
      <c r="F1630" s="41">
        <v>0</v>
      </c>
      <c r="G1630" s="41" t="s">
        <v>505</v>
      </c>
      <c r="H1630" s="41">
        <v>1</v>
      </c>
      <c r="I1630" s="41">
        <v>1</v>
      </c>
      <c r="J1630" s="108">
        <f>POWER(POWER(Table210[[#This Row],[mv]],4)/10,0.25)</f>
        <v>2.361833565799467E-3</v>
      </c>
      <c r="K1630" s="41">
        <v>0</v>
      </c>
      <c r="L1630" s="41">
        <v>55</v>
      </c>
      <c r="M1630" s="41">
        <v>-1</v>
      </c>
      <c r="N1630" s="41">
        <v>2</v>
      </c>
      <c r="O1630" s="111" t="s">
        <v>3755</v>
      </c>
      <c r="P1630" s="109">
        <v>27182</v>
      </c>
      <c r="Q1630" s="41"/>
      <c r="R1630" s="111"/>
      <c r="S1630" s="110"/>
    </row>
    <row r="1631" spans="1:19">
      <c r="A1631" s="105">
        <v>3013</v>
      </c>
      <c r="B1631" s="41">
        <v>12000000</v>
      </c>
      <c r="C1631" s="41">
        <v>4.1999999999999997E-3</v>
      </c>
      <c r="D1631" s="41">
        <v>8</v>
      </c>
      <c r="E1631" s="41">
        <v>30</v>
      </c>
      <c r="F1631" s="41">
        <v>0</v>
      </c>
      <c r="G1631" s="41" t="s">
        <v>505</v>
      </c>
      <c r="H1631" s="41">
        <v>1</v>
      </c>
      <c r="I1631" s="41">
        <v>1</v>
      </c>
      <c r="J1631" s="108">
        <f>POWER(POWER(Table210[[#This Row],[mv]],4)/10,0.25)</f>
        <v>2.361833565799467E-3</v>
      </c>
      <c r="K1631" s="41">
        <v>0</v>
      </c>
      <c r="L1631" s="41">
        <v>55</v>
      </c>
      <c r="M1631" s="41">
        <v>-1</v>
      </c>
      <c r="N1631" s="41">
        <v>2</v>
      </c>
      <c r="O1631" s="111" t="s">
        <v>3756</v>
      </c>
      <c r="P1631" s="109">
        <v>27182</v>
      </c>
      <c r="Q1631" s="41"/>
      <c r="R1631" s="111"/>
      <c r="S1631" s="110"/>
    </row>
    <row r="1632" spans="1:19">
      <c r="A1632" s="105">
        <v>3014</v>
      </c>
      <c r="B1632" s="41">
        <v>12000000</v>
      </c>
      <c r="C1632" s="41">
        <v>4.1999999999999997E-3</v>
      </c>
      <c r="D1632" s="41">
        <v>11.313700000000001</v>
      </c>
      <c r="E1632" s="41">
        <v>30</v>
      </c>
      <c r="F1632" s="41">
        <v>0</v>
      </c>
      <c r="G1632" s="41" t="s">
        <v>505</v>
      </c>
      <c r="H1632" s="41">
        <v>1</v>
      </c>
      <c r="I1632" s="41">
        <v>1</v>
      </c>
      <c r="J1632" s="108">
        <f>POWER(POWER(Table210[[#This Row],[mv]],4)/10,0.25)</f>
        <v>2.361833565799467E-3</v>
      </c>
      <c r="K1632" s="41">
        <v>0</v>
      </c>
      <c r="L1632" s="41">
        <v>55</v>
      </c>
      <c r="M1632" s="41">
        <v>-1</v>
      </c>
      <c r="N1632" s="41">
        <v>2</v>
      </c>
      <c r="O1632" s="111" t="s">
        <v>3757</v>
      </c>
      <c r="P1632" s="109">
        <v>27182</v>
      </c>
      <c r="Q1632" s="41"/>
      <c r="R1632" s="111"/>
      <c r="S1632" s="110"/>
    </row>
    <row r="1633" spans="1:19">
      <c r="A1633" s="105">
        <v>3015</v>
      </c>
      <c r="B1633" s="41">
        <v>12000000</v>
      </c>
      <c r="C1633" s="41">
        <v>4.1999999999999997E-3</v>
      </c>
      <c r="D1633" s="41">
        <v>16</v>
      </c>
      <c r="E1633" s="41">
        <v>30</v>
      </c>
      <c r="F1633" s="41">
        <v>0</v>
      </c>
      <c r="G1633" s="41" t="s">
        <v>505</v>
      </c>
      <c r="H1633" s="41">
        <v>1</v>
      </c>
      <c r="I1633" s="41">
        <v>1</v>
      </c>
      <c r="J1633" s="108">
        <f>POWER(POWER(Table210[[#This Row],[mv]],4)/10,0.25)</f>
        <v>2.361833565799467E-3</v>
      </c>
      <c r="K1633" s="41">
        <v>0</v>
      </c>
      <c r="L1633" s="41">
        <v>55</v>
      </c>
      <c r="M1633" s="41">
        <v>-1</v>
      </c>
      <c r="N1633" s="41">
        <v>2</v>
      </c>
      <c r="O1633" s="111" t="s">
        <v>3758</v>
      </c>
      <c r="P1633" s="109">
        <v>27182</v>
      </c>
      <c r="Q1633" s="41"/>
      <c r="R1633" s="111"/>
      <c r="S1633" s="110"/>
    </row>
    <row r="1634" spans="1:19">
      <c r="A1634" s="105">
        <v>3016</v>
      </c>
      <c r="B1634" s="41">
        <v>12000000</v>
      </c>
      <c r="C1634" s="41">
        <v>4.1999999999999997E-3</v>
      </c>
      <c r="D1634" s="41">
        <v>22.627400000000002</v>
      </c>
      <c r="E1634" s="41">
        <v>30</v>
      </c>
      <c r="F1634" s="41">
        <v>0</v>
      </c>
      <c r="G1634" s="41" t="s">
        <v>505</v>
      </c>
      <c r="H1634" s="41">
        <v>1</v>
      </c>
      <c r="I1634" s="41">
        <v>1</v>
      </c>
      <c r="J1634" s="108">
        <f>POWER(POWER(Table210[[#This Row],[mv]],4)/10,0.25)</f>
        <v>2.361833565799467E-3</v>
      </c>
      <c r="K1634" s="41">
        <v>0</v>
      </c>
      <c r="L1634" s="41">
        <v>55</v>
      </c>
      <c r="M1634" s="41">
        <v>-1</v>
      </c>
      <c r="N1634" s="41">
        <v>2</v>
      </c>
      <c r="O1634" s="111" t="s">
        <v>3759</v>
      </c>
      <c r="P1634" s="109">
        <v>27182</v>
      </c>
      <c r="Q1634" s="41"/>
      <c r="R1634" s="111"/>
      <c r="S1634" s="110"/>
    </row>
    <row r="1635" spans="1:19">
      <c r="A1635" s="105">
        <v>3017</v>
      </c>
      <c r="B1635" s="41">
        <v>12000000</v>
      </c>
      <c r="C1635" s="41">
        <v>4.1999999999999997E-3</v>
      </c>
      <c r="D1635" s="41">
        <v>32</v>
      </c>
      <c r="E1635" s="41">
        <v>30</v>
      </c>
      <c r="F1635" s="41">
        <v>0</v>
      </c>
      <c r="G1635" s="41" t="s">
        <v>505</v>
      </c>
      <c r="H1635" s="41">
        <v>1</v>
      </c>
      <c r="I1635" s="41">
        <v>1</v>
      </c>
      <c r="J1635" s="108">
        <f>POWER(POWER(Table210[[#This Row],[mv]],4)/10,0.25)</f>
        <v>2.361833565799467E-3</v>
      </c>
      <c r="K1635" s="41">
        <v>0</v>
      </c>
      <c r="L1635" s="41">
        <v>55</v>
      </c>
      <c r="M1635" s="41">
        <v>-1</v>
      </c>
      <c r="N1635" s="41">
        <v>2</v>
      </c>
      <c r="O1635" s="111" t="s">
        <v>3760</v>
      </c>
      <c r="P1635" s="109">
        <v>27182</v>
      </c>
      <c r="Q1635" s="41"/>
      <c r="R1635" s="111"/>
      <c r="S1635" s="110"/>
    </row>
    <row r="1636" spans="1:19">
      <c r="A1636" s="105">
        <v>3018</v>
      </c>
      <c r="B1636" s="41">
        <v>12000000</v>
      </c>
      <c r="C1636" s="41">
        <v>4.1999999999999997E-3</v>
      </c>
      <c r="D1636" s="41">
        <v>45.254800000000003</v>
      </c>
      <c r="E1636" s="41">
        <v>30</v>
      </c>
      <c r="F1636" s="41">
        <v>0</v>
      </c>
      <c r="G1636" s="41" t="s">
        <v>505</v>
      </c>
      <c r="H1636" s="41">
        <v>1</v>
      </c>
      <c r="I1636" s="41">
        <v>1</v>
      </c>
      <c r="J1636" s="108">
        <f>POWER(POWER(Table210[[#This Row],[mv]],4)/10,0.25)</f>
        <v>2.361833565799467E-3</v>
      </c>
      <c r="K1636" s="41">
        <v>0</v>
      </c>
      <c r="L1636" s="41">
        <v>55</v>
      </c>
      <c r="M1636" s="41">
        <v>-1</v>
      </c>
      <c r="N1636" s="41">
        <v>2</v>
      </c>
      <c r="O1636" s="111" t="s">
        <v>3761</v>
      </c>
      <c r="P1636" s="109">
        <v>27182</v>
      </c>
      <c r="Q1636" s="41"/>
      <c r="R1636" s="111"/>
      <c r="S1636" s="110"/>
    </row>
    <row r="1637" spans="1:19">
      <c r="A1637" s="105">
        <v>3019</v>
      </c>
      <c r="B1637" s="41">
        <v>12000000</v>
      </c>
      <c r="C1637" s="41">
        <v>4.4999999999999997E-3</v>
      </c>
      <c r="D1637" s="41">
        <v>8</v>
      </c>
      <c r="E1637" s="41">
        <v>30</v>
      </c>
      <c r="F1637" s="41">
        <v>0</v>
      </c>
      <c r="G1637" s="41" t="s">
        <v>505</v>
      </c>
      <c r="H1637" s="41">
        <v>1</v>
      </c>
      <c r="I1637" s="41">
        <v>1</v>
      </c>
      <c r="J1637" s="108">
        <f>POWER(POWER(Table210[[#This Row],[mv]],4)/10,0.25)</f>
        <v>2.5305359633565699E-3</v>
      </c>
      <c r="K1637" s="41">
        <v>0</v>
      </c>
      <c r="L1637" s="41">
        <v>55</v>
      </c>
      <c r="M1637" s="41">
        <v>-1</v>
      </c>
      <c r="N1637" s="41">
        <v>2</v>
      </c>
      <c r="O1637" s="111" t="s">
        <v>3762</v>
      </c>
      <c r="P1637" s="109">
        <v>27182</v>
      </c>
      <c r="Q1637" s="41"/>
      <c r="R1637" s="111"/>
      <c r="S1637" s="110"/>
    </row>
    <row r="1638" spans="1:19">
      <c r="A1638" s="105">
        <v>3020</v>
      </c>
      <c r="B1638" s="41">
        <v>12000000</v>
      </c>
      <c r="C1638" s="41">
        <v>4.4999999999999997E-3</v>
      </c>
      <c r="D1638" s="41">
        <v>11.313700000000001</v>
      </c>
      <c r="E1638" s="41">
        <v>30</v>
      </c>
      <c r="F1638" s="41">
        <v>0</v>
      </c>
      <c r="G1638" s="41" t="s">
        <v>505</v>
      </c>
      <c r="H1638" s="41">
        <v>1</v>
      </c>
      <c r="I1638" s="41">
        <v>1</v>
      </c>
      <c r="J1638" s="108">
        <f>POWER(POWER(Table210[[#This Row],[mv]],4)/10,0.25)</f>
        <v>2.5305359633565699E-3</v>
      </c>
      <c r="K1638" s="41">
        <v>0</v>
      </c>
      <c r="L1638" s="41">
        <v>55</v>
      </c>
      <c r="M1638" s="41">
        <v>-1</v>
      </c>
      <c r="N1638" s="41">
        <v>2</v>
      </c>
      <c r="O1638" s="111" t="s">
        <v>3763</v>
      </c>
      <c r="P1638" s="109">
        <v>27182</v>
      </c>
      <c r="Q1638" s="41"/>
      <c r="R1638" s="111"/>
      <c r="S1638" s="110"/>
    </row>
    <row r="1639" spans="1:19">
      <c r="A1639" s="105">
        <v>3021</v>
      </c>
      <c r="B1639" s="41">
        <v>12000000</v>
      </c>
      <c r="C1639" s="41">
        <v>4.4999999999999997E-3</v>
      </c>
      <c r="D1639" s="41">
        <v>16</v>
      </c>
      <c r="E1639" s="41">
        <v>30</v>
      </c>
      <c r="F1639" s="41">
        <v>0</v>
      </c>
      <c r="G1639" s="41" t="s">
        <v>505</v>
      </c>
      <c r="H1639" s="41">
        <v>1</v>
      </c>
      <c r="I1639" s="41">
        <v>1</v>
      </c>
      <c r="J1639" s="108">
        <f>POWER(POWER(Table210[[#This Row],[mv]],4)/10,0.25)</f>
        <v>2.5305359633565699E-3</v>
      </c>
      <c r="K1639" s="41">
        <v>0</v>
      </c>
      <c r="L1639" s="41">
        <v>55</v>
      </c>
      <c r="M1639" s="41">
        <v>-1</v>
      </c>
      <c r="N1639" s="41">
        <v>2</v>
      </c>
      <c r="O1639" s="111" t="s">
        <v>3764</v>
      </c>
      <c r="P1639" s="109">
        <v>27182</v>
      </c>
      <c r="Q1639" s="41"/>
      <c r="R1639" s="111"/>
      <c r="S1639" s="110"/>
    </row>
    <row r="1640" spans="1:19">
      <c r="A1640" s="105">
        <v>3022</v>
      </c>
      <c r="B1640" s="41">
        <v>12000000</v>
      </c>
      <c r="C1640" s="41">
        <v>4.4999999999999997E-3</v>
      </c>
      <c r="D1640" s="41">
        <v>22.627400000000002</v>
      </c>
      <c r="E1640" s="41">
        <v>30</v>
      </c>
      <c r="F1640" s="41">
        <v>0</v>
      </c>
      <c r="G1640" s="41" t="s">
        <v>505</v>
      </c>
      <c r="H1640" s="41">
        <v>1</v>
      </c>
      <c r="I1640" s="41">
        <v>1</v>
      </c>
      <c r="J1640" s="108">
        <f>POWER(POWER(Table210[[#This Row],[mv]],4)/10,0.25)</f>
        <v>2.5305359633565699E-3</v>
      </c>
      <c r="K1640" s="41">
        <v>0</v>
      </c>
      <c r="L1640" s="41">
        <v>55</v>
      </c>
      <c r="M1640" s="41">
        <v>-1</v>
      </c>
      <c r="N1640" s="41">
        <v>2</v>
      </c>
      <c r="O1640" s="111" t="s">
        <v>3765</v>
      </c>
      <c r="P1640" s="109">
        <v>27182</v>
      </c>
      <c r="Q1640" s="41"/>
      <c r="R1640" s="111"/>
      <c r="S1640" s="110"/>
    </row>
    <row r="1641" spans="1:19">
      <c r="A1641" s="105">
        <v>3023</v>
      </c>
      <c r="B1641" s="41">
        <v>12000000</v>
      </c>
      <c r="C1641" s="41">
        <v>4.4999999999999997E-3</v>
      </c>
      <c r="D1641" s="41">
        <v>32</v>
      </c>
      <c r="E1641" s="41">
        <v>30</v>
      </c>
      <c r="F1641" s="41">
        <v>0</v>
      </c>
      <c r="G1641" s="41" t="s">
        <v>505</v>
      </c>
      <c r="H1641" s="41">
        <v>1</v>
      </c>
      <c r="I1641" s="41">
        <v>1</v>
      </c>
      <c r="J1641" s="108">
        <f>POWER(POWER(Table210[[#This Row],[mv]],4)/10,0.25)</f>
        <v>2.5305359633565699E-3</v>
      </c>
      <c r="K1641" s="41">
        <v>0</v>
      </c>
      <c r="L1641" s="41">
        <v>55</v>
      </c>
      <c r="M1641" s="41">
        <v>-1</v>
      </c>
      <c r="N1641" s="41">
        <v>2</v>
      </c>
      <c r="O1641" s="111" t="s">
        <v>3766</v>
      </c>
      <c r="P1641" s="109">
        <v>27182</v>
      </c>
      <c r="Q1641" s="41"/>
      <c r="R1641" s="111"/>
      <c r="S1641" s="110"/>
    </row>
    <row r="1642" spans="1:19">
      <c r="A1642" s="105">
        <v>3024</v>
      </c>
      <c r="B1642" s="41">
        <v>12000000</v>
      </c>
      <c r="C1642" s="41">
        <v>4.4999999999999997E-3</v>
      </c>
      <c r="D1642" s="41">
        <v>45.254800000000003</v>
      </c>
      <c r="E1642" s="41">
        <v>30</v>
      </c>
      <c r="F1642" s="41">
        <v>0</v>
      </c>
      <c r="G1642" s="41" t="s">
        <v>505</v>
      </c>
      <c r="H1642" s="41">
        <v>1</v>
      </c>
      <c r="I1642" s="41">
        <v>1</v>
      </c>
      <c r="J1642" s="108">
        <f>POWER(POWER(Table210[[#This Row],[mv]],4)/10,0.25)</f>
        <v>2.5305359633565699E-3</v>
      </c>
      <c r="K1642" s="41">
        <v>0</v>
      </c>
      <c r="L1642" s="41">
        <v>55</v>
      </c>
      <c r="M1642" s="41">
        <v>-1</v>
      </c>
      <c r="N1642" s="41">
        <v>2</v>
      </c>
      <c r="O1642" s="111" t="s">
        <v>3767</v>
      </c>
      <c r="P1642" s="109">
        <v>27182</v>
      </c>
      <c r="Q1642" s="41"/>
      <c r="R1642" s="111"/>
      <c r="S1642" s="110"/>
    </row>
    <row r="1643" spans="1:19">
      <c r="A1643" s="105">
        <v>3025</v>
      </c>
      <c r="B1643" s="41">
        <v>12000000</v>
      </c>
      <c r="C1643" s="41">
        <v>4.8999999999999998E-3</v>
      </c>
      <c r="D1643" s="41">
        <v>8</v>
      </c>
      <c r="E1643" s="41">
        <v>30</v>
      </c>
      <c r="F1643" s="41">
        <v>0</v>
      </c>
      <c r="G1643" s="41" t="s">
        <v>505</v>
      </c>
      <c r="H1643" s="41">
        <v>1</v>
      </c>
      <c r="I1643" s="41">
        <v>1</v>
      </c>
      <c r="J1643" s="108">
        <f>POWER(POWER(Table210[[#This Row],[mv]],4)/10,0.25)</f>
        <v>2.7554724934327106E-3</v>
      </c>
      <c r="K1643" s="41">
        <v>0</v>
      </c>
      <c r="L1643" s="41">
        <v>55</v>
      </c>
      <c r="M1643" s="41">
        <v>-1</v>
      </c>
      <c r="N1643" s="41">
        <v>2</v>
      </c>
      <c r="O1643" s="111" t="s">
        <v>3768</v>
      </c>
      <c r="P1643" s="109">
        <v>27182</v>
      </c>
      <c r="Q1643" s="41"/>
      <c r="R1643" s="111"/>
      <c r="S1643" s="110"/>
    </row>
    <row r="1644" spans="1:19">
      <c r="A1644" s="105">
        <v>3026</v>
      </c>
      <c r="B1644" s="41">
        <v>12000000</v>
      </c>
      <c r="C1644" s="41">
        <v>4.8999999999999998E-3</v>
      </c>
      <c r="D1644" s="41">
        <v>11.313700000000001</v>
      </c>
      <c r="E1644" s="41">
        <v>30</v>
      </c>
      <c r="F1644" s="41">
        <v>0</v>
      </c>
      <c r="G1644" s="41" t="s">
        <v>505</v>
      </c>
      <c r="H1644" s="41">
        <v>1</v>
      </c>
      <c r="I1644" s="41">
        <v>1</v>
      </c>
      <c r="J1644" s="108">
        <f>POWER(POWER(Table210[[#This Row],[mv]],4)/10,0.25)</f>
        <v>2.7554724934327106E-3</v>
      </c>
      <c r="K1644" s="41">
        <v>0</v>
      </c>
      <c r="L1644" s="41">
        <v>55</v>
      </c>
      <c r="M1644" s="41">
        <v>-1</v>
      </c>
      <c r="N1644" s="41">
        <v>2</v>
      </c>
      <c r="O1644" s="111" t="s">
        <v>3769</v>
      </c>
      <c r="P1644" s="109">
        <v>27182</v>
      </c>
      <c r="Q1644" s="41"/>
      <c r="R1644" s="111"/>
      <c r="S1644" s="110"/>
    </row>
    <row r="1645" spans="1:19">
      <c r="A1645" s="105">
        <v>3027</v>
      </c>
      <c r="B1645" s="41">
        <v>12000000</v>
      </c>
      <c r="C1645" s="41">
        <v>4.8999999999999998E-3</v>
      </c>
      <c r="D1645" s="41">
        <v>16</v>
      </c>
      <c r="E1645" s="41">
        <v>30</v>
      </c>
      <c r="F1645" s="41">
        <v>0</v>
      </c>
      <c r="G1645" s="41" t="s">
        <v>505</v>
      </c>
      <c r="H1645" s="41">
        <v>1</v>
      </c>
      <c r="I1645" s="41">
        <v>1</v>
      </c>
      <c r="J1645" s="108">
        <f>POWER(POWER(Table210[[#This Row],[mv]],4)/10,0.25)</f>
        <v>2.7554724934327106E-3</v>
      </c>
      <c r="K1645" s="41">
        <v>0</v>
      </c>
      <c r="L1645" s="41">
        <v>55</v>
      </c>
      <c r="M1645" s="41">
        <v>-1</v>
      </c>
      <c r="N1645" s="41">
        <v>2</v>
      </c>
      <c r="O1645" s="111" t="s">
        <v>3770</v>
      </c>
      <c r="P1645" s="109">
        <v>27182</v>
      </c>
      <c r="Q1645" s="41"/>
      <c r="R1645" s="111"/>
      <c r="S1645" s="110"/>
    </row>
    <row r="1646" spans="1:19">
      <c r="A1646" s="105">
        <v>3028</v>
      </c>
      <c r="B1646" s="41">
        <v>12000000</v>
      </c>
      <c r="C1646" s="41">
        <v>4.8999999999999998E-3</v>
      </c>
      <c r="D1646" s="41">
        <v>22.627400000000002</v>
      </c>
      <c r="E1646" s="41">
        <v>30</v>
      </c>
      <c r="F1646" s="41">
        <v>0</v>
      </c>
      <c r="G1646" s="41" t="s">
        <v>505</v>
      </c>
      <c r="H1646" s="41">
        <v>1</v>
      </c>
      <c r="I1646" s="41">
        <v>1</v>
      </c>
      <c r="J1646" s="108">
        <f>POWER(POWER(Table210[[#This Row],[mv]],4)/10,0.25)</f>
        <v>2.7554724934327106E-3</v>
      </c>
      <c r="K1646" s="41">
        <v>0</v>
      </c>
      <c r="L1646" s="41">
        <v>55</v>
      </c>
      <c r="M1646" s="41">
        <v>-1</v>
      </c>
      <c r="N1646" s="41">
        <v>2</v>
      </c>
      <c r="O1646" s="111" t="s">
        <v>3771</v>
      </c>
      <c r="P1646" s="109">
        <v>27182</v>
      </c>
      <c r="Q1646" s="41"/>
      <c r="R1646" s="111"/>
      <c r="S1646" s="110"/>
    </row>
    <row r="1647" spans="1:19">
      <c r="A1647" s="105">
        <v>3029</v>
      </c>
      <c r="B1647" s="41">
        <v>12000000</v>
      </c>
      <c r="C1647" s="41">
        <v>4.8999999999999998E-3</v>
      </c>
      <c r="D1647" s="41">
        <v>32</v>
      </c>
      <c r="E1647" s="41">
        <v>30</v>
      </c>
      <c r="F1647" s="41">
        <v>0</v>
      </c>
      <c r="G1647" s="41" t="s">
        <v>505</v>
      </c>
      <c r="H1647" s="41">
        <v>1</v>
      </c>
      <c r="I1647" s="41">
        <v>1</v>
      </c>
      <c r="J1647" s="108">
        <f>POWER(POWER(Table210[[#This Row],[mv]],4)/10,0.25)</f>
        <v>2.7554724934327106E-3</v>
      </c>
      <c r="K1647" s="41">
        <v>0</v>
      </c>
      <c r="L1647" s="41">
        <v>55</v>
      </c>
      <c r="M1647" s="41">
        <v>-1</v>
      </c>
      <c r="N1647" s="41">
        <v>2</v>
      </c>
      <c r="O1647" s="111" t="s">
        <v>3772</v>
      </c>
      <c r="P1647" s="109">
        <v>27182</v>
      </c>
      <c r="Q1647" s="41"/>
      <c r="R1647" s="111"/>
      <c r="S1647" s="110"/>
    </row>
    <row r="1648" spans="1:19">
      <c r="A1648" s="105">
        <v>3030</v>
      </c>
      <c r="B1648" s="41">
        <v>12000000</v>
      </c>
      <c r="C1648" s="41">
        <v>4.8999999999999998E-3</v>
      </c>
      <c r="D1648" s="41">
        <v>45.254800000000003</v>
      </c>
      <c r="E1648" s="41">
        <v>30</v>
      </c>
      <c r="F1648" s="41">
        <v>0</v>
      </c>
      <c r="G1648" s="41" t="s">
        <v>505</v>
      </c>
      <c r="H1648" s="41">
        <v>1</v>
      </c>
      <c r="I1648" s="41">
        <v>1</v>
      </c>
      <c r="J1648" s="108">
        <f>POWER(POWER(Table210[[#This Row],[mv]],4)/10,0.25)</f>
        <v>2.7554724934327106E-3</v>
      </c>
      <c r="K1648" s="41">
        <v>0</v>
      </c>
      <c r="L1648" s="41">
        <v>55</v>
      </c>
      <c r="M1648" s="41">
        <v>-1</v>
      </c>
      <c r="N1648" s="41">
        <v>2</v>
      </c>
      <c r="O1648" s="111" t="s">
        <v>3773</v>
      </c>
      <c r="P1648" s="109">
        <v>27182</v>
      </c>
      <c r="Q1648" s="41"/>
      <c r="R1648" s="111"/>
      <c r="S1648" s="110"/>
    </row>
    <row r="1649" spans="1:19">
      <c r="A1649" s="105">
        <v>3031</v>
      </c>
      <c r="B1649" s="41">
        <v>12000000</v>
      </c>
      <c r="C1649" s="41">
        <v>5.4000000000000003E-3</v>
      </c>
      <c r="D1649" s="41">
        <v>11.313700000000001</v>
      </c>
      <c r="E1649" s="41">
        <v>30</v>
      </c>
      <c r="F1649" s="41">
        <v>0</v>
      </c>
      <c r="G1649" s="41" t="s">
        <v>505</v>
      </c>
      <c r="H1649" s="41">
        <v>1</v>
      </c>
      <c r="I1649" s="41">
        <v>1</v>
      </c>
      <c r="J1649" s="108">
        <f>POWER(POWER(Table210[[#This Row],[mv]],4)/10,0.25)</f>
        <v>3.0366431560278845E-3</v>
      </c>
      <c r="K1649" s="41">
        <v>0</v>
      </c>
      <c r="L1649" s="41">
        <v>55</v>
      </c>
      <c r="M1649" s="41">
        <v>-1</v>
      </c>
      <c r="N1649" s="41">
        <v>2</v>
      </c>
      <c r="O1649" s="111" t="s">
        <v>3774</v>
      </c>
      <c r="P1649" s="109">
        <v>27182</v>
      </c>
      <c r="Q1649" s="41"/>
      <c r="R1649" s="111"/>
      <c r="S1649" s="110"/>
    </row>
    <row r="1650" spans="1:19">
      <c r="A1650" s="105">
        <v>3032</v>
      </c>
      <c r="B1650" s="41">
        <v>12000000</v>
      </c>
      <c r="C1650" s="41">
        <v>5.4000000000000003E-3</v>
      </c>
      <c r="D1650" s="41">
        <v>16</v>
      </c>
      <c r="E1650" s="41">
        <v>30</v>
      </c>
      <c r="F1650" s="41">
        <v>0</v>
      </c>
      <c r="G1650" s="41" t="s">
        <v>505</v>
      </c>
      <c r="H1650" s="41">
        <v>1</v>
      </c>
      <c r="I1650" s="41">
        <v>1</v>
      </c>
      <c r="J1650" s="108">
        <f>POWER(POWER(Table210[[#This Row],[mv]],4)/10,0.25)</f>
        <v>3.0366431560278845E-3</v>
      </c>
      <c r="K1650" s="41">
        <v>0</v>
      </c>
      <c r="L1650" s="41">
        <v>55</v>
      </c>
      <c r="M1650" s="41">
        <v>-1</v>
      </c>
      <c r="N1650" s="41">
        <v>2</v>
      </c>
      <c r="O1650" s="111" t="s">
        <v>3775</v>
      </c>
      <c r="P1650" s="109">
        <v>27182</v>
      </c>
      <c r="Q1650" s="41"/>
      <c r="R1650" s="111"/>
      <c r="S1650" s="110"/>
    </row>
    <row r="1651" spans="1:19">
      <c r="A1651" s="105">
        <v>3033</v>
      </c>
      <c r="B1651" s="41">
        <v>12000000</v>
      </c>
      <c r="C1651" s="41">
        <v>5.4000000000000003E-3</v>
      </c>
      <c r="D1651" s="41">
        <v>22.627400000000002</v>
      </c>
      <c r="E1651" s="41">
        <v>30</v>
      </c>
      <c r="F1651" s="41">
        <v>0</v>
      </c>
      <c r="G1651" s="41" t="s">
        <v>505</v>
      </c>
      <c r="H1651" s="41">
        <v>1</v>
      </c>
      <c r="I1651" s="41">
        <v>1</v>
      </c>
      <c r="J1651" s="108">
        <f>POWER(POWER(Table210[[#This Row],[mv]],4)/10,0.25)</f>
        <v>3.0366431560278845E-3</v>
      </c>
      <c r="K1651" s="41">
        <v>0</v>
      </c>
      <c r="L1651" s="41">
        <v>55</v>
      </c>
      <c r="M1651" s="41">
        <v>-1</v>
      </c>
      <c r="N1651" s="41">
        <v>2</v>
      </c>
      <c r="O1651" s="111" t="s">
        <v>3776</v>
      </c>
      <c r="P1651" s="109">
        <v>27182</v>
      </c>
      <c r="Q1651" s="41"/>
      <c r="R1651" s="111"/>
      <c r="S1651" s="110"/>
    </row>
    <row r="1652" spans="1:19">
      <c r="A1652" s="105">
        <v>3034</v>
      </c>
      <c r="B1652" s="41">
        <v>12000000</v>
      </c>
      <c r="C1652" s="41">
        <v>5.4000000000000003E-3</v>
      </c>
      <c r="D1652" s="41">
        <v>32</v>
      </c>
      <c r="E1652" s="41">
        <v>30</v>
      </c>
      <c r="F1652" s="41">
        <v>0</v>
      </c>
      <c r="G1652" s="41" t="s">
        <v>505</v>
      </c>
      <c r="H1652" s="41">
        <v>1</v>
      </c>
      <c r="I1652" s="41">
        <v>1</v>
      </c>
      <c r="J1652" s="108">
        <f>POWER(POWER(Table210[[#This Row],[mv]],4)/10,0.25)</f>
        <v>3.0366431560278845E-3</v>
      </c>
      <c r="K1652" s="41">
        <v>0</v>
      </c>
      <c r="L1652" s="41">
        <v>55</v>
      </c>
      <c r="M1652" s="41">
        <v>-1</v>
      </c>
      <c r="N1652" s="41">
        <v>2</v>
      </c>
      <c r="O1652" s="111" t="s">
        <v>3777</v>
      </c>
      <c r="P1652" s="109">
        <v>27182</v>
      </c>
      <c r="Q1652" s="41"/>
      <c r="R1652" s="111"/>
      <c r="S1652" s="110"/>
    </row>
    <row r="1653" spans="1:19">
      <c r="A1653" s="105">
        <v>3035</v>
      </c>
      <c r="B1653" s="41">
        <v>12000000</v>
      </c>
      <c r="C1653" s="41">
        <v>5.4000000000000003E-3</v>
      </c>
      <c r="D1653" s="41">
        <v>45.254800000000003</v>
      </c>
      <c r="E1653" s="41">
        <v>30</v>
      </c>
      <c r="F1653" s="41">
        <v>0</v>
      </c>
      <c r="G1653" s="41" t="s">
        <v>505</v>
      </c>
      <c r="H1653" s="41">
        <v>1</v>
      </c>
      <c r="I1653" s="41">
        <v>1</v>
      </c>
      <c r="J1653" s="108">
        <f>POWER(POWER(Table210[[#This Row],[mv]],4)/10,0.25)</f>
        <v>3.0366431560278845E-3</v>
      </c>
      <c r="K1653" s="41">
        <v>0</v>
      </c>
      <c r="L1653" s="41">
        <v>55</v>
      </c>
      <c r="M1653" s="41">
        <v>-1</v>
      </c>
      <c r="N1653" s="41">
        <v>2</v>
      </c>
      <c r="O1653" s="111" t="s">
        <v>3778</v>
      </c>
      <c r="P1653" s="109">
        <v>27182</v>
      </c>
      <c r="Q1653" s="41"/>
      <c r="R1653" s="111"/>
      <c r="S1653" s="110"/>
    </row>
    <row r="1654" spans="1:19">
      <c r="A1654" s="105">
        <v>3036</v>
      </c>
      <c r="B1654" s="41">
        <v>12000000</v>
      </c>
      <c r="C1654" s="41">
        <v>5.8999999999999999E-3</v>
      </c>
      <c r="D1654" s="41">
        <v>11.313700000000001</v>
      </c>
      <c r="E1654" s="41">
        <v>30</v>
      </c>
      <c r="F1654" s="41">
        <v>0</v>
      </c>
      <c r="G1654" s="41" t="s">
        <v>505</v>
      </c>
      <c r="H1654" s="41">
        <v>1</v>
      </c>
      <c r="I1654" s="41">
        <v>1</v>
      </c>
      <c r="J1654" s="108">
        <f>POWER(POWER(Table210[[#This Row],[mv]],4)/10,0.25)</f>
        <v>3.3178138186230597E-3</v>
      </c>
      <c r="K1654" s="41">
        <v>0</v>
      </c>
      <c r="L1654" s="41">
        <v>55</v>
      </c>
      <c r="M1654" s="41">
        <v>-1</v>
      </c>
      <c r="N1654" s="41">
        <v>2</v>
      </c>
      <c r="O1654" s="111" t="s">
        <v>3779</v>
      </c>
      <c r="P1654" s="109">
        <v>27182</v>
      </c>
      <c r="Q1654" s="41"/>
      <c r="R1654" s="111"/>
      <c r="S1654" s="110"/>
    </row>
    <row r="1655" spans="1:19">
      <c r="A1655" s="105">
        <v>3037</v>
      </c>
      <c r="B1655" s="41">
        <v>12000000</v>
      </c>
      <c r="C1655" s="41">
        <v>5.8999999999999999E-3</v>
      </c>
      <c r="D1655" s="41">
        <v>16</v>
      </c>
      <c r="E1655" s="41">
        <v>30</v>
      </c>
      <c r="F1655" s="41">
        <v>0</v>
      </c>
      <c r="G1655" s="41" t="s">
        <v>505</v>
      </c>
      <c r="H1655" s="41">
        <v>1</v>
      </c>
      <c r="I1655" s="41">
        <v>1</v>
      </c>
      <c r="J1655" s="108">
        <f>POWER(POWER(Table210[[#This Row],[mv]],4)/10,0.25)</f>
        <v>3.3178138186230597E-3</v>
      </c>
      <c r="K1655" s="41">
        <v>0</v>
      </c>
      <c r="L1655" s="41">
        <v>55</v>
      </c>
      <c r="M1655" s="41">
        <v>-1</v>
      </c>
      <c r="N1655" s="41">
        <v>2</v>
      </c>
      <c r="O1655" s="111" t="s">
        <v>3780</v>
      </c>
      <c r="P1655" s="109">
        <v>27182</v>
      </c>
      <c r="Q1655" s="41"/>
      <c r="R1655" s="111"/>
      <c r="S1655" s="110"/>
    </row>
    <row r="1656" spans="1:19">
      <c r="A1656" s="105">
        <v>3038</v>
      </c>
      <c r="B1656" s="41">
        <v>12000000</v>
      </c>
      <c r="C1656" s="41">
        <v>5.8999999999999999E-3</v>
      </c>
      <c r="D1656" s="41">
        <v>22.627400000000002</v>
      </c>
      <c r="E1656" s="41">
        <v>30</v>
      </c>
      <c r="F1656" s="41">
        <v>0</v>
      </c>
      <c r="G1656" s="41" t="s">
        <v>505</v>
      </c>
      <c r="H1656" s="41">
        <v>1</v>
      </c>
      <c r="I1656" s="41">
        <v>1</v>
      </c>
      <c r="J1656" s="108">
        <f>POWER(POWER(Table210[[#This Row],[mv]],4)/10,0.25)</f>
        <v>3.3178138186230597E-3</v>
      </c>
      <c r="K1656" s="41">
        <v>0</v>
      </c>
      <c r="L1656" s="41">
        <v>55</v>
      </c>
      <c r="M1656" s="41">
        <v>-1</v>
      </c>
      <c r="N1656" s="41">
        <v>2</v>
      </c>
      <c r="O1656" s="111" t="s">
        <v>3781</v>
      </c>
      <c r="P1656" s="109">
        <v>27182</v>
      </c>
      <c r="Q1656" s="41"/>
      <c r="R1656" s="111"/>
      <c r="S1656" s="110"/>
    </row>
    <row r="1657" spans="1:19">
      <c r="A1657" s="105">
        <v>3039</v>
      </c>
      <c r="B1657" s="41">
        <v>12000000</v>
      </c>
      <c r="C1657" s="41">
        <v>5.8999999999999999E-3</v>
      </c>
      <c r="D1657" s="41">
        <v>32</v>
      </c>
      <c r="E1657" s="41">
        <v>30</v>
      </c>
      <c r="F1657" s="41">
        <v>0</v>
      </c>
      <c r="G1657" s="41" t="s">
        <v>505</v>
      </c>
      <c r="H1657" s="41">
        <v>1</v>
      </c>
      <c r="I1657" s="41">
        <v>1</v>
      </c>
      <c r="J1657" s="108">
        <f>POWER(POWER(Table210[[#This Row],[mv]],4)/10,0.25)</f>
        <v>3.3178138186230597E-3</v>
      </c>
      <c r="K1657" s="41">
        <v>0</v>
      </c>
      <c r="L1657" s="41">
        <v>55</v>
      </c>
      <c r="M1657" s="41">
        <v>-1</v>
      </c>
      <c r="N1657" s="41">
        <v>2</v>
      </c>
      <c r="O1657" s="111" t="s">
        <v>3782</v>
      </c>
      <c r="P1657" s="109">
        <v>27182</v>
      </c>
      <c r="Q1657" s="41"/>
      <c r="R1657" s="111"/>
      <c r="S1657" s="110"/>
    </row>
    <row r="1658" spans="1:19">
      <c r="A1658" s="105">
        <v>3040</v>
      </c>
      <c r="B1658" s="41">
        <v>12000000</v>
      </c>
      <c r="C1658" s="41">
        <v>5.8999999999999999E-3</v>
      </c>
      <c r="D1658" s="41">
        <v>45.254800000000003</v>
      </c>
      <c r="E1658" s="41">
        <v>30</v>
      </c>
      <c r="F1658" s="41">
        <v>0</v>
      </c>
      <c r="G1658" s="41" t="s">
        <v>505</v>
      </c>
      <c r="H1658" s="41">
        <v>1</v>
      </c>
      <c r="I1658" s="41">
        <v>1</v>
      </c>
      <c r="J1658" s="108">
        <f>POWER(POWER(Table210[[#This Row],[mv]],4)/10,0.25)</f>
        <v>3.3178138186230597E-3</v>
      </c>
      <c r="K1658" s="41">
        <v>0</v>
      </c>
      <c r="L1658" s="41">
        <v>55</v>
      </c>
      <c r="M1658" s="41">
        <v>-1</v>
      </c>
      <c r="N1658" s="41">
        <v>2</v>
      </c>
      <c r="O1658" s="111" t="s">
        <v>3783</v>
      </c>
      <c r="P1658" s="109">
        <v>27182</v>
      </c>
      <c r="Q1658" s="41"/>
      <c r="R1658" s="111"/>
      <c r="S1658" s="110"/>
    </row>
    <row r="1659" spans="1:19">
      <c r="A1659" s="105">
        <v>3041</v>
      </c>
      <c r="B1659" s="41">
        <v>12000000</v>
      </c>
      <c r="C1659" s="41">
        <v>6.4000000000000003E-3</v>
      </c>
      <c r="D1659" s="41">
        <v>16</v>
      </c>
      <c r="E1659" s="41">
        <v>30</v>
      </c>
      <c r="F1659" s="41">
        <v>0</v>
      </c>
      <c r="G1659" s="41" t="s">
        <v>505</v>
      </c>
      <c r="H1659" s="41">
        <v>1</v>
      </c>
      <c r="I1659" s="41">
        <v>1</v>
      </c>
      <c r="J1659" s="108">
        <f>POWER(POWER(Table210[[#This Row],[mv]],4)/10,0.25)</f>
        <v>3.5989844812182349E-3</v>
      </c>
      <c r="K1659" s="41">
        <v>0</v>
      </c>
      <c r="L1659" s="41">
        <v>55</v>
      </c>
      <c r="M1659" s="41">
        <v>-1</v>
      </c>
      <c r="N1659" s="41">
        <v>2</v>
      </c>
      <c r="O1659" s="111" t="s">
        <v>3784</v>
      </c>
      <c r="P1659" s="109">
        <v>27182</v>
      </c>
      <c r="Q1659" s="41"/>
      <c r="R1659" s="111"/>
      <c r="S1659" s="110"/>
    </row>
    <row r="1660" spans="1:19">
      <c r="A1660" s="105">
        <v>3042</v>
      </c>
      <c r="B1660" s="41">
        <v>12000000</v>
      </c>
      <c r="C1660" s="41">
        <v>6.4000000000000003E-3</v>
      </c>
      <c r="D1660" s="41">
        <v>22.627400000000002</v>
      </c>
      <c r="E1660" s="41">
        <v>30</v>
      </c>
      <c r="F1660" s="41">
        <v>0</v>
      </c>
      <c r="G1660" s="41" t="s">
        <v>505</v>
      </c>
      <c r="H1660" s="41">
        <v>1</v>
      </c>
      <c r="I1660" s="41">
        <v>1</v>
      </c>
      <c r="J1660" s="108">
        <f>POWER(POWER(Table210[[#This Row],[mv]],4)/10,0.25)</f>
        <v>3.5989844812182349E-3</v>
      </c>
      <c r="K1660" s="41">
        <v>0</v>
      </c>
      <c r="L1660" s="41">
        <v>55</v>
      </c>
      <c r="M1660" s="41">
        <v>-1</v>
      </c>
      <c r="N1660" s="41">
        <v>2</v>
      </c>
      <c r="O1660" s="111" t="s">
        <v>3785</v>
      </c>
      <c r="P1660" s="109">
        <v>27182</v>
      </c>
      <c r="Q1660" s="41"/>
      <c r="R1660" s="111"/>
      <c r="S1660" s="110"/>
    </row>
    <row r="1661" spans="1:19">
      <c r="A1661" s="105">
        <v>3043</v>
      </c>
      <c r="B1661" s="41">
        <v>12000000</v>
      </c>
      <c r="C1661" s="41">
        <v>6.4000000000000003E-3</v>
      </c>
      <c r="D1661" s="41">
        <v>32</v>
      </c>
      <c r="E1661" s="41">
        <v>30</v>
      </c>
      <c r="F1661" s="41">
        <v>0</v>
      </c>
      <c r="G1661" s="41" t="s">
        <v>505</v>
      </c>
      <c r="H1661" s="41">
        <v>1</v>
      </c>
      <c r="I1661" s="41">
        <v>1</v>
      </c>
      <c r="J1661" s="108">
        <f>POWER(POWER(Table210[[#This Row],[mv]],4)/10,0.25)</f>
        <v>3.5989844812182349E-3</v>
      </c>
      <c r="K1661" s="41">
        <v>0</v>
      </c>
      <c r="L1661" s="41">
        <v>55</v>
      </c>
      <c r="M1661" s="41">
        <v>-1</v>
      </c>
      <c r="N1661" s="41">
        <v>2</v>
      </c>
      <c r="O1661" s="111" t="s">
        <v>3786</v>
      </c>
      <c r="P1661" s="109">
        <v>27182</v>
      </c>
      <c r="Q1661" s="41"/>
      <c r="R1661" s="111"/>
      <c r="S1661" s="110"/>
    </row>
    <row r="1662" spans="1:19">
      <c r="A1662" s="105">
        <v>3044</v>
      </c>
      <c r="B1662" s="41">
        <v>12000000</v>
      </c>
      <c r="C1662" s="41">
        <v>6.4000000000000003E-3</v>
      </c>
      <c r="D1662" s="41">
        <v>45.254800000000003</v>
      </c>
      <c r="E1662" s="41">
        <v>30</v>
      </c>
      <c r="F1662" s="41">
        <v>0</v>
      </c>
      <c r="G1662" s="41" t="s">
        <v>505</v>
      </c>
      <c r="H1662" s="41">
        <v>1</v>
      </c>
      <c r="I1662" s="41">
        <v>1</v>
      </c>
      <c r="J1662" s="108">
        <f>POWER(POWER(Table210[[#This Row],[mv]],4)/10,0.25)</f>
        <v>3.5989844812182349E-3</v>
      </c>
      <c r="K1662" s="41">
        <v>0</v>
      </c>
      <c r="L1662" s="41">
        <v>55</v>
      </c>
      <c r="M1662" s="41">
        <v>-1</v>
      </c>
      <c r="N1662" s="41">
        <v>2</v>
      </c>
      <c r="O1662" s="111" t="s">
        <v>3787</v>
      </c>
      <c r="P1662" s="109">
        <v>27182</v>
      </c>
      <c r="Q1662" s="41"/>
      <c r="R1662" s="111"/>
      <c r="S1662" s="110"/>
    </row>
    <row r="1663" spans="1:19">
      <c r="A1663" s="105">
        <v>3045</v>
      </c>
      <c r="B1663" s="41">
        <v>12000000</v>
      </c>
      <c r="C1663" s="41">
        <v>7.0000000000000001E-3</v>
      </c>
      <c r="D1663" s="41">
        <v>16</v>
      </c>
      <c r="E1663" s="41">
        <v>30</v>
      </c>
      <c r="F1663" s="41">
        <v>0</v>
      </c>
      <c r="G1663" s="41" t="s">
        <v>505</v>
      </c>
      <c r="H1663" s="41">
        <v>1</v>
      </c>
      <c r="I1663" s="41">
        <v>1</v>
      </c>
      <c r="J1663" s="108">
        <f>POWER(POWER(Table210[[#This Row],[mv]],4)/10,0.25)</f>
        <v>3.9363892763324441E-3</v>
      </c>
      <c r="K1663" s="41">
        <v>0</v>
      </c>
      <c r="L1663" s="41">
        <v>55</v>
      </c>
      <c r="M1663" s="41">
        <v>-1</v>
      </c>
      <c r="N1663" s="41">
        <v>2</v>
      </c>
      <c r="O1663" s="111" t="s">
        <v>3788</v>
      </c>
      <c r="P1663" s="109">
        <v>27182</v>
      </c>
      <c r="Q1663" s="41"/>
      <c r="R1663" s="111"/>
      <c r="S1663" s="110"/>
    </row>
    <row r="1664" spans="1:19">
      <c r="A1664" s="105">
        <v>3046</v>
      </c>
      <c r="B1664" s="41">
        <v>12000000</v>
      </c>
      <c r="C1664" s="41">
        <v>7.0000000000000001E-3</v>
      </c>
      <c r="D1664" s="41">
        <v>22.627400000000002</v>
      </c>
      <c r="E1664" s="41">
        <v>30</v>
      </c>
      <c r="F1664" s="41">
        <v>0</v>
      </c>
      <c r="G1664" s="41" t="s">
        <v>505</v>
      </c>
      <c r="H1664" s="41">
        <v>1</v>
      </c>
      <c r="I1664" s="41">
        <v>1</v>
      </c>
      <c r="J1664" s="108">
        <f>POWER(POWER(Table210[[#This Row],[mv]],4)/10,0.25)</f>
        <v>3.9363892763324441E-3</v>
      </c>
      <c r="K1664" s="41">
        <v>0</v>
      </c>
      <c r="L1664" s="41">
        <v>55</v>
      </c>
      <c r="M1664" s="41">
        <v>-1</v>
      </c>
      <c r="N1664" s="41">
        <v>2</v>
      </c>
      <c r="O1664" s="111" t="s">
        <v>3789</v>
      </c>
      <c r="P1664" s="109">
        <v>27182</v>
      </c>
      <c r="Q1664" s="41"/>
      <c r="R1664" s="111"/>
      <c r="S1664" s="110"/>
    </row>
    <row r="1665" spans="1:19">
      <c r="A1665" s="105">
        <v>3047</v>
      </c>
      <c r="B1665" s="41">
        <v>12000000</v>
      </c>
      <c r="C1665" s="41">
        <v>7.0000000000000001E-3</v>
      </c>
      <c r="D1665" s="41">
        <v>32</v>
      </c>
      <c r="E1665" s="41">
        <v>30</v>
      </c>
      <c r="F1665" s="41">
        <v>0</v>
      </c>
      <c r="G1665" s="41" t="s">
        <v>505</v>
      </c>
      <c r="H1665" s="41">
        <v>1</v>
      </c>
      <c r="I1665" s="41">
        <v>1</v>
      </c>
      <c r="J1665" s="108">
        <f>POWER(POWER(Table210[[#This Row],[mv]],4)/10,0.25)</f>
        <v>3.9363892763324441E-3</v>
      </c>
      <c r="K1665" s="41">
        <v>0</v>
      </c>
      <c r="L1665" s="41">
        <v>55</v>
      </c>
      <c r="M1665" s="41">
        <v>-1</v>
      </c>
      <c r="N1665" s="41">
        <v>2</v>
      </c>
      <c r="O1665" s="111" t="s">
        <v>3790</v>
      </c>
      <c r="P1665" s="109">
        <v>27182</v>
      </c>
      <c r="Q1665" s="41"/>
      <c r="R1665" s="111"/>
      <c r="S1665" s="110"/>
    </row>
    <row r="1666" spans="1:19">
      <c r="A1666" s="105">
        <v>3048</v>
      </c>
      <c r="B1666" s="41">
        <v>12000000</v>
      </c>
      <c r="C1666" s="41">
        <v>7.0000000000000001E-3</v>
      </c>
      <c r="D1666" s="41">
        <v>45.254800000000003</v>
      </c>
      <c r="E1666" s="41">
        <v>30</v>
      </c>
      <c r="F1666" s="41">
        <v>0</v>
      </c>
      <c r="G1666" s="41" t="s">
        <v>505</v>
      </c>
      <c r="H1666" s="41">
        <v>1</v>
      </c>
      <c r="I1666" s="41">
        <v>1</v>
      </c>
      <c r="J1666" s="108">
        <f>POWER(POWER(Table210[[#This Row],[mv]],4)/10,0.25)</f>
        <v>3.9363892763324441E-3</v>
      </c>
      <c r="K1666" s="41">
        <v>0</v>
      </c>
      <c r="L1666" s="41">
        <v>55</v>
      </c>
      <c r="M1666" s="41">
        <v>-1</v>
      </c>
      <c r="N1666" s="41">
        <v>2</v>
      </c>
      <c r="O1666" s="111" t="s">
        <v>3791</v>
      </c>
      <c r="P1666" s="109">
        <v>27182</v>
      </c>
      <c r="Q1666" s="41"/>
      <c r="R1666" s="111"/>
      <c r="S1666" s="110"/>
    </row>
    <row r="1667" spans="1:19">
      <c r="A1667" s="105">
        <v>3049</v>
      </c>
      <c r="B1667" s="41">
        <v>12000000</v>
      </c>
      <c r="C1667" s="41">
        <v>7.6E-3</v>
      </c>
      <c r="D1667" s="41">
        <v>22.627400000000002</v>
      </c>
      <c r="E1667" s="41">
        <v>30</v>
      </c>
      <c r="F1667" s="41">
        <v>0</v>
      </c>
      <c r="G1667" s="41" t="s">
        <v>505</v>
      </c>
      <c r="H1667" s="41">
        <v>1</v>
      </c>
      <c r="I1667" s="41">
        <v>1</v>
      </c>
      <c r="J1667" s="108">
        <f>POWER(POWER(Table210[[#This Row],[mv]],4)/10,0.25)</f>
        <v>4.2737940714466516E-3</v>
      </c>
      <c r="K1667" s="41">
        <v>0</v>
      </c>
      <c r="L1667" s="41">
        <v>55</v>
      </c>
      <c r="M1667" s="41">
        <v>-1</v>
      </c>
      <c r="N1667" s="41">
        <v>2</v>
      </c>
      <c r="O1667" s="111" t="s">
        <v>3792</v>
      </c>
      <c r="P1667" s="109">
        <v>27182</v>
      </c>
      <c r="Q1667" s="41"/>
      <c r="R1667" s="111"/>
      <c r="S1667" s="110"/>
    </row>
    <row r="1668" spans="1:19">
      <c r="A1668" s="105">
        <v>3050</v>
      </c>
      <c r="B1668" s="41">
        <v>12000000</v>
      </c>
      <c r="C1668" s="41">
        <v>7.6E-3</v>
      </c>
      <c r="D1668" s="41">
        <v>32</v>
      </c>
      <c r="E1668" s="41">
        <v>30</v>
      </c>
      <c r="F1668" s="41">
        <v>0</v>
      </c>
      <c r="G1668" s="41" t="s">
        <v>505</v>
      </c>
      <c r="H1668" s="41">
        <v>1</v>
      </c>
      <c r="I1668" s="41">
        <v>1</v>
      </c>
      <c r="J1668" s="108">
        <f>POWER(POWER(Table210[[#This Row],[mv]],4)/10,0.25)</f>
        <v>4.2737940714466516E-3</v>
      </c>
      <c r="K1668" s="41">
        <v>0</v>
      </c>
      <c r="L1668" s="41">
        <v>55</v>
      </c>
      <c r="M1668" s="41">
        <v>-1</v>
      </c>
      <c r="N1668" s="41">
        <v>2</v>
      </c>
      <c r="O1668" s="111" t="s">
        <v>3793</v>
      </c>
      <c r="P1668" s="109">
        <v>27182</v>
      </c>
      <c r="Q1668" s="41"/>
      <c r="R1668" s="111"/>
      <c r="S1668" s="110"/>
    </row>
    <row r="1669" spans="1:19">
      <c r="A1669" s="105">
        <v>3051</v>
      </c>
      <c r="B1669" s="41">
        <v>12000000</v>
      </c>
      <c r="C1669" s="41">
        <v>7.6E-3</v>
      </c>
      <c r="D1669" s="41">
        <v>45.254800000000003</v>
      </c>
      <c r="E1669" s="41">
        <v>30</v>
      </c>
      <c r="F1669" s="41">
        <v>0</v>
      </c>
      <c r="G1669" s="41" t="s">
        <v>505</v>
      </c>
      <c r="H1669" s="41">
        <v>1</v>
      </c>
      <c r="I1669" s="41">
        <v>1</v>
      </c>
      <c r="J1669" s="108">
        <f>POWER(POWER(Table210[[#This Row],[mv]],4)/10,0.25)</f>
        <v>4.2737940714466516E-3</v>
      </c>
      <c r="K1669" s="41">
        <v>0</v>
      </c>
      <c r="L1669" s="41">
        <v>55</v>
      </c>
      <c r="M1669" s="41">
        <v>-1</v>
      </c>
      <c r="N1669" s="41">
        <v>2</v>
      </c>
      <c r="O1669" s="111" t="s">
        <v>3794</v>
      </c>
      <c r="P1669" s="109">
        <v>27182</v>
      </c>
      <c r="Q1669" s="41"/>
      <c r="R1669" s="111"/>
      <c r="S1669" s="110"/>
    </row>
    <row r="1670" spans="1:19">
      <c r="A1670" s="105">
        <v>3052</v>
      </c>
      <c r="B1670" s="41">
        <v>12000000</v>
      </c>
      <c r="C1670" s="41">
        <v>8.3000000000000001E-3</v>
      </c>
      <c r="D1670" s="41">
        <v>22.627400000000002</v>
      </c>
      <c r="E1670" s="41">
        <v>30</v>
      </c>
      <c r="F1670" s="41">
        <v>0</v>
      </c>
      <c r="G1670" s="41" t="s">
        <v>505</v>
      </c>
      <c r="H1670" s="41">
        <v>1</v>
      </c>
      <c r="I1670" s="41">
        <v>1</v>
      </c>
      <c r="J1670" s="108">
        <f>POWER(POWER(Table210[[#This Row],[mv]],4)/10,0.25)</f>
        <v>4.6674329990798978E-3</v>
      </c>
      <c r="K1670" s="41">
        <v>0</v>
      </c>
      <c r="L1670" s="41">
        <v>55</v>
      </c>
      <c r="M1670" s="41">
        <v>-1</v>
      </c>
      <c r="N1670" s="41">
        <v>2</v>
      </c>
      <c r="O1670" s="111" t="s">
        <v>3795</v>
      </c>
      <c r="P1670" s="109">
        <v>27182</v>
      </c>
      <c r="Q1670" s="41"/>
      <c r="R1670" s="111"/>
      <c r="S1670" s="110"/>
    </row>
    <row r="1671" spans="1:19">
      <c r="A1671" s="105">
        <v>3053</v>
      </c>
      <c r="B1671" s="41">
        <v>12000000</v>
      </c>
      <c r="C1671" s="41">
        <v>8.3000000000000001E-3</v>
      </c>
      <c r="D1671" s="41">
        <v>32</v>
      </c>
      <c r="E1671" s="41">
        <v>30</v>
      </c>
      <c r="F1671" s="41">
        <v>0</v>
      </c>
      <c r="G1671" s="41" t="s">
        <v>505</v>
      </c>
      <c r="H1671" s="41">
        <v>1</v>
      </c>
      <c r="I1671" s="41">
        <v>1</v>
      </c>
      <c r="J1671" s="108">
        <f>POWER(POWER(Table210[[#This Row],[mv]],4)/10,0.25)</f>
        <v>4.6674329990798978E-3</v>
      </c>
      <c r="K1671" s="41">
        <v>0</v>
      </c>
      <c r="L1671" s="41">
        <v>55</v>
      </c>
      <c r="M1671" s="41">
        <v>-1</v>
      </c>
      <c r="N1671" s="41">
        <v>2</v>
      </c>
      <c r="O1671" s="111" t="s">
        <v>3796</v>
      </c>
      <c r="P1671" s="109">
        <v>27182</v>
      </c>
      <c r="Q1671" s="41"/>
      <c r="R1671" s="111"/>
      <c r="S1671" s="110"/>
    </row>
    <row r="1672" spans="1:19">
      <c r="A1672" s="105">
        <v>3054</v>
      </c>
      <c r="B1672" s="41">
        <v>12000000</v>
      </c>
      <c r="C1672" s="41">
        <v>8.3000000000000001E-3</v>
      </c>
      <c r="D1672" s="41">
        <v>45.254800000000003</v>
      </c>
      <c r="E1672" s="41">
        <v>30</v>
      </c>
      <c r="F1672" s="41">
        <v>0</v>
      </c>
      <c r="G1672" s="41" t="s">
        <v>505</v>
      </c>
      <c r="H1672" s="41">
        <v>1</v>
      </c>
      <c r="I1672" s="41">
        <v>1</v>
      </c>
      <c r="J1672" s="108">
        <f>POWER(POWER(Table210[[#This Row],[mv]],4)/10,0.25)</f>
        <v>4.6674329990798978E-3</v>
      </c>
      <c r="K1672" s="41">
        <v>0</v>
      </c>
      <c r="L1672" s="41">
        <v>55</v>
      </c>
      <c r="M1672" s="41">
        <v>-1</v>
      </c>
      <c r="N1672" s="41">
        <v>2</v>
      </c>
      <c r="O1672" s="111" t="s">
        <v>3797</v>
      </c>
      <c r="P1672" s="109">
        <v>27182</v>
      </c>
      <c r="Q1672" s="41"/>
      <c r="R1672" s="111"/>
      <c r="S1672" s="110"/>
    </row>
    <row r="1673" spans="1:19">
      <c r="A1673" s="105">
        <v>3055</v>
      </c>
      <c r="B1673" s="41">
        <v>12000000</v>
      </c>
      <c r="C1673" s="41">
        <v>9.1000000000000004E-3</v>
      </c>
      <c r="D1673" s="41">
        <v>32</v>
      </c>
      <c r="E1673" s="41">
        <v>30</v>
      </c>
      <c r="F1673" s="41">
        <v>0</v>
      </c>
      <c r="G1673" s="41" t="s">
        <v>505</v>
      </c>
      <c r="H1673" s="41">
        <v>1</v>
      </c>
      <c r="I1673" s="41">
        <v>1</v>
      </c>
      <c r="J1673" s="108">
        <f>POWER(POWER(Table210[[#This Row],[mv]],4)/10,0.25)</f>
        <v>5.1173060592321785E-3</v>
      </c>
      <c r="K1673" s="41">
        <v>0</v>
      </c>
      <c r="L1673" s="41">
        <v>55</v>
      </c>
      <c r="M1673" s="41">
        <v>-1</v>
      </c>
      <c r="N1673" s="41">
        <v>2</v>
      </c>
      <c r="O1673" s="111" t="s">
        <v>3798</v>
      </c>
      <c r="P1673" s="109">
        <v>27182</v>
      </c>
      <c r="Q1673" s="41"/>
      <c r="R1673" s="111"/>
      <c r="S1673" s="110"/>
    </row>
    <row r="1674" spans="1:19">
      <c r="A1674" s="105">
        <v>3056</v>
      </c>
      <c r="B1674" s="41">
        <v>12000000</v>
      </c>
      <c r="C1674" s="41">
        <v>9.1000000000000004E-3</v>
      </c>
      <c r="D1674" s="41">
        <v>45.254800000000003</v>
      </c>
      <c r="E1674" s="41">
        <v>30</v>
      </c>
      <c r="F1674" s="41">
        <v>0</v>
      </c>
      <c r="G1674" s="41" t="s">
        <v>505</v>
      </c>
      <c r="H1674" s="41">
        <v>1</v>
      </c>
      <c r="I1674" s="41">
        <v>1</v>
      </c>
      <c r="J1674" s="108">
        <f>POWER(POWER(Table210[[#This Row],[mv]],4)/10,0.25)</f>
        <v>5.1173060592321785E-3</v>
      </c>
      <c r="K1674" s="41">
        <v>0</v>
      </c>
      <c r="L1674" s="41">
        <v>55</v>
      </c>
      <c r="M1674" s="41">
        <v>-1</v>
      </c>
      <c r="N1674" s="41">
        <v>2</v>
      </c>
      <c r="O1674" s="111" t="s">
        <v>3799</v>
      </c>
      <c r="P1674" s="109">
        <v>27182</v>
      </c>
      <c r="Q1674" s="41"/>
      <c r="R1674" s="111"/>
      <c r="S1674" s="110"/>
    </row>
    <row r="1675" spans="1:19">
      <c r="A1675" s="105">
        <v>3057</v>
      </c>
      <c r="B1675" s="41">
        <v>12000000</v>
      </c>
      <c r="C1675" s="41">
        <v>9.9000000000000008E-3</v>
      </c>
      <c r="D1675" s="41">
        <v>32</v>
      </c>
      <c r="E1675" s="41">
        <v>30</v>
      </c>
      <c r="F1675" s="41">
        <v>0</v>
      </c>
      <c r="G1675" s="41" t="s">
        <v>505</v>
      </c>
      <c r="H1675" s="41">
        <v>1</v>
      </c>
      <c r="I1675" s="41">
        <v>1</v>
      </c>
      <c r="J1675" s="108">
        <f>POWER(POWER(Table210[[#This Row],[mv]],4)/10,0.25)</f>
        <v>5.5671791193844583E-3</v>
      </c>
      <c r="K1675" s="41">
        <v>0</v>
      </c>
      <c r="L1675" s="41">
        <v>55</v>
      </c>
      <c r="M1675" s="41">
        <v>-1</v>
      </c>
      <c r="N1675" s="41">
        <v>2</v>
      </c>
      <c r="O1675" s="111" t="s">
        <v>3800</v>
      </c>
      <c r="P1675" s="109">
        <v>27182</v>
      </c>
      <c r="Q1675" s="41"/>
      <c r="R1675" s="111"/>
      <c r="S1675" s="110"/>
    </row>
    <row r="1676" spans="1:19">
      <c r="A1676" s="105">
        <v>3058</v>
      </c>
      <c r="B1676" s="41">
        <v>12000000</v>
      </c>
      <c r="C1676" s="41">
        <v>9.9000000000000008E-3</v>
      </c>
      <c r="D1676" s="41">
        <v>45.254800000000003</v>
      </c>
      <c r="E1676" s="41">
        <v>30</v>
      </c>
      <c r="F1676" s="41">
        <v>0</v>
      </c>
      <c r="G1676" s="41" t="s">
        <v>505</v>
      </c>
      <c r="H1676" s="41">
        <v>1</v>
      </c>
      <c r="I1676" s="41">
        <v>1</v>
      </c>
      <c r="J1676" s="108">
        <f>POWER(POWER(Table210[[#This Row],[mv]],4)/10,0.25)</f>
        <v>5.5671791193844583E-3</v>
      </c>
      <c r="K1676" s="41">
        <v>0</v>
      </c>
      <c r="L1676" s="41">
        <v>55</v>
      </c>
      <c r="M1676" s="41">
        <v>-1</v>
      </c>
      <c r="N1676" s="41">
        <v>2</v>
      </c>
      <c r="O1676" s="111" t="s">
        <v>3801</v>
      </c>
      <c r="P1676" s="109">
        <v>27182</v>
      </c>
      <c r="Q1676" s="41"/>
      <c r="R1676" s="111"/>
      <c r="S1676" s="110"/>
    </row>
    <row r="1677" spans="1:19">
      <c r="A1677" s="105">
        <v>3059</v>
      </c>
      <c r="B1677" s="41">
        <v>12000000</v>
      </c>
      <c r="C1677" s="41">
        <v>1.0800000000000001E-2</v>
      </c>
      <c r="D1677" s="41">
        <v>45.254800000000003</v>
      </c>
      <c r="E1677" s="41">
        <v>30</v>
      </c>
      <c r="F1677" s="41">
        <v>0</v>
      </c>
      <c r="G1677" s="41" t="s">
        <v>505</v>
      </c>
      <c r="H1677" s="41">
        <v>1</v>
      </c>
      <c r="I1677" s="41">
        <v>1</v>
      </c>
      <c r="J1677" s="108">
        <f>POWER(POWER(Table210[[#This Row],[mv]],4)/10,0.25)</f>
        <v>6.0732863120557699E-3</v>
      </c>
      <c r="K1677" s="41">
        <v>0</v>
      </c>
      <c r="L1677" s="41">
        <v>55</v>
      </c>
      <c r="M1677" s="41">
        <v>-1</v>
      </c>
      <c r="N1677" s="41">
        <v>2</v>
      </c>
      <c r="O1677" s="111" t="s">
        <v>3802</v>
      </c>
      <c r="P1677" s="109">
        <v>27182</v>
      </c>
      <c r="Q1677" s="41"/>
      <c r="R1677" s="111"/>
      <c r="S1677" s="110"/>
    </row>
    <row r="1678" spans="1:19">
      <c r="A1678" s="105">
        <v>3060</v>
      </c>
      <c r="B1678" s="41">
        <v>12000000</v>
      </c>
      <c r="C1678" s="41">
        <v>1.18E-2</v>
      </c>
      <c r="D1678" s="41">
        <v>45.254800000000003</v>
      </c>
      <c r="E1678" s="41">
        <v>30</v>
      </c>
      <c r="F1678" s="41">
        <v>0</v>
      </c>
      <c r="G1678" s="41" t="s">
        <v>505</v>
      </c>
      <c r="H1678" s="41">
        <v>1</v>
      </c>
      <c r="I1678" s="41">
        <v>1</v>
      </c>
      <c r="J1678" s="108">
        <f>POWER(POWER(Table210[[#This Row],[mv]],4)/10,0.25)</f>
        <v>6.6356276372461194E-3</v>
      </c>
      <c r="K1678" s="41">
        <v>0</v>
      </c>
      <c r="L1678" s="41">
        <v>55</v>
      </c>
      <c r="M1678" s="41">
        <v>-1</v>
      </c>
      <c r="N1678" s="41">
        <v>2</v>
      </c>
      <c r="O1678" s="111" t="s">
        <v>3803</v>
      </c>
      <c r="P1678" s="109">
        <v>27182</v>
      </c>
      <c r="Q1678" s="41"/>
      <c r="R1678" s="111"/>
      <c r="S1678" s="110"/>
    </row>
    <row r="1679" spans="1:19">
      <c r="A1679" s="105"/>
      <c r="J1679" s="108"/>
      <c r="O1679" s="111"/>
      <c r="P1679" s="109"/>
      <c r="Q1679" s="41"/>
      <c r="R1679" s="111"/>
      <c r="S1679" s="110"/>
    </row>
    <row r="1680" spans="1:19">
      <c r="A1680" s="105"/>
      <c r="J1680" s="108"/>
      <c r="O1680" s="111"/>
      <c r="P1680" s="109"/>
      <c r="Q1680" s="41"/>
      <c r="R1680" s="111"/>
      <c r="S1680" s="110"/>
    </row>
    <row r="1681" spans="1:19">
      <c r="A1681" s="105"/>
      <c r="J1681" s="108"/>
      <c r="O1681" s="111"/>
      <c r="P1681" s="109"/>
      <c r="Q1681" s="41"/>
      <c r="R1681" s="111"/>
      <c r="S1681" s="110"/>
    </row>
    <row r="1682" spans="1:19">
      <c r="A1682" s="105"/>
      <c r="J1682" s="108"/>
      <c r="O1682" s="111"/>
      <c r="P1682" s="109"/>
      <c r="Q1682" s="41"/>
      <c r="R1682" s="111"/>
      <c r="S1682" s="110"/>
    </row>
    <row r="1683" spans="1:19">
      <c r="A1683" s="105"/>
      <c r="J1683" s="108"/>
      <c r="O1683" s="111"/>
      <c r="P1683" s="109"/>
      <c r="Q1683" s="41"/>
      <c r="R1683" s="111"/>
      <c r="S1683" s="110"/>
    </row>
    <row r="1684" spans="1:19">
      <c r="A1684" s="105"/>
      <c r="J1684" s="108"/>
      <c r="O1684" s="111"/>
      <c r="P1684" s="109"/>
      <c r="Q1684" s="41"/>
      <c r="R1684" s="111"/>
      <c r="S1684" s="110"/>
    </row>
    <row r="1685" spans="1:19">
      <c r="A1685" s="105"/>
      <c r="J1685" s="108"/>
      <c r="O1685" s="111"/>
      <c r="P1685" s="109"/>
      <c r="Q1685" s="41"/>
      <c r="R1685" s="111"/>
      <c r="S1685" s="110"/>
    </row>
    <row r="1686" spans="1:19">
      <c r="A1686" s="105"/>
      <c r="J1686" s="108"/>
      <c r="O1686" s="111"/>
      <c r="P1686" s="109"/>
      <c r="Q1686" s="41"/>
      <c r="R1686" s="111"/>
      <c r="S1686" s="110"/>
    </row>
    <row r="1687" spans="1:19">
      <c r="A1687" s="105"/>
      <c r="J1687" s="108"/>
      <c r="O1687" s="111"/>
      <c r="P1687" s="109"/>
      <c r="Q1687" s="41"/>
      <c r="R1687" s="111"/>
      <c r="S1687" s="110"/>
    </row>
    <row r="1688" spans="1:19">
      <c r="A1688" s="105"/>
      <c r="J1688" s="108"/>
      <c r="O1688" s="111"/>
      <c r="P1688" s="109"/>
      <c r="Q1688" s="41"/>
      <c r="R1688" s="111"/>
      <c r="S1688" s="110"/>
    </row>
    <row r="1689" spans="1:19">
      <c r="A1689" s="105"/>
      <c r="J1689" s="108"/>
      <c r="O1689" s="111"/>
      <c r="P1689" s="109"/>
      <c r="Q1689" s="41"/>
      <c r="R1689" s="111"/>
      <c r="S1689" s="110"/>
    </row>
    <row r="1690" spans="1:19">
      <c r="A1690" s="105"/>
      <c r="J1690" s="108"/>
      <c r="O1690" s="111"/>
      <c r="P1690" s="109"/>
      <c r="Q1690" s="41"/>
      <c r="R1690" s="111"/>
      <c r="S1690" s="110"/>
    </row>
    <row r="1691" spans="1:19">
      <c r="A1691" s="105"/>
      <c r="J1691" s="108"/>
      <c r="O1691" s="111"/>
      <c r="P1691" s="109"/>
      <c r="Q1691" s="41"/>
      <c r="R1691" s="111"/>
      <c r="S1691" s="110"/>
    </row>
    <row r="1692" spans="1:19">
      <c r="A1692" s="105"/>
      <c r="J1692" s="108"/>
      <c r="O1692" s="111"/>
      <c r="P1692" s="109"/>
      <c r="Q1692" s="41"/>
      <c r="R1692" s="111"/>
      <c r="S1692" s="110"/>
    </row>
    <row r="1693" spans="1:19">
      <c r="A1693" s="105"/>
      <c r="J1693" s="108"/>
      <c r="O1693" s="111"/>
      <c r="P1693" s="109"/>
      <c r="Q1693" s="41"/>
      <c r="R1693" s="111"/>
      <c r="S1693" s="110"/>
    </row>
    <row r="1694" spans="1:19">
      <c r="A1694" s="105"/>
      <c r="J1694" s="108"/>
      <c r="O1694" s="111"/>
      <c r="P1694" s="109"/>
      <c r="Q1694" s="41"/>
      <c r="R1694" s="111"/>
      <c r="S1694" s="110"/>
    </row>
    <row r="1695" spans="1:19">
      <c r="A1695" s="105"/>
      <c r="J1695" s="108"/>
      <c r="O1695" s="111"/>
      <c r="P1695" s="109"/>
      <c r="Q1695" s="41"/>
      <c r="R1695" s="111"/>
      <c r="S1695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384"/>
  <sheetViews>
    <sheetView topLeftCell="A1069" zoomScale="85" zoomScaleNormal="85" workbookViewId="0">
      <selection activeCell="O1090" sqref="O1090"/>
    </sheetView>
  </sheetViews>
  <sheetFormatPr defaultColWidth="0" defaultRowHeight="14.4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53"/>
  <sheetViews>
    <sheetView topLeftCell="A11" zoomScaleNormal="100" workbookViewId="0">
      <selection activeCell="C24" sqref="C24"/>
    </sheetView>
  </sheetViews>
  <sheetFormatPr defaultColWidth="0" defaultRowHeight="14.4" zeroHeight="1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>
      <c r="A38" s="98"/>
      <c r="B38" s="99"/>
      <c r="C38" s="100"/>
      <c r="D38" s="97"/>
      <c r="E38" s="99"/>
    </row>
    <row r="39" spans="1:5">
      <c r="A39" s="98"/>
      <c r="B39" s="99"/>
      <c r="C39" s="100"/>
      <c r="D39" s="97"/>
      <c r="E39" s="99"/>
    </row>
    <row r="40" spans="1:5">
      <c r="A40" s="98"/>
      <c r="B40" s="99"/>
      <c r="C40" s="100"/>
      <c r="D40" s="97"/>
      <c r="E40" s="99"/>
    </row>
    <row r="41" spans="1:5">
      <c r="A41" s="98"/>
      <c r="B41" s="99"/>
      <c r="C41" s="100"/>
      <c r="D41" s="97"/>
      <c r="E41" s="99"/>
    </row>
    <row r="42" spans="1:5">
      <c r="A42" s="98"/>
      <c r="B42" s="99"/>
      <c r="C42" s="100"/>
      <c r="D42" s="97"/>
      <c r="E42" s="99"/>
    </row>
    <row r="43" spans="1:5">
      <c r="A43" s="98"/>
      <c r="B43" s="99"/>
      <c r="C43" s="100"/>
      <c r="D43" s="97"/>
      <c r="E43" s="99"/>
    </row>
    <row r="44" spans="1:5">
      <c r="A44" s="98"/>
      <c r="B44" s="99"/>
      <c r="C44" s="100"/>
      <c r="D44" s="97"/>
      <c r="E44" s="99"/>
    </row>
    <row r="45" spans="1:5">
      <c r="A45" s="98"/>
      <c r="B45" s="99"/>
      <c r="C45" s="100"/>
      <c r="D45" s="97"/>
      <c r="E45" s="99"/>
    </row>
    <row r="46" spans="1:5">
      <c r="A46" s="98"/>
      <c r="B46" s="99"/>
      <c r="C46" s="100"/>
      <c r="D46" s="97"/>
      <c r="E46" s="99"/>
    </row>
    <row r="47" spans="1:5">
      <c r="A47" s="98"/>
      <c r="B47" s="99"/>
      <c r="C47" s="100"/>
      <c r="D47" s="97"/>
      <c r="E47" s="99"/>
    </row>
    <row r="48" spans="1:5">
      <c r="A48" s="98"/>
      <c r="B48" s="99"/>
      <c r="C48" s="100"/>
      <c r="D48" s="97"/>
      <c r="E48" s="99"/>
    </row>
    <row r="49" spans="1:5">
      <c r="A49" s="98"/>
      <c r="B49" s="99"/>
      <c r="C49" s="100"/>
      <c r="D49" s="97"/>
      <c r="E49" s="99"/>
    </row>
    <row r="50" spans="1:5">
      <c r="A50" s="98"/>
      <c r="B50" s="99"/>
      <c r="C50" s="100"/>
      <c r="D50" s="97"/>
      <c r="E50" s="99"/>
    </row>
    <row r="51" spans="1:5">
      <c r="A51" s="98"/>
      <c r="B51" s="99"/>
      <c r="C51" s="100"/>
      <c r="D51" s="97"/>
      <c r="E51" s="99"/>
    </row>
    <row r="52" spans="1:5">
      <c r="A52" s="98"/>
      <c r="B52" s="99"/>
      <c r="C52" s="100"/>
      <c r="D52" s="97"/>
      <c r="E52" s="99"/>
    </row>
    <row r="53" spans="1:5">
      <c r="A53" s="98"/>
      <c r="B53" s="99"/>
      <c r="C53" s="100"/>
      <c r="D53" s="97"/>
      <c r="E53" s="99"/>
    </row>
    <row r="54" spans="1:5">
      <c r="A54" s="98"/>
      <c r="B54" s="99"/>
      <c r="C54" s="98"/>
      <c r="D54" s="97"/>
      <c r="E54" s="99"/>
    </row>
    <row r="55" spans="1:5">
      <c r="A55" s="98"/>
      <c r="B55" s="99"/>
      <c r="C55" s="98"/>
      <c r="D55" s="97"/>
      <c r="E55" s="99"/>
    </row>
    <row r="56" spans="1:5">
      <c r="A56" s="98"/>
      <c r="B56" s="99"/>
      <c r="C56" s="98"/>
      <c r="D56" s="97"/>
      <c r="E56" s="99"/>
    </row>
    <row r="57" spans="1:5">
      <c r="A57" s="98"/>
      <c r="B57" s="99"/>
      <c r="C57" s="98"/>
      <c r="D57" s="97"/>
      <c r="E57" s="99"/>
    </row>
    <row r="58" spans="1:5">
      <c r="A58" s="98"/>
      <c r="B58" s="99"/>
      <c r="C58" s="98"/>
      <c r="D58" s="97"/>
      <c r="E58" s="99"/>
    </row>
    <row r="59" spans="1:5">
      <c r="A59" s="98"/>
      <c r="B59" s="99"/>
      <c r="C59" s="98"/>
      <c r="D59" s="97"/>
      <c r="E59" s="99"/>
    </row>
    <row r="60" spans="1:5">
      <c r="A60" s="98"/>
      <c r="B60" s="99"/>
      <c r="C60" s="98"/>
      <c r="D60" s="97"/>
      <c r="E60" s="99"/>
    </row>
    <row r="61" spans="1:5">
      <c r="A61" s="98"/>
      <c r="B61" s="99"/>
      <c r="C61" s="98"/>
      <c r="D61" s="97"/>
      <c r="E61" s="99"/>
    </row>
    <row r="62" spans="1:5">
      <c r="A62" s="98"/>
      <c r="B62" s="99"/>
      <c r="C62" s="98"/>
      <c r="D62" s="97"/>
      <c r="E62" s="99"/>
    </row>
    <row r="63" spans="1:5">
      <c r="A63" s="98"/>
      <c r="B63" s="99"/>
      <c r="C63" s="98"/>
      <c r="D63" s="97"/>
      <c r="E63" s="99"/>
    </row>
    <row r="64" spans="1:5">
      <c r="A64" s="98"/>
      <c r="B64" s="99"/>
      <c r="C64" s="98"/>
      <c r="D64" s="97"/>
      <c r="E64" s="99"/>
    </row>
    <row r="65" spans="1:5">
      <c r="A65" s="98"/>
      <c r="B65" s="99"/>
      <c r="C65" s="98"/>
      <c r="D65" s="97"/>
      <c r="E65" s="99"/>
    </row>
    <row r="66" spans="1:5">
      <c r="A66" s="98"/>
      <c r="B66" s="99"/>
      <c r="C66" s="98"/>
      <c r="D66" s="97"/>
      <c r="E66" s="99"/>
    </row>
    <row r="67" spans="1:5">
      <c r="A67" s="98"/>
      <c r="B67" s="99"/>
      <c r="C67" s="98"/>
      <c r="D67" s="97"/>
      <c r="E67" s="99"/>
    </row>
    <row r="68" spans="1:5">
      <c r="A68" s="98"/>
      <c r="B68" s="99"/>
      <c r="C68" s="98"/>
      <c r="D68" s="97"/>
      <c r="E68" s="99"/>
    </row>
    <row r="69" spans="1:5">
      <c r="A69" s="98"/>
      <c r="B69" s="99"/>
      <c r="C69" s="98"/>
      <c r="D69" s="97"/>
      <c r="E69" s="99"/>
    </row>
    <row r="70" spans="1:5">
      <c r="A70" s="98"/>
      <c r="B70" s="99"/>
      <c r="C70" s="98"/>
      <c r="D70" s="97"/>
      <c r="E70" s="99"/>
    </row>
    <row r="71" spans="1:5">
      <c r="A71" s="98"/>
      <c r="B71" s="99"/>
      <c r="C71" s="98"/>
      <c r="D71" s="97"/>
      <c r="E71" s="99"/>
    </row>
    <row r="72" spans="1:5">
      <c r="A72" s="98"/>
      <c r="B72" s="99"/>
      <c r="C72" s="98"/>
      <c r="D72" s="97"/>
      <c r="E72" s="99"/>
    </row>
    <row r="73" spans="1:5">
      <c r="A73" s="98"/>
      <c r="B73" s="99"/>
      <c r="C73" s="98"/>
      <c r="D73" s="97"/>
      <c r="E73" s="99"/>
    </row>
    <row r="74" spans="1:5">
      <c r="A74" s="98"/>
      <c r="B74" s="99"/>
      <c r="C74" s="98"/>
      <c r="D74" s="97"/>
      <c r="E74" s="99"/>
    </row>
    <row r="75" spans="1:5">
      <c r="A75" s="98"/>
      <c r="B75" s="99"/>
      <c r="C75" s="98"/>
      <c r="D75" s="97"/>
      <c r="E75" s="99"/>
    </row>
    <row r="76" spans="1:5">
      <c r="A76" s="98"/>
      <c r="B76" s="99"/>
      <c r="C76" s="98"/>
      <c r="D76" s="97"/>
      <c r="E76" s="99"/>
    </row>
    <row r="77" spans="1:5">
      <c r="A77" s="98"/>
      <c r="B77" s="99"/>
      <c r="C77" s="98"/>
      <c r="D77" s="97"/>
      <c r="E77" s="99"/>
    </row>
    <row r="78" spans="1:5">
      <c r="A78" s="98"/>
      <c r="B78" s="99"/>
      <c r="C78" s="98"/>
      <c r="D78" s="97"/>
      <c r="E78" s="99"/>
    </row>
    <row r="79" spans="1:5">
      <c r="A79" s="98"/>
      <c r="B79" s="99"/>
      <c r="C79" s="98"/>
      <c r="D79" s="97"/>
      <c r="E79" s="99"/>
    </row>
    <row r="80" spans="1:5">
      <c r="A80" s="98"/>
      <c r="B80" s="99"/>
      <c r="C80" s="98"/>
      <c r="D80" s="97"/>
      <c r="E80" s="99"/>
    </row>
    <row r="81" spans="1:5">
      <c r="A81" s="98"/>
      <c r="B81" s="99"/>
      <c r="C81" s="100"/>
      <c r="D81" s="97"/>
      <c r="E81" s="99"/>
    </row>
    <row r="82" spans="1:5">
      <c r="A82" s="98"/>
      <c r="B82" s="99"/>
      <c r="C82" s="100"/>
      <c r="D82" s="97"/>
      <c r="E82" s="99"/>
    </row>
    <row r="83" spans="1:5">
      <c r="A83" s="98"/>
      <c r="B83" s="99"/>
      <c r="C83" s="100"/>
      <c r="D83" s="97"/>
      <c r="E83" s="99"/>
    </row>
    <row r="84" spans="1:5">
      <c r="A84" s="98"/>
      <c r="B84" s="99"/>
      <c r="C84" s="100"/>
      <c r="D84" s="97"/>
      <c r="E84" s="99"/>
    </row>
    <row r="85" spans="1:5">
      <c r="A85" s="98"/>
      <c r="B85" s="99"/>
      <c r="C85" s="100"/>
      <c r="D85" s="97"/>
      <c r="E85" s="99"/>
    </row>
    <row r="86" spans="1:5">
      <c r="A86" s="98"/>
      <c r="B86" s="99"/>
      <c r="C86" s="100"/>
      <c r="D86" s="97"/>
      <c r="E86" s="99"/>
    </row>
    <row r="87" spans="1:5">
      <c r="A87" s="98"/>
      <c r="B87" s="99"/>
      <c r="C87" s="100"/>
      <c r="D87" s="97"/>
      <c r="E87" s="99"/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28"/>
  <sheetViews>
    <sheetView workbookViewId="0">
      <selection activeCell="B7" sqref="B7"/>
    </sheetView>
  </sheetViews>
  <sheetFormatPr defaultColWidth="0" defaultRowHeight="14.4" zeroHeight="1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>
      <c r="A1" t="s">
        <v>552</v>
      </c>
      <c r="B1" t="s">
        <v>108</v>
      </c>
      <c r="C1" t="s">
        <v>560</v>
      </c>
    </row>
    <row r="2" spans="1:3" ht="43.2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2018-10-01T06:12:10Z</dcterms:modified>
</cp:coreProperties>
</file>