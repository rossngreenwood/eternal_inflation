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9430815faf91d05b/Documents/MATLAB/eternal_inflation/"/>
    </mc:Choice>
  </mc:AlternateContent>
  <bookViews>
    <workbookView xWindow="0" yWindow="0" windowWidth="8649" windowHeight="7646" activeTab="1"/>
  </bookViews>
  <sheets>
    <sheet name="Project Planner" sheetId="1" r:id="rId1"/>
    <sheet name="Task List" sheetId="3" r:id="rId2"/>
    <sheet name="Run Schedule" sheetId="4" r:id="rId3"/>
    <sheet name="Units Check" sheetId="6" r:id="rId4"/>
    <sheet name="IO Units" sheetId="5" r:id="rId5"/>
    <sheet name="Hardcoded Values" sheetId="7" r:id="rId6"/>
  </sheets>
  <definedNames>
    <definedName name="Actual">(PeriodInActual*('Project Planner'!$E1&gt;0))*PeriodInPlan</definedName>
    <definedName name="ActualBeyond">PeriodInActual*('Project Planner'!$E1&gt;0)</definedName>
    <definedName name="PercentComplete">PercentCompleteBeyond*PeriodInPlan</definedName>
    <definedName name="PercentCompleteBeyond">('Project Planner'!A$4=MEDIAN('Project Planner'!A$4,'Project Planner'!$E1,'Project Planner'!$E1+'Project Planner'!$F1)*('Project Planner'!$E1&gt;0))*(('Project Planner'!A$4&lt;(INT('Project Planner'!$E1+'Project Planner'!$F1*'Project Planner'!$G1)))+('Project Planner'!A$4='Project Planner'!$E1))*('Project Planner'!$G1&gt;0)</definedName>
    <definedName name="period_selected">'Project Planner'!$H$2</definedName>
    <definedName name="PeriodInActual">'Project Planner'!A$4=MEDIAN('Project Planner'!A$4,'Project Planner'!$E1,'Project Planner'!$E1+'Project Planner'!$F1-1)</definedName>
    <definedName name="PeriodInPlan">'Project Planner'!A$4=MEDIAN('Project Planner'!A$4,'Project Planner'!$C1,'Project Planner'!$C1+'Project Planner'!$D1-1)</definedName>
    <definedName name="Plan">PeriodInPlan*('Project Planner'!$C1&gt;0)</definedName>
    <definedName name="_xlnm.Print_Titles" localSheetId="0">'Project Planner'!$3:$4</definedName>
    <definedName name="TitleRegion..BO60">'Project Planner'!$B$3:$B$4</definedName>
  </definedNames>
  <calcPr calcId="171027"/>
</workbook>
</file>

<file path=xl/calcChain.xml><?xml version="1.0" encoding="utf-8"?>
<calcChain xmlns="http://schemas.openxmlformats.org/spreadsheetml/2006/main">
  <c r="J15" i="4" l="1"/>
  <c r="J14" i="4"/>
  <c r="J13" i="4"/>
  <c r="J12" i="4"/>
  <c r="J11" i="4"/>
  <c r="J10" i="4"/>
  <c r="J9" i="4"/>
  <c r="J3" i="4" l="1"/>
  <c r="J4" i="4"/>
  <c r="J5" i="4"/>
  <c r="J6" i="4"/>
  <c r="J7" i="4"/>
  <c r="J8" i="4"/>
  <c r="J2" i="4"/>
  <c r="B47" i="3" l="1"/>
  <c r="B44" i="3" l="1"/>
  <c r="B45" i="3"/>
  <c r="B42" i="3" l="1"/>
</calcChain>
</file>

<file path=xl/sharedStrings.xml><?xml version="1.0" encoding="utf-8"?>
<sst xmlns="http://schemas.openxmlformats.org/spreadsheetml/2006/main" count="821" uniqueCount="460">
  <si>
    <t>ACTIVITY</t>
  </si>
  <si>
    <t>Activity 11</t>
  </si>
  <si>
    <t>Activity 12</t>
  </si>
  <si>
    <t>Activity 13</t>
  </si>
  <si>
    <t>Activity 14</t>
  </si>
  <si>
    <t>Activity 15</t>
  </si>
  <si>
    <t>Activity 16</t>
  </si>
  <si>
    <t>Activity 17</t>
  </si>
  <si>
    <t>Activity 18</t>
  </si>
  <si>
    <t>Activity 19</t>
  </si>
  <si>
    <t>Activity 20</t>
  </si>
  <si>
    <t>Activity 21</t>
  </si>
  <si>
    <t>Activity 22</t>
  </si>
  <si>
    <t>Activity 23</t>
  </si>
  <si>
    <t>Activity 24</t>
  </si>
  <si>
    <t>Activity 25</t>
  </si>
  <si>
    <t>Activity 26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</si>
  <si>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</si>
  <si>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</si>
  <si>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</si>
  <si>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 xml:space="preserve"> Period Highlight:</t>
  </si>
  <si>
    <t>PLAN START</t>
  </si>
  <si>
    <t>PLAN DURATION</t>
  </si>
  <si>
    <t>ACTUAL START</t>
  </si>
  <si>
    <t>ACTUAL DURATION</t>
  </si>
  <si>
    <t>PERCENT COMPLETE</t>
  </si>
  <si>
    <t>Actual Start</t>
  </si>
  <si>
    <t>Plan Duration</t>
  </si>
  <si>
    <t>Select a period to highlight at right.  A legend describing the charting follows.</t>
  </si>
  <si>
    <t>Filler writing</t>
  </si>
  <si>
    <t>Results writing</t>
  </si>
  <si>
    <t>Full runs</t>
  </si>
  <si>
    <t>Writing review</t>
  </si>
  <si>
    <t>Post to Arxiv</t>
  </si>
  <si>
    <t>Package code</t>
  </si>
  <si>
    <t>Eternal Inflation Project Planner</t>
  </si>
  <si>
    <t>Task</t>
  </si>
  <si>
    <t>Assigned</t>
  </si>
  <si>
    <t>Due</t>
  </si>
  <si>
    <t xml:space="preserve"> </t>
  </si>
  <si>
    <t>Review</t>
  </si>
  <si>
    <t>Notes</t>
  </si>
  <si>
    <t>Create task list and project planner spreadsheets</t>
  </si>
  <si>
    <t>Test limiting gravity case</t>
  </si>
  <si>
    <t>Check limiting case of gravitational instanton (where there should be no gravitational effects).</t>
  </si>
  <si>
    <t>Set up a git repository for eternal inflation code</t>
  </si>
  <si>
    <t>Email STR notifying leave of absence</t>
  </si>
  <si>
    <t>Follow-up with Cathy regarding TA availability</t>
  </si>
  <si>
    <t>Instanton approximation</t>
  </si>
  <si>
    <t>Tunneling rate cutoff</t>
  </si>
  <si>
    <t>Instanton write-up</t>
  </si>
  <si>
    <t>Enroll in Independent Study and Seminars</t>
  </si>
  <si>
    <t>Cosmology (just talks) or something else? (Particle Physics?)</t>
  </si>
  <si>
    <t>Gather to-date references for paper</t>
  </si>
  <si>
    <t>Give Anthony permissions for git repo</t>
  </si>
  <si>
    <t>Write scripts to run simulation</t>
  </si>
  <si>
    <t>Finalize output structure from simulation</t>
  </si>
  <si>
    <t>Which quantities should I record from the simulation?  How should I record them?</t>
  </si>
  <si>
    <t>Write up description of false vacuum procedure</t>
  </si>
  <si>
    <t>Submit teaching preferences</t>
  </si>
  <si>
    <t>Enforce parameters</t>
  </si>
  <si>
    <t>Populate "Code" appendix</t>
  </si>
  <si>
    <t>Create an appendix to describe workings of the code in detail</t>
  </si>
  <si>
    <t>Get proper references for code borrowed from Max Tegmark, Max Wainwright</t>
  </si>
  <si>
    <t>Or decide he doesn't need them now.</t>
  </si>
  <si>
    <t>A brief overview in the text of the paper, rather than an in-depth appendix</t>
  </si>
  <si>
    <t>Write up notes on CDL instantons and prefactor calculation in style of hybrid inflation notes.</t>
  </si>
  <si>
    <t>Clarify sections of instanton notes</t>
  </si>
  <si>
    <t>Zero modes, rework/scrap beginning section</t>
  </si>
  <si>
    <t>Thin wall criteria</t>
  </si>
  <si>
    <t>Find expression for bubble tension in TWA</t>
  </si>
  <si>
    <t>Show equivalence of thin wall results</t>
  </si>
  <si>
    <t>Check that Garriga and Matt Johnson's thesis agree</t>
  </si>
  <si>
    <t>Look at Anthony's articles</t>
  </si>
  <si>
    <t>Write up and incorporate "deep well approximation"</t>
  </si>
  <si>
    <t>Figure out how gravity should be included in S_E</t>
  </si>
  <si>
    <t>Review slicings of de Sitter space</t>
  </si>
  <si>
    <t>Explain factor of 2</t>
  </si>
  <si>
    <t>Figure out why reduced action doesn't match</t>
  </si>
  <si>
    <t>Shelf for now</t>
  </si>
  <si>
    <t>Are Measures A and B implemented correctly in the code?</t>
  </si>
  <si>
    <t>Can we impose constraints that select for observed quantities? Shelf for now?</t>
  </si>
  <si>
    <t>Generate a script that loops over all cases we're interested in</t>
  </si>
  <si>
    <t>Add volume terms for bubble interior to gravity action</t>
  </si>
  <si>
    <t>Fix volume terms if missing surface term</t>
  </si>
  <si>
    <t>Volume terms as they are might not take into account boundary term in integration by parts</t>
  </si>
  <si>
    <t>Speed up numerical integration for instanton code</t>
  </si>
  <si>
    <t>Avoid stiff diff eq. issues.  Q: Do we need to integrate twice?</t>
  </si>
  <si>
    <t>Specify Jacobian in ODE solver</t>
  </si>
  <si>
    <t>Replace step solver with ODE events</t>
  </si>
  <si>
    <t>Troubleshoot integration failures</t>
  </si>
  <si>
    <t>Handle failed integration cases in check_false_vacuum</t>
  </si>
  <si>
    <t>Detect thin wall cases and use approximation</t>
  </si>
  <si>
    <t>Thin wall looking cases aren't matching the analytical results</t>
  </si>
  <si>
    <t>Explain solutions that start near maximum</t>
  </si>
  <si>
    <t>The only solutions are Hawking-Moss instantons</t>
  </si>
  <si>
    <t>Handle Hawking-Moss instantons</t>
  </si>
  <si>
    <t>Does thin wall approximation require full profile?</t>
  </si>
  <si>
    <t>Prefactor might be too big.  Why?</t>
  </si>
  <si>
    <t>mh</t>
  </si>
  <si>
    <t>measure</t>
  </si>
  <si>
    <t>n_tunnel_max</t>
  </si>
  <si>
    <t>Test ID</t>
  </si>
  <si>
    <t>Runtime</t>
  </si>
  <si>
    <t>lambda_screen</t>
  </si>
  <si>
    <t>log10(mv)</t>
  </si>
  <si>
    <t>B</t>
  </si>
  <si>
    <t>Dimensions</t>
  </si>
  <si>
    <t>M_pl</t>
  </si>
  <si>
    <t>8*pi</t>
  </si>
  <si>
    <t>\kappa</t>
  </si>
  <si>
    <t>Description</t>
  </si>
  <si>
    <t>Units</t>
  </si>
  <si>
    <t>8*pi/(M_pl)^2</t>
  </si>
  <si>
    <t>mv</t>
  </si>
  <si>
    <t>Q</t>
  </si>
  <si>
    <t>rho_Lambda</t>
  </si>
  <si>
    <t>Units for Q? Units for \xi?</t>
  </si>
  <si>
    <t>Rescale the potential in instanton code</t>
  </si>
  <si>
    <t>Speed up non-false-vacuum code</t>
  </si>
  <si>
    <t>Check for inflation on other side of barrier</t>
  </si>
  <si>
    <t>Scan param files in script</t>
  </si>
  <si>
    <t>Precompute N_max e-foldings in neighboring basins</t>
  </si>
  <si>
    <t>Make a table of all status codes</t>
  </si>
  <si>
    <t>Email Matt Johnson</t>
  </si>
  <si>
    <t>Optimize find_phistart</t>
  </si>
  <si>
    <t>Find barrier location without instantiating FVI</t>
  </si>
  <si>
    <t>Use binar search to get more precise near minima</t>
  </si>
  <si>
    <t>Speed up check_false_vacuum &gt; Locate nearest minima</t>
  </si>
  <si>
    <t>Whiteboard computing strategy with Arjun</t>
  </si>
  <si>
    <t>Don't save data for cases with no inflation at starting point</t>
  </si>
  <si>
    <t>Reuse the same potential several times with different phistart</t>
  </si>
  <si>
    <t>Eliminate 'potential' cell array</t>
  </si>
  <si>
    <t>Approximate dlna/dphi integration before using big guns</t>
  </si>
  <si>
    <t>Supply Vstop, Vpstop as output from find_phistop</t>
  </si>
  <si>
    <t>Optimize data collection</t>
  </si>
  <si>
    <t>Make it easy to automate and pass on to a computer cluster; ask Arjun</t>
  </si>
  <si>
    <t>Make flash cards for simulation scenarios</t>
  </si>
  <si>
    <t>Get multiprocessing to work with Matlab functions</t>
  </si>
  <si>
    <t>Get started with hummingbird</t>
  </si>
  <si>
    <t>Learn SLURM</t>
  </si>
  <si>
    <t>Allow reheating in the true vacuum</t>
  </si>
  <si>
    <t>Convert to function</t>
  </si>
  <si>
    <t>No speedup resulted</t>
  </si>
  <si>
    <t>Allow for looking ahead to multiple true minima</t>
  </si>
  <si>
    <t>Pre-compute Hawking-Moss tunneling rate</t>
  </si>
  <si>
    <t>Add remaining parameters to Python script</t>
  </si>
  <si>
    <t>Solve "Minimum step size reached" problem</t>
  </si>
  <si>
    <t>Related to field scale?</t>
  </si>
  <si>
    <t>Fix issue with false vacuum code</t>
  </si>
  <si>
    <t>Does it matter after all?</t>
  </si>
  <si>
    <t>Check initial conditions for measure A</t>
  </si>
  <si>
    <t>Make find_phipeak always land on the starting side</t>
  </si>
  <si>
    <t>Make stochastic and topological checks compatible with A</t>
  </si>
  <si>
    <t>Add lower bound on potential for initiating FV check</t>
  </si>
  <si>
    <t>Make find_next_minimum also return phipeak</t>
  </si>
  <si>
    <t>Pre-compute equi-potent instanton suppression</t>
  </si>
  <si>
    <t>Determine if best case and Hawking-Moss bound the action for super-potent instantons</t>
  </si>
  <si>
    <t>Expand flowchart</t>
  </si>
  <si>
    <t>Get Python multiprocessing and SLURM to play nice</t>
  </si>
  <si>
    <t>Pool vs. Process, issues with subprocess?</t>
  </si>
  <si>
    <t>Make different cpus indepently random</t>
  </si>
  <si>
    <t>Fix V(phi_metaMin) &lt;= V(phi_absMin)</t>
  </si>
  <si>
    <t>Check for nearby minima with V_min ~= 0</t>
  </si>
  <si>
    <t>Add eternal inflation flags to output</t>
  </si>
  <si>
    <t>Choose threshold for vacuum energy density</t>
  </si>
  <si>
    <t>Compute stochastic eternal in each basin</t>
  </si>
  <si>
    <t>Set up debug plots</t>
  </si>
  <si>
    <t>Check fixQ</t>
  </si>
  <si>
    <t>Change fixLambda to rho_Lambd_thres</t>
  </si>
  <si>
    <t>Choose in which basin to record observables, status</t>
  </si>
  <si>
    <t>Next minimum is too far away - why?</t>
  </si>
  <si>
    <t>Fixing the potential after the fact to make Q match observation - seems dubious</t>
  </si>
  <si>
    <t>Explore MEX option</t>
  </si>
  <si>
    <t>Potential 10x speedup of find_phistop, find_phiend, etc.</t>
  </si>
  <si>
    <t>Delegate random number generation to c</t>
  </si>
  <si>
    <t>MEX find_phistop</t>
  </si>
  <si>
    <t>MEX find_phinextmin</t>
  </si>
  <si>
    <t>MEX find_phiend</t>
  </si>
  <si>
    <t>Prevent stochastic ode45 from stalling</t>
  </si>
  <si>
    <t>MEX find_phipeak</t>
  </si>
  <si>
    <t>Only necessary for measure A</t>
  </si>
  <si>
    <t>Check NSinceStoch and numStochEpochs</t>
  </si>
  <si>
    <t>Allow potential minimum to be slightly negative</t>
  </si>
  <si>
    <t>Impose lower bound on N for stochastic epoch</t>
  </si>
  <si>
    <t>Fix stochastic bug</t>
  </si>
  <si>
    <t>phistart is eternal, but phistart+delta is not - why? Measure A</t>
  </si>
  <si>
    <t>Not run as often as find_phistop; back burner</t>
  </si>
  <si>
    <t>Replaced with step search</t>
  </si>
  <si>
    <t>Bad step size</t>
  </si>
  <si>
    <t>Modify find_phistop MEX code</t>
  </si>
  <si>
    <t>Write script to read output structure from file</t>
  </si>
  <si>
    <t>Ask about second derivative check for stochastic</t>
  </si>
  <si>
    <t>Get Matlab code running on hummingbird</t>
  </si>
  <si>
    <t>Ask about integration failures in instanton calculation</t>
  </si>
  <si>
    <t>Resolve integration failure in instanton calculation</t>
  </si>
  <si>
    <t>Rho was passing zero, causing the solution to be singular and diverge</t>
  </si>
  <si>
    <t>Apply second derivative chck for stochastic</t>
  </si>
  <si>
    <t>Implement Measure C</t>
  </si>
  <si>
    <t>Already effectively satisfied by requirement of 1+ e-folds?</t>
  </si>
  <si>
    <t>Replace fzero in check_topological</t>
  </si>
  <si>
    <t>Class</t>
  </si>
  <si>
    <t>Function</t>
  </si>
  <si>
    <t>Line</t>
  </si>
  <si>
    <t>Checked</t>
  </si>
  <si>
    <t>FalseVacuumInstanton</t>
  </si>
  <si>
    <t>initial_conditions_no_gravity</t>
  </si>
  <si>
    <t>-</t>
  </si>
  <si>
    <t>initial_conditions</t>
  </si>
  <si>
    <t>w = abs(self.kappa/3*V0)^0.5;</t>
  </si>
  <si>
    <t>r0    = atan(w*r0_guess)/w;</t>
  </si>
  <si>
    <t>integrate_profile</t>
  </si>
  <si>
    <t>equation_of_motion</t>
  </si>
  <si>
    <t>d2phi = self.dV(phi.').' - self.alpha*drho.*dphi./rho;</t>
  </si>
  <si>
    <t>d2rho = -self.kappa/3*rho.*(dphi.^2 + self.V(phi.').');</t>
  </si>
  <si>
    <t>eom_jacobian</t>
  </si>
  <si>
    <t>jac(2,:) = [self.d2V(phi), -self.alpha*drho./rho, self.alpha*drho.*dphi./rho^2, -self.alpha*dphi./rho];</t>
  </si>
  <si>
    <t>jac(4,:) = [rho*self.dV(phi), 2*rho*dphi, (dphi.*dphi + self.V(phi)), 0]*(-self.kappa/3);</t>
  </si>
  <si>
    <t>jac(2,:) = [self.d2V(phi), -self.alpha*drho./rho, 0, 0];</t>
  </si>
  <si>
    <t>phi  = dV/d2V*(gamma(nu+1)*(0.5*beta_r)^(-nu)*bessfun(nu,beta_r)-1) + phi0;</t>
  </si>
  <si>
    <t>dphi = dV/d2V*gamma(nu+1)*(0.5*beta_r)^(-nu)*(...</t>
  </si>
  <si>
    <t>exact_solution</t>
  </si>
  <si>
    <t>beta_r = beta*r;</t>
  </si>
  <si>
    <t>ode_events</t>
  </si>
  <si>
    <t>find_profile</t>
  </si>
  <si>
    <t>delta_phi*phitol/self.rscale,...</t>
  </si>
  <si>
    <t>w_top = abs(self.kappa/3*self.V(self.phi_bar_top))^0.5;</t>
  </si>
  <si>
    <t>w = abs(self.kappa/3*self.V(self.phi_metaMin))^0.5;</t>
  </si>
  <si>
    <t>find_action_4D</t>
  </si>
  <si>
    <t>w_int = abs(self.kappa/3*self.V(Phi(1)))^0.5;</t>
  </si>
  <si>
    <t>volume = 8*pi^2/3/w_int^4*sin(R(1)*w_int/2)^4*(cos(R(1)*w_int)+2);</t>
  </si>
  <si>
    <t>S = volume*(self.V(Phi(1)) - 6*w_int^2/self.kappa);</t>
  </si>
  <si>
    <t>w_ext = abs(self.kappa/3*self.V(Phi(end)))^0.5;</t>
  </si>
  <si>
    <t>S = S + volume*(self.V(Phi(end)) - 6*w_ext^2/self.kappa);</t>
  </si>
  <si>
    <t>lagr = 0.5*dPhi.^2 + self.V(Phi) + 3./self.kappa.*(d2Rho./Rho + (dRho./Rho).^2 - Rho.^(-2));</t>
  </si>
  <si>
    <t>S = S + trapz(R,area.*lagr) + boundary;</t>
  </si>
  <si>
    <t>find_tunneling_suppression</t>
  </si>
  <si>
    <t>B = S_bubble-S_bkgd;</t>
  </si>
  <si>
    <t>EternalInflationSimulator</t>
  </si>
  <si>
    <t>main</t>
  </si>
  <si>
    <t>V0   = Mv^4*f{1}(phi0/Mh);</t>
  </si>
  <si>
    <t>Vp0  = Mv^4*f{2}(phi0/Mh)/Mh;</t>
  </si>
  <si>
    <t>(Vp0(ii)/V0(ii)).^2/(16*pi/obj.Mpl^2) &gt; 1</t>
  </si>
  <si>
    <t>abs(Vpp0(ii)/V0(ii))/(8*pi/obj.Mpl^2) &gt; 1</t>
  </si>
  <si>
    <t>I/O</t>
  </si>
  <si>
    <t>Input</t>
  </si>
  <si>
    <t>Output</t>
  </si>
  <si>
    <t>Hard Coded</t>
  </si>
  <si>
    <t>simulate_slowroll</t>
  </si>
  <si>
    <t>Q_target = 2e-5;</t>
  </si>
  <si>
    <t>Reduced Planck mass</t>
  </si>
  <si>
    <t>dlna_dphi = @(phi) (-kappa*V(phi)./Vp(phi));</t>
  </si>
  <si>
    <t>Assemble table of unit converting lines in code</t>
  </si>
  <si>
    <t>dphi_dlna = @(N,phi) (-Vp(phi)./V(phi)/kappa).';</t>
  </si>
  <si>
    <t>log_stable_rate_cutoff = -1e2;</t>
  </si>
  <si>
    <t>check_false_vacuum_eternal</t>
  </si>
  <si>
    <t>(Vp(phibar)/Vbar).^2/(16*pi/obj.Mpl^2) &gt; 1</t>
  </si>
  <si>
    <t>abs(Vpp(phibar)/Vbar)/(8*pi/obj.Mpl^2) &gt; 1</t>
  </si>
  <si>
    <t>dlna_dphi = @(phi) (-8*pi/obj.Mpl^2*V(phi)./Vp(phi));</t>
  </si>
  <si>
    <t>w_top = abs(kappa/3*V(phipeak{lr}(i_tunnel)))^0.5;</t>
  </si>
  <si>
    <t>check_stochastic_eternal</t>
  </si>
  <si>
    <t>phimin = phiscale^2 * abs(Vpstart./Vstart);</t>
  </si>
  <si>
    <t>sgn_sei*((kappa*Vend(ii))^(3/2) - 2*pi*sqrt(3)*(0.607)*abs(Vpend(ii))) &lt; 0</t>
  </si>
  <si>
    <t>fun = @(x) (kappa*V(x)).^(3/2) - 2*pi*sqrt(3)*(0.607)*abs(Vp(x));</t>
  </si>
  <si>
    <t>elseif (kappa*V(phiexit)).^(3/2) - 2*pi*sqrt(3)*(0.607)*abs(Vp(phiexit)) &gt; 0</t>
  </si>
  <si>
    <t>MEX</t>
  </si>
  <si>
    <t>find_phistop</t>
  </si>
  <si>
    <t>check_topological_eternal</t>
  </si>
  <si>
    <t>H = sqrt(kappa*V(phistart)/3);</t>
  </si>
  <si>
    <t>Dphi = -Vp(phistart)/(3*H^2); % Classical field excursion</t>
  </si>
  <si>
    <t>find_phiend</t>
  </si>
  <si>
    <t>(Vpend(ii)/Vend(ii)).^2/(16*pi/Mpl^2) &gt; 1</t>
  </si>
  <si>
    <t>abs(Vppend(ii)/Vend(ii))/(8*pi/Mpl^2) &gt; 1</t>
  </si>
  <si>
    <t>switch status</t>
  </si>
  <si>
    <t>phimin = phiscale^2 * abs(Vp(phiinit)./V(phiinit));</t>
  </si>
  <si>
    <t>find_phistart_downhill</t>
  </si>
  <si>
    <t>switch status_last</t>
  </si>
  <si>
    <t>(Vp(phi)/V(phi)).^2/(16*pi/Mpl^2) &gt; 1</t>
  </si>
  <si>
    <t>compute_status</t>
  </si>
  <si>
    <t>abs(Vpp(phi)/V(phi))/(8*pi/Mpl^2) &gt; 1</t>
  </si>
  <si>
    <t>eps = (Vp(phiexit)./V_exit).^2/(2*kappa);</t>
  </si>
  <si>
    <t>eta = Vpp(phiexit)./V_exit/kappa;</t>
  </si>
  <si>
    <t>xi2 = Vp(phiexit).*Vppp(phiexit)./V_exit^2/kappa^2;</t>
  </si>
  <si>
    <t>observables.r           = 16*eps;</t>
  </si>
  <si>
    <t>observables.n_s         = 1-6*eps+2*eta;</t>
  </si>
  <si>
    <t>observables.alpha       = 16*eps*eta - 24*eps^2 - 2*xi2;</t>
  </si>
  <si>
    <t>observables.n_t         = -2*eps;</t>
  </si>
  <si>
    <t>observables.dlgrho      = log10(V_exit/V(phi(4)));</t>
  </si>
  <si>
    <t>observables.rho_Lambda  = V(phi(5));</t>
  </si>
  <si>
    <t>compute_observables</t>
  </si>
  <si>
    <t>varargout{d+1} = @(phi) Mv4 * mhmd * grf(phi/Mh);</t>
  </si>
  <si>
    <t>build_potential</t>
  </si>
  <si>
    <t>varargout{ii} = @(phi) Mv4 * mhmd * grf(phi/Mh);</t>
  </si>
  <si>
    <t>gaussian_random_field_1D</t>
  </si>
  <si>
    <t>read_output_file</t>
  </si>
  <si>
    <t>phimin = pow(phiscale,2) * *Vpend / (*Vend-rho_Lambda) / phiscale;</t>
  </si>
  <si>
    <t>rho_Lambda = mxGetScalar(rho_Lambda_in_m)/Vscale;</t>
  </si>
  <si>
    <t>if (*Vstop &lt; rho_Lambda) {</t>
  </si>
  <si>
    <t>find_phipeak</t>
  </si>
  <si>
    <t>find_phinextmin</t>
  </si>
  <si>
    <r>
      <t>points = linspace(phistart,phiend,max(10,abs(phistart-phiend)/mv/obj.Mpl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</si>
  <si>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points = linspace(phistart,phiend,max(10,abs(phistart-phiend)/mh/obj.Mpl</t>
    </r>
    <r>
      <rPr>
        <b/>
        <sz val="10"/>
        <color theme="1" tint="0.24994659260841701"/>
        <rFont val="Courier New"/>
        <family val="3"/>
      </rPr>
      <t>*</t>
    </r>
    <r>
      <rPr>
        <sz val="10"/>
        <color theme="1" tint="0.24994659260841701"/>
        <rFont val="Courier New"/>
        <family val="3"/>
      </rPr>
      <t>10));</t>
    </r>
  </si>
  <si>
    <r>
      <t>rho_Lambda = mxGetScalar(rho_Lambda_in_m)</t>
    </r>
    <r>
      <rPr>
        <b/>
        <sz val="10"/>
        <color theme="1" tint="0.24994659260841701"/>
        <rFont val="Courier New"/>
        <family val="3"/>
      </rPr>
      <t>/Vscale</t>
    </r>
    <r>
      <rPr>
        <sz val="10"/>
        <color theme="1" tint="0.24994659260841701"/>
        <rFont val="Courier New"/>
        <family val="3"/>
      </rPr>
      <t>;</t>
    </r>
  </si>
  <si>
    <t>Do it for constructors and set_parameters</t>
  </si>
  <si>
    <t>observables.lgOk        = log10(V(phi(2))/V_exit) - Nbefore*2/log(10);</t>
  </si>
  <si>
    <r>
      <t>phitol       = 1e-4</t>
    </r>
    <r>
      <rPr>
        <b/>
        <sz val="10"/>
        <color rgb="FFFF0000"/>
        <rFont val="Courier New"/>
        <family val="3"/>
      </rPr>
      <t>*mh*obj.Mpl</t>
    </r>
    <r>
      <rPr>
        <sz val="10"/>
        <color theme="1" tint="0.24994659260841701"/>
        <rFont val="Courier New"/>
        <family val="3"/>
      </rPr>
      <t>;</t>
    </r>
  </si>
  <si>
    <r>
      <t xml:space="preserve">sgn_sei = sign( </t>
    </r>
    <r>
      <rPr>
        <b/>
        <sz val="10"/>
        <color theme="1" tint="0.24994659260841701"/>
        <rFont val="Courier New"/>
        <family val="3"/>
      </rPr>
      <t xml:space="preserve">hbar^0.5 * </t>
    </r>
    <r>
      <rPr>
        <sz val="10"/>
        <color theme="1" tint="0.24994659260841701"/>
        <rFont val="Courier New"/>
        <family val="3"/>
      </rPr>
      <t>(kappa*Vstart)^(3/2) - 2*pi*sqrt(3)*(0.607)*abs(Vpstart) );</t>
    </r>
  </si>
  <si>
    <r>
      <t>dphi_dlna = @(lna,phi) -Vp(phi)./V(phi)</t>
    </r>
    <r>
      <rPr>
        <b/>
        <sz val="10"/>
        <color theme="1" tint="0.24994659260841701"/>
        <rFont val="Courier New"/>
        <family val="3"/>
      </rPr>
      <t>/kappa</t>
    </r>
    <r>
      <rPr>
        <sz val="10"/>
        <color theme="1" tint="0.24994659260841701"/>
        <rFont val="Courier New"/>
        <family val="3"/>
      </rPr>
      <t>;</t>
    </r>
  </si>
  <si>
    <r>
      <t xml:space="preserve">dphi = </t>
    </r>
    <r>
      <rPr>
        <b/>
        <sz val="10"/>
        <color theme="1" tint="0.24994659260841701"/>
        <rFont val="Courier New"/>
        <family val="3"/>
      </rPr>
      <t>hbar^0.5*</t>
    </r>
    <r>
      <rPr>
        <sz val="10"/>
        <color theme="1" tint="0.24994659260841701"/>
        <rFont val="Courier New"/>
        <family val="3"/>
      </rPr>
      <t>H/2/pi; % Amplitude of quantum fluctuation</t>
    </r>
  </si>
  <si>
    <r>
      <t>[log_tunnel_rate,imax] = max(-B</t>
    </r>
    <r>
      <rPr>
        <b/>
        <sz val="10"/>
        <color theme="1" tint="0.24994659260841701"/>
        <rFont val="Courier New"/>
        <family val="3"/>
      </rPr>
      <t>/hbar</t>
    </r>
    <r>
      <rPr>
        <sz val="10"/>
        <color theme="1" tint="0.24994659260841701"/>
        <rFont val="Courier New"/>
        <family val="3"/>
      </rPr>
      <t>);</t>
    </r>
  </si>
  <si>
    <t>set_parameters</t>
  </si>
  <si>
    <t>self.rscale = abs(xtop) / sqrt(abs(6*Vtop));</t>
  </si>
  <si>
    <t>Triple check Jacobian</t>
  </si>
  <si>
    <r>
      <t>if log_tunnel_rate &lt; log(9/4/pi)</t>
    </r>
    <r>
      <rPr>
        <b/>
        <sz val="10"/>
        <color rgb="FFFF0000"/>
        <rFont val="Courier New"/>
        <family val="3"/>
      </rPr>
      <t xml:space="preserve"> + 2*log(kappa/3*V(phistop))</t>
    </r>
    <r>
      <rPr>
        <sz val="10"/>
        <color theme="1" tint="0.24994659260841701"/>
        <rFont val="Courier New"/>
        <family val="3"/>
      </rPr>
      <t>;</t>
    </r>
  </si>
  <si>
    <r>
      <t>observables.Q           = sqrt(V_exit/(150*eps)</t>
    </r>
    <r>
      <rPr>
        <b/>
        <sz val="10"/>
        <color theme="1" tint="0.24994659260841701"/>
        <rFont val="Courier New"/>
        <family val="3"/>
      </rPr>
      <t>*kappa*obj.m_Pl^2</t>
    </r>
    <r>
      <rPr>
        <sz val="10"/>
        <color theme="1" tint="0.24994659260841701"/>
        <rFont val="Courier New"/>
        <family val="3"/>
      </rPr>
      <t>)/pi;</t>
    </r>
  </si>
  <si>
    <r>
      <t>Q = sqrt(V(phiexit)/(150*(Vp(phiexit)./V(phiexit)).^2/2)</t>
    </r>
    <r>
      <rPr>
        <b/>
        <sz val="10"/>
        <color theme="1" tint="0.24994659260841701"/>
        <rFont val="Courier New"/>
        <family val="3"/>
      </rPr>
      <t>*kappa^2*obj.m_Pl^2</t>
    </r>
    <r>
      <rPr>
        <sz val="10"/>
        <color theme="1" tint="0.24994659260841701"/>
        <rFont val="Courier New"/>
        <family val="3"/>
      </rPr>
      <t>)/pi;</t>
    </r>
  </si>
  <si>
    <t>List units for all input and output parameters</t>
  </si>
  <si>
    <t>Check all unit conversions within code</t>
  </si>
  <si>
    <t>Check all thresholds and hardcoded values in code</t>
  </si>
  <si>
    <t>List all thresholds and hardcoded values in code</t>
  </si>
  <si>
    <t>n_iter</t>
  </si>
  <si>
    <t>kmax</t>
  </si>
  <si>
    <t>gamma</t>
  </si>
  <si>
    <t>lambdascreen</t>
  </si>
  <si>
    <t>rho_Lambda_thres</t>
  </si>
  <si>
    <t>fixQ</t>
  </si>
  <si>
    <t>Nafter</t>
  </si>
  <si>
    <t>seed</t>
  </si>
  <si>
    <t>n_recycle</t>
  </si>
  <si>
    <t>n_t</t>
  </si>
  <si>
    <t>n_s</t>
  </si>
  <si>
    <t>r</t>
  </si>
  <si>
    <t>alpha</t>
  </si>
  <si>
    <t>[L]/[M]</t>
  </si>
  <si>
    <t>–</t>
  </si>
  <si>
    <t>dlgrho</t>
  </si>
  <si>
    <t>lgOk</t>
  </si>
  <si>
    <t>status</t>
  </si>
  <si>
    <t>Ntotal</t>
  </si>
  <si>
    <t>flag_fv_eternal</t>
  </si>
  <si>
    <t>log_tunnel_rate</t>
  </si>
  <si>
    <t>numStochEpochs</t>
  </si>
  <si>
    <t>NSinceStoch</t>
  </si>
  <si>
    <t>numTopolEpochs</t>
  </si>
  <si>
    <t>Quantity</t>
  </si>
  <si>
    <t>Vacuum energy density divided by m_pl^4</t>
  </si>
  <si>
    <t>Number of contiguous field value intervals in which stochastic eternal inflation criterion is met for at least one e-folding of inflation (calculated based on the classical field value)</t>
  </si>
  <si>
    <t>Number of sites of topological eternal inflation</t>
  </si>
  <si>
    <t>Amplitude of scalar curvature perturbations at horizon scale</t>
  </si>
  <si>
    <t>Tensor to scalar ratio</t>
  </si>
  <si>
    <t>Status of slow roll inflation (int)</t>
  </si>
  <si>
    <t>Total number of e-folds of slow roll inflation in the basin where inflation ends</t>
  </si>
  <si>
    <t>Number of e-foldings between the field value at the end of stochastic eternal inflation and the horizon exit scale</t>
  </si>
  <si>
    <t>Adjusted vertical mass scale after fixing Q</t>
  </si>
  <si>
    <t>(-1)*(S-S_bkgd)/hbar</t>
  </si>
  <si>
    <t>log(\Omega)</t>
  </si>
  <si>
    <t>True if false vacuum eteranl inflation manifests</t>
  </si>
  <si>
    <t>Scalar spectral index</t>
  </si>
  <si>
    <t>Tensor spectral index</t>
  </si>
  <si>
    <t>Running of the scalar spectral index</t>
  </si>
  <si>
    <t>Seed for random number genrator</t>
  </si>
  <si>
    <t>Minimum number of e-foldings between horizon exit and end of inflation</t>
  </si>
  <si>
    <t>Maximum number of tunneling events to simulate</t>
  </si>
  <si>
    <t>Number of times to recycle the same potential</t>
  </si>
  <si>
    <t>Number of iterations of the simulation</t>
  </si>
  <si>
    <t>Vertical mass scale divided by m_Pl</t>
  </si>
  <si>
    <t>Horizontal mass scale divided by m_Pl</t>
  </si>
  <si>
    <t>A', 'B', or 'C'</t>
  </si>
  <si>
    <t>Throw out models that settle into a negative minimum</t>
  </si>
  <si>
    <t>Number of modes with which to construct Gaussian random field</t>
  </si>
  <si>
    <t>k-dependence of the Gaussian random field coefficients</t>
  </si>
  <si>
    <t>Fix the amplitude of scalar curvature perturabations on the fly by tuning mv?</t>
  </si>
  <si>
    <t>log(V_exit/V_end)</t>
  </si>
  <si>
    <t>Get VBA to automate infile creation from run table</t>
  </si>
  <si>
    <t>'seed',               NaN,...   % Seed for random number generator (integer)</t>
  </si>
  <si>
    <t>n_iter',             1e2,...   % # of iterations</t>
  </si>
  <si>
    <t>mv',                 1e0,...   % Initial mass scale of the potential (multiple of m_Pl)</t>
  </si>
  <si>
    <t>mh',                 1,...     % Mass scale of the inflaton field (multiple of m_Pl)</t>
  </si>
  <si>
    <t>kmax',               30,...    % Largest wavenumber for GRF</t>
  </si>
  <si>
    <t>gamma',              0,...     % Frequency dependence of GRF</t>
  </si>
  <si>
    <t>Nafter',             55,...    % Number of e-folds between phiexit and phiend</t>
  </si>
  <si>
    <t>lambdascreenmode',   true,...  % Throw out cases where rho_Lambda &lt; 0?</t>
  </si>
  <si>
    <t>fixQ',               false,... % Condition on Q ~= 2*10^{-5}?</t>
  </si>
  <si>
    <t>measure',            'B',...   % Measure on initial conditions</t>
  </si>
  <si>
    <t>n_tunnel_max',       1,...     % Max number of tunneling events to simulate</t>
  </si>
  <si>
    <t>n_recycle',          4,...     % # of times to reuse same V(phi) with different phi0 value</t>
  </si>
  <si>
    <t>m_Pl = sqrt(8*pi); % Planck mass</t>
  </si>
  <si>
    <t>phi0 = 0;</t>
  </si>
  <si>
    <t>phi0_spacing = 8*Mh; % Separation between starting points on the same potential</t>
  </si>
  <si>
    <t>hbar  = 1;</t>
  </si>
  <si>
    <t>phi_tol = abs(phifv{lr}(i_tunnel)-near_minima{lr}(i_tunnel))*1e-10;</t>
  </si>
  <si>
    <t>if  Ntotal_trapz &gt; 0.7*obj.parameters.Nafter</t>
  </si>
  <si>
    <t>xtol         = 1e-4;</t>
  </si>
  <si>
    <t>phitol       = 1e-4;</t>
  </si>
  <si>
    <t>thinCutoff   = 1e-2;</t>
  </si>
  <si>
    <t>B_cutoff     = 1e4;</t>
  </si>
  <si>
    <t>if log_tunnel_rate &lt; log(9/4/pi);</t>
  </si>
  <si>
    <t>dphi   = -0.001*sgn*max(0.01*phiscale,min(phimin,phiscale));</t>
  </si>
  <si>
    <t>sgn_sei = sign(hbar^0.5*(kappa*Vstart)^1.5 - 2*pi*sqrt(3)*(0.607)*abs(Vpstart));</t>
  </si>
  <si>
    <t>phi_tol = abs(self.phi_metaMin - self.phi_absMin) * 1e-10;</t>
  </si>
  <si>
    <t>phi_tol = abs(self.phi_bar - self.phi_metaMin) * 1e-6;</t>
  </si>
  <si>
    <t>xmin = xbar;</t>
  </si>
  <si>
    <t>xmax = Inf;</t>
  </si>
  <si>
    <t>x = 5;</t>
  </si>
  <si>
    <t>0.1 * rmin,...</t>
  </si>
  <si>
    <t>0.005 ]);</t>
  </si>
  <si>
    <t>maxloops = 100;</t>
  </si>
  <si>
    <t>actionForm = 2;</t>
  </si>
  <si>
    <t>End Date2</t>
  </si>
  <si>
    <t>Job ID</t>
  </si>
  <si>
    <t>Input File Path</t>
  </si>
  <si>
    <t>\data\input\infile_0001.txt</t>
  </si>
  <si>
    <t>\data\input\infile_0002.txt</t>
  </si>
  <si>
    <t>\data\input\infile_0003.txt</t>
  </si>
  <si>
    <t>\data\input\infile_0004.txt</t>
  </si>
  <si>
    <t>\data\input\infile_0005.txt</t>
  </si>
  <si>
    <t>\data\input\infile_0006.txt</t>
  </si>
  <si>
    <t>\data\input\infile_0007.txt</t>
  </si>
  <si>
    <t>\data\input\infile_0008.txt</t>
  </si>
  <si>
    <t>\data\input\infile_0009.txt</t>
  </si>
  <si>
    <t>\data\input\infile_0010.txt</t>
  </si>
  <si>
    <t>\data\input\infile_0011.txt</t>
  </si>
  <si>
    <t>\data\input\infile_0012.txt</t>
  </si>
  <si>
    <t>\data\input\infile_0013.txt</t>
  </si>
  <si>
    <t>\data\input\infile_0014.txt</t>
  </si>
  <si>
    <t>42ecabc</t>
  </si>
  <si>
    <t>Git Hash</t>
  </si>
  <si>
    <t>Figure out why so much memory is being used on SLURM</t>
  </si>
  <si>
    <t>rho_Lambda_thres',   0,...  % Threshold below which vacuum energy is considered "small"</t>
  </si>
  <si>
    <t>a4181f4</t>
  </si>
  <si>
    <t>a4181f5</t>
  </si>
  <si>
    <t>a4181f6</t>
  </si>
  <si>
    <t>a4181f7</t>
  </si>
  <si>
    <t>a4181f8</t>
  </si>
  <si>
    <t>a4181f9</t>
  </si>
  <si>
    <t>\data\input\infile_0015.txt</t>
  </si>
  <si>
    <t>\data\input\infile_0016.txt</t>
  </si>
  <si>
    <t>\data\input\infile_0017.txt</t>
  </si>
  <si>
    <t>\data\input\infile_0018.txt</t>
  </si>
  <si>
    <t>\data\input\infile_0019.txt</t>
  </si>
  <si>
    <t>\data\input\infile_0020.txt</t>
  </si>
  <si>
    <t>\data\input\infile_0021.txt</t>
  </si>
  <si>
    <t>Modify params to include flags</t>
  </si>
  <si>
    <t>rho_lambda_thres=done, n_recycle=done, flag_screen_basin=done</t>
  </si>
  <si>
    <t>Toggle/Compare internal settings</t>
  </si>
  <si>
    <t>Secondary collection</t>
  </si>
  <si>
    <t>Analysis of Initial Collection</t>
  </si>
  <si>
    <t>Initial data Collection (Order 1e7 samples/each)</t>
  </si>
  <si>
    <t>Analysis  of secondary collection</t>
  </si>
  <si>
    <t>Full analysis</t>
  </si>
  <si>
    <t>disabled FVI</t>
  </si>
  <si>
    <t>NSinceStoch &gt; N sometimes – why?</t>
  </si>
  <si>
    <t>Implement using parallel Matlab rather than Python</t>
  </si>
  <si>
    <t>Prevent more than 4 workers from running FVI at once</t>
  </si>
  <si>
    <t>Clean up Latex document</t>
  </si>
  <si>
    <t>Bad ODE solver?</t>
  </si>
  <si>
    <t>Make Matlab use real random numbers</t>
  </si>
  <si>
    <t>Why are we losing connection to a worker?</t>
  </si>
  <si>
    <t>Finish writing methods section</t>
  </si>
  <si>
    <t>Make drawing to accompany flowchart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</si>
</sst>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$-409]d\-mmm;@"/>
    <numFmt numFmtId="165" formatCode="ddd\ m/d"/>
    <numFmt numFmtId="166" formatCode="0000"/>
    <numFmt numFmtId="167" formatCode="0.000000"/>
    <numFmt numFmtId="168" formatCode="h:mm:ss;@"/>
  </numFmts>
  <fonts count="76" x14ac:knownFonts="1">
    <font>
      <sz val="11"/>
      <color theme="1" tint="0.24994659260841701"/>
      <name val="Corbel"/>
      <family val="2"/>
      <scheme val="maj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sz val="12"/>
      <color theme="1" tint="0.24994659260841701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sz val="11"/>
      <color theme="1" tint="0.24994659260841701"/>
      <name val="Calibri"/>
      <family val="2"/>
      <scheme val="minor"/>
    </font>
    <font>
      <sz val="11"/>
      <color theme="1" tint="0.24994659260841701"/>
      <name val="Courier New"/>
      <family val="3"/>
    </font>
    <font>
      <sz val="10"/>
      <color theme="1" tint="0.24994659260841701"/>
      <name val="Courier New"/>
      <family val="3"/>
    </font>
    <font>
      <b/>
      <sz val="10"/>
      <color theme="1" tint="0.24994659260841701"/>
      <name val="Courier New"/>
      <family val="3"/>
    </font>
    <font>
      <b/>
      <sz val="10"/>
      <color rgb="FFFF0000"/>
      <name val="Courier New"/>
      <family val="3"/>
    </font>
    <font>
      <sz val="10"/>
      <color theme="1" tint="0.24994659260841701"/>
      <name val="Corbel"/>
      <family val="2"/>
      <scheme val="maj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5E793"/>
        <bgColor indexed="64"/>
      </patternFill>
    </fill>
  </fills>
  <borders count="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64" fillId="0" borderId="0" applyNumberFormat="0" applyFill="0" applyBorder="0" applyAlignment="0" applyProtection="0"/>
    <xf numFmtId="0" fontId="58" fillId="0" borderId="0" applyFill="0" applyBorder="0" applyProtection="0">
      <alignment horizontal="left" wrapText="1"/>
    </xf>
    <xf numFmtId="3" fontId="66" fillId="0" borderId="2" applyFill="0" applyProtection="0">
      <alignment horizontal="center"/>
    </xf>
    <xf numFmtId="0" fontId="66" fillId="0" borderId="0" applyFill="0" applyBorder="0" applyProtection="0">
      <alignment horizontal="center" wrapText="1"/>
    </xf>
    <xf numFmtId="0" fontId="57" fillId="0" borderId="0" applyNumberFormat="0" applyFill="0" applyBorder="0" applyProtection="0">
      <alignment horizontal="left" vertical="center"/>
    </xf>
    <xf numFmtId="9" fontId="59" fillId="0" borderId="0" applyFill="0" applyBorder="0" applyProtection="0">
      <alignment horizontal="center" vertical="center"/>
    </xf>
    <xf numFmtId="0" fontId="65" fillId="6" borderId="1" applyNumberFormat="0" applyProtection="0">
      <alignment horizontal="left" vertical="center"/>
    </xf>
    <xf numFmtId="0" fontId="64" fillId="0" borderId="0" applyNumberFormat="0" applyFill="0" applyBorder="0" applyProtection="0">
      <alignment vertical="center"/>
    </xf>
    <xf numFmtId="0" fontId="66" fillId="0" borderId="0" applyFill="0" applyProtection="0">
      <alignment vertical="center"/>
    </xf>
    <xf numFmtId="0" fontId="66" fillId="0" borderId="0" applyFill="0" applyProtection="0">
      <alignment horizontal="center" vertical="center" wrapText="1"/>
    </xf>
    <xf numFmtId="0" fontId="66" fillId="0" borderId="0" applyFill="0" applyProtection="0">
      <alignment horizontal="left"/>
    </xf>
    <xf numFmtId="0" fontId="68" fillId="0" borderId="0" applyNumberFormat="0" applyFill="0" applyBorder="0" applyProtection="0">
      <alignment vertical="center"/>
    </xf>
    <xf numFmtId="1" fontId="69" fillId="6" borderId="1">
      <alignment horizontal="center" vertical="center"/>
    </xf>
    <xf numFmtId="0" fontId="67" fillId="2" borderId="4" applyNumberFormat="0" applyFont="0" applyAlignment="0">
      <alignment horizontal="center"/>
    </xf>
    <xf numFmtId="0" fontId="67" fillId="3" borderId="3" applyNumberFormat="0" applyFont="0" applyAlignment="0">
      <alignment horizontal="center"/>
    </xf>
    <xf numFmtId="0" fontId="67" fillId="4" borderId="3" applyNumberFormat="0" applyFont="0" applyAlignment="0">
      <alignment horizontal="center"/>
    </xf>
    <xf numFmtId="0" fontId="67" fillId="5" borderId="3" applyNumberFormat="0" applyFont="0" applyAlignment="0">
      <alignment horizontal="center"/>
    </xf>
    <xf numFmtId="0" fontId="67" fillId="7" borderId="3" applyNumberFormat="0" applyFont="0" applyAlignment="0">
      <alignment horizontal="center"/>
    </xf>
    <xf numFmtId="0" fontId="56" fillId="0" borderId="0"/>
  </cellStyleXfs>
  <cellXfs count="138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58" fillId="0" borderId="0" xfId="2">
      <alignment horizontal="left" wrapText="1"/>
    </xf>
    <xf numFmtId="3" fontId="66" fillId="0" borderId="2" xfId="3">
      <alignment horizontal="center"/>
    </xf>
    <xf numFmtId="9" fontId="59" fillId="0" borderId="0" xfId="6">
      <alignment horizontal="center" vertical="center"/>
    </xf>
    <xf numFmtId="0" fontId="65" fillId="6" borderId="1" xfId="7">
      <alignment horizontal="left" vertical="center"/>
    </xf>
    <xf numFmtId="0" fontId="60" fillId="0" borderId="0" xfId="2" applyFont="1">
      <alignment horizontal="left" wrapText="1"/>
    </xf>
    <xf numFmtId="0" fontId="61" fillId="0" borderId="0" xfId="0" applyFont="1" applyAlignment="1">
      <alignment horizontal="center"/>
    </xf>
    <xf numFmtId="9" fontId="62" fillId="0" borderId="0" xfId="6" applyFont="1">
      <alignment horizontal="center" vertical="center"/>
    </xf>
    <xf numFmtId="0" fontId="0" fillId="0" borderId="0" xfId="0" applyAlignment="1">
      <alignment vertical="center" wrapText="1"/>
    </xf>
    <xf numFmtId="0" fontId="64" fillId="0" borderId="0" xfId="1" applyAlignment="1">
      <alignment horizontal="center"/>
    </xf>
    <xf numFmtId="0" fontId="64" fillId="0" borderId="0" xfId="8">
      <alignment vertical="center"/>
    </xf>
    <xf numFmtId="1" fontId="69" fillId="6" borderId="1" xfId="13">
      <alignment horizontal="center" vertical="center"/>
    </xf>
    <xf numFmtId="0" fontId="0" fillId="2" borderId="4" xfId="14" applyFont="1" applyAlignment="1">
      <alignment horizontal="center"/>
    </xf>
    <xf numFmtId="0" fontId="0" fillId="3" borderId="3" xfId="15" applyFont="1" applyAlignment="1">
      <alignment horizontal="center"/>
    </xf>
    <xf numFmtId="0" fontId="0" fillId="4" borderId="3" xfId="16" applyFont="1" applyAlignment="1">
      <alignment horizontal="center"/>
    </xf>
    <xf numFmtId="0" fontId="0" fillId="5" borderId="3" xfId="17" applyFont="1" applyAlignment="1">
      <alignment horizontal="center"/>
    </xf>
    <xf numFmtId="0" fontId="0" fillId="7" borderId="3" xfId="18" applyFont="1" applyAlignment="1">
      <alignment horizontal="center"/>
    </xf>
    <xf numFmtId="164" fontId="66" fillId="0" borderId="0" xfId="11" applyNumberFormat="1" applyAlignment="1">
      <alignment horizontal="left" vertical="center" textRotation="90"/>
    </xf>
    <xf numFmtId="0" fontId="0" fillId="8" borderId="0" xfId="0" applyFill="1" applyAlignment="1">
      <alignment horizontal="center"/>
    </xf>
    <xf numFmtId="0" fontId="56" fillId="0" borderId="0" xfId="19"/>
    <xf numFmtId="0" fontId="56" fillId="0" borderId="0" xfId="19" applyAlignment="1">
      <alignment horizontal="center"/>
    </xf>
    <xf numFmtId="165" fontId="56" fillId="0" borderId="0" xfId="19" applyNumberFormat="1" applyAlignment="1">
      <alignment horizontal="center"/>
    </xf>
    <xf numFmtId="0" fontId="56" fillId="0" borderId="0" xfId="19" applyNumberFormat="1" applyAlignment="1">
      <alignment horizontal="center"/>
    </xf>
    <xf numFmtId="0" fontId="55" fillId="0" borderId="0" xfId="19" applyFont="1"/>
    <xf numFmtId="0" fontId="54" fillId="0" borderId="0" xfId="19" applyFont="1"/>
    <xf numFmtId="0" fontId="53" fillId="0" borderId="0" xfId="19" applyFont="1"/>
    <xf numFmtId="0" fontId="52" fillId="0" borderId="0" xfId="19" applyFont="1"/>
    <xf numFmtId="0" fontId="51" fillId="0" borderId="0" xfId="19" applyFont="1"/>
    <xf numFmtId="0" fontId="50" fillId="0" borderId="0" xfId="19" applyFont="1"/>
    <xf numFmtId="0" fontId="49" fillId="0" borderId="0" xfId="19" applyFont="1"/>
    <xf numFmtId="0" fontId="48" fillId="0" borderId="0" xfId="19" applyFont="1"/>
    <xf numFmtId="0" fontId="47" fillId="0" borderId="0" xfId="19" applyFont="1"/>
    <xf numFmtId="0" fontId="46" fillId="0" borderId="0" xfId="19" applyFont="1"/>
    <xf numFmtId="0" fontId="45" fillId="0" borderId="0" xfId="19" applyFont="1"/>
    <xf numFmtId="0" fontId="44" fillId="0" borderId="0" xfId="19" applyFont="1"/>
    <xf numFmtId="0" fontId="43" fillId="0" borderId="0" xfId="19" applyFont="1"/>
    <xf numFmtId="0" fontId="42" fillId="0" borderId="0" xfId="19" applyFont="1"/>
    <xf numFmtId="0" fontId="41" fillId="0" borderId="0" xfId="19" applyFont="1"/>
    <xf numFmtId="0" fontId="40" fillId="0" borderId="0" xfId="19" applyFont="1"/>
    <xf numFmtId="0" fontId="70" fillId="0" borderId="0" xfId="0" applyFont="1" applyAlignment="1">
      <alignment horizontal="center" vertical="center" textRotation="90"/>
    </xf>
    <xf numFmtId="0" fontId="70" fillId="0" borderId="0" xfId="0" applyFont="1">
      <alignment horizontal="center" vertical="center"/>
    </xf>
    <xf numFmtId="0" fontId="70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39" fillId="0" borderId="0" xfId="19" applyFont="1"/>
    <xf numFmtId="0" fontId="37" fillId="0" borderId="0" xfId="19" applyFont="1"/>
    <xf numFmtId="0" fontId="36" fillId="0" borderId="0" xfId="19" applyFont="1"/>
    <xf numFmtId="0" fontId="35" fillId="0" borderId="0" xfId="19" applyFont="1"/>
    <xf numFmtId="0" fontId="34" fillId="0" borderId="0" xfId="19" applyFont="1"/>
    <xf numFmtId="0" fontId="33" fillId="0" borderId="0" xfId="19" applyFont="1"/>
    <xf numFmtId="0" fontId="32" fillId="0" borderId="0" xfId="19" applyFont="1"/>
    <xf numFmtId="0" fontId="31" fillId="0" borderId="0" xfId="19" applyFont="1"/>
    <xf numFmtId="0" fontId="30" fillId="0" borderId="0" xfId="19" applyFont="1"/>
    <xf numFmtId="0" fontId="29" fillId="0" borderId="0" xfId="19" applyFont="1"/>
    <xf numFmtId="0" fontId="38" fillId="0" borderId="0" xfId="19" applyFont="1" applyAlignment="1">
      <alignment horizontal="left"/>
    </xf>
    <xf numFmtId="0" fontId="39" fillId="0" borderId="0" xfId="19" applyFont="1" applyAlignment="1">
      <alignment horizontal="left"/>
    </xf>
    <xf numFmtId="0" fontId="51" fillId="0" borderId="0" xfId="19" applyFont="1" applyAlignment="1">
      <alignment horizontal="left"/>
    </xf>
    <xf numFmtId="0" fontId="56" fillId="0" borderId="0" xfId="19" applyAlignment="1">
      <alignment horizontal="left"/>
    </xf>
    <xf numFmtId="0" fontId="54" fillId="0" borderId="0" xfId="19" applyFont="1" applyAlignment="1">
      <alignment horizontal="left"/>
    </xf>
    <xf numFmtId="0" fontId="47" fillId="0" borderId="0" xfId="19" applyFont="1" applyAlignment="1">
      <alignment horizontal="left"/>
    </xf>
    <xf numFmtId="0" fontId="35" fillId="0" borderId="0" xfId="19" applyFont="1" applyAlignment="1">
      <alignment horizontal="left"/>
    </xf>
    <xf numFmtId="18" fontId="47" fillId="0" borderId="0" xfId="19" applyNumberFormat="1" applyFont="1" applyAlignment="1">
      <alignment horizontal="left"/>
    </xf>
    <xf numFmtId="0" fontId="29" fillId="0" borderId="0" xfId="19" applyFont="1" applyAlignment="1">
      <alignment horizontal="left"/>
    </xf>
    <xf numFmtId="0" fontId="28" fillId="0" borderId="0" xfId="19" applyFont="1"/>
    <xf numFmtId="0" fontId="27" fillId="0" borderId="0" xfId="19" applyFont="1"/>
    <xf numFmtId="0" fontId="26" fillId="0" borderId="0" xfId="19" applyFont="1"/>
    <xf numFmtId="0" fontId="26" fillId="0" borderId="0" xfId="19" applyFont="1" applyAlignment="1">
      <alignment horizontal="left"/>
    </xf>
    <xf numFmtId="0" fontId="25" fillId="0" borderId="0" xfId="19" applyFont="1"/>
    <xf numFmtId="0" fontId="24" fillId="0" borderId="0" xfId="19" applyFont="1"/>
    <xf numFmtId="0" fontId="24" fillId="0" borderId="0" xfId="19" applyFont="1" applyAlignment="1">
      <alignment horizontal="left"/>
    </xf>
    <xf numFmtId="0" fontId="23" fillId="0" borderId="0" xfId="19" applyNumberFormat="1" applyFont="1" applyAlignment="1">
      <alignment horizontal="center"/>
    </xf>
    <xf numFmtId="0" fontId="23" fillId="0" borderId="0" xfId="19" applyFont="1"/>
    <xf numFmtId="0" fontId="23" fillId="0" borderId="0" xfId="19" applyFont="1" applyAlignment="1">
      <alignment horizontal="left"/>
    </xf>
    <xf numFmtId="0" fontId="22" fillId="0" borderId="0" xfId="19" applyFont="1"/>
    <xf numFmtId="0" fontId="22" fillId="0" borderId="0" xfId="19" applyFont="1" applyAlignment="1">
      <alignment horizontal="left"/>
    </xf>
    <xf numFmtId="0" fontId="21" fillId="0" borderId="0" xfId="19" applyFont="1"/>
    <xf numFmtId="0" fontId="20" fillId="0" borderId="0" xfId="19" applyFont="1"/>
    <xf numFmtId="0" fontId="19" fillId="0" borderId="0" xfId="19" applyFont="1"/>
    <xf numFmtId="0" fontId="18" fillId="0" borderId="0" xfId="19" applyFont="1"/>
    <xf numFmtId="0" fontId="17" fillId="0" borderId="0" xfId="19" applyFont="1"/>
    <xf numFmtId="165" fontId="17" fillId="0" borderId="0" xfId="19" applyNumberFormat="1" applyFont="1" applyAlignment="1">
      <alignment horizontal="center"/>
    </xf>
    <xf numFmtId="0" fontId="17" fillId="0" borderId="0" xfId="19" applyFont="1" applyAlignment="1">
      <alignment horizontal="left"/>
    </xf>
    <xf numFmtId="0" fontId="16" fillId="0" borderId="0" xfId="19" applyFont="1"/>
    <xf numFmtId="0" fontId="16" fillId="0" borderId="0" xfId="19" applyFont="1" applyAlignment="1">
      <alignment horizontal="left"/>
    </xf>
    <xf numFmtId="0" fontId="15" fillId="0" borderId="0" xfId="19" applyFont="1"/>
    <xf numFmtId="0" fontId="14" fillId="0" borderId="0" xfId="19" applyFont="1"/>
    <xf numFmtId="0" fontId="14" fillId="0" borderId="0" xfId="19" applyFont="1" applyAlignment="1">
      <alignment horizontal="left"/>
    </xf>
    <xf numFmtId="0" fontId="13" fillId="0" borderId="0" xfId="19" applyFont="1"/>
    <xf numFmtId="0" fontId="13" fillId="0" borderId="0" xfId="19" applyFont="1" applyAlignment="1">
      <alignment horizontal="left"/>
    </xf>
    <xf numFmtId="0" fontId="12" fillId="0" borderId="0" xfId="19" applyFont="1"/>
    <xf numFmtId="165" fontId="12" fillId="0" borderId="0" xfId="19" applyNumberFormat="1" applyFont="1" applyAlignment="1">
      <alignment horizontal="center"/>
    </xf>
    <xf numFmtId="0" fontId="11" fillId="0" borderId="0" xfId="19" applyFont="1"/>
    <xf numFmtId="0" fontId="10" fillId="0" borderId="0" xfId="19" applyFont="1"/>
    <xf numFmtId="0" fontId="10" fillId="0" borderId="0" xfId="19" applyFont="1" applyAlignment="1">
      <alignment horizontal="left"/>
    </xf>
    <xf numFmtId="0" fontId="9" fillId="0" borderId="0" xfId="19" applyFont="1"/>
    <xf numFmtId="0" fontId="8" fillId="0" borderId="0" xfId="19" applyFont="1" applyAlignment="1">
      <alignment horizontal="left"/>
    </xf>
    <xf numFmtId="0" fontId="8" fillId="0" borderId="0" xfId="19" applyFont="1"/>
    <xf numFmtId="0" fontId="71" fillId="0" borderId="0" xfId="0" applyFont="1">
      <alignment horizontal="center" vertical="center"/>
    </xf>
    <xf numFmtId="0" fontId="72" fillId="0" borderId="0" xfId="0" applyFont="1">
      <alignment horizontal="center" vertical="center"/>
    </xf>
    <xf numFmtId="0" fontId="72" fillId="0" borderId="0" xfId="0" applyFont="1" applyAlignment="1">
      <alignment horizontal="left" vertical="center"/>
    </xf>
    <xf numFmtId="1" fontId="72" fillId="0" borderId="0" xfId="0" applyNumberFormat="1" applyFont="1">
      <alignment horizontal="center" vertical="center"/>
    </xf>
    <xf numFmtId="0" fontId="7" fillId="0" borderId="0" xfId="19" applyFont="1"/>
    <xf numFmtId="0" fontId="75" fillId="0" borderId="0" xfId="0" applyFont="1">
      <alignment horizontal="center" vertical="center"/>
    </xf>
    <xf numFmtId="0" fontId="75" fillId="0" borderId="0" xfId="0" applyFont="1" applyAlignment="1">
      <alignment horizontal="left" vertical="center"/>
    </xf>
    <xf numFmtId="0" fontId="75" fillId="0" borderId="0" xfId="0" quotePrefix="1" applyFont="1" applyAlignment="1">
      <alignment horizontal="left" vertical="center"/>
    </xf>
    <xf numFmtId="166" fontId="65" fillId="0" borderId="0" xfId="0" applyNumberFormat="1" applyFont="1">
      <alignment horizontal="center" vertical="center"/>
    </xf>
    <xf numFmtId="0" fontId="72" fillId="0" borderId="0" xfId="0" quotePrefix="1" applyFont="1" applyAlignment="1">
      <alignment horizontal="left" vertical="center"/>
    </xf>
    <xf numFmtId="16" fontId="70" fillId="0" borderId="0" xfId="0" applyNumberFormat="1" applyFont="1">
      <alignment horizontal="center" vertical="center"/>
    </xf>
    <xf numFmtId="167" fontId="70" fillId="0" borderId="0" xfId="0" applyNumberFormat="1" applyFont="1">
      <alignment horizontal="center" vertical="center"/>
    </xf>
    <xf numFmtId="1" fontId="70" fillId="0" borderId="0" xfId="0" applyNumberFormat="1" applyFont="1">
      <alignment horizontal="center" vertical="center"/>
    </xf>
    <xf numFmtId="0" fontId="70" fillId="0" borderId="0" xfId="0" applyFont="1" applyAlignment="1">
      <alignment horizontal="center" vertical="center"/>
    </xf>
    <xf numFmtId="168" fontId="70" fillId="0" borderId="0" xfId="0" applyNumberFormat="1" applyFont="1">
      <alignment horizontal="center" vertical="center"/>
    </xf>
    <xf numFmtId="0" fontId="6" fillId="0" borderId="0" xfId="19" applyFont="1"/>
    <xf numFmtId="0" fontId="5" fillId="0" borderId="0" xfId="19" applyFont="1"/>
    <xf numFmtId="165" fontId="5" fillId="0" borderId="0" xfId="19" applyNumberFormat="1" applyFont="1" applyAlignment="1">
      <alignment horizontal="center"/>
    </xf>
    <xf numFmtId="0" fontId="5" fillId="0" borderId="0" xfId="19" applyFont="1" applyAlignment="1">
      <alignment horizontal="left"/>
    </xf>
    <xf numFmtId="0" fontId="60" fillId="0" borderId="0" xfId="2" applyFont="1" applyAlignment="1">
      <alignment horizontal="left" vertical="center" wrapText="1"/>
    </xf>
    <xf numFmtId="0" fontId="4" fillId="0" borderId="0" xfId="19" applyFont="1"/>
    <xf numFmtId="0" fontId="3" fillId="0" borderId="0" xfId="19" applyFont="1" applyAlignment="1">
      <alignment horizontal="left"/>
    </xf>
    <xf numFmtId="0" fontId="3" fillId="0" borderId="0" xfId="19" applyFont="1"/>
    <xf numFmtId="0" fontId="2" fillId="0" borderId="0" xfId="19" applyFont="1"/>
    <xf numFmtId="0" fontId="1" fillId="0" borderId="0" xfId="19" applyFont="1"/>
    <xf numFmtId="0" fontId="0" fillId="0" borderId="6" xfId="5" applyFont="1" applyBorder="1">
      <alignment horizontal="left" vertical="center"/>
    </xf>
    <xf numFmtId="0" fontId="0" fillId="0" borderId="0" xfId="5" applyFont="1" applyBorder="1">
      <alignment horizontal="left" vertical="center"/>
    </xf>
    <xf numFmtId="0" fontId="68" fillId="0" borderId="0" xfId="12">
      <alignment vertical="center"/>
    </xf>
    <xf numFmtId="0" fontId="66" fillId="0" borderId="0" xfId="9">
      <alignment vertical="center"/>
    </xf>
    <xf numFmtId="0" fontId="66" fillId="0" borderId="2" xfId="9" applyBorder="1">
      <alignment vertical="center"/>
    </xf>
    <xf numFmtId="0" fontId="66" fillId="0" borderId="0" xfId="10">
      <alignment horizontal="center" vertical="center" wrapText="1"/>
    </xf>
    <xf numFmtId="0" fontId="66" fillId="0" borderId="2" xfId="10" applyBorder="1">
      <alignment horizontal="center" vertical="center" wrapText="1"/>
    </xf>
    <xf numFmtId="0" fontId="66" fillId="0" borderId="5" xfId="10" applyBorder="1">
      <alignment horizontal="center" vertical="center" wrapText="1"/>
    </xf>
    <xf numFmtId="0" fontId="63" fillId="0" borderId="6" xfId="5" applyFont="1" applyBorder="1">
      <alignment horizontal="left" vertical="center"/>
    </xf>
    <xf numFmtId="0" fontId="63" fillId="0" borderId="0" xfId="5" applyFont="1">
      <alignment horizontal="left" vertical="center"/>
    </xf>
    <xf numFmtId="0" fontId="63" fillId="0" borderId="7" xfId="5" applyFont="1" applyBorder="1">
      <alignment horizontal="left" vertical="center"/>
    </xf>
    <xf numFmtId="0" fontId="63" fillId="0" borderId="0" xfId="5" applyFont="1" applyBorder="1">
      <alignment horizontal="left" vertical="center"/>
    </xf>
    <xf numFmtId="0" fontId="0" fillId="0" borderId="7" xfId="5" applyFont="1" applyBorder="1">
      <alignment horizontal="left" vertic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</cellXfs>
  <cellStyles count="20">
    <cellStyle name="% complete" xfId="16"/>
    <cellStyle name="% complete (beyond plan) legend" xfId="18"/>
    <cellStyle name="Activity" xfId="2"/>
    <cellStyle name="Actual (beyond plan) legend" xfId="17"/>
    <cellStyle name="Actual legend" xfId="15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Label" xfId="5"/>
    <cellStyle name="Normal" xfId="0" builtinId="0" customBuiltin="1"/>
    <cellStyle name="Normal 2" xfId="19"/>
    <cellStyle name="Percent Complete" xfId="6"/>
    <cellStyle name="Period Headers" xfId="3"/>
    <cellStyle name="Period Highlight Control" xfId="7"/>
    <cellStyle name="Period Value" xfId="13"/>
    <cellStyle name="Plan legend" xfId="14"/>
    <cellStyle name="Project Headers" xfId="4"/>
    <cellStyle name="Title" xfId="8" builtinId="15" customBuiltin="1"/>
  </cellStyles>
  <dxfs count="45"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rgb="FF404040"/>
        <name val="Courier New"/>
        <family val="3"/>
        <scheme val="none"/>
      </font>
    </dxf>
    <dxf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 tint="0.24994659260841701"/>
        <name val="Courier New"/>
        <family val="3"/>
        <scheme val="none"/>
      </font>
    </dxf>
    <dxf>
      <font>
        <strike val="0"/>
        <outline val="0"/>
        <shadow val="0"/>
        <u val="none"/>
        <vertAlign val="baseline"/>
        <sz val="11"/>
        <color theme="1" tint="0.24994659260841701"/>
        <name val="Courier New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8" formatCode="h:mm:ss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7" formatCode="0.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  <numFmt numFmtId="166" formatCode="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24994659260841701"/>
        <name val="Calibri"/>
        <family val="2"/>
        <scheme val="minor"/>
      </font>
    </dxf>
    <dxf>
      <numFmt numFmtId="0" formatCode="General"/>
      <alignment horizontal="center" vertical="bottom" textRotation="0" wrapText="0" indent="0" justifyLastLine="0" shrinkToFit="0" readingOrder="0"/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colors>
    <mruColors>
      <color rgb="FFF5E7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Table1" displayName="Table1" ref="A1:F125" totalsRowShown="0">
  <autoFilter ref="A1:F125">
    <filterColumn colId="3">
      <filters blank="1">
        <filter val="0"/>
        <filter val="0.25"/>
        <filter val="0.75"/>
      </filters>
    </filterColumn>
  </autoFilter>
  <sortState ref="A30:F125">
    <sortCondition descending="1" ref="C1:C125"/>
  </sortState>
  <tableColumns count="6">
    <tableColumn id="1" name="Task"/>
    <tableColumn id="2" name="Assigned"/>
    <tableColumn id="3" name="Due"/>
    <tableColumn id="6" name=" " dataDxfId="34"/>
    <tableColumn id="4" name="Review"/>
    <tableColumn id="5" name="Notes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S33" totalsRowShown="0" headerRowDxfId="33" dataDxfId="32">
  <autoFilter ref="A1:S33"/>
  <tableColumns count="19">
    <tableColumn id="1" name="Test ID" dataDxfId="31"/>
    <tableColumn id="18" name="n_iter" dataDxfId="30"/>
    <tableColumn id="2" name="log10(mv)" dataDxfId="29"/>
    <tableColumn id="3" name="mh" dataDxfId="28"/>
    <tableColumn id="4" name="kmax" dataDxfId="27"/>
    <tableColumn id="19" name="gamma" dataDxfId="26"/>
    <tableColumn id="8" name="measure" dataDxfId="25"/>
    <tableColumn id="9" name="n_tunnel_max" dataDxfId="24"/>
    <tableColumn id="5" name="lambda_screen" dataDxfId="23"/>
    <tableColumn id="6" name="rho_Lambda_thres" dataDxfId="22"/>
    <tableColumn id="20" name="fixQ" dataDxfId="21"/>
    <tableColumn id="21" name="Nafter" dataDxfId="20"/>
    <tableColumn id="22" name="seed" dataDxfId="19"/>
    <tableColumn id="7" name="n_recycle" dataDxfId="18"/>
    <tableColumn id="10" name="Job ID" dataDxfId="17"/>
    <tableColumn id="24" name="End Date2" dataDxfId="16"/>
    <tableColumn id="11" name="Runtime" dataDxfId="15"/>
    <tableColumn id="14" name="Input File Path" dataDxfId="14"/>
    <tableColumn id="12" name="Git Hash" dataDxfId="13"/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able44" displayName="Table44" ref="A1:E117" totalsRowShown="0" dataDxfId="12">
  <autoFilter ref="A1:E117"/>
  <sortState ref="A2:E117">
    <sortCondition ref="A1:A117"/>
  </sortState>
  <tableColumns count="5">
    <tableColumn id="1" name="Class" dataDxfId="11"/>
    <tableColumn id="2" name="Function" dataDxfId="10"/>
    <tableColumn id="3" name="Line" dataDxfId="9"/>
    <tableColumn id="5" name="Checked" dataDxfId="8"/>
    <tableColumn id="4" name="Description" dataDxfId="7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1:E46" totalsRowShown="0">
  <autoFilter ref="A1:E46">
    <filterColumn colId="0">
      <filters>
        <filter val="Input"/>
        <filter val="Output"/>
      </filters>
    </filterColumn>
  </autoFilter>
  <sortState ref="A6:E46">
    <sortCondition ref="A1:A46"/>
  </sortState>
  <tableColumns count="5">
    <tableColumn id="1" name="I/O"/>
    <tableColumn id="6" name="Quantity"/>
    <tableColumn id="2" name="Dimensions"/>
    <tableColumn id="3" name="Units"/>
    <tableColumn id="4" name="Description" dataDxfId="6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5" name="Table446" displayName="Table446" ref="A1:E117" totalsRowShown="0" dataDxfId="5">
  <autoFilter ref="A1:E117">
    <filterColumn colId="3">
      <filters blank="1"/>
    </filterColumn>
  </autoFilter>
  <sortState ref="A2:E117">
    <sortCondition ref="A1:A117"/>
  </sortState>
  <tableColumns count="5">
    <tableColumn id="1" name="Class" dataDxfId="4"/>
    <tableColumn id="2" name="Function" dataDxfId="3"/>
    <tableColumn id="3" name="Line" dataDxfId="2"/>
    <tableColumn id="5" name="Checked" dataDxfId="1"/>
    <tableColumn id="4" name="Description" dataDxfId="0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O32"/>
  <sheetViews>
    <sheetView showGridLines="0" zoomScale="85" zoomScaleNormal="85" zoomScaleSheetLayoutView="80" workbookViewId="0">
      <selection activeCell="H10" sqref="H10"/>
    </sheetView>
  </sheetViews>
  <sheetFormatPr defaultColWidth="0" defaultRowHeight="30" customHeight="1" x14ac:dyDescent="0.45"/>
  <cols>
    <col min="1" max="1" width="2.640625" customWidth="1"/>
    <col min="2" max="2" width="42.5703125" style="2" customWidth="1"/>
    <col min="3" max="6" width="11.640625" style="1" customWidth="1"/>
    <col min="7" max="7" width="15.640625" style="4" customWidth="1"/>
    <col min="8" max="27" width="3.5703125" style="1" customWidth="1"/>
    <col min="28" max="48" width="3.5703125" customWidth="1"/>
    <col min="49" max="67" width="0" hidden="1" customWidth="1"/>
    <col min="68" max="16384" width="2.78515625" hidden="1"/>
  </cols>
  <sheetData>
    <row r="1" spans="2:67" ht="60" customHeight="1" thickBot="1" x14ac:dyDescent="1.4">
      <c r="B1" s="11" t="s">
        <v>35</v>
      </c>
      <c r="C1" s="10"/>
      <c r="D1" s="10"/>
      <c r="E1" s="10"/>
      <c r="F1" s="10"/>
      <c r="G1" s="10"/>
    </row>
    <row r="2" spans="2:67" ht="21" customHeight="1" thickTop="1" thickBot="1" x14ac:dyDescent="0.45">
      <c r="B2" s="124" t="s">
        <v>28</v>
      </c>
      <c r="C2" s="124"/>
      <c r="D2" s="124"/>
      <c r="E2" s="124"/>
      <c r="F2" s="124"/>
      <c r="G2" s="5" t="s">
        <v>20</v>
      </c>
      <c r="H2" s="12">
        <v>8</v>
      </c>
      <c r="J2" s="13"/>
      <c r="K2" s="130" t="s">
        <v>27</v>
      </c>
      <c r="L2" s="131"/>
      <c r="M2" s="131"/>
      <c r="N2" s="131"/>
      <c r="O2" s="132"/>
      <c r="P2" s="14"/>
      <c r="Q2" s="130" t="s">
        <v>26</v>
      </c>
      <c r="R2" s="133"/>
      <c r="S2" s="133"/>
      <c r="T2" s="132"/>
      <c r="U2" s="15"/>
      <c r="V2" s="122" t="s">
        <v>17</v>
      </c>
      <c r="W2" s="123"/>
      <c r="X2" s="123"/>
      <c r="Y2" s="134"/>
      <c r="Z2" s="16"/>
      <c r="AA2" s="135" t="s">
        <v>18</v>
      </c>
      <c r="AB2" s="136"/>
      <c r="AC2" s="136"/>
      <c r="AD2" s="136"/>
      <c r="AE2" s="136"/>
      <c r="AF2" s="136"/>
      <c r="AG2" s="137"/>
      <c r="AH2" s="17"/>
      <c r="AI2" s="122" t="s">
        <v>19</v>
      </c>
      <c r="AJ2" s="123"/>
      <c r="AK2" s="123"/>
      <c r="AL2" s="123"/>
      <c r="AM2" s="123"/>
      <c r="AN2" s="123"/>
      <c r="AO2" s="123"/>
      <c r="AP2" s="123"/>
    </row>
    <row r="3" spans="2:67" s="9" customFormat="1" ht="39.9" customHeight="1" thickTop="1" x14ac:dyDescent="0.4">
      <c r="B3" s="125" t="s">
        <v>0</v>
      </c>
      <c r="C3" s="127" t="s">
        <v>21</v>
      </c>
      <c r="D3" s="127" t="s">
        <v>22</v>
      </c>
      <c r="E3" s="127" t="s">
        <v>23</v>
      </c>
      <c r="F3" s="127" t="s">
        <v>24</v>
      </c>
      <c r="G3" s="129" t="s">
        <v>25</v>
      </c>
      <c r="H3" s="18">
        <v>43164</v>
      </c>
      <c r="I3" s="18">
        <v>43171</v>
      </c>
      <c r="J3" s="18">
        <v>43178</v>
      </c>
      <c r="K3" s="18">
        <v>43185</v>
      </c>
      <c r="L3" s="18">
        <v>43192</v>
      </c>
      <c r="M3" s="18">
        <v>43199</v>
      </c>
      <c r="N3" s="18">
        <v>43206</v>
      </c>
      <c r="O3" s="18">
        <v>43213</v>
      </c>
      <c r="P3" s="18">
        <v>43220</v>
      </c>
      <c r="Q3" s="18">
        <v>43227</v>
      </c>
      <c r="R3" s="18">
        <v>43234</v>
      </c>
      <c r="S3" s="18">
        <v>43241</v>
      </c>
      <c r="T3" s="18">
        <v>43248</v>
      </c>
      <c r="U3" s="18">
        <v>43255</v>
      </c>
      <c r="V3" s="18">
        <v>43262</v>
      </c>
      <c r="W3" s="18">
        <v>43269</v>
      </c>
      <c r="X3" s="18">
        <v>43276</v>
      </c>
      <c r="Y3" s="18">
        <v>43283</v>
      </c>
      <c r="Z3" s="18">
        <v>43290</v>
      </c>
      <c r="AA3" s="18">
        <v>43297</v>
      </c>
      <c r="AB3" s="18">
        <v>43304</v>
      </c>
      <c r="AC3" s="18">
        <v>43311</v>
      </c>
      <c r="AD3" s="18">
        <v>43318</v>
      </c>
      <c r="AE3" s="18">
        <v>43325</v>
      </c>
      <c r="AF3" s="18">
        <v>43332</v>
      </c>
      <c r="AG3" s="18">
        <v>43339</v>
      </c>
      <c r="AH3" s="18">
        <v>43346</v>
      </c>
      <c r="AI3" s="18">
        <v>43353</v>
      </c>
      <c r="AJ3" s="18">
        <v>43360</v>
      </c>
      <c r="AK3" s="18">
        <v>43367</v>
      </c>
      <c r="AL3" s="18">
        <v>43374</v>
      </c>
      <c r="AM3" s="18">
        <v>43381</v>
      </c>
      <c r="AN3" s="18">
        <v>43388</v>
      </c>
      <c r="AO3" s="18">
        <v>43395</v>
      </c>
      <c r="AP3" s="18">
        <v>43402</v>
      </c>
      <c r="AQ3" s="18">
        <v>43409</v>
      </c>
      <c r="AR3" s="18">
        <v>43416</v>
      </c>
      <c r="AS3" s="18">
        <v>43423</v>
      </c>
      <c r="AT3" s="18">
        <v>43430</v>
      </c>
      <c r="AU3" s="18">
        <v>43437</v>
      </c>
      <c r="AV3" s="18">
        <v>43444</v>
      </c>
      <c r="AW3" s="18"/>
    </row>
    <row r="4" spans="2:67" ht="15.75" customHeight="1" x14ac:dyDescent="0.4">
      <c r="B4" s="126"/>
      <c r="C4" s="128"/>
      <c r="D4" s="128"/>
      <c r="E4" s="128"/>
      <c r="F4" s="128"/>
      <c r="G4" s="128"/>
      <c r="H4" s="3">
        <v>1</v>
      </c>
      <c r="I4" s="3">
        <v>2</v>
      </c>
      <c r="J4" s="3">
        <v>3</v>
      </c>
      <c r="K4" s="3">
        <v>4</v>
      </c>
      <c r="L4" s="3">
        <v>5</v>
      </c>
      <c r="M4" s="3">
        <v>6</v>
      </c>
      <c r="N4" s="3">
        <v>7</v>
      </c>
      <c r="O4" s="3">
        <v>8</v>
      </c>
      <c r="P4" s="3">
        <v>9</v>
      </c>
      <c r="Q4" s="3">
        <v>10</v>
      </c>
      <c r="R4" s="3">
        <v>11</v>
      </c>
      <c r="S4" s="3">
        <v>12</v>
      </c>
      <c r="T4" s="3">
        <v>13</v>
      </c>
      <c r="U4" s="3">
        <v>14</v>
      </c>
      <c r="V4" s="3">
        <v>15</v>
      </c>
      <c r="W4" s="3">
        <v>16</v>
      </c>
      <c r="X4" s="3">
        <v>17</v>
      </c>
      <c r="Y4" s="3">
        <v>18</v>
      </c>
      <c r="Z4" s="3">
        <v>19</v>
      </c>
      <c r="AA4" s="3">
        <v>20</v>
      </c>
      <c r="AB4" s="3">
        <v>21</v>
      </c>
      <c r="AC4" s="3">
        <v>22</v>
      </c>
      <c r="AD4" s="3">
        <v>23</v>
      </c>
      <c r="AE4" s="3">
        <v>24</v>
      </c>
      <c r="AF4" s="3">
        <v>25</v>
      </c>
      <c r="AG4" s="3">
        <v>26</v>
      </c>
      <c r="AH4" s="3">
        <v>27</v>
      </c>
      <c r="AI4" s="3">
        <v>28</v>
      </c>
      <c r="AJ4" s="3">
        <v>29</v>
      </c>
      <c r="AK4" s="3">
        <v>30</v>
      </c>
      <c r="AL4" s="3">
        <v>31</v>
      </c>
      <c r="AM4" s="3">
        <v>32</v>
      </c>
      <c r="AN4" s="3">
        <v>33</v>
      </c>
      <c r="AO4" s="3">
        <v>34</v>
      </c>
      <c r="AP4" s="3">
        <v>35</v>
      </c>
      <c r="AQ4" s="3">
        <v>36</v>
      </c>
      <c r="AR4" s="3">
        <v>37</v>
      </c>
      <c r="AS4" s="3">
        <v>38</v>
      </c>
      <c r="AT4" s="3">
        <v>39</v>
      </c>
      <c r="AU4" s="3">
        <v>40</v>
      </c>
      <c r="AV4" s="3">
        <v>41</v>
      </c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</row>
    <row r="5" spans="2:67" ht="30" customHeight="1" x14ac:dyDescent="0.45">
      <c r="B5" s="116" t="s">
        <v>444</v>
      </c>
      <c r="C5" s="7">
        <v>1</v>
      </c>
      <c r="D5" s="7">
        <v>2</v>
      </c>
      <c r="E5" s="7">
        <v>1</v>
      </c>
      <c r="F5" s="7">
        <v>0</v>
      </c>
      <c r="G5" s="8">
        <v>1</v>
      </c>
      <c r="W5" s="19"/>
      <c r="X5" s="19"/>
      <c r="Y5" s="19"/>
    </row>
    <row r="6" spans="2:67" ht="30" customHeight="1" x14ac:dyDescent="0.45">
      <c r="B6" s="116" t="s">
        <v>447</v>
      </c>
      <c r="C6" s="7">
        <v>1</v>
      </c>
      <c r="D6" s="7">
        <v>3</v>
      </c>
      <c r="E6" s="7">
        <v>1</v>
      </c>
      <c r="F6" s="7">
        <v>0</v>
      </c>
      <c r="G6" s="8">
        <v>0.9</v>
      </c>
      <c r="W6" s="19"/>
      <c r="X6" s="19"/>
      <c r="Y6" s="19"/>
    </row>
    <row r="7" spans="2:67" ht="30" customHeight="1" x14ac:dyDescent="0.45">
      <c r="B7" s="116" t="s">
        <v>446</v>
      </c>
      <c r="C7" s="7">
        <v>2</v>
      </c>
      <c r="D7" s="7">
        <v>3</v>
      </c>
      <c r="E7" s="7">
        <v>0</v>
      </c>
      <c r="F7" s="7">
        <v>0</v>
      </c>
      <c r="G7" s="8">
        <v>0.1</v>
      </c>
      <c r="W7" s="19"/>
      <c r="X7" s="19"/>
      <c r="Y7" s="19"/>
    </row>
    <row r="8" spans="2:67" ht="30" customHeight="1" x14ac:dyDescent="0.45">
      <c r="B8" s="116" t="s">
        <v>445</v>
      </c>
      <c r="C8" s="7">
        <v>4</v>
      </c>
      <c r="D8" s="7">
        <v>3</v>
      </c>
      <c r="E8" s="7">
        <v>0</v>
      </c>
      <c r="F8" s="7">
        <v>0</v>
      </c>
      <c r="G8" s="8"/>
      <c r="W8" s="19"/>
      <c r="X8" s="19"/>
      <c r="Y8" s="19"/>
    </row>
    <row r="9" spans="2:67" ht="30" customHeight="1" x14ac:dyDescent="0.45">
      <c r="B9" s="116" t="s">
        <v>448</v>
      </c>
      <c r="C9" s="7">
        <v>5</v>
      </c>
      <c r="D9" s="7">
        <v>3</v>
      </c>
      <c r="E9" s="7">
        <v>0</v>
      </c>
      <c r="F9" s="7">
        <v>0</v>
      </c>
      <c r="G9" s="8"/>
      <c r="W9" s="19"/>
      <c r="X9" s="19"/>
      <c r="Y9" s="19"/>
    </row>
    <row r="10" spans="2:67" ht="30" customHeight="1" x14ac:dyDescent="0.45">
      <c r="B10" s="116" t="s">
        <v>31</v>
      </c>
      <c r="C10" s="7">
        <v>7</v>
      </c>
      <c r="D10" s="7">
        <v>5</v>
      </c>
      <c r="E10" s="7">
        <v>0</v>
      </c>
      <c r="F10" s="7">
        <v>0</v>
      </c>
      <c r="G10" s="8"/>
      <c r="W10" s="19"/>
      <c r="X10" s="19"/>
      <c r="Y10" s="19"/>
    </row>
    <row r="11" spans="2:67" ht="30" customHeight="1" x14ac:dyDescent="0.45">
      <c r="B11" s="116" t="s">
        <v>449</v>
      </c>
      <c r="C11" s="7">
        <v>7</v>
      </c>
      <c r="D11" s="7">
        <v>5</v>
      </c>
      <c r="E11" s="7">
        <v>0</v>
      </c>
      <c r="F11" s="7">
        <v>0</v>
      </c>
      <c r="G11" s="8"/>
      <c r="W11" s="19"/>
      <c r="X11" s="19"/>
      <c r="Y11" s="19"/>
    </row>
    <row r="12" spans="2:67" ht="30" customHeight="1" x14ac:dyDescent="0.45">
      <c r="B12" s="116" t="s">
        <v>34</v>
      </c>
      <c r="C12" s="7">
        <v>7</v>
      </c>
      <c r="D12" s="7">
        <v>1</v>
      </c>
      <c r="E12" s="7">
        <v>0</v>
      </c>
      <c r="F12" s="7">
        <v>0</v>
      </c>
      <c r="G12" s="8"/>
      <c r="W12" s="19"/>
      <c r="X12" s="19"/>
      <c r="Y12" s="19"/>
    </row>
    <row r="13" spans="2:67" ht="30" customHeight="1" x14ac:dyDescent="0.45">
      <c r="B13" s="116" t="s">
        <v>29</v>
      </c>
      <c r="C13" s="7">
        <v>1</v>
      </c>
      <c r="D13" s="7">
        <v>12</v>
      </c>
      <c r="E13" s="7">
        <v>0</v>
      </c>
      <c r="F13" s="7">
        <v>0</v>
      </c>
      <c r="G13" s="8">
        <v>0.2</v>
      </c>
      <c r="W13" s="19"/>
      <c r="X13" s="19"/>
      <c r="Y13" s="19"/>
    </row>
    <row r="14" spans="2:67" ht="30" customHeight="1" x14ac:dyDescent="0.45">
      <c r="B14" s="116" t="s">
        <v>30</v>
      </c>
      <c r="C14" s="7">
        <v>9</v>
      </c>
      <c r="D14" s="7">
        <v>6</v>
      </c>
      <c r="E14" s="7">
        <v>0</v>
      </c>
      <c r="F14" s="7">
        <v>0</v>
      </c>
      <c r="G14" s="8"/>
      <c r="W14" s="19"/>
      <c r="X14" s="19"/>
      <c r="Y14" s="19"/>
    </row>
    <row r="15" spans="2:67" ht="30" customHeight="1" x14ac:dyDescent="0.45">
      <c r="B15" s="116" t="s">
        <v>32</v>
      </c>
      <c r="C15" s="7">
        <v>12</v>
      </c>
      <c r="D15" s="7">
        <v>4</v>
      </c>
      <c r="E15" s="7">
        <v>0</v>
      </c>
      <c r="F15" s="7">
        <v>0</v>
      </c>
      <c r="G15" s="8"/>
      <c r="W15" s="19"/>
      <c r="X15" s="19"/>
      <c r="Y15" s="19"/>
    </row>
    <row r="16" spans="2:67" ht="30" customHeight="1" x14ac:dyDescent="0.45">
      <c r="B16" s="116" t="s">
        <v>33</v>
      </c>
      <c r="C16" s="7">
        <v>15</v>
      </c>
      <c r="D16" s="7">
        <v>1</v>
      </c>
      <c r="E16" s="7">
        <v>0</v>
      </c>
      <c r="F16" s="7">
        <v>0</v>
      </c>
      <c r="G16" s="8"/>
      <c r="W16" s="19"/>
      <c r="X16" s="19"/>
      <c r="Y16" s="19"/>
    </row>
    <row r="17" spans="2:7" ht="30" hidden="1" customHeight="1" x14ac:dyDescent="0.45">
      <c r="B17" s="6" t="s">
        <v>1</v>
      </c>
      <c r="C17" s="7">
        <v>0</v>
      </c>
      <c r="D17" s="7">
        <v>0</v>
      </c>
      <c r="E17" s="7">
        <v>0</v>
      </c>
      <c r="F17" s="7">
        <v>0</v>
      </c>
      <c r="G17" s="8">
        <v>0.6</v>
      </c>
    </row>
    <row r="18" spans="2:7" ht="30" hidden="1" customHeight="1" x14ac:dyDescent="0.45">
      <c r="B18" s="6" t="s">
        <v>2</v>
      </c>
      <c r="C18" s="7">
        <v>0</v>
      </c>
      <c r="D18" s="7">
        <v>0</v>
      </c>
      <c r="E18" s="7">
        <v>0</v>
      </c>
      <c r="F18" s="7">
        <v>0</v>
      </c>
      <c r="G18" s="8">
        <v>0</v>
      </c>
    </row>
    <row r="19" spans="2:7" ht="30" hidden="1" customHeight="1" x14ac:dyDescent="0.45">
      <c r="B19" s="6" t="s">
        <v>3</v>
      </c>
      <c r="C19" s="7">
        <v>0</v>
      </c>
      <c r="D19" s="7">
        <v>0</v>
      </c>
      <c r="E19" s="7">
        <v>0</v>
      </c>
      <c r="F19" s="7">
        <v>0</v>
      </c>
      <c r="G19" s="8">
        <v>0.5</v>
      </c>
    </row>
    <row r="20" spans="2:7" ht="30" hidden="1" customHeight="1" x14ac:dyDescent="0.45">
      <c r="B20" s="6" t="s">
        <v>4</v>
      </c>
      <c r="C20" s="7">
        <v>0</v>
      </c>
      <c r="D20" s="7">
        <v>0</v>
      </c>
      <c r="E20" s="7">
        <v>0</v>
      </c>
      <c r="F20" s="7">
        <v>0</v>
      </c>
      <c r="G20" s="8">
        <v>0</v>
      </c>
    </row>
    <row r="21" spans="2:7" ht="30" hidden="1" customHeight="1" x14ac:dyDescent="0.45">
      <c r="B21" s="6" t="s">
        <v>5</v>
      </c>
      <c r="C21" s="7">
        <v>0</v>
      </c>
      <c r="D21" s="7">
        <v>0</v>
      </c>
      <c r="E21" s="7">
        <v>0</v>
      </c>
      <c r="F21" s="7">
        <v>0</v>
      </c>
      <c r="G21" s="8">
        <v>0.01</v>
      </c>
    </row>
    <row r="22" spans="2:7" ht="30" hidden="1" customHeight="1" x14ac:dyDescent="0.45">
      <c r="B22" s="6" t="s">
        <v>6</v>
      </c>
      <c r="C22" s="7">
        <v>0</v>
      </c>
      <c r="D22" s="7">
        <v>0</v>
      </c>
      <c r="E22" s="7">
        <v>0</v>
      </c>
      <c r="F22" s="7">
        <v>0</v>
      </c>
      <c r="G22" s="8">
        <v>0.8</v>
      </c>
    </row>
    <row r="23" spans="2:7" ht="30" hidden="1" customHeight="1" x14ac:dyDescent="0.45">
      <c r="B23" s="6" t="s">
        <v>7</v>
      </c>
      <c r="C23" s="7">
        <v>0</v>
      </c>
      <c r="D23" s="7">
        <v>0</v>
      </c>
      <c r="E23" s="7">
        <v>0</v>
      </c>
      <c r="F23" s="7">
        <v>0</v>
      </c>
      <c r="G23" s="8">
        <v>0</v>
      </c>
    </row>
    <row r="24" spans="2:7" ht="30" hidden="1" customHeight="1" x14ac:dyDescent="0.45">
      <c r="B24" s="6" t="s">
        <v>8</v>
      </c>
      <c r="C24" s="7">
        <v>0</v>
      </c>
      <c r="D24" s="7">
        <v>0</v>
      </c>
      <c r="E24" s="7">
        <v>0</v>
      </c>
      <c r="F24" s="7">
        <v>0</v>
      </c>
      <c r="G24" s="8">
        <v>0</v>
      </c>
    </row>
    <row r="25" spans="2:7" ht="30" hidden="1" customHeight="1" x14ac:dyDescent="0.45">
      <c r="B25" s="6" t="s">
        <v>9</v>
      </c>
      <c r="C25" s="7">
        <v>0</v>
      </c>
      <c r="D25" s="7">
        <v>0</v>
      </c>
      <c r="E25" s="7">
        <v>0</v>
      </c>
      <c r="F25" s="7">
        <v>0</v>
      </c>
      <c r="G25" s="8">
        <v>0</v>
      </c>
    </row>
    <row r="26" spans="2:7" ht="30" hidden="1" customHeight="1" x14ac:dyDescent="0.45">
      <c r="B26" s="6" t="s">
        <v>10</v>
      </c>
      <c r="C26" s="7">
        <v>0</v>
      </c>
      <c r="D26" s="7">
        <v>0</v>
      </c>
      <c r="E26" s="7">
        <v>0</v>
      </c>
      <c r="F26" s="7">
        <v>0</v>
      </c>
      <c r="G26" s="8">
        <v>0</v>
      </c>
    </row>
    <row r="27" spans="2:7" ht="30" hidden="1" customHeight="1" x14ac:dyDescent="0.45">
      <c r="B27" s="6" t="s">
        <v>11</v>
      </c>
      <c r="C27" s="7">
        <v>0</v>
      </c>
      <c r="D27" s="7">
        <v>0</v>
      </c>
      <c r="E27" s="7">
        <v>0</v>
      </c>
      <c r="F27" s="7">
        <v>0</v>
      </c>
      <c r="G27" s="8">
        <v>0.44</v>
      </c>
    </row>
    <row r="28" spans="2:7" ht="30" hidden="1" customHeight="1" x14ac:dyDescent="0.45">
      <c r="B28" s="6" t="s">
        <v>12</v>
      </c>
      <c r="C28" s="7">
        <v>0</v>
      </c>
      <c r="D28" s="7">
        <v>0</v>
      </c>
      <c r="E28" s="7">
        <v>0</v>
      </c>
      <c r="F28" s="7">
        <v>0</v>
      </c>
      <c r="G28" s="8">
        <v>0</v>
      </c>
    </row>
    <row r="29" spans="2:7" ht="30" hidden="1" customHeight="1" x14ac:dyDescent="0.45">
      <c r="B29" s="6" t="s">
        <v>13</v>
      </c>
      <c r="C29" s="7">
        <v>0</v>
      </c>
      <c r="D29" s="7">
        <v>0</v>
      </c>
      <c r="E29" s="7">
        <v>0</v>
      </c>
      <c r="F29" s="7">
        <v>0</v>
      </c>
      <c r="G29" s="8">
        <v>0.12</v>
      </c>
    </row>
    <row r="30" spans="2:7" ht="30" hidden="1" customHeight="1" x14ac:dyDescent="0.45">
      <c r="B30" s="6" t="s">
        <v>14</v>
      </c>
      <c r="C30" s="7">
        <v>0</v>
      </c>
      <c r="D30" s="7">
        <v>0</v>
      </c>
      <c r="E30" s="7">
        <v>0</v>
      </c>
      <c r="F30" s="7">
        <v>0</v>
      </c>
      <c r="G30" s="8">
        <v>0.05</v>
      </c>
    </row>
    <row r="31" spans="2:7" ht="30" hidden="1" customHeight="1" x14ac:dyDescent="0.45">
      <c r="B31" s="6" t="s">
        <v>15</v>
      </c>
      <c r="C31" s="7">
        <v>0</v>
      </c>
      <c r="D31" s="7">
        <v>0</v>
      </c>
      <c r="E31" s="7">
        <v>0</v>
      </c>
      <c r="F31" s="7">
        <v>0</v>
      </c>
      <c r="G31" s="8">
        <v>0</v>
      </c>
    </row>
    <row r="32" spans="2:7" ht="30" hidden="1" customHeight="1" x14ac:dyDescent="0.45">
      <c r="B32" s="6" t="s">
        <v>16</v>
      </c>
      <c r="C32" s="7">
        <v>0</v>
      </c>
      <c r="D32" s="7">
        <v>0</v>
      </c>
      <c r="E32" s="7">
        <v>0</v>
      </c>
      <c r="F32" s="7">
        <v>0</v>
      </c>
      <c r="G32" s="8">
        <v>0.5</v>
      </c>
    </row>
  </sheetData>
  <mergeCells count="12">
    <mergeCell ref="AI2:AP2"/>
    <mergeCell ref="B2:F2"/>
    <mergeCell ref="B3:B4"/>
    <mergeCell ref="C3:C4"/>
    <mergeCell ref="D3:D4"/>
    <mergeCell ref="E3:E4"/>
    <mergeCell ref="F3:F4"/>
    <mergeCell ref="G3:G4"/>
    <mergeCell ref="K2:O2"/>
    <mergeCell ref="Q2:T2"/>
    <mergeCell ref="V2:Y2"/>
    <mergeCell ref="AA2:AG2"/>
  </mergeCells>
  <conditionalFormatting sqref="H5:BO32">
    <cfRule type="expression" dxfId="44" priority="1">
      <formula>PercentComplete</formula>
    </cfRule>
    <cfRule type="expression" dxfId="43" priority="3">
      <formula>PercentCompleteBeyond</formula>
    </cfRule>
    <cfRule type="expression" dxfId="42" priority="4">
      <formula>Actual</formula>
    </cfRule>
    <cfRule type="expression" dxfId="41" priority="5">
      <formula>ActualBeyond</formula>
    </cfRule>
    <cfRule type="expression" dxfId="40" priority="6">
      <formula>Plan</formula>
    </cfRule>
    <cfRule type="expression" dxfId="39" priority="7">
      <formula>H$4=period_selected</formula>
    </cfRule>
    <cfRule type="expression" dxfId="38" priority="11">
      <formula>MOD(COLUMN(),2)</formula>
    </cfRule>
    <cfRule type="expression" dxfId="37" priority="12">
      <formula>MOD(COLUMN(),2)=0</formula>
    </cfRule>
  </conditionalFormatting>
  <conditionalFormatting sqref="B33:BO33">
    <cfRule type="expression" dxfId="36" priority="2">
      <formula>TRUE</formula>
    </cfRule>
  </conditionalFormatting>
  <conditionalFormatting sqref="H4:BO4">
    <cfRule type="expression" dxfId="35" priority="8">
      <formula>H$4=period_selected</formula>
    </cfRule>
  </conditionalFormatting>
  <dataValidations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A1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H2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J2"/>
    <dataValidation allowBlank="1" showInputMessage="1" showErrorMessage="1" prompt="This legend cell indicates actual duration" sqref="P2"/>
    <dataValidation allowBlank="1" showInputMessage="1" showErrorMessage="1" prompt="This legend cell indicates the percentage of project completed" sqref="U2"/>
    <dataValidation allowBlank="1" showInputMessage="1" showErrorMessage="1" prompt="This legend cell indicates actual duration beyond plan" sqref="Z2"/>
    <dataValidation allowBlank="1" showInputMessage="1" showErrorMessage="1" prompt="This legend cell indicates the percentage of project completed beyond plan" sqref="AH2"/>
    <dataValidation allowBlank="1" showInputMessage="1" showErrorMessage="1" prompt="Periods are charted from 1 to 60 starting from cell H4 to cell BO4 " sqref="H3:AW3"/>
    <dataValidation allowBlank="1" showInputMessage="1" showErrorMessage="1" prompt="Enter activity in column B, starting with cell B5_x000a_" sqref="B3:B4"/>
    <dataValidation allowBlank="1" showInputMessage="1" showErrorMessage="1" prompt="Enter plan start period in column C, starting with cell C5" sqref="C3:C4"/>
    <dataValidation allowBlank="1" showInputMessage="1" showErrorMessage="1" prompt="Enter plan duration period in column D, starting with cell D5" sqref="D3:D4"/>
    <dataValidation allowBlank="1" showInputMessage="1" showErrorMessage="1" prompt="Enter actual start period in column E, starting with cell E5" sqref="E3:E4"/>
    <dataValidation allowBlank="1" showInputMessage="1" showErrorMessage="1" prompt="Enter actual duration period in column F, starting with cell F5" sqref="F3:F4"/>
    <dataValidation allowBlank="1" showInputMessage="1" showErrorMessage="1" prompt="Enter the percentage of project completed in column G, starting with cell G5" sqref="G3:G4"/>
    <dataValidation allowBlank="1" showInputMessage="1" showErrorMessage="1" prompt="Title of the project. Enter a new title in this cell. Highlight a period in H2. Chart legend is in J2 to AI2" sqref="B1"/>
    <dataValidation allowBlank="1" showInputMessage="1" showErrorMessage="1" prompt="Select a period to highlight in H2. A Chart legend is in J2 to AI2" sqref="B2:F2"/>
  </dataValidations>
  <printOptions horizontalCentered="1"/>
  <pageMargins left="0.45" right="0.45" top="0.5" bottom="0.5" header="0.3" footer="0.3"/>
  <pageSetup scale="51" fitToHeight="0" orientation="landscape" r:id="rId1"/>
  <headerFooter differentFirst="1">
    <oddFooter>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29"/>
  <sheetViews>
    <sheetView tabSelected="1" zoomScaleNormal="100" workbookViewId="0">
      <selection activeCell="F106" sqref="F106"/>
    </sheetView>
  </sheetViews>
  <sheetFormatPr defaultColWidth="0" defaultRowHeight="14.4" customHeight="1" zeroHeight="1" x14ac:dyDescent="0.4"/>
  <cols>
    <col min="1" max="1" width="51.2109375" style="20" customWidth="1"/>
    <col min="2" max="2" width="9.78515625" style="20" customWidth="1"/>
    <col min="3" max="3" width="10.5703125" style="20" customWidth="1"/>
    <col min="4" max="4" width="5.2109375" style="20" customWidth="1"/>
    <col min="5" max="5" width="9.78515625" style="20" customWidth="1"/>
    <col min="6" max="6" width="70.35546875" style="20" customWidth="1"/>
    <col min="7" max="7" width="0" style="20" hidden="1" customWidth="1"/>
    <col min="8" max="16384" width="8.85546875" style="20" hidden="1"/>
  </cols>
  <sheetData>
    <row r="1" spans="1:6" ht="14.6" x14ac:dyDescent="0.4">
      <c r="A1" s="20" t="s">
        <v>36</v>
      </c>
      <c r="B1" s="21" t="s">
        <v>37</v>
      </c>
      <c r="C1" s="21" t="s">
        <v>38</v>
      </c>
      <c r="D1" s="21" t="s">
        <v>39</v>
      </c>
      <c r="E1" s="21" t="s">
        <v>40</v>
      </c>
      <c r="F1" s="20" t="s">
        <v>41</v>
      </c>
    </row>
    <row r="2" spans="1:6" ht="14.6" hidden="1" x14ac:dyDescent="0.4">
      <c r="A2" s="28" t="s">
        <v>74</v>
      </c>
      <c r="B2" s="22">
        <v>42992</v>
      </c>
      <c r="C2" s="22">
        <v>42993</v>
      </c>
      <c r="D2" s="23">
        <v>1.5</v>
      </c>
      <c r="E2" s="22">
        <v>43006</v>
      </c>
      <c r="F2" s="32" t="s">
        <v>79</v>
      </c>
    </row>
    <row r="3" spans="1:6" ht="14.6" hidden="1" x14ac:dyDescent="0.4">
      <c r="A3" s="25" t="s">
        <v>60</v>
      </c>
      <c r="B3" s="22">
        <v>42986</v>
      </c>
      <c r="C3" s="22">
        <v>42999</v>
      </c>
      <c r="D3" s="23">
        <v>1.5</v>
      </c>
      <c r="E3" s="22">
        <v>43006</v>
      </c>
      <c r="F3" s="32" t="s">
        <v>81</v>
      </c>
    </row>
    <row r="4" spans="1:6" ht="14.6" hidden="1" x14ac:dyDescent="0.4">
      <c r="A4" s="20" t="s">
        <v>42</v>
      </c>
      <c r="B4" s="22">
        <v>42983</v>
      </c>
      <c r="C4" s="22">
        <v>42983</v>
      </c>
      <c r="D4" s="23">
        <v>1</v>
      </c>
      <c r="E4" s="22">
        <v>42984</v>
      </c>
    </row>
    <row r="5" spans="1:6" ht="14.6" hidden="1" x14ac:dyDescent="0.4">
      <c r="A5" s="20" t="s">
        <v>43</v>
      </c>
      <c r="B5" s="22">
        <v>42983</v>
      </c>
      <c r="C5" s="22">
        <v>42983</v>
      </c>
      <c r="D5" s="23">
        <v>1</v>
      </c>
      <c r="E5" s="22">
        <v>42992</v>
      </c>
      <c r="F5" s="20" t="s">
        <v>44</v>
      </c>
    </row>
    <row r="6" spans="1:6" ht="14.6" hidden="1" x14ac:dyDescent="0.4">
      <c r="A6" s="20" t="s">
        <v>45</v>
      </c>
      <c r="B6" s="22">
        <v>42983</v>
      </c>
      <c r="C6" s="22">
        <v>42983</v>
      </c>
      <c r="D6" s="23">
        <v>1</v>
      </c>
      <c r="E6" s="22">
        <v>42984</v>
      </c>
    </row>
    <row r="7" spans="1:6" ht="14.6" hidden="1" x14ac:dyDescent="0.4">
      <c r="A7" s="20" t="s">
        <v>47</v>
      </c>
      <c r="B7" s="22">
        <v>42983</v>
      </c>
      <c r="C7" s="22">
        <v>42984</v>
      </c>
      <c r="D7" s="23">
        <v>1</v>
      </c>
      <c r="E7" s="22">
        <v>42986</v>
      </c>
      <c r="F7" s="24" t="s">
        <v>59</v>
      </c>
    </row>
    <row r="8" spans="1:6" ht="14.6" hidden="1" x14ac:dyDescent="0.4">
      <c r="A8" s="20" t="s">
        <v>46</v>
      </c>
      <c r="B8" s="22">
        <v>42983</v>
      </c>
      <c r="C8" s="22">
        <v>42990</v>
      </c>
      <c r="D8" s="23">
        <v>1</v>
      </c>
      <c r="E8" s="22">
        <v>42990</v>
      </c>
    </row>
    <row r="9" spans="1:6" ht="14.6" hidden="1" x14ac:dyDescent="0.4">
      <c r="A9" s="20" t="s">
        <v>50</v>
      </c>
      <c r="B9" s="22">
        <v>42983</v>
      </c>
      <c r="C9" s="22">
        <v>42990</v>
      </c>
      <c r="D9" s="23">
        <v>1</v>
      </c>
      <c r="E9" s="22">
        <v>42991</v>
      </c>
      <c r="F9" s="26" t="s">
        <v>66</v>
      </c>
    </row>
    <row r="10" spans="1:6" ht="14.6" hidden="1" x14ac:dyDescent="0.4">
      <c r="A10" s="29" t="s">
        <v>75</v>
      </c>
      <c r="B10" s="22">
        <v>42990</v>
      </c>
      <c r="C10" s="22">
        <v>42992</v>
      </c>
      <c r="D10" s="23">
        <v>1</v>
      </c>
      <c r="E10" s="22">
        <v>43027</v>
      </c>
      <c r="F10" s="31" t="s">
        <v>77</v>
      </c>
    </row>
    <row r="11" spans="1:6" ht="14.6" hidden="1" x14ac:dyDescent="0.4">
      <c r="A11" s="20" t="s">
        <v>54</v>
      </c>
      <c r="B11" s="22">
        <v>42984</v>
      </c>
      <c r="C11" s="22">
        <v>42992</v>
      </c>
      <c r="D11" s="23">
        <v>1</v>
      </c>
      <c r="E11" s="22">
        <v>42992</v>
      </c>
      <c r="F11" s="25" t="s">
        <v>64</v>
      </c>
    </row>
    <row r="12" spans="1:6" ht="14.6" hidden="1" x14ac:dyDescent="0.4">
      <c r="A12" s="20" t="s">
        <v>51</v>
      </c>
      <c r="B12" s="22">
        <v>42983</v>
      </c>
      <c r="C12" s="22">
        <v>42992</v>
      </c>
      <c r="D12" s="23">
        <v>1</v>
      </c>
      <c r="E12" s="22">
        <v>42992</v>
      </c>
      <c r="F12" s="20" t="s">
        <v>52</v>
      </c>
    </row>
    <row r="13" spans="1:6" ht="14.6" hidden="1" x14ac:dyDescent="0.4">
      <c r="A13" s="26" t="s">
        <v>67</v>
      </c>
      <c r="B13" s="22">
        <v>42990</v>
      </c>
      <c r="C13" s="22">
        <v>42993</v>
      </c>
      <c r="D13" s="23">
        <v>1</v>
      </c>
      <c r="E13" s="22">
        <v>43006</v>
      </c>
      <c r="F13" s="26" t="s">
        <v>68</v>
      </c>
    </row>
    <row r="14" spans="1:6" ht="14.6" hidden="1" x14ac:dyDescent="0.4">
      <c r="A14" s="30" t="s">
        <v>76</v>
      </c>
      <c r="B14" s="22">
        <v>42998</v>
      </c>
      <c r="C14" s="22">
        <v>42998</v>
      </c>
      <c r="D14" s="23">
        <v>1</v>
      </c>
      <c r="E14" s="22">
        <v>43006</v>
      </c>
    </row>
    <row r="15" spans="1:6" ht="14.6" hidden="1" x14ac:dyDescent="0.4">
      <c r="A15" s="20" t="s">
        <v>48</v>
      </c>
      <c r="B15" s="22">
        <v>42983</v>
      </c>
      <c r="C15" s="22">
        <v>42991</v>
      </c>
      <c r="D15" s="23">
        <v>1</v>
      </c>
      <c r="E15" s="22">
        <v>42999</v>
      </c>
      <c r="F15" s="28" t="s">
        <v>70</v>
      </c>
    </row>
    <row r="16" spans="1:6" ht="14.6" hidden="1" x14ac:dyDescent="0.4">
      <c r="A16" s="20" t="s">
        <v>49</v>
      </c>
      <c r="B16" s="22">
        <v>42983</v>
      </c>
      <c r="C16" s="22">
        <v>42991</v>
      </c>
      <c r="D16" s="23">
        <v>1</v>
      </c>
      <c r="E16" s="22">
        <v>42999</v>
      </c>
      <c r="F16" s="28" t="s">
        <v>73</v>
      </c>
    </row>
    <row r="17" spans="1:6" ht="14.6" hidden="1" x14ac:dyDescent="0.4">
      <c r="A17" s="32" t="s">
        <v>78</v>
      </c>
      <c r="B17" s="22">
        <v>43021</v>
      </c>
      <c r="C17" s="22">
        <v>43021</v>
      </c>
      <c r="D17" s="23">
        <v>1</v>
      </c>
      <c r="E17" s="22">
        <v>43027</v>
      </c>
    </row>
    <row r="18" spans="1:6" ht="14.6" hidden="1" x14ac:dyDescent="0.4">
      <c r="A18" s="32" t="s">
        <v>83</v>
      </c>
      <c r="B18" s="22">
        <v>43021</v>
      </c>
      <c r="C18" s="22">
        <v>43021</v>
      </c>
      <c r="D18" s="23">
        <v>1</v>
      </c>
      <c r="E18" s="22">
        <v>43027</v>
      </c>
      <c r="F18" s="32"/>
    </row>
    <row r="19" spans="1:6" ht="14.6" hidden="1" x14ac:dyDescent="0.4">
      <c r="A19" s="32" t="s">
        <v>84</v>
      </c>
      <c r="B19" s="22">
        <v>43021</v>
      </c>
      <c r="C19" s="22">
        <v>43024</v>
      </c>
      <c r="D19" s="23">
        <v>1</v>
      </c>
      <c r="E19" s="22">
        <v>43027</v>
      </c>
      <c r="F19" s="32" t="s">
        <v>85</v>
      </c>
    </row>
    <row r="20" spans="1:6" ht="14.6" hidden="1" x14ac:dyDescent="0.4">
      <c r="A20" s="34" t="s">
        <v>89</v>
      </c>
      <c r="B20" s="22">
        <v>43021</v>
      </c>
      <c r="C20" s="22">
        <v>43024</v>
      </c>
      <c r="D20" s="23">
        <v>1</v>
      </c>
      <c r="E20" s="22">
        <v>43027</v>
      </c>
      <c r="F20" s="32"/>
    </row>
    <row r="21" spans="1:6" ht="14.6" hidden="1" x14ac:dyDescent="0.4">
      <c r="A21" s="34" t="s">
        <v>88</v>
      </c>
      <c r="B21" s="22">
        <v>43021</v>
      </c>
      <c r="C21" s="22">
        <v>43027</v>
      </c>
      <c r="D21" s="23">
        <v>1</v>
      </c>
      <c r="E21" s="22">
        <v>43023</v>
      </c>
      <c r="F21" s="32"/>
    </row>
    <row r="22" spans="1:6" ht="14.6" hidden="1" x14ac:dyDescent="0.4">
      <c r="A22" s="33" t="s">
        <v>86</v>
      </c>
      <c r="B22" s="22">
        <v>43021</v>
      </c>
      <c r="C22" s="22">
        <v>43027</v>
      </c>
      <c r="D22" s="23">
        <v>1</v>
      </c>
      <c r="E22" s="22">
        <v>43027</v>
      </c>
      <c r="F22" s="33" t="s">
        <v>87</v>
      </c>
    </row>
    <row r="23" spans="1:6" ht="14.6" hidden="1" x14ac:dyDescent="0.4">
      <c r="A23" s="35" t="s">
        <v>92</v>
      </c>
      <c r="B23" s="22">
        <v>43024</v>
      </c>
      <c r="C23" s="22">
        <v>43025</v>
      </c>
      <c r="D23" s="23">
        <v>1</v>
      </c>
      <c r="E23" s="22">
        <v>43034</v>
      </c>
      <c r="F23" s="36" t="s">
        <v>93</v>
      </c>
    </row>
    <row r="24" spans="1:6" ht="14.6" hidden="1" x14ac:dyDescent="0.4">
      <c r="A24" s="37" t="s">
        <v>94</v>
      </c>
      <c r="B24" s="22">
        <v>43026</v>
      </c>
      <c r="C24" s="22">
        <v>43027</v>
      </c>
      <c r="D24" s="23">
        <v>1</v>
      </c>
      <c r="E24" s="22">
        <v>43034</v>
      </c>
      <c r="F24" s="38" t="s">
        <v>95</v>
      </c>
    </row>
    <row r="25" spans="1:6" ht="14.6" hidden="1" x14ac:dyDescent="0.4">
      <c r="A25" s="35" t="s">
        <v>91</v>
      </c>
      <c r="B25" s="22">
        <v>43024</v>
      </c>
      <c r="C25" s="22">
        <v>43026</v>
      </c>
      <c r="D25" s="23">
        <v>1</v>
      </c>
      <c r="E25" s="22">
        <v>43034</v>
      </c>
      <c r="F25" s="32"/>
    </row>
    <row r="26" spans="1:6" ht="14.6" hidden="1" x14ac:dyDescent="0.4">
      <c r="A26" s="34" t="s">
        <v>90</v>
      </c>
      <c r="B26" s="22">
        <v>43021</v>
      </c>
      <c r="C26" s="22">
        <v>43024</v>
      </c>
      <c r="D26" s="23">
        <v>1</v>
      </c>
      <c r="E26" s="22">
        <v>43027</v>
      </c>
      <c r="F26" s="32"/>
    </row>
    <row r="27" spans="1:6" ht="14.6" hidden="1" x14ac:dyDescent="0.4">
      <c r="A27" s="44" t="s">
        <v>118</v>
      </c>
      <c r="B27" s="22">
        <v>43109</v>
      </c>
      <c r="C27" s="22">
        <v>43118</v>
      </c>
      <c r="D27" s="23">
        <v>1</v>
      </c>
      <c r="E27" s="22">
        <v>43118</v>
      </c>
      <c r="F27" s="32"/>
    </row>
    <row r="28" spans="1:6" ht="14.6" hidden="1" x14ac:dyDescent="0.4">
      <c r="A28" s="38" t="s">
        <v>96</v>
      </c>
      <c r="B28" s="22">
        <v>43109</v>
      </c>
      <c r="C28" s="22">
        <v>43118</v>
      </c>
      <c r="D28" s="23">
        <v>1</v>
      </c>
      <c r="E28" s="22">
        <v>43118</v>
      </c>
      <c r="F28" s="32"/>
    </row>
    <row r="29" spans="1:6" ht="14.6" hidden="1" x14ac:dyDescent="0.4">
      <c r="A29" s="27" t="s">
        <v>69</v>
      </c>
      <c r="B29" s="22">
        <v>43109</v>
      </c>
      <c r="C29" s="22">
        <v>43118</v>
      </c>
      <c r="D29" s="23">
        <v>1.5</v>
      </c>
      <c r="E29" s="22">
        <v>43125</v>
      </c>
      <c r="F29" s="54"/>
    </row>
    <row r="30" spans="1:6" ht="14.6" x14ac:dyDescent="0.4">
      <c r="A30" s="94" t="s">
        <v>198</v>
      </c>
      <c r="B30" s="22">
        <v>43140</v>
      </c>
      <c r="C30" s="80">
        <v>43159</v>
      </c>
      <c r="D30" s="23">
        <v>0</v>
      </c>
      <c r="E30" s="22">
        <v>43174</v>
      </c>
      <c r="F30" s="88"/>
    </row>
    <row r="31" spans="1:6" ht="14.6" hidden="1" x14ac:dyDescent="0.4">
      <c r="A31" s="25" t="s">
        <v>61</v>
      </c>
      <c r="B31" s="22">
        <v>42986</v>
      </c>
      <c r="C31" s="22">
        <v>43060</v>
      </c>
      <c r="D31" s="23">
        <v>1.5</v>
      </c>
      <c r="E31" s="22">
        <v>43040</v>
      </c>
      <c r="F31" s="25" t="s">
        <v>62</v>
      </c>
    </row>
    <row r="32" spans="1:6" ht="14.6" hidden="1" x14ac:dyDescent="0.4">
      <c r="A32" s="28" t="s">
        <v>71</v>
      </c>
      <c r="B32" s="22">
        <v>43109</v>
      </c>
      <c r="C32" s="22">
        <v>43118</v>
      </c>
      <c r="D32" s="23">
        <v>1.5</v>
      </c>
      <c r="E32" s="22">
        <v>43125</v>
      </c>
      <c r="F32" s="56" t="s">
        <v>72</v>
      </c>
    </row>
    <row r="33" spans="1:6" ht="14.6" hidden="1" x14ac:dyDescent="0.4">
      <c r="A33" s="68" t="s">
        <v>149</v>
      </c>
      <c r="B33" s="22">
        <v>43124</v>
      </c>
      <c r="C33" s="22">
        <v>43125</v>
      </c>
      <c r="D33" s="23">
        <v>1</v>
      </c>
      <c r="E33" s="22">
        <v>43132</v>
      </c>
      <c r="F33" s="69" t="s">
        <v>148</v>
      </c>
    </row>
    <row r="34" spans="1:6" ht="14.6" hidden="1" x14ac:dyDescent="0.4">
      <c r="A34" s="68" t="s">
        <v>147</v>
      </c>
      <c r="B34" s="22">
        <v>43124</v>
      </c>
      <c r="C34" s="22">
        <v>43124</v>
      </c>
      <c r="D34" s="23">
        <v>1</v>
      </c>
      <c r="E34" s="22">
        <v>43125</v>
      </c>
      <c r="F34" s="59"/>
    </row>
    <row r="35" spans="1:6" ht="14.6" hidden="1" x14ac:dyDescent="0.4">
      <c r="A35" s="67" t="s">
        <v>146</v>
      </c>
      <c r="B35" s="22">
        <v>43122</v>
      </c>
      <c r="C35" s="22">
        <v>43122</v>
      </c>
      <c r="D35" s="23">
        <v>1</v>
      </c>
      <c r="E35" s="22">
        <v>43125</v>
      </c>
      <c r="F35" s="59"/>
    </row>
    <row r="36" spans="1:6" ht="14.6" hidden="1" x14ac:dyDescent="0.4">
      <c r="A36" s="48" t="s">
        <v>125</v>
      </c>
      <c r="B36" s="22">
        <v>43112</v>
      </c>
      <c r="C36" s="22">
        <v>43118</v>
      </c>
      <c r="D36" s="23">
        <v>1</v>
      </c>
      <c r="E36" s="22">
        <v>43125</v>
      </c>
      <c r="F36" s="59"/>
    </row>
    <row r="37" spans="1:6" ht="14.6" hidden="1" x14ac:dyDescent="0.4">
      <c r="A37" s="53" t="s">
        <v>134</v>
      </c>
      <c r="B37" s="22">
        <v>43117</v>
      </c>
      <c r="C37" s="22">
        <v>43117</v>
      </c>
      <c r="D37" s="23">
        <v>1</v>
      </c>
      <c r="E37" s="22">
        <v>43125</v>
      </c>
      <c r="F37" s="59"/>
    </row>
    <row r="38" spans="1:6" ht="14.6" hidden="1" x14ac:dyDescent="0.4">
      <c r="A38" s="39" t="s">
        <v>97</v>
      </c>
      <c r="B38" s="22">
        <v>43109</v>
      </c>
      <c r="C38" s="22">
        <v>43118</v>
      </c>
      <c r="D38" s="23">
        <v>1.5</v>
      </c>
      <c r="E38" s="22">
        <v>43125</v>
      </c>
      <c r="F38" s="60" t="s">
        <v>124</v>
      </c>
    </row>
    <row r="39" spans="1:6" ht="14.6" hidden="1" x14ac:dyDescent="0.4">
      <c r="A39" s="65" t="s">
        <v>139</v>
      </c>
      <c r="B39" s="22">
        <v>43119</v>
      </c>
      <c r="C39" s="22">
        <v>43122</v>
      </c>
      <c r="D39" s="23">
        <v>1</v>
      </c>
      <c r="E39" s="22">
        <v>43125</v>
      </c>
      <c r="F39" s="59"/>
    </row>
    <row r="40" spans="1:6" ht="14.6" hidden="1" x14ac:dyDescent="0.4">
      <c r="A40" s="45" t="s">
        <v>119</v>
      </c>
      <c r="B40" s="22">
        <v>43109</v>
      </c>
      <c r="C40" s="22">
        <v>43118</v>
      </c>
      <c r="D40" s="23">
        <v>1</v>
      </c>
      <c r="E40" s="22">
        <v>43118</v>
      </c>
      <c r="F40" s="32"/>
    </row>
    <row r="41" spans="1:6" ht="14.6" hidden="1" x14ac:dyDescent="0.4">
      <c r="A41" s="66" t="s">
        <v>141</v>
      </c>
      <c r="B41" s="22">
        <v>43119</v>
      </c>
      <c r="C41" s="22">
        <v>43122</v>
      </c>
      <c r="D41" s="23">
        <v>1</v>
      </c>
      <c r="E41" s="22">
        <v>43125</v>
      </c>
    </row>
    <row r="42" spans="1:6" ht="14.6" hidden="1" x14ac:dyDescent="0.4">
      <c r="A42" s="46" t="s">
        <v>120</v>
      </c>
      <c r="B42" s="22">
        <f ca="1">TODAY()</f>
        <v>43217</v>
      </c>
      <c r="C42" s="22">
        <v>43118</v>
      </c>
      <c r="D42" s="23">
        <v>1</v>
      </c>
      <c r="E42" s="22">
        <v>43118</v>
      </c>
      <c r="F42" s="32"/>
    </row>
    <row r="43" spans="1:6" ht="14.6" hidden="1" x14ac:dyDescent="0.4">
      <c r="A43" s="65" t="s">
        <v>142</v>
      </c>
      <c r="B43" s="22">
        <v>43119</v>
      </c>
      <c r="C43" s="22">
        <v>43119</v>
      </c>
      <c r="D43" s="23">
        <v>1</v>
      </c>
      <c r="E43" s="22">
        <v>43125</v>
      </c>
      <c r="F43" s="66" t="s">
        <v>143</v>
      </c>
    </row>
    <row r="44" spans="1:6" ht="14.6" hidden="1" x14ac:dyDescent="0.4">
      <c r="A44" s="47" t="s">
        <v>122</v>
      </c>
      <c r="B44" s="22">
        <f ca="1">TODAY()</f>
        <v>43217</v>
      </c>
      <c r="C44" s="22">
        <v>43118</v>
      </c>
      <c r="D44" s="23">
        <v>1</v>
      </c>
      <c r="E44" s="22">
        <v>43118</v>
      </c>
      <c r="F44" s="32"/>
    </row>
    <row r="45" spans="1:6" ht="14.6" hidden="1" x14ac:dyDescent="0.4">
      <c r="A45" s="47" t="s">
        <v>123</v>
      </c>
      <c r="B45" s="22">
        <f ca="1">TODAY()</f>
        <v>43217</v>
      </c>
      <c r="C45" s="22">
        <v>43118</v>
      </c>
      <c r="D45" s="23">
        <v>1</v>
      </c>
      <c r="E45" s="22">
        <v>43118</v>
      </c>
      <c r="F45" s="32"/>
    </row>
    <row r="46" spans="1:6" ht="14.6" hidden="1" x14ac:dyDescent="0.4">
      <c r="A46" s="67" t="s">
        <v>144</v>
      </c>
      <c r="B46" s="22">
        <v>43122</v>
      </c>
      <c r="C46" s="22">
        <v>43122</v>
      </c>
      <c r="D46" s="23">
        <v>1</v>
      </c>
      <c r="E46" s="22">
        <v>43125</v>
      </c>
      <c r="F46" s="59"/>
    </row>
    <row r="47" spans="1:6" ht="14.6" hidden="1" x14ac:dyDescent="0.4">
      <c r="A47" s="48" t="s">
        <v>126</v>
      </c>
      <c r="B47" s="22">
        <f ca="1">TODAY()</f>
        <v>43217</v>
      </c>
      <c r="C47" s="22"/>
      <c r="D47" s="23">
        <v>1</v>
      </c>
      <c r="E47" s="22">
        <v>43118</v>
      </c>
      <c r="F47" s="32"/>
    </row>
    <row r="48" spans="1:6" ht="14.6" hidden="1" x14ac:dyDescent="0.4">
      <c r="A48" s="48" t="s">
        <v>127</v>
      </c>
      <c r="B48" s="22"/>
      <c r="C48" s="22"/>
      <c r="D48" s="23">
        <v>1</v>
      </c>
      <c r="E48" s="22">
        <v>43118</v>
      </c>
      <c r="F48" s="32"/>
    </row>
    <row r="49" spans="1:6" ht="14.6" hidden="1" x14ac:dyDescent="0.4">
      <c r="A49" s="49" t="s">
        <v>128</v>
      </c>
      <c r="B49" s="22">
        <v>43112</v>
      </c>
      <c r="C49" s="22">
        <v>43118</v>
      </c>
      <c r="D49" s="23">
        <v>1</v>
      </c>
      <c r="E49" s="22">
        <v>43118</v>
      </c>
      <c r="F49" s="32"/>
    </row>
    <row r="50" spans="1:6" ht="14.6" hidden="1" x14ac:dyDescent="0.4">
      <c r="A50" s="50" t="s">
        <v>129</v>
      </c>
      <c r="B50" s="22">
        <v>43115</v>
      </c>
      <c r="C50" s="22">
        <v>43117</v>
      </c>
      <c r="D50" s="23">
        <v>1</v>
      </c>
      <c r="E50" s="22">
        <v>43118</v>
      </c>
      <c r="F50" s="61">
        <v>0.60416666666666663</v>
      </c>
    </row>
    <row r="51" spans="1:6" ht="14.6" hidden="1" x14ac:dyDescent="0.4">
      <c r="A51" s="51" t="s">
        <v>130</v>
      </c>
      <c r="B51" s="22">
        <v>43115</v>
      </c>
      <c r="C51" s="22">
        <v>43118</v>
      </c>
      <c r="D51" s="23">
        <v>1</v>
      </c>
      <c r="E51" s="22">
        <v>43118</v>
      </c>
      <c r="F51" s="59"/>
    </row>
    <row r="52" spans="1:6" ht="14.6" hidden="1" x14ac:dyDescent="0.4">
      <c r="A52" s="51" t="s">
        <v>131</v>
      </c>
      <c r="B52" s="22">
        <v>43116</v>
      </c>
      <c r="C52" s="22">
        <v>43116</v>
      </c>
      <c r="D52" s="23">
        <v>1</v>
      </c>
      <c r="E52" s="22">
        <v>43118</v>
      </c>
      <c r="F52" s="32"/>
    </row>
    <row r="53" spans="1:6" ht="14.6" hidden="1" x14ac:dyDescent="0.4">
      <c r="A53" s="52" t="s">
        <v>132</v>
      </c>
      <c r="B53" s="22">
        <v>43116</v>
      </c>
      <c r="C53" s="22">
        <v>43116</v>
      </c>
      <c r="D53" s="23">
        <v>1</v>
      </c>
      <c r="E53" s="22">
        <v>43118</v>
      </c>
      <c r="F53" s="32"/>
    </row>
    <row r="54" spans="1:6" ht="14.6" hidden="1" x14ac:dyDescent="0.4">
      <c r="A54" s="52" t="s">
        <v>133</v>
      </c>
      <c r="B54" s="22">
        <v>43116</v>
      </c>
      <c r="C54" s="22">
        <v>43116</v>
      </c>
      <c r="D54" s="23">
        <v>1</v>
      </c>
      <c r="E54" s="22">
        <v>43118</v>
      </c>
      <c r="F54" s="32"/>
    </row>
    <row r="55" spans="1:6" ht="14.6" hidden="1" x14ac:dyDescent="0.4">
      <c r="A55" s="47" t="s">
        <v>121</v>
      </c>
      <c r="B55" s="22">
        <v>43112</v>
      </c>
      <c r="C55" s="22">
        <v>43118</v>
      </c>
      <c r="D55" s="23">
        <v>1</v>
      </c>
      <c r="E55" s="22">
        <v>43125</v>
      </c>
      <c r="F55" s="62" t="s">
        <v>136</v>
      </c>
    </row>
    <row r="56" spans="1:6" ht="14.6" hidden="1" x14ac:dyDescent="0.4">
      <c r="A56" s="53" t="s">
        <v>135</v>
      </c>
      <c r="B56" s="22">
        <v>43117</v>
      </c>
      <c r="C56" s="22">
        <v>43118</v>
      </c>
      <c r="D56" s="23">
        <v>1</v>
      </c>
      <c r="E56" s="22">
        <v>43118</v>
      </c>
      <c r="F56" s="59"/>
    </row>
    <row r="57" spans="1:6" ht="14.6" hidden="1" x14ac:dyDescent="0.4">
      <c r="A57" s="63" t="s">
        <v>137</v>
      </c>
      <c r="B57" s="22">
        <v>43117</v>
      </c>
      <c r="C57" s="22">
        <v>43118</v>
      </c>
      <c r="D57" s="23">
        <v>1.5</v>
      </c>
      <c r="E57" s="22">
        <v>43125</v>
      </c>
      <c r="F57" s="59"/>
    </row>
    <row r="58" spans="1:6" ht="14.6" hidden="1" x14ac:dyDescent="0.4">
      <c r="A58" s="64" t="s">
        <v>138</v>
      </c>
      <c r="B58" s="22">
        <v>43117</v>
      </c>
      <c r="C58" s="22">
        <v>43117</v>
      </c>
      <c r="D58" s="23">
        <v>1</v>
      </c>
      <c r="E58" s="22">
        <v>43118</v>
      </c>
      <c r="F58" s="59"/>
    </row>
    <row r="59" spans="1:6" ht="14.6" hidden="1" x14ac:dyDescent="0.4">
      <c r="A59" s="68" t="s">
        <v>155</v>
      </c>
      <c r="B59" s="22">
        <v>43124</v>
      </c>
      <c r="C59" s="22">
        <v>43124</v>
      </c>
      <c r="D59" s="23">
        <v>1</v>
      </c>
      <c r="E59" s="22">
        <v>43125</v>
      </c>
      <c r="F59" s="59"/>
    </row>
    <row r="60" spans="1:6" ht="14.6" hidden="1" x14ac:dyDescent="0.4">
      <c r="A60" s="20" t="s">
        <v>53</v>
      </c>
      <c r="B60" s="22">
        <v>43109</v>
      </c>
      <c r="C60" s="22">
        <v>43118</v>
      </c>
      <c r="D60" s="23">
        <v>1.5</v>
      </c>
      <c r="E60" s="22">
        <v>43125</v>
      </c>
      <c r="F60" s="58" t="s">
        <v>63</v>
      </c>
    </row>
    <row r="61" spans="1:6" ht="14.6" hidden="1" x14ac:dyDescent="0.4">
      <c r="A61" s="68" t="s">
        <v>151</v>
      </c>
      <c r="B61" s="22">
        <v>43124</v>
      </c>
      <c r="C61" s="22">
        <v>43124</v>
      </c>
      <c r="D61" s="23">
        <v>1</v>
      </c>
      <c r="E61" s="22">
        <v>43125</v>
      </c>
      <c r="F61" s="59" t="s">
        <v>80</v>
      </c>
    </row>
    <row r="62" spans="1:6" ht="14.6" hidden="1" x14ac:dyDescent="0.4">
      <c r="A62" s="68" t="s">
        <v>152</v>
      </c>
      <c r="B62" s="22">
        <v>43124</v>
      </c>
      <c r="C62" s="22">
        <v>43124</v>
      </c>
      <c r="D62" s="23">
        <v>1</v>
      </c>
      <c r="E62" s="22">
        <v>43125</v>
      </c>
      <c r="F62" s="59"/>
    </row>
    <row r="63" spans="1:6" ht="14.6" hidden="1" x14ac:dyDescent="0.4">
      <c r="A63" s="67" t="s">
        <v>145</v>
      </c>
      <c r="B63" s="22">
        <v>43122</v>
      </c>
      <c r="C63" s="22">
        <v>43124</v>
      </c>
      <c r="D63" s="23">
        <v>1</v>
      </c>
      <c r="E63" s="22">
        <v>43125</v>
      </c>
      <c r="F63" s="59"/>
    </row>
    <row r="64" spans="1:6" ht="14.6" hidden="1" x14ac:dyDescent="0.4">
      <c r="A64" s="20" t="s">
        <v>58</v>
      </c>
      <c r="B64" s="22">
        <v>43109</v>
      </c>
      <c r="C64" s="22">
        <v>43118</v>
      </c>
      <c r="D64" s="23">
        <v>1.5</v>
      </c>
      <c r="E64" s="22">
        <v>43125</v>
      </c>
      <c r="F64" s="58" t="s">
        <v>65</v>
      </c>
    </row>
    <row r="65" spans="1:6" ht="14.6" hidden="1" x14ac:dyDescent="0.4">
      <c r="A65" s="68" t="s">
        <v>154</v>
      </c>
      <c r="B65" s="22">
        <v>43124</v>
      </c>
      <c r="C65" s="22">
        <v>43125</v>
      </c>
      <c r="D65" s="23">
        <v>1.5</v>
      </c>
      <c r="E65" s="22">
        <v>43132</v>
      </c>
      <c r="F65" s="59"/>
    </row>
    <row r="66" spans="1:6" ht="14.6" hidden="1" x14ac:dyDescent="0.4">
      <c r="A66" s="20" t="s">
        <v>55</v>
      </c>
      <c r="B66" s="22">
        <v>43124</v>
      </c>
      <c r="C66" s="22">
        <v>43126</v>
      </c>
      <c r="D66" s="23">
        <v>1</v>
      </c>
      <c r="E66" s="22">
        <v>43132</v>
      </c>
      <c r="F66" s="59" t="s">
        <v>82</v>
      </c>
    </row>
    <row r="67" spans="1:6" ht="14.6" x14ac:dyDescent="0.4">
      <c r="A67" s="68" t="s">
        <v>153</v>
      </c>
      <c r="B67" s="22">
        <v>43124</v>
      </c>
      <c r="C67" s="22">
        <v>43156</v>
      </c>
      <c r="D67" s="23">
        <v>0.25</v>
      </c>
      <c r="E67" s="22">
        <v>43174</v>
      </c>
      <c r="F67" s="59"/>
    </row>
    <row r="68" spans="1:6" ht="14.6" hidden="1" x14ac:dyDescent="0.4">
      <c r="A68" s="71" t="s">
        <v>156</v>
      </c>
      <c r="B68" s="22">
        <v>43125</v>
      </c>
      <c r="C68" s="22">
        <v>43136</v>
      </c>
      <c r="D68" s="23">
        <v>1.5</v>
      </c>
      <c r="E68" s="22">
        <v>43139</v>
      </c>
      <c r="F68" s="72" t="s">
        <v>157</v>
      </c>
    </row>
    <row r="69" spans="1:6" ht="14.6" hidden="1" x14ac:dyDescent="0.4">
      <c r="A69" s="39" t="s">
        <v>98</v>
      </c>
      <c r="B69" s="22">
        <v>43124</v>
      </c>
      <c r="C69" s="22">
        <v>43124</v>
      </c>
      <c r="D69" s="70">
        <v>1.5</v>
      </c>
      <c r="E69" s="22">
        <v>43125</v>
      </c>
      <c r="F69" s="69" t="s">
        <v>150</v>
      </c>
    </row>
    <row r="70" spans="1:6" ht="14.6" hidden="1" x14ac:dyDescent="0.4">
      <c r="A70" s="65" t="s">
        <v>140</v>
      </c>
      <c r="B70" s="22">
        <v>43119</v>
      </c>
      <c r="C70" s="22">
        <v>43136</v>
      </c>
      <c r="D70" s="23">
        <v>1</v>
      </c>
      <c r="E70" s="22">
        <v>43139</v>
      </c>
      <c r="F70" s="59"/>
    </row>
    <row r="71" spans="1:6" ht="14.6" hidden="1" x14ac:dyDescent="0.4">
      <c r="A71" s="20" t="s">
        <v>56</v>
      </c>
      <c r="B71" s="22">
        <v>43124</v>
      </c>
      <c r="C71" s="22">
        <v>43136</v>
      </c>
      <c r="D71" s="23">
        <v>1</v>
      </c>
      <c r="E71" s="22">
        <v>43139</v>
      </c>
      <c r="F71" s="57" t="s">
        <v>57</v>
      </c>
    </row>
    <row r="72" spans="1:6" ht="14.6" hidden="1" x14ac:dyDescent="0.4">
      <c r="A72" s="71" t="s">
        <v>158</v>
      </c>
      <c r="B72" s="22">
        <v>43125</v>
      </c>
      <c r="C72" s="22">
        <v>43126</v>
      </c>
      <c r="D72" s="23">
        <v>1</v>
      </c>
      <c r="E72" s="22">
        <v>43132</v>
      </c>
      <c r="F72" s="59"/>
    </row>
    <row r="73" spans="1:6" ht="14.6" hidden="1" x14ac:dyDescent="0.4">
      <c r="A73" s="73" t="s">
        <v>159</v>
      </c>
      <c r="B73" s="22">
        <v>43129</v>
      </c>
      <c r="C73" s="22">
        <v>43143</v>
      </c>
      <c r="D73" s="23">
        <v>1</v>
      </c>
      <c r="E73" s="22">
        <v>43160</v>
      </c>
      <c r="F73" s="74" t="s">
        <v>160</v>
      </c>
    </row>
    <row r="74" spans="1:6" ht="14.6" hidden="1" x14ac:dyDescent="0.4">
      <c r="A74" s="75" t="s">
        <v>161</v>
      </c>
      <c r="B74" s="22">
        <v>43131</v>
      </c>
      <c r="C74" s="22">
        <v>43131</v>
      </c>
      <c r="D74" s="23">
        <v>1</v>
      </c>
      <c r="E74" s="22">
        <v>43132</v>
      </c>
      <c r="F74" s="59"/>
    </row>
    <row r="75" spans="1:6" ht="14.6" hidden="1" x14ac:dyDescent="0.4">
      <c r="A75" s="75" t="s">
        <v>162</v>
      </c>
      <c r="B75" s="22">
        <v>43131</v>
      </c>
      <c r="C75" s="22">
        <v>43131</v>
      </c>
      <c r="D75" s="23">
        <v>1</v>
      </c>
      <c r="E75" s="22">
        <v>43132</v>
      </c>
      <c r="F75" s="59"/>
    </row>
    <row r="76" spans="1:6" ht="14.6" hidden="1" x14ac:dyDescent="0.4">
      <c r="A76" s="75" t="s">
        <v>163</v>
      </c>
      <c r="B76" s="22">
        <v>43129</v>
      </c>
      <c r="C76" s="22">
        <v>43137</v>
      </c>
      <c r="D76" s="23">
        <v>1</v>
      </c>
      <c r="E76" s="22">
        <v>43139</v>
      </c>
      <c r="F76" s="59"/>
    </row>
    <row r="77" spans="1:6" ht="14.6" hidden="1" x14ac:dyDescent="0.4">
      <c r="A77" s="76" t="s">
        <v>90</v>
      </c>
      <c r="B77" s="22">
        <v>43132</v>
      </c>
      <c r="C77" s="22">
        <v>43133</v>
      </c>
      <c r="D77" s="23">
        <v>1</v>
      </c>
      <c r="E77" s="22">
        <v>43139</v>
      </c>
      <c r="F77" s="59"/>
    </row>
    <row r="78" spans="1:6" ht="14.6" hidden="1" x14ac:dyDescent="0.4">
      <c r="A78" s="76" t="s">
        <v>164</v>
      </c>
      <c r="B78" s="22">
        <v>43132</v>
      </c>
      <c r="C78" s="22">
        <v>43133</v>
      </c>
      <c r="D78" s="23">
        <v>1</v>
      </c>
      <c r="E78" s="22">
        <v>43139</v>
      </c>
      <c r="F78" s="59"/>
    </row>
    <row r="79" spans="1:6" ht="14.6" hidden="1" x14ac:dyDescent="0.4">
      <c r="A79" s="76" t="s">
        <v>165</v>
      </c>
      <c r="B79" s="22">
        <v>43132</v>
      </c>
      <c r="C79" s="22">
        <v>43136</v>
      </c>
      <c r="D79" s="23">
        <v>1.5</v>
      </c>
      <c r="E79" s="22">
        <v>43139</v>
      </c>
      <c r="F79" s="59"/>
    </row>
    <row r="80" spans="1:6" ht="14.6" hidden="1" x14ac:dyDescent="0.4">
      <c r="A80" s="77" t="s">
        <v>166</v>
      </c>
      <c r="B80" s="22">
        <v>43132</v>
      </c>
      <c r="C80" s="22">
        <v>43132</v>
      </c>
      <c r="D80" s="23">
        <v>1</v>
      </c>
      <c r="E80" s="22">
        <v>43139</v>
      </c>
      <c r="F80" s="59"/>
    </row>
    <row r="81" spans="1:6" ht="14.6" hidden="1" x14ac:dyDescent="0.4">
      <c r="A81" s="77" t="s">
        <v>167</v>
      </c>
      <c r="B81" s="22">
        <v>43132</v>
      </c>
      <c r="C81" s="22">
        <v>43132</v>
      </c>
      <c r="D81" s="23">
        <v>1.5</v>
      </c>
      <c r="E81" s="22">
        <v>43139</v>
      </c>
      <c r="F81" s="59"/>
    </row>
    <row r="82" spans="1:6" ht="14.6" hidden="1" x14ac:dyDescent="0.4">
      <c r="A82" s="78" t="s">
        <v>168</v>
      </c>
      <c r="B82" s="22">
        <v>43132</v>
      </c>
      <c r="C82" s="22">
        <v>43136</v>
      </c>
      <c r="D82" s="23">
        <v>1.5</v>
      </c>
      <c r="E82" s="22">
        <v>43139</v>
      </c>
      <c r="F82" s="81" t="s">
        <v>172</v>
      </c>
    </row>
    <row r="83" spans="1:6" ht="14.6" hidden="1" x14ac:dyDescent="0.4">
      <c r="A83" s="79" t="s">
        <v>169</v>
      </c>
      <c r="B83" s="22">
        <v>43133</v>
      </c>
      <c r="C83" s="22">
        <v>43133</v>
      </c>
      <c r="D83" s="23">
        <v>1</v>
      </c>
      <c r="E83" s="22">
        <v>43139</v>
      </c>
      <c r="F83" s="59"/>
    </row>
    <row r="84" spans="1:6" ht="14.6" hidden="1" x14ac:dyDescent="0.4">
      <c r="A84" s="79" t="s">
        <v>170</v>
      </c>
      <c r="B84" s="22">
        <v>43133</v>
      </c>
      <c r="C84" s="80">
        <v>43133</v>
      </c>
      <c r="D84" s="23">
        <v>1</v>
      </c>
      <c r="E84" s="22">
        <v>43139</v>
      </c>
      <c r="F84" s="59"/>
    </row>
    <row r="85" spans="1:6" ht="14.6" hidden="1" x14ac:dyDescent="0.4">
      <c r="A85" s="79" t="s">
        <v>171</v>
      </c>
      <c r="B85" s="22">
        <v>43133</v>
      </c>
      <c r="C85" s="80">
        <v>43136</v>
      </c>
      <c r="D85" s="23">
        <v>1</v>
      </c>
      <c r="E85" s="22">
        <v>43139</v>
      </c>
      <c r="F85" s="88" t="s">
        <v>189</v>
      </c>
    </row>
    <row r="86" spans="1:6" ht="14.6" hidden="1" x14ac:dyDescent="0.4">
      <c r="A86" s="82" t="s">
        <v>173</v>
      </c>
      <c r="B86" s="22">
        <v>43134</v>
      </c>
      <c r="C86" s="80">
        <v>43136</v>
      </c>
      <c r="D86" s="23">
        <v>1</v>
      </c>
      <c r="E86" s="22">
        <v>43139</v>
      </c>
      <c r="F86" s="83" t="s">
        <v>174</v>
      </c>
    </row>
    <row r="87" spans="1:6" ht="14.6" hidden="1" x14ac:dyDescent="0.4">
      <c r="A87" s="82" t="s">
        <v>175</v>
      </c>
      <c r="B87" s="22">
        <v>43134</v>
      </c>
      <c r="C87" s="80">
        <v>43136</v>
      </c>
      <c r="D87" s="23">
        <v>1.5</v>
      </c>
      <c r="E87" s="22">
        <v>43139</v>
      </c>
      <c r="F87" s="59"/>
    </row>
    <row r="88" spans="1:6" ht="14.6" hidden="1" x14ac:dyDescent="0.4">
      <c r="A88" s="84" t="s">
        <v>176</v>
      </c>
      <c r="B88" s="22">
        <v>43135</v>
      </c>
      <c r="C88" s="80">
        <v>43136</v>
      </c>
      <c r="D88" s="23">
        <v>1</v>
      </c>
      <c r="E88" s="22">
        <v>43139</v>
      </c>
      <c r="F88" s="59"/>
    </row>
    <row r="89" spans="1:6" ht="14.6" hidden="1" x14ac:dyDescent="0.4">
      <c r="A89" s="84" t="s">
        <v>177</v>
      </c>
      <c r="B89" s="22">
        <v>43136</v>
      </c>
      <c r="C89" s="80">
        <v>43136</v>
      </c>
      <c r="D89" s="23">
        <v>1</v>
      </c>
      <c r="E89" s="22">
        <v>43139</v>
      </c>
      <c r="F89" s="59"/>
    </row>
    <row r="90" spans="1:6" ht="14.6" hidden="1" x14ac:dyDescent="0.4">
      <c r="A90" s="84" t="s">
        <v>178</v>
      </c>
      <c r="B90" s="22">
        <v>43136</v>
      </c>
      <c r="C90" s="80">
        <v>43136</v>
      </c>
      <c r="D90" s="23">
        <v>1.5</v>
      </c>
      <c r="E90" s="22">
        <v>43139</v>
      </c>
      <c r="F90" s="88" t="s">
        <v>187</v>
      </c>
    </row>
    <row r="91" spans="1:6" ht="14.6" hidden="1" x14ac:dyDescent="0.4">
      <c r="A91" s="84" t="s">
        <v>179</v>
      </c>
      <c r="B91" s="22">
        <v>43136</v>
      </c>
      <c r="C91" s="80">
        <v>43137</v>
      </c>
      <c r="D91" s="23">
        <v>1</v>
      </c>
      <c r="E91" s="22">
        <v>43139</v>
      </c>
      <c r="F91" s="88" t="s">
        <v>188</v>
      </c>
    </row>
    <row r="92" spans="1:6" ht="14.6" hidden="1" x14ac:dyDescent="0.4">
      <c r="A92" s="85" t="s">
        <v>180</v>
      </c>
      <c r="B92" s="22">
        <v>43137</v>
      </c>
      <c r="C92" s="80">
        <v>43144</v>
      </c>
      <c r="D92" s="23">
        <v>1</v>
      </c>
      <c r="E92" s="22">
        <v>43139</v>
      </c>
      <c r="F92" s="86" t="s">
        <v>181</v>
      </c>
    </row>
    <row r="93" spans="1:6" ht="14.6" hidden="1" x14ac:dyDescent="0.4">
      <c r="A93" s="85" t="s">
        <v>182</v>
      </c>
      <c r="B93" s="22">
        <v>43137</v>
      </c>
      <c r="C93" s="80">
        <v>43137</v>
      </c>
      <c r="D93" s="23">
        <v>1</v>
      </c>
      <c r="E93" s="22">
        <v>43139</v>
      </c>
      <c r="F93" s="59"/>
    </row>
    <row r="94" spans="1:6" ht="14.6" hidden="1" x14ac:dyDescent="0.4">
      <c r="A94" s="87" t="s">
        <v>183</v>
      </c>
      <c r="B94" s="22">
        <v>43137</v>
      </c>
      <c r="C94" s="80">
        <v>43137</v>
      </c>
      <c r="D94" s="23">
        <v>1</v>
      </c>
      <c r="E94" s="22">
        <v>43139</v>
      </c>
      <c r="F94" s="88" t="s">
        <v>190</v>
      </c>
    </row>
    <row r="95" spans="1:6" ht="14.6" hidden="1" x14ac:dyDescent="0.4">
      <c r="A95" s="87" t="s">
        <v>184</v>
      </c>
      <c r="B95" s="22">
        <v>43137</v>
      </c>
      <c r="C95" s="80">
        <v>43137</v>
      </c>
      <c r="D95" s="23">
        <v>1</v>
      </c>
      <c r="E95" s="22">
        <v>43139</v>
      </c>
      <c r="F95" s="59"/>
    </row>
    <row r="96" spans="1:6" ht="14.6" hidden="1" x14ac:dyDescent="0.4">
      <c r="A96" s="87" t="s">
        <v>185</v>
      </c>
      <c r="B96" s="22">
        <v>43137</v>
      </c>
      <c r="C96" s="80">
        <v>43137</v>
      </c>
      <c r="D96" s="23">
        <v>1</v>
      </c>
      <c r="E96" s="22">
        <v>43139</v>
      </c>
      <c r="F96" s="88" t="s">
        <v>186</v>
      </c>
    </row>
    <row r="97" spans="1:6" ht="14.6" hidden="1" x14ac:dyDescent="0.4">
      <c r="A97" s="89" t="s">
        <v>191</v>
      </c>
      <c r="B97" s="22">
        <v>43138</v>
      </c>
      <c r="C97" s="80">
        <v>43139</v>
      </c>
      <c r="D97" s="23">
        <v>1</v>
      </c>
      <c r="E97" s="22">
        <v>43139</v>
      </c>
      <c r="F97" s="88"/>
    </row>
    <row r="98" spans="1:6" ht="14.6" hidden="1" x14ac:dyDescent="0.4">
      <c r="A98" s="89" t="s">
        <v>192</v>
      </c>
      <c r="B98" s="22">
        <v>43138</v>
      </c>
      <c r="C98" s="80">
        <v>43139</v>
      </c>
      <c r="D98" s="23">
        <v>1</v>
      </c>
      <c r="E98" s="90">
        <v>43139</v>
      </c>
      <c r="F98" s="88"/>
    </row>
    <row r="99" spans="1:6" ht="14.6" hidden="1" x14ac:dyDescent="0.4">
      <c r="A99" s="91" t="s">
        <v>194</v>
      </c>
      <c r="B99" s="22">
        <v>43138</v>
      </c>
      <c r="C99" s="80">
        <v>43139</v>
      </c>
      <c r="D99" s="23">
        <v>1</v>
      </c>
      <c r="E99" s="22">
        <v>43139</v>
      </c>
      <c r="F99" s="88"/>
    </row>
    <row r="100" spans="1:6" ht="14.6" hidden="1" x14ac:dyDescent="0.4">
      <c r="A100" s="91" t="s">
        <v>193</v>
      </c>
      <c r="B100" s="22">
        <v>43138</v>
      </c>
      <c r="C100" s="80">
        <v>43138</v>
      </c>
      <c r="D100" s="23">
        <v>1</v>
      </c>
      <c r="E100" s="22">
        <v>43139</v>
      </c>
      <c r="F100" s="88"/>
    </row>
    <row r="101" spans="1:6" ht="14.6" hidden="1" x14ac:dyDescent="0.4">
      <c r="A101" s="92" t="s">
        <v>195</v>
      </c>
      <c r="B101" s="22">
        <v>43139</v>
      </c>
      <c r="C101" s="80">
        <v>43139</v>
      </c>
      <c r="D101" s="23">
        <v>1</v>
      </c>
      <c r="E101" s="22">
        <v>43144</v>
      </c>
      <c r="F101" s="93" t="s">
        <v>196</v>
      </c>
    </row>
    <row r="102" spans="1:6" ht="14.6" hidden="1" x14ac:dyDescent="0.4">
      <c r="A102" s="92" t="s">
        <v>197</v>
      </c>
      <c r="B102" s="22">
        <v>43139</v>
      </c>
      <c r="C102" s="80">
        <v>43140</v>
      </c>
      <c r="D102" s="23">
        <v>1.5</v>
      </c>
      <c r="E102" s="22">
        <v>43144</v>
      </c>
      <c r="F102" s="95" t="s">
        <v>199</v>
      </c>
    </row>
    <row r="103" spans="1:6" ht="14.6" x14ac:dyDescent="0.4">
      <c r="A103" s="117" t="s">
        <v>451</v>
      </c>
      <c r="B103" s="22">
        <v>43140</v>
      </c>
      <c r="C103" s="80">
        <v>43145</v>
      </c>
      <c r="D103" s="23">
        <v>0</v>
      </c>
      <c r="E103" s="22">
        <v>43174</v>
      </c>
      <c r="F103" s="88"/>
    </row>
    <row r="104" spans="1:6" ht="14.6" hidden="1" x14ac:dyDescent="0.4">
      <c r="A104" s="101" t="s">
        <v>317</v>
      </c>
      <c r="B104" s="22">
        <v>43143</v>
      </c>
      <c r="C104" s="22">
        <v>43144</v>
      </c>
      <c r="D104" s="23">
        <v>1</v>
      </c>
      <c r="E104" s="22">
        <v>43160</v>
      </c>
      <c r="F104" s="55" t="s">
        <v>117</v>
      </c>
    </row>
    <row r="105" spans="1:6" ht="14.6" hidden="1" x14ac:dyDescent="0.4">
      <c r="A105" s="96" t="s">
        <v>200</v>
      </c>
      <c r="B105" s="22">
        <v>43143</v>
      </c>
      <c r="C105" s="80">
        <v>43144</v>
      </c>
      <c r="D105" s="23">
        <v>1</v>
      </c>
      <c r="E105" s="22">
        <v>43160</v>
      </c>
      <c r="F105" s="59"/>
    </row>
    <row r="106" spans="1:6" ht="14.6" x14ac:dyDescent="0.4">
      <c r="A106" s="101" t="s">
        <v>318</v>
      </c>
      <c r="B106" s="22">
        <v>43144</v>
      </c>
      <c r="C106" s="80">
        <v>43145</v>
      </c>
      <c r="D106" s="23">
        <v>0</v>
      </c>
      <c r="E106" s="22">
        <v>43174</v>
      </c>
      <c r="F106" s="95"/>
    </row>
    <row r="107" spans="1:6" ht="14.6" hidden="1" x14ac:dyDescent="0.4">
      <c r="A107" s="96" t="s">
        <v>252</v>
      </c>
      <c r="B107" s="22">
        <v>43143</v>
      </c>
      <c r="C107" s="80">
        <v>43143</v>
      </c>
      <c r="D107" s="23">
        <v>1</v>
      </c>
      <c r="E107" s="22">
        <v>43160</v>
      </c>
      <c r="F107" s="95" t="s">
        <v>303</v>
      </c>
    </row>
    <row r="108" spans="1:6" ht="14.6" hidden="1" x14ac:dyDescent="0.4">
      <c r="A108" s="96" t="s">
        <v>312</v>
      </c>
      <c r="B108" s="22">
        <v>43143</v>
      </c>
      <c r="C108" s="80">
        <v>43144</v>
      </c>
      <c r="D108" s="23">
        <v>1</v>
      </c>
      <c r="E108" s="22">
        <v>43160</v>
      </c>
      <c r="F108" s="95"/>
    </row>
    <row r="109" spans="1:6" ht="14.6" hidden="1" x14ac:dyDescent="0.4">
      <c r="A109" s="101" t="s">
        <v>316</v>
      </c>
      <c r="B109" s="22">
        <v>43144</v>
      </c>
      <c r="C109" s="80">
        <v>43144</v>
      </c>
      <c r="D109" s="23">
        <v>1</v>
      </c>
      <c r="E109" s="22">
        <v>43160</v>
      </c>
      <c r="F109" s="95"/>
    </row>
    <row r="110" spans="1:6" ht="14.6" hidden="1" x14ac:dyDescent="0.4">
      <c r="A110" s="101" t="s">
        <v>319</v>
      </c>
      <c r="B110" s="22">
        <v>43144</v>
      </c>
      <c r="C110" s="80">
        <v>43144</v>
      </c>
      <c r="D110" s="23">
        <v>1</v>
      </c>
      <c r="E110" s="22">
        <v>43160</v>
      </c>
      <c r="F110" s="95"/>
    </row>
    <row r="111" spans="1:6" ht="14.6" hidden="1" x14ac:dyDescent="0.4">
      <c r="A111" s="101" t="s">
        <v>373</v>
      </c>
      <c r="B111" s="22">
        <v>43144</v>
      </c>
      <c r="C111" s="80">
        <v>43144</v>
      </c>
      <c r="D111" s="23">
        <v>1</v>
      </c>
      <c r="E111" s="22">
        <v>43160</v>
      </c>
      <c r="F111" s="95"/>
    </row>
    <row r="112" spans="1:6" ht="14.6" x14ac:dyDescent="0.4">
      <c r="A112" s="112" t="s">
        <v>427</v>
      </c>
      <c r="B112" s="22">
        <v>43156</v>
      </c>
      <c r="C112" s="80">
        <v>43157</v>
      </c>
      <c r="D112" s="23">
        <v>0.75</v>
      </c>
      <c r="E112" s="22">
        <v>43174</v>
      </c>
      <c r="F112" s="118" t="s">
        <v>455</v>
      </c>
    </row>
    <row r="113" spans="1:6" ht="14.6" hidden="1" x14ac:dyDescent="0.4">
      <c r="A113" s="117" t="s">
        <v>452</v>
      </c>
      <c r="B113" s="22">
        <v>43168</v>
      </c>
      <c r="C113" s="80">
        <v>43168</v>
      </c>
      <c r="D113" s="23">
        <v>1</v>
      </c>
      <c r="E113" s="22">
        <v>43174</v>
      </c>
      <c r="F113" s="95"/>
    </row>
    <row r="114" spans="1:6" ht="14.6" x14ac:dyDescent="0.4">
      <c r="A114" s="113" t="s">
        <v>442</v>
      </c>
      <c r="B114" s="22">
        <v>43160</v>
      </c>
      <c r="C114" s="114">
        <v>43160</v>
      </c>
      <c r="D114" s="23">
        <v>0.75</v>
      </c>
      <c r="E114" s="22">
        <v>43160</v>
      </c>
      <c r="F114" s="115" t="s">
        <v>443</v>
      </c>
    </row>
    <row r="115" spans="1:6" ht="14.6" hidden="1" x14ac:dyDescent="0.4">
      <c r="A115" s="117" t="s">
        <v>453</v>
      </c>
      <c r="B115" s="22">
        <v>43169</v>
      </c>
      <c r="C115" s="80">
        <v>43171</v>
      </c>
      <c r="D115" s="23">
        <v>1.5</v>
      </c>
      <c r="E115" s="22">
        <v>43174</v>
      </c>
      <c r="F115" s="95"/>
    </row>
    <row r="116" spans="1:6" ht="14.6" x14ac:dyDescent="0.4">
      <c r="A116" s="117" t="s">
        <v>454</v>
      </c>
      <c r="B116" s="22">
        <v>43169</v>
      </c>
      <c r="C116" s="80">
        <v>43171</v>
      </c>
      <c r="D116" s="23">
        <v>0.75</v>
      </c>
      <c r="E116" s="22">
        <v>43174</v>
      </c>
      <c r="F116" s="95"/>
    </row>
    <row r="117" spans="1:6" ht="14.6" hidden="1" x14ac:dyDescent="0.4">
      <c r="A117" s="119" t="s">
        <v>456</v>
      </c>
      <c r="B117" s="22">
        <v>43175</v>
      </c>
      <c r="C117" s="80">
        <v>43175</v>
      </c>
      <c r="D117" s="23">
        <v>1</v>
      </c>
      <c r="E117" s="22">
        <v>43181</v>
      </c>
      <c r="F117" s="95"/>
    </row>
    <row r="118" spans="1:6" ht="14.6" x14ac:dyDescent="0.4">
      <c r="A118" s="120" t="s">
        <v>457</v>
      </c>
      <c r="B118" s="22">
        <v>43178</v>
      </c>
      <c r="C118" s="80">
        <v>43178</v>
      </c>
      <c r="D118" s="23">
        <v>0</v>
      </c>
      <c r="E118" s="22">
        <v>43181</v>
      </c>
      <c r="F118" s="95"/>
    </row>
    <row r="119" spans="1:6" ht="14.6" x14ac:dyDescent="0.4">
      <c r="A119" s="121" t="s">
        <v>458</v>
      </c>
      <c r="B119" s="22">
        <v>43215</v>
      </c>
      <c r="C119" s="80">
        <v>43215</v>
      </c>
      <c r="D119" s="23">
        <v>0</v>
      </c>
      <c r="E119" s="22">
        <v>43216</v>
      </c>
      <c r="F119" s="95"/>
    </row>
    <row r="120" spans="1:6" ht="14.6" x14ac:dyDescent="0.4">
      <c r="A120" s="121" t="s">
        <v>459</v>
      </c>
      <c r="B120" s="22">
        <v>43215</v>
      </c>
      <c r="C120" s="80">
        <v>43215</v>
      </c>
      <c r="D120" s="23">
        <v>0</v>
      </c>
      <c r="E120" s="22">
        <v>43216</v>
      </c>
      <c r="F120" s="95"/>
    </row>
    <row r="121" spans="1:6" ht="14.6" x14ac:dyDescent="0.4">
      <c r="A121" s="120"/>
      <c r="B121" s="22"/>
      <c r="C121" s="80"/>
      <c r="D121" s="23"/>
      <c r="E121" s="22"/>
      <c r="F121" s="95"/>
    </row>
    <row r="122" spans="1:6" ht="14.6" x14ac:dyDescent="0.4">
      <c r="A122" s="113"/>
      <c r="B122" s="22"/>
      <c r="C122" s="80"/>
      <c r="D122" s="23"/>
      <c r="E122" s="22"/>
      <c r="F122" s="95"/>
    </row>
    <row r="123" spans="1:6" ht="14.6" x14ac:dyDescent="0.4">
      <c r="A123" s="113"/>
      <c r="B123" s="22"/>
      <c r="C123" s="80"/>
      <c r="D123" s="23"/>
      <c r="E123" s="22"/>
      <c r="F123" s="95"/>
    </row>
    <row r="124" spans="1:6" ht="14.6" x14ac:dyDescent="0.4">
      <c r="A124" s="84"/>
      <c r="B124" s="22"/>
      <c r="C124" s="80"/>
      <c r="D124" s="23"/>
      <c r="E124" s="22"/>
      <c r="F124" s="59"/>
    </row>
    <row r="125" spans="1:6" ht="14.6" x14ac:dyDescent="0.4">
      <c r="B125" s="22"/>
      <c r="C125" s="22"/>
      <c r="D125" s="23"/>
      <c r="E125" s="22"/>
      <c r="F125" s="57"/>
    </row>
    <row r="126" spans="1:6" ht="14.6" hidden="1" x14ac:dyDescent="0.4"/>
    <row r="127" spans="1:6" ht="14.4" hidden="1" customHeight="1" x14ac:dyDescent="0.4"/>
    <row r="128" spans="1:6" ht="14.4" hidden="1" customHeight="1" x14ac:dyDescent="0.4"/>
    <row r="129" ht="14.4" hidden="1" customHeight="1" x14ac:dyDescent="0.4"/>
  </sheetData>
  <conditionalFormatting sqref="D2:D125">
    <cfRule type="iconSet" priority="16">
      <iconSet iconSet="5Quarters" showValue="0">
        <cfvo type="percent" val="0"/>
        <cfvo type="num" val="0.2"/>
        <cfvo type="num" val="0.4"/>
        <cfvo type="num" val="0.6"/>
        <cfvo type="num" val="0.8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34"/>
  <sheetViews>
    <sheetView topLeftCell="A4" zoomScaleNormal="100" workbookViewId="0">
      <selection activeCell="H10" sqref="H10"/>
    </sheetView>
  </sheetViews>
  <sheetFormatPr defaultColWidth="0" defaultRowHeight="14.6" zeroHeight="1" x14ac:dyDescent="0.4"/>
  <cols>
    <col min="1" max="1" width="5.85546875" style="41" customWidth="1"/>
    <col min="2" max="2" width="10.140625" style="41" customWidth="1"/>
    <col min="3" max="3" width="8.140625" style="41" customWidth="1"/>
    <col min="4" max="9" width="4.78515625" style="41" customWidth="1"/>
    <col min="10" max="10" width="11" style="41" customWidth="1"/>
    <col min="11" max="14" width="4.78515625" style="41" customWidth="1"/>
    <col min="15" max="16" width="8.140625" customWidth="1"/>
    <col min="17" max="17" width="8.42578125" customWidth="1"/>
    <col min="18" max="18" width="24.640625" customWidth="1"/>
    <col min="19" max="19" width="11" style="41" customWidth="1"/>
    <col min="20" max="21" width="11.140625" style="41" hidden="1" customWidth="1"/>
    <col min="22" max="16384" width="8.85546875" hidden="1"/>
  </cols>
  <sheetData>
    <row r="1" spans="1:21" ht="91.75" x14ac:dyDescent="0.4">
      <c r="A1" s="40" t="s">
        <v>102</v>
      </c>
      <c r="B1" s="40" t="s">
        <v>320</v>
      </c>
      <c r="C1" s="40" t="s">
        <v>105</v>
      </c>
      <c r="D1" s="40" t="s">
        <v>99</v>
      </c>
      <c r="E1" s="40" t="s">
        <v>321</v>
      </c>
      <c r="F1" s="40" t="s">
        <v>322</v>
      </c>
      <c r="G1" s="40" t="s">
        <v>100</v>
      </c>
      <c r="H1" s="40" t="s">
        <v>101</v>
      </c>
      <c r="I1" s="40" t="s">
        <v>104</v>
      </c>
      <c r="J1" s="40" t="s">
        <v>324</v>
      </c>
      <c r="K1" s="40" t="s">
        <v>325</v>
      </c>
      <c r="L1" s="40" t="s">
        <v>326</v>
      </c>
      <c r="M1" s="40" t="s">
        <v>327</v>
      </c>
      <c r="N1" s="40" t="s">
        <v>328</v>
      </c>
      <c r="O1" s="42" t="s">
        <v>409</v>
      </c>
      <c r="P1" s="42" t="s">
        <v>408</v>
      </c>
      <c r="Q1" s="42" t="s">
        <v>103</v>
      </c>
      <c r="R1" s="42" t="s">
        <v>410</v>
      </c>
      <c r="S1" s="42" t="s">
        <v>426</v>
      </c>
      <c r="T1"/>
      <c r="U1"/>
    </row>
    <row r="2" spans="1:21" x14ac:dyDescent="0.4">
      <c r="A2" s="105">
        <v>1</v>
      </c>
      <c r="B2" s="41">
        <v>24000000</v>
      </c>
      <c r="C2" s="41">
        <v>7.0000000000000001E-3</v>
      </c>
      <c r="D2" s="41">
        <v>0.2</v>
      </c>
      <c r="E2" s="41">
        <v>30</v>
      </c>
      <c r="F2" s="41">
        <v>0</v>
      </c>
      <c r="G2" s="41" t="s">
        <v>106</v>
      </c>
      <c r="H2" s="41">
        <v>3</v>
      </c>
      <c r="I2" s="41">
        <v>1</v>
      </c>
      <c r="J2" s="108">
        <f>POWER(POWER(Table2[[#This Row],[log10(mv)]],4)/10,0.25)</f>
        <v>3.9363892763324441E-3</v>
      </c>
      <c r="K2" s="41">
        <v>0</v>
      </c>
      <c r="L2" s="41">
        <v>55</v>
      </c>
      <c r="M2" s="41">
        <v>-1</v>
      </c>
      <c r="N2" s="41">
        <v>4</v>
      </c>
      <c r="O2" s="109">
        <v>186999</v>
      </c>
      <c r="P2" s="107">
        <v>43145</v>
      </c>
      <c r="Q2" s="111"/>
      <c r="R2" s="110" t="s">
        <v>411</v>
      </c>
      <c r="S2" s="110" t="s">
        <v>425</v>
      </c>
      <c r="T2"/>
      <c r="U2"/>
    </row>
    <row r="3" spans="1:21" x14ac:dyDescent="0.4">
      <c r="A3" s="105">
        <v>2</v>
      </c>
      <c r="B3" s="41">
        <v>24000000</v>
      </c>
      <c r="C3" s="41">
        <v>7.0000000000000001E-3</v>
      </c>
      <c r="D3" s="41">
        <v>0.5</v>
      </c>
      <c r="E3" s="41">
        <v>30</v>
      </c>
      <c r="F3" s="41">
        <v>0</v>
      </c>
      <c r="G3" s="41" t="s">
        <v>106</v>
      </c>
      <c r="H3" s="41">
        <v>3</v>
      </c>
      <c r="I3" s="41">
        <v>1</v>
      </c>
      <c r="J3" s="108">
        <f>POWER(POWER(Table2[[#This Row],[log10(mv)]],4)/10,0.25)</f>
        <v>3.9363892763324441E-3</v>
      </c>
      <c r="K3" s="41">
        <v>0</v>
      </c>
      <c r="L3" s="41">
        <v>55</v>
      </c>
      <c r="M3" s="41">
        <v>-1</v>
      </c>
      <c r="N3" s="41">
        <v>4</v>
      </c>
      <c r="O3" s="109">
        <v>187000</v>
      </c>
      <c r="P3" s="107">
        <v>43145</v>
      </c>
      <c r="Q3" s="111"/>
      <c r="R3" s="110" t="s">
        <v>412</v>
      </c>
      <c r="S3" s="110" t="s">
        <v>425</v>
      </c>
      <c r="T3"/>
      <c r="U3"/>
    </row>
    <row r="4" spans="1:21" x14ac:dyDescent="0.4">
      <c r="A4" s="105">
        <v>3</v>
      </c>
      <c r="B4" s="41">
        <v>24000000</v>
      </c>
      <c r="C4" s="41">
        <v>7.0000000000000001E-3</v>
      </c>
      <c r="D4" s="41">
        <v>1</v>
      </c>
      <c r="E4" s="41">
        <v>30</v>
      </c>
      <c r="F4" s="41">
        <v>0</v>
      </c>
      <c r="G4" s="41" t="s">
        <v>106</v>
      </c>
      <c r="H4" s="41">
        <v>3</v>
      </c>
      <c r="I4" s="41">
        <v>1</v>
      </c>
      <c r="J4" s="108">
        <f>POWER(POWER(Table2[[#This Row],[log10(mv)]],4)/10,0.25)</f>
        <v>3.9363892763324441E-3</v>
      </c>
      <c r="K4" s="41">
        <v>0</v>
      </c>
      <c r="L4" s="41">
        <v>55</v>
      </c>
      <c r="M4" s="41">
        <v>-1</v>
      </c>
      <c r="N4" s="41">
        <v>4</v>
      </c>
      <c r="O4" s="109">
        <v>187010</v>
      </c>
      <c r="P4" s="107">
        <v>43145</v>
      </c>
      <c r="Q4" s="111">
        <v>8.0173611111111112E-2</v>
      </c>
      <c r="R4" s="110" t="s">
        <v>413</v>
      </c>
      <c r="S4" s="110" t="s">
        <v>425</v>
      </c>
      <c r="T4"/>
      <c r="U4"/>
    </row>
    <row r="5" spans="1:21" x14ac:dyDescent="0.4">
      <c r="A5" s="105">
        <v>4</v>
      </c>
      <c r="B5" s="41">
        <v>24000000</v>
      </c>
      <c r="C5" s="41">
        <v>7.0000000000000001E-3</v>
      </c>
      <c r="D5" s="41">
        <v>2</v>
      </c>
      <c r="E5" s="41">
        <v>30</v>
      </c>
      <c r="F5" s="41">
        <v>0</v>
      </c>
      <c r="G5" s="41" t="s">
        <v>106</v>
      </c>
      <c r="H5" s="41">
        <v>3</v>
      </c>
      <c r="I5" s="41">
        <v>1</v>
      </c>
      <c r="J5" s="108">
        <f>POWER(POWER(Table2[[#This Row],[log10(mv)]],4)/10,0.25)</f>
        <v>3.9363892763324441E-3</v>
      </c>
      <c r="K5" s="41">
        <v>0</v>
      </c>
      <c r="L5" s="41">
        <v>55</v>
      </c>
      <c r="M5" s="41">
        <v>-1</v>
      </c>
      <c r="N5" s="41">
        <v>4</v>
      </c>
      <c r="O5" s="109">
        <v>187008</v>
      </c>
      <c r="P5" s="107">
        <v>43145</v>
      </c>
      <c r="Q5" s="111">
        <v>9.3761574074074081E-2</v>
      </c>
      <c r="R5" s="110" t="s">
        <v>414</v>
      </c>
      <c r="S5" s="110" t="s">
        <v>425</v>
      </c>
      <c r="T5"/>
      <c r="U5"/>
    </row>
    <row r="6" spans="1:21" x14ac:dyDescent="0.4">
      <c r="A6" s="105">
        <v>5</v>
      </c>
      <c r="B6" s="41">
        <v>24000000</v>
      </c>
      <c r="C6" s="41">
        <v>7.0000000000000001E-3</v>
      </c>
      <c r="D6" s="41">
        <v>5</v>
      </c>
      <c r="E6" s="41">
        <v>30</v>
      </c>
      <c r="F6" s="41">
        <v>0</v>
      </c>
      <c r="G6" s="41" t="s">
        <v>106</v>
      </c>
      <c r="H6" s="41">
        <v>3</v>
      </c>
      <c r="I6" s="41">
        <v>1</v>
      </c>
      <c r="J6" s="108">
        <f>POWER(POWER(Table2[[#This Row],[log10(mv)]],4)/10,0.25)</f>
        <v>3.9363892763324441E-3</v>
      </c>
      <c r="K6" s="41">
        <v>0</v>
      </c>
      <c r="L6" s="41">
        <v>55</v>
      </c>
      <c r="M6" s="41">
        <v>-1</v>
      </c>
      <c r="N6" s="41">
        <v>4</v>
      </c>
      <c r="O6" s="109">
        <v>187011</v>
      </c>
      <c r="P6" s="107">
        <v>43145</v>
      </c>
      <c r="Q6" s="111">
        <v>7.9756944444444436E-2</v>
      </c>
      <c r="R6" s="110" t="s">
        <v>415</v>
      </c>
      <c r="S6" s="110" t="s">
        <v>425</v>
      </c>
      <c r="T6"/>
      <c r="U6"/>
    </row>
    <row r="7" spans="1:21" x14ac:dyDescent="0.4">
      <c r="A7" s="105">
        <v>6</v>
      </c>
      <c r="B7" s="41">
        <v>24000000</v>
      </c>
      <c r="C7" s="41">
        <v>7.0000000000000001E-3</v>
      </c>
      <c r="D7" s="41">
        <v>10</v>
      </c>
      <c r="E7" s="41">
        <v>30</v>
      </c>
      <c r="F7" s="41">
        <v>0</v>
      </c>
      <c r="G7" s="41" t="s">
        <v>106</v>
      </c>
      <c r="H7" s="41">
        <v>3</v>
      </c>
      <c r="I7" s="41">
        <v>1</v>
      </c>
      <c r="J7" s="108">
        <f>POWER(POWER(Table2[[#This Row],[log10(mv)]],4)/10,0.25)</f>
        <v>3.9363892763324441E-3</v>
      </c>
      <c r="K7" s="41">
        <v>0</v>
      </c>
      <c r="L7" s="41">
        <v>55</v>
      </c>
      <c r="M7" s="41">
        <v>-1</v>
      </c>
      <c r="N7" s="41">
        <v>4</v>
      </c>
      <c r="O7" s="109">
        <v>187012</v>
      </c>
      <c r="P7" s="107">
        <v>43145</v>
      </c>
      <c r="Q7" s="111">
        <v>6.6076388888888893E-2</v>
      </c>
      <c r="R7" s="110" t="s">
        <v>416</v>
      </c>
      <c r="S7" s="110" t="s">
        <v>425</v>
      </c>
      <c r="T7"/>
      <c r="U7"/>
    </row>
    <row r="8" spans="1:21" x14ac:dyDescent="0.4">
      <c r="A8" s="105">
        <v>7</v>
      </c>
      <c r="B8" s="41">
        <v>24000000</v>
      </c>
      <c r="C8" s="41">
        <v>7.0000000000000001E-3</v>
      </c>
      <c r="D8" s="41">
        <v>20</v>
      </c>
      <c r="E8" s="41">
        <v>30</v>
      </c>
      <c r="F8" s="41">
        <v>0</v>
      </c>
      <c r="G8" s="41" t="s">
        <v>106</v>
      </c>
      <c r="H8" s="41">
        <v>3</v>
      </c>
      <c r="I8" s="41">
        <v>1</v>
      </c>
      <c r="J8" s="108">
        <f>POWER(POWER(Table2[[#This Row],[log10(mv)]],4)/10,0.25)</f>
        <v>3.9363892763324441E-3</v>
      </c>
      <c r="K8" s="41">
        <v>0</v>
      </c>
      <c r="L8" s="41">
        <v>55</v>
      </c>
      <c r="M8" s="41">
        <v>-1</v>
      </c>
      <c r="N8" s="41">
        <v>4</v>
      </c>
      <c r="O8" s="109">
        <v>187053</v>
      </c>
      <c r="P8" s="107">
        <v>43145</v>
      </c>
      <c r="Q8" s="111">
        <v>5.7604166666666672E-2</v>
      </c>
      <c r="R8" s="110" t="s">
        <v>417</v>
      </c>
      <c r="S8" s="110" t="s">
        <v>425</v>
      </c>
      <c r="T8"/>
      <c r="U8"/>
    </row>
    <row r="9" spans="1:21" x14ac:dyDescent="0.4">
      <c r="A9" s="105">
        <v>8</v>
      </c>
      <c r="B9" s="41">
        <v>12000000</v>
      </c>
      <c r="C9" s="41">
        <v>8.3000000000000001E-3</v>
      </c>
      <c r="D9" s="41">
        <v>0.2</v>
      </c>
      <c r="E9" s="41">
        <v>30</v>
      </c>
      <c r="F9" s="41">
        <v>0</v>
      </c>
      <c r="G9" s="41" t="s">
        <v>106</v>
      </c>
      <c r="H9" s="41">
        <v>3</v>
      </c>
      <c r="I9" s="41">
        <v>1</v>
      </c>
      <c r="J9" s="108">
        <f>POWER(POWER(Table2[[#This Row],[log10(mv)]],4)/10,0.25)</f>
        <v>4.6674329990798978E-3</v>
      </c>
      <c r="K9" s="41">
        <v>0</v>
      </c>
      <c r="L9" s="41">
        <v>55</v>
      </c>
      <c r="M9" s="41">
        <v>-1</v>
      </c>
      <c r="N9" s="41">
        <v>4</v>
      </c>
      <c r="O9" s="109">
        <v>187042</v>
      </c>
      <c r="P9" s="107">
        <v>43158</v>
      </c>
      <c r="Q9" s="111">
        <v>3.2245370370370369E-2</v>
      </c>
      <c r="R9" s="110" t="s">
        <v>418</v>
      </c>
      <c r="S9" s="110" t="s">
        <v>429</v>
      </c>
      <c r="T9"/>
      <c r="U9"/>
    </row>
    <row r="10" spans="1:21" x14ac:dyDescent="0.4">
      <c r="A10" s="105">
        <v>9</v>
      </c>
      <c r="B10" s="41">
        <v>12000000</v>
      </c>
      <c r="C10" s="41">
        <v>8.3000000000000001E-3</v>
      </c>
      <c r="D10" s="41">
        <v>0.5</v>
      </c>
      <c r="E10" s="41">
        <v>30</v>
      </c>
      <c r="F10" s="41">
        <v>0</v>
      </c>
      <c r="G10" s="41" t="s">
        <v>106</v>
      </c>
      <c r="H10" s="41">
        <v>3</v>
      </c>
      <c r="I10" s="41">
        <v>1</v>
      </c>
      <c r="J10" s="108">
        <f>POWER(POWER(Table2[[#This Row],[log10(mv)]],4)/10,0.25)</f>
        <v>4.6674329990798978E-3</v>
      </c>
      <c r="K10" s="41">
        <v>0</v>
      </c>
      <c r="L10" s="41">
        <v>55</v>
      </c>
      <c r="M10" s="41">
        <v>-1</v>
      </c>
      <c r="N10" s="41">
        <v>4</v>
      </c>
      <c r="O10" s="109">
        <v>187835</v>
      </c>
      <c r="P10" s="107">
        <v>43159</v>
      </c>
      <c r="Q10" s="111">
        <v>0.24395833333333336</v>
      </c>
      <c r="R10" s="110" t="s">
        <v>419</v>
      </c>
      <c r="S10" s="110" t="s">
        <v>429</v>
      </c>
      <c r="T10"/>
      <c r="U10"/>
    </row>
    <row r="11" spans="1:21" x14ac:dyDescent="0.4">
      <c r="A11" s="105">
        <v>10</v>
      </c>
      <c r="B11" s="41">
        <v>12000000</v>
      </c>
      <c r="C11" s="41">
        <v>8.3000000000000001E-3</v>
      </c>
      <c r="D11" s="41">
        <v>1</v>
      </c>
      <c r="E11" s="41">
        <v>30</v>
      </c>
      <c r="F11" s="41">
        <v>0</v>
      </c>
      <c r="G11" s="41" t="s">
        <v>106</v>
      </c>
      <c r="H11" s="41">
        <v>3</v>
      </c>
      <c r="I11" s="41">
        <v>1</v>
      </c>
      <c r="J11" s="108">
        <f>POWER(POWER(Table2[[#This Row],[log10(mv)]],4)/10,0.25)</f>
        <v>4.6674329990798978E-3</v>
      </c>
      <c r="K11" s="41">
        <v>0</v>
      </c>
      <c r="L11" s="41">
        <v>55</v>
      </c>
      <c r="M11" s="41">
        <v>-1</v>
      </c>
      <c r="N11" s="41">
        <v>4</v>
      </c>
      <c r="O11" s="109">
        <v>187835</v>
      </c>
      <c r="P11" s="107">
        <v>43159</v>
      </c>
      <c r="Q11" s="111"/>
      <c r="R11" s="110" t="s">
        <v>420</v>
      </c>
      <c r="S11" s="110" t="s">
        <v>430</v>
      </c>
      <c r="T11"/>
      <c r="U11"/>
    </row>
    <row r="12" spans="1:21" x14ac:dyDescent="0.4">
      <c r="A12" s="105">
        <v>11</v>
      </c>
      <c r="B12" s="41">
        <v>12000000</v>
      </c>
      <c r="C12" s="41">
        <v>8.3000000000000001E-3</v>
      </c>
      <c r="D12" s="41">
        <v>2</v>
      </c>
      <c r="E12" s="41">
        <v>30</v>
      </c>
      <c r="F12" s="41">
        <v>0</v>
      </c>
      <c r="G12" s="41" t="s">
        <v>106</v>
      </c>
      <c r="H12" s="41">
        <v>3</v>
      </c>
      <c r="I12" s="41">
        <v>1</v>
      </c>
      <c r="J12" s="108">
        <f>POWER(POWER(Table2[[#This Row],[log10(mv)]],4)/10,0.25)</f>
        <v>4.6674329990798978E-3</v>
      </c>
      <c r="K12" s="41">
        <v>0</v>
      </c>
      <c r="L12" s="41">
        <v>55</v>
      </c>
      <c r="M12" s="41">
        <v>-1</v>
      </c>
      <c r="N12" s="41">
        <v>4</v>
      </c>
      <c r="O12" s="109">
        <v>187835</v>
      </c>
      <c r="P12" s="107">
        <v>43159</v>
      </c>
      <c r="Q12" s="111"/>
      <c r="R12" s="110" t="s">
        <v>421</v>
      </c>
      <c r="S12" s="110" t="s">
        <v>431</v>
      </c>
      <c r="T12"/>
      <c r="U12"/>
    </row>
    <row r="13" spans="1:21" x14ac:dyDescent="0.4">
      <c r="A13" s="105">
        <v>12</v>
      </c>
      <c r="B13" s="41">
        <v>12000000</v>
      </c>
      <c r="C13" s="41">
        <v>8.3000000000000001E-3</v>
      </c>
      <c r="D13" s="41">
        <v>5</v>
      </c>
      <c r="E13" s="41">
        <v>30</v>
      </c>
      <c r="F13" s="41">
        <v>0</v>
      </c>
      <c r="G13" s="41" t="s">
        <v>106</v>
      </c>
      <c r="H13" s="41">
        <v>3</v>
      </c>
      <c r="I13" s="41">
        <v>1</v>
      </c>
      <c r="J13" s="108">
        <f>POWER(POWER(Table2[[#This Row],[log10(mv)]],4)/10,0.25)</f>
        <v>4.6674329990798978E-3</v>
      </c>
      <c r="K13" s="41">
        <v>0</v>
      </c>
      <c r="L13" s="41">
        <v>55</v>
      </c>
      <c r="M13" s="41">
        <v>-1</v>
      </c>
      <c r="N13" s="41">
        <v>4</v>
      </c>
      <c r="O13" s="109">
        <v>187836</v>
      </c>
      <c r="P13" s="107">
        <v>43159</v>
      </c>
      <c r="Q13" s="111">
        <v>0.23957175925925925</v>
      </c>
      <c r="R13" s="110" t="s">
        <v>422</v>
      </c>
      <c r="S13" s="110" t="s">
        <v>432</v>
      </c>
      <c r="T13"/>
      <c r="U13"/>
    </row>
    <row r="14" spans="1:21" x14ac:dyDescent="0.4">
      <c r="A14" s="105">
        <v>13</v>
      </c>
      <c r="B14" s="41">
        <v>12000000</v>
      </c>
      <c r="C14" s="41">
        <v>8.3000000000000001E-3</v>
      </c>
      <c r="D14" s="41">
        <v>10</v>
      </c>
      <c r="E14" s="41">
        <v>30</v>
      </c>
      <c r="F14" s="41">
        <v>0</v>
      </c>
      <c r="G14" s="41" t="s">
        <v>106</v>
      </c>
      <c r="H14" s="41">
        <v>3</v>
      </c>
      <c r="I14" s="41">
        <v>1</v>
      </c>
      <c r="J14" s="108">
        <f>POWER(POWER(Table2[[#This Row],[log10(mv)]],4)/10,0.25)</f>
        <v>4.6674329990798978E-3</v>
      </c>
      <c r="K14" s="41">
        <v>0</v>
      </c>
      <c r="L14" s="41">
        <v>55</v>
      </c>
      <c r="M14" s="41">
        <v>-1</v>
      </c>
      <c r="N14" s="41">
        <v>4</v>
      </c>
      <c r="O14" s="109">
        <v>187858</v>
      </c>
      <c r="P14" s="107">
        <v>43159</v>
      </c>
      <c r="Q14" s="111">
        <v>3.7581018518518521E-2</v>
      </c>
      <c r="R14" s="110" t="s">
        <v>423</v>
      </c>
      <c r="S14" s="110" t="s">
        <v>433</v>
      </c>
      <c r="T14"/>
      <c r="U14"/>
    </row>
    <row r="15" spans="1:21" x14ac:dyDescent="0.4">
      <c r="A15" s="105">
        <v>14</v>
      </c>
      <c r="B15" s="41">
        <v>12000000</v>
      </c>
      <c r="C15" s="41">
        <v>8.3000000000000001E-3</v>
      </c>
      <c r="D15" s="41">
        <v>20</v>
      </c>
      <c r="E15" s="41">
        <v>30</v>
      </c>
      <c r="F15" s="41">
        <v>0</v>
      </c>
      <c r="G15" s="41" t="s">
        <v>106</v>
      </c>
      <c r="H15" s="41">
        <v>3</v>
      </c>
      <c r="I15" s="41">
        <v>1</v>
      </c>
      <c r="J15" s="108">
        <f>POWER(POWER(Table2[[#This Row],[log10(mv)]],4)/10,0.25)</f>
        <v>4.6674329990798978E-3</v>
      </c>
      <c r="K15" s="41">
        <v>0</v>
      </c>
      <c r="L15" s="41">
        <v>55</v>
      </c>
      <c r="M15" s="41">
        <v>-1</v>
      </c>
      <c r="N15" s="41">
        <v>4</v>
      </c>
      <c r="O15" s="109">
        <v>187836</v>
      </c>
      <c r="P15" s="107">
        <v>43159</v>
      </c>
      <c r="Q15" s="111"/>
      <c r="R15" s="110" t="s">
        <v>424</v>
      </c>
      <c r="S15" s="110" t="s">
        <v>434</v>
      </c>
      <c r="T15"/>
      <c r="U15"/>
    </row>
    <row r="16" spans="1:21" x14ac:dyDescent="0.4">
      <c r="A16" s="105">
        <v>15</v>
      </c>
      <c r="B16" s="41">
        <v>23000000</v>
      </c>
      <c r="C16" s="41">
        <v>9.9000000000000008E-3</v>
      </c>
      <c r="D16" s="41">
        <v>0.2</v>
      </c>
      <c r="E16" s="41">
        <v>30</v>
      </c>
      <c r="F16" s="41">
        <v>0</v>
      </c>
      <c r="G16" s="41" t="s">
        <v>106</v>
      </c>
      <c r="H16" s="41">
        <v>3</v>
      </c>
      <c r="I16" s="41">
        <v>1</v>
      </c>
      <c r="J16" s="108">
        <v>5.5659999999999998E-3</v>
      </c>
      <c r="K16" s="41">
        <v>0</v>
      </c>
      <c r="L16" s="41">
        <v>55</v>
      </c>
      <c r="M16" s="41">
        <v>-1</v>
      </c>
      <c r="N16" s="41">
        <v>4</v>
      </c>
      <c r="O16" s="109"/>
      <c r="P16" s="107"/>
      <c r="Q16" s="111"/>
      <c r="R16" s="111" t="s">
        <v>435</v>
      </c>
      <c r="S16" s="110"/>
      <c r="T16"/>
      <c r="U16"/>
    </row>
    <row r="17" spans="1:21" x14ac:dyDescent="0.4">
      <c r="A17" s="105">
        <v>16</v>
      </c>
      <c r="B17" s="41">
        <v>23000000</v>
      </c>
      <c r="C17" s="41">
        <v>9.9000000000000008E-3</v>
      </c>
      <c r="D17" s="41">
        <v>0.5</v>
      </c>
      <c r="E17" s="41">
        <v>30</v>
      </c>
      <c r="F17" s="41">
        <v>0</v>
      </c>
      <c r="G17" s="41" t="s">
        <v>106</v>
      </c>
      <c r="H17" s="41">
        <v>3</v>
      </c>
      <c r="I17" s="41">
        <v>1</v>
      </c>
      <c r="J17" s="108">
        <v>5.5659999999999998E-3</v>
      </c>
      <c r="K17" s="41">
        <v>0</v>
      </c>
      <c r="L17" s="41">
        <v>55</v>
      </c>
      <c r="M17" s="41">
        <v>-1</v>
      </c>
      <c r="N17" s="41">
        <v>4</v>
      </c>
      <c r="O17" s="109">
        <v>188242</v>
      </c>
      <c r="P17" s="107">
        <v>43166</v>
      </c>
      <c r="Q17" s="111">
        <v>2.5717592592592594E-2</v>
      </c>
      <c r="R17" s="111" t="s">
        <v>436</v>
      </c>
      <c r="S17" s="110"/>
      <c r="T17"/>
      <c r="U17"/>
    </row>
    <row r="18" spans="1:21" x14ac:dyDescent="0.4">
      <c r="A18" s="105">
        <v>17</v>
      </c>
      <c r="B18" s="41">
        <v>23000000</v>
      </c>
      <c r="C18" s="41">
        <v>9.9000000000000008E-3</v>
      </c>
      <c r="D18" s="41">
        <v>1</v>
      </c>
      <c r="E18" s="41">
        <v>30</v>
      </c>
      <c r="F18" s="41">
        <v>0</v>
      </c>
      <c r="G18" s="41" t="s">
        <v>106</v>
      </c>
      <c r="H18" s="41">
        <v>3</v>
      </c>
      <c r="I18" s="41">
        <v>1</v>
      </c>
      <c r="J18" s="108">
        <v>5.5659999999999998E-3</v>
      </c>
      <c r="K18" s="41">
        <v>0</v>
      </c>
      <c r="L18" s="41">
        <v>55</v>
      </c>
      <c r="M18" s="41">
        <v>-1</v>
      </c>
      <c r="N18" s="41">
        <v>4</v>
      </c>
      <c r="O18" s="109">
        <v>188594</v>
      </c>
      <c r="P18" s="107" t="s">
        <v>450</v>
      </c>
      <c r="Q18" s="111"/>
      <c r="R18" s="111" t="s">
        <v>437</v>
      </c>
      <c r="S18" s="110"/>
      <c r="T18"/>
      <c r="U18"/>
    </row>
    <row r="19" spans="1:21" x14ac:dyDescent="0.4">
      <c r="A19" s="105">
        <v>18</v>
      </c>
      <c r="B19" s="41">
        <v>23000000</v>
      </c>
      <c r="C19" s="41">
        <v>9.9000000000000008E-3</v>
      </c>
      <c r="D19" s="41">
        <v>2</v>
      </c>
      <c r="E19" s="41">
        <v>30</v>
      </c>
      <c r="F19" s="41">
        <v>0</v>
      </c>
      <c r="G19" s="41" t="s">
        <v>106</v>
      </c>
      <c r="H19" s="41">
        <v>3</v>
      </c>
      <c r="I19" s="41">
        <v>1</v>
      </c>
      <c r="J19" s="108">
        <v>5.5659999999999998E-3</v>
      </c>
      <c r="K19" s="41">
        <v>0</v>
      </c>
      <c r="L19" s="41">
        <v>55</v>
      </c>
      <c r="M19" s="41">
        <v>-1</v>
      </c>
      <c r="N19" s="41">
        <v>4</v>
      </c>
      <c r="O19" s="109">
        <v>188561</v>
      </c>
      <c r="P19" s="107">
        <v>43167</v>
      </c>
      <c r="Q19" s="111"/>
      <c r="R19" s="111" t="s">
        <v>438</v>
      </c>
      <c r="S19" s="110"/>
      <c r="T19"/>
      <c r="U19"/>
    </row>
    <row r="20" spans="1:21" x14ac:dyDescent="0.4">
      <c r="A20" s="105">
        <v>19</v>
      </c>
      <c r="B20" s="41">
        <v>23000000</v>
      </c>
      <c r="C20" s="41">
        <v>9.9000000000000008E-3</v>
      </c>
      <c r="D20" s="41">
        <v>5</v>
      </c>
      <c r="E20" s="41">
        <v>30</v>
      </c>
      <c r="F20" s="41">
        <v>0</v>
      </c>
      <c r="G20" s="41" t="s">
        <v>106</v>
      </c>
      <c r="H20" s="41">
        <v>3</v>
      </c>
      <c r="I20" s="41">
        <v>1</v>
      </c>
      <c r="J20" s="108">
        <v>5.5659999999999998E-3</v>
      </c>
      <c r="K20" s="41">
        <v>0</v>
      </c>
      <c r="L20" s="41">
        <v>55</v>
      </c>
      <c r="M20" s="41">
        <v>-1</v>
      </c>
      <c r="N20" s="41">
        <v>4</v>
      </c>
      <c r="O20" s="109">
        <v>188592</v>
      </c>
      <c r="P20" s="107">
        <v>43168</v>
      </c>
      <c r="Q20" s="111">
        <v>7.1319444444444449E-2</v>
      </c>
      <c r="R20" s="111" t="s">
        <v>439</v>
      </c>
      <c r="S20" s="110"/>
      <c r="T20"/>
      <c r="U20"/>
    </row>
    <row r="21" spans="1:21" x14ac:dyDescent="0.4">
      <c r="A21" s="105">
        <v>20</v>
      </c>
      <c r="B21" s="41">
        <v>23000000</v>
      </c>
      <c r="C21" s="41">
        <v>9.9000000000000008E-3</v>
      </c>
      <c r="D21" s="41">
        <v>10</v>
      </c>
      <c r="E21" s="41">
        <v>30</v>
      </c>
      <c r="F21" s="41">
        <v>0</v>
      </c>
      <c r="G21" s="41" t="s">
        <v>106</v>
      </c>
      <c r="H21" s="41">
        <v>3</v>
      </c>
      <c r="I21" s="41">
        <v>1</v>
      </c>
      <c r="J21" s="108">
        <v>5.5659999999999998E-3</v>
      </c>
      <c r="K21" s="41">
        <v>0</v>
      </c>
      <c r="L21" s="41">
        <v>55</v>
      </c>
      <c r="M21" s="41">
        <v>-1</v>
      </c>
      <c r="N21" s="41">
        <v>4</v>
      </c>
      <c r="O21" s="109"/>
      <c r="P21" s="41"/>
      <c r="Q21" s="111"/>
      <c r="R21" s="111" t="s">
        <v>440</v>
      </c>
      <c r="S21" s="110"/>
      <c r="T21"/>
      <c r="U21"/>
    </row>
    <row r="22" spans="1:21" x14ac:dyDescent="0.4">
      <c r="A22" s="105">
        <v>21</v>
      </c>
      <c r="B22" s="41">
        <v>23000000</v>
      </c>
      <c r="C22" s="41">
        <v>9.9000000000000008E-3</v>
      </c>
      <c r="D22" s="41">
        <v>20</v>
      </c>
      <c r="E22" s="41">
        <v>30</v>
      </c>
      <c r="F22" s="41">
        <v>0</v>
      </c>
      <c r="G22" s="41" t="s">
        <v>106</v>
      </c>
      <c r="H22" s="41">
        <v>3</v>
      </c>
      <c r="I22" s="41">
        <v>1</v>
      </c>
      <c r="J22" s="108">
        <v>5.5659999999999998E-3</v>
      </c>
      <c r="K22" s="41">
        <v>0</v>
      </c>
      <c r="L22" s="41">
        <v>55</v>
      </c>
      <c r="M22" s="41">
        <v>-1</v>
      </c>
      <c r="N22" s="41">
        <v>4</v>
      </c>
      <c r="O22" s="109"/>
      <c r="P22" s="41"/>
      <c r="Q22" s="111"/>
      <c r="R22" s="111" t="s">
        <v>441</v>
      </c>
      <c r="S22" s="110"/>
      <c r="T22"/>
      <c r="U22"/>
    </row>
    <row r="23" spans="1:21" x14ac:dyDescent="0.4">
      <c r="A23" s="105"/>
      <c r="J23" s="108"/>
      <c r="O23" s="109"/>
      <c r="P23" s="41"/>
      <c r="Q23" s="111"/>
      <c r="R23" s="111"/>
      <c r="S23" s="110"/>
      <c r="T23"/>
      <c r="U23"/>
    </row>
    <row r="24" spans="1:21" x14ac:dyDescent="0.4">
      <c r="A24" s="105"/>
      <c r="J24" s="108"/>
      <c r="O24" s="109"/>
      <c r="P24" s="41"/>
      <c r="Q24" s="111"/>
      <c r="R24" s="111"/>
      <c r="S24" s="110"/>
      <c r="T24"/>
      <c r="U24"/>
    </row>
    <row r="25" spans="1:21" x14ac:dyDescent="0.4">
      <c r="A25" s="105"/>
      <c r="J25" s="108"/>
      <c r="O25" s="109"/>
      <c r="P25" s="41"/>
      <c r="Q25" s="111"/>
      <c r="R25" s="111"/>
      <c r="S25" s="110"/>
      <c r="T25"/>
      <c r="U25"/>
    </row>
    <row r="26" spans="1:21" x14ac:dyDescent="0.4">
      <c r="A26" s="105"/>
      <c r="J26" s="108"/>
      <c r="O26" s="109"/>
      <c r="P26" s="41"/>
      <c r="Q26" s="111"/>
      <c r="R26" s="111"/>
      <c r="S26" s="110"/>
      <c r="T26"/>
      <c r="U26"/>
    </row>
    <row r="27" spans="1:21" x14ac:dyDescent="0.4">
      <c r="A27" s="105"/>
      <c r="J27" s="108"/>
      <c r="O27" s="109"/>
      <c r="P27" s="41"/>
      <c r="Q27" s="111"/>
      <c r="R27" s="111"/>
      <c r="S27" s="110"/>
      <c r="T27"/>
      <c r="U27"/>
    </row>
    <row r="28" spans="1:21" x14ac:dyDescent="0.4">
      <c r="A28" s="105"/>
      <c r="J28" s="108"/>
      <c r="O28" s="109"/>
      <c r="P28" s="41"/>
      <c r="Q28" s="111"/>
      <c r="R28" s="111"/>
      <c r="S28" s="110"/>
      <c r="T28"/>
      <c r="U28"/>
    </row>
    <row r="29" spans="1:21" x14ac:dyDescent="0.4">
      <c r="A29" s="105"/>
      <c r="J29" s="108"/>
      <c r="O29" s="109"/>
      <c r="P29" s="41"/>
      <c r="Q29" s="111"/>
      <c r="R29" s="111"/>
      <c r="S29" s="110"/>
      <c r="T29"/>
      <c r="U29"/>
    </row>
    <row r="30" spans="1:21" x14ac:dyDescent="0.4">
      <c r="A30" s="105"/>
      <c r="J30" s="108"/>
      <c r="O30" s="109"/>
      <c r="P30" s="41"/>
      <c r="Q30" s="111"/>
      <c r="R30" s="111"/>
      <c r="S30" s="110"/>
      <c r="T30"/>
      <c r="U30"/>
    </row>
    <row r="31" spans="1:21" x14ac:dyDescent="0.4">
      <c r="A31" s="105"/>
      <c r="J31" s="108"/>
      <c r="O31" s="109"/>
      <c r="P31" s="41"/>
      <c r="Q31" s="111"/>
      <c r="R31" s="111"/>
      <c r="S31" s="110"/>
      <c r="T31"/>
      <c r="U31"/>
    </row>
    <row r="32" spans="1:21" x14ac:dyDescent="0.4">
      <c r="A32" s="105"/>
      <c r="J32" s="108"/>
      <c r="O32" s="109"/>
      <c r="P32" s="41"/>
      <c r="Q32" s="111"/>
      <c r="R32" s="111"/>
      <c r="S32" s="110"/>
      <c r="T32"/>
      <c r="U32"/>
    </row>
    <row r="33" spans="1:21" x14ac:dyDescent="0.4">
      <c r="A33" s="105"/>
      <c r="J33" s="108"/>
      <c r="O33" s="109"/>
      <c r="P33" s="41"/>
      <c r="Q33" s="111"/>
      <c r="R33" s="111"/>
      <c r="S33" s="110"/>
      <c r="T33"/>
      <c r="U33"/>
    </row>
    <row r="34" spans="1:21" hidden="1" x14ac:dyDescent="0.4"/>
  </sheetData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FC120"/>
  <sheetViews>
    <sheetView topLeftCell="A70" zoomScaleNormal="100" workbookViewId="0">
      <selection activeCell="B12" sqref="B12"/>
    </sheetView>
  </sheetViews>
  <sheetFormatPr defaultColWidth="0" defaultRowHeight="14.4" customHeight="1" zeroHeight="1" x14ac:dyDescent="0.4"/>
  <cols>
    <col min="1" max="1" width="29.640625" customWidth="1"/>
    <col min="2" max="2" width="31.4257812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 x14ac:dyDescent="0.4">
      <c r="A1" t="s">
        <v>201</v>
      </c>
      <c r="B1" t="s">
        <v>202</v>
      </c>
      <c r="C1" t="s">
        <v>203</v>
      </c>
      <c r="D1" t="s">
        <v>204</v>
      </c>
      <c r="E1" s="43" t="s">
        <v>111</v>
      </c>
    </row>
    <row r="2" spans="1:5" ht="14.6" x14ac:dyDescent="0.4">
      <c r="A2" s="98" t="s">
        <v>238</v>
      </c>
      <c r="B2" s="99" t="s">
        <v>239</v>
      </c>
      <c r="C2" s="100">
        <v>128</v>
      </c>
      <c r="D2" s="97">
        <v>1</v>
      </c>
      <c r="E2" s="99" t="s">
        <v>240</v>
      </c>
    </row>
    <row r="3" spans="1:5" ht="14.6" x14ac:dyDescent="0.4">
      <c r="A3" s="98" t="s">
        <v>238</v>
      </c>
      <c r="B3" s="99" t="s">
        <v>239</v>
      </c>
      <c r="C3" s="100">
        <v>129</v>
      </c>
      <c r="D3" s="97">
        <v>1</v>
      </c>
      <c r="E3" s="99" t="s">
        <v>241</v>
      </c>
    </row>
    <row r="4" spans="1:5" ht="14.6" x14ac:dyDescent="0.4">
      <c r="A4" s="98" t="s">
        <v>238</v>
      </c>
      <c r="B4" s="99" t="s">
        <v>239</v>
      </c>
      <c r="C4" s="100">
        <v>137</v>
      </c>
      <c r="D4" s="97">
        <v>1</v>
      </c>
      <c r="E4" s="99" t="s">
        <v>242</v>
      </c>
    </row>
    <row r="5" spans="1:5" ht="14.6" x14ac:dyDescent="0.4">
      <c r="A5" s="98" t="s">
        <v>238</v>
      </c>
      <c r="B5" s="99" t="s">
        <v>239</v>
      </c>
      <c r="C5" s="100">
        <v>139</v>
      </c>
      <c r="D5" s="97">
        <v>1</v>
      </c>
      <c r="E5" s="99" t="s">
        <v>243</v>
      </c>
    </row>
    <row r="6" spans="1:5" ht="14.6" x14ac:dyDescent="0.4">
      <c r="A6" s="98" t="s">
        <v>238</v>
      </c>
      <c r="B6" s="99" t="s">
        <v>248</v>
      </c>
      <c r="C6" s="100">
        <v>508</v>
      </c>
      <c r="D6" s="97">
        <v>1</v>
      </c>
      <c r="E6" s="99" t="s">
        <v>249</v>
      </c>
    </row>
    <row r="7" spans="1:5" ht="14.6" x14ac:dyDescent="0.4">
      <c r="A7" s="98" t="s">
        <v>238</v>
      </c>
      <c r="B7" s="99" t="s">
        <v>248</v>
      </c>
      <c r="C7" s="100">
        <v>510</v>
      </c>
      <c r="D7" s="97">
        <v>1</v>
      </c>
      <c r="E7" s="99" t="s">
        <v>315</v>
      </c>
    </row>
    <row r="8" spans="1:5" ht="14.6" x14ac:dyDescent="0.4">
      <c r="A8" s="98" t="s">
        <v>238</v>
      </c>
      <c r="B8" s="99" t="s">
        <v>248</v>
      </c>
      <c r="C8" s="100">
        <v>529</v>
      </c>
      <c r="D8" s="97">
        <v>1</v>
      </c>
      <c r="E8" s="99" t="s">
        <v>251</v>
      </c>
    </row>
    <row r="9" spans="1:5" ht="14.6" x14ac:dyDescent="0.4">
      <c r="A9" s="98" t="s">
        <v>238</v>
      </c>
      <c r="B9" s="99" t="s">
        <v>248</v>
      </c>
      <c r="C9" s="100">
        <v>533</v>
      </c>
      <c r="D9" s="97">
        <v>1</v>
      </c>
      <c r="E9" s="99" t="s">
        <v>300</v>
      </c>
    </row>
    <row r="10" spans="1:5" ht="14.6" x14ac:dyDescent="0.4">
      <c r="A10" s="98" t="s">
        <v>238</v>
      </c>
      <c r="B10" s="99" t="s">
        <v>248</v>
      </c>
      <c r="C10" s="100">
        <v>548</v>
      </c>
      <c r="D10" s="97">
        <v>1</v>
      </c>
      <c r="E10" s="99" t="s">
        <v>253</v>
      </c>
    </row>
    <row r="11" spans="1:5" ht="14.6" x14ac:dyDescent="0.4">
      <c r="A11" s="98" t="s">
        <v>238</v>
      </c>
      <c r="B11" s="99" t="s">
        <v>255</v>
      </c>
      <c r="C11" s="100">
        <v>576</v>
      </c>
      <c r="D11" s="97">
        <v>1</v>
      </c>
      <c r="E11" s="99" t="s">
        <v>254</v>
      </c>
    </row>
    <row r="12" spans="1:5" ht="14.6" x14ac:dyDescent="0.4">
      <c r="A12" s="98" t="s">
        <v>238</v>
      </c>
      <c r="B12" s="99" t="s">
        <v>255</v>
      </c>
      <c r="C12" s="100">
        <v>656</v>
      </c>
      <c r="D12" s="97">
        <v>1</v>
      </c>
      <c r="E12" s="99" t="s">
        <v>256</v>
      </c>
    </row>
    <row r="13" spans="1:5" ht="14.6" x14ac:dyDescent="0.4">
      <c r="A13" s="98" t="s">
        <v>238</v>
      </c>
      <c r="B13" s="99" t="s">
        <v>255</v>
      </c>
      <c r="C13" s="100">
        <v>658</v>
      </c>
      <c r="D13" s="97">
        <v>1</v>
      </c>
      <c r="E13" s="99" t="s">
        <v>257</v>
      </c>
    </row>
    <row r="14" spans="1:5" ht="14.6" x14ac:dyDescent="0.4">
      <c r="A14" s="98" t="s">
        <v>238</v>
      </c>
      <c r="B14" s="99" t="s">
        <v>255</v>
      </c>
      <c r="C14" s="100">
        <v>696</v>
      </c>
      <c r="D14" s="97">
        <v>1</v>
      </c>
      <c r="E14" s="99" t="s">
        <v>258</v>
      </c>
    </row>
    <row r="15" spans="1:5" ht="14.6" x14ac:dyDescent="0.4">
      <c r="A15" s="98" t="s">
        <v>238</v>
      </c>
      <c r="B15" s="99" t="s">
        <v>255</v>
      </c>
      <c r="C15" s="100">
        <v>697</v>
      </c>
      <c r="D15" s="97">
        <v>1</v>
      </c>
      <c r="E15" s="99" t="s">
        <v>301</v>
      </c>
    </row>
    <row r="16" spans="1:5" ht="14.6" x14ac:dyDescent="0.4">
      <c r="A16" s="98" t="s">
        <v>238</v>
      </c>
      <c r="B16" s="99" t="s">
        <v>255</v>
      </c>
      <c r="C16" s="100">
        <v>731</v>
      </c>
      <c r="D16" s="97">
        <v>1</v>
      </c>
      <c r="E16" s="99" t="s">
        <v>259</v>
      </c>
    </row>
    <row r="17" spans="1:5" ht="14.6" x14ac:dyDescent="0.4">
      <c r="A17" s="98" t="s">
        <v>238</v>
      </c>
      <c r="B17" s="99" t="s">
        <v>255</v>
      </c>
      <c r="C17" s="100">
        <v>766</v>
      </c>
      <c r="D17" s="97">
        <v>1</v>
      </c>
      <c r="E17" s="99" t="s">
        <v>305</v>
      </c>
    </row>
    <row r="18" spans="1:5" ht="14.6" x14ac:dyDescent="0.4">
      <c r="A18" s="98" t="s">
        <v>238</v>
      </c>
      <c r="B18" s="99" t="s">
        <v>255</v>
      </c>
      <c r="C18" s="100">
        <v>839</v>
      </c>
      <c r="D18" s="97">
        <v>1</v>
      </c>
      <c r="E18" s="99" t="s">
        <v>309</v>
      </c>
    </row>
    <row r="19" spans="1:5" ht="14.6" x14ac:dyDescent="0.4">
      <c r="A19" s="98" t="s">
        <v>238</v>
      </c>
      <c r="B19" s="99" t="s">
        <v>255</v>
      </c>
      <c r="C19" s="100">
        <v>856</v>
      </c>
      <c r="D19" s="97">
        <v>1</v>
      </c>
      <c r="E19" s="99" t="s">
        <v>313</v>
      </c>
    </row>
    <row r="20" spans="1:5" ht="14.6" x14ac:dyDescent="0.4">
      <c r="A20" s="98" t="s">
        <v>238</v>
      </c>
      <c r="B20" s="99" t="s">
        <v>260</v>
      </c>
      <c r="C20" s="100">
        <v>888</v>
      </c>
      <c r="D20" s="97">
        <v>1</v>
      </c>
      <c r="E20" s="99" t="s">
        <v>261</v>
      </c>
    </row>
    <row r="21" spans="1:5" ht="14.6" x14ac:dyDescent="0.4">
      <c r="A21" s="98" t="s">
        <v>238</v>
      </c>
      <c r="B21" s="99" t="s">
        <v>260</v>
      </c>
      <c r="C21" s="100">
        <v>898</v>
      </c>
      <c r="D21" s="97">
        <v>1</v>
      </c>
      <c r="E21" s="99" t="s">
        <v>306</v>
      </c>
    </row>
    <row r="22" spans="1:5" ht="14.6" x14ac:dyDescent="0.4">
      <c r="A22" s="98" t="s">
        <v>238</v>
      </c>
      <c r="B22" s="99" t="s">
        <v>260</v>
      </c>
      <c r="C22" s="100">
        <v>913</v>
      </c>
      <c r="D22" s="97">
        <v>1</v>
      </c>
      <c r="E22" s="99" t="s">
        <v>262</v>
      </c>
    </row>
    <row r="23" spans="1:5" ht="14.6" x14ac:dyDescent="0.4">
      <c r="A23" s="98" t="s">
        <v>238</v>
      </c>
      <c r="B23" s="99" t="s">
        <v>260</v>
      </c>
      <c r="C23" s="100">
        <v>937</v>
      </c>
      <c r="D23" s="98">
        <v>1</v>
      </c>
      <c r="E23" s="99" t="s">
        <v>263</v>
      </c>
    </row>
    <row r="24" spans="1:5" ht="14.6" x14ac:dyDescent="0.4">
      <c r="A24" s="98" t="s">
        <v>238</v>
      </c>
      <c r="B24" s="99" t="s">
        <v>260</v>
      </c>
      <c r="C24" s="100">
        <v>1008</v>
      </c>
      <c r="D24" s="98">
        <v>1</v>
      </c>
      <c r="E24" s="99" t="s">
        <v>264</v>
      </c>
    </row>
    <row r="25" spans="1:5" ht="14.6" x14ac:dyDescent="0.4">
      <c r="A25" s="98" t="s">
        <v>238</v>
      </c>
      <c r="B25" s="99" t="s">
        <v>267</v>
      </c>
      <c r="C25" s="100">
        <v>1095</v>
      </c>
      <c r="D25" s="98">
        <v>1</v>
      </c>
      <c r="E25" s="99" t="s">
        <v>268</v>
      </c>
    </row>
    <row r="26" spans="1:5" ht="14.6" x14ac:dyDescent="0.4">
      <c r="A26" s="98" t="s">
        <v>238</v>
      </c>
      <c r="B26" s="99" t="s">
        <v>267</v>
      </c>
      <c r="C26" s="100">
        <v>1096</v>
      </c>
      <c r="D26" s="98">
        <v>1</v>
      </c>
      <c r="E26" s="99" t="s">
        <v>308</v>
      </c>
    </row>
    <row r="27" spans="1:5" ht="14.6" x14ac:dyDescent="0.4">
      <c r="A27" s="98" t="s">
        <v>238</v>
      </c>
      <c r="B27" s="99" t="s">
        <v>267</v>
      </c>
      <c r="C27" s="100">
        <v>1097</v>
      </c>
      <c r="D27" s="98">
        <v>1</v>
      </c>
      <c r="E27" s="99" t="s">
        <v>269</v>
      </c>
    </row>
    <row r="28" spans="1:5" ht="14.6" x14ac:dyDescent="0.4">
      <c r="A28" s="98" t="s">
        <v>238</v>
      </c>
      <c r="B28" s="99" t="s">
        <v>267</v>
      </c>
      <c r="C28" s="100">
        <v>1119</v>
      </c>
      <c r="D28" s="97">
        <v>1</v>
      </c>
      <c r="E28" s="99" t="s">
        <v>307</v>
      </c>
    </row>
    <row r="29" spans="1:5" ht="14.6" x14ac:dyDescent="0.4">
      <c r="A29" s="98" t="s">
        <v>238</v>
      </c>
      <c r="B29" s="99" t="s">
        <v>270</v>
      </c>
      <c r="C29" s="100">
        <v>1157</v>
      </c>
      <c r="D29" s="97">
        <v>1</v>
      </c>
      <c r="E29" s="99" t="s">
        <v>261</v>
      </c>
    </row>
    <row r="30" spans="1:5" ht="14.6" x14ac:dyDescent="0.4">
      <c r="A30" s="98" t="s">
        <v>238</v>
      </c>
      <c r="B30" s="99" t="s">
        <v>270</v>
      </c>
      <c r="C30" s="100">
        <v>1176</v>
      </c>
      <c r="D30" s="97">
        <v>1</v>
      </c>
      <c r="E30" s="99" t="s">
        <v>271</v>
      </c>
    </row>
    <row r="31" spans="1:5" ht="14.6" x14ac:dyDescent="0.4">
      <c r="A31" s="98" t="s">
        <v>238</v>
      </c>
      <c r="B31" s="99" t="s">
        <v>270</v>
      </c>
      <c r="C31" s="100">
        <v>1178</v>
      </c>
      <c r="D31" s="97">
        <v>1</v>
      </c>
      <c r="E31" s="99" t="s">
        <v>272</v>
      </c>
    </row>
    <row r="32" spans="1:5" ht="14.6" x14ac:dyDescent="0.4">
      <c r="A32" s="98" t="s">
        <v>238</v>
      </c>
      <c r="B32" s="99" t="s">
        <v>270</v>
      </c>
      <c r="C32" s="100">
        <v>1218</v>
      </c>
      <c r="D32" s="97">
        <v>1</v>
      </c>
      <c r="E32" s="99" t="s">
        <v>273</v>
      </c>
    </row>
    <row r="33" spans="1:5" ht="14.6" x14ac:dyDescent="0.4">
      <c r="A33" s="98" t="s">
        <v>238</v>
      </c>
      <c r="B33" s="99" t="s">
        <v>275</v>
      </c>
      <c r="C33" s="100">
        <v>1271</v>
      </c>
      <c r="D33" s="97">
        <v>1</v>
      </c>
      <c r="E33" s="99" t="s">
        <v>274</v>
      </c>
    </row>
    <row r="34" spans="1:5" ht="14.6" x14ac:dyDescent="0.4">
      <c r="A34" s="98" t="s">
        <v>238</v>
      </c>
      <c r="B34" s="99" t="s">
        <v>275</v>
      </c>
      <c r="C34" s="100">
        <v>1290</v>
      </c>
      <c r="D34" s="97">
        <v>1</v>
      </c>
      <c r="E34" s="99" t="s">
        <v>271</v>
      </c>
    </row>
    <row r="35" spans="1:5" ht="14.6" x14ac:dyDescent="0.4">
      <c r="A35" s="98" t="s">
        <v>238</v>
      </c>
      <c r="B35" s="99" t="s">
        <v>275</v>
      </c>
      <c r="C35" s="100">
        <v>1292</v>
      </c>
      <c r="D35" s="97">
        <v>1</v>
      </c>
      <c r="E35" s="99" t="s">
        <v>272</v>
      </c>
    </row>
    <row r="36" spans="1:5" ht="14.6" x14ac:dyDescent="0.4">
      <c r="A36" s="98" t="s">
        <v>238</v>
      </c>
      <c r="B36" s="99" t="s">
        <v>275</v>
      </c>
      <c r="C36" s="100">
        <v>1312</v>
      </c>
      <c r="D36" s="97">
        <v>1</v>
      </c>
      <c r="E36" s="99" t="s">
        <v>276</v>
      </c>
    </row>
    <row r="37" spans="1:5" ht="14.6" x14ac:dyDescent="0.4">
      <c r="A37" s="98" t="s">
        <v>238</v>
      </c>
      <c r="B37" s="99" t="s">
        <v>278</v>
      </c>
      <c r="C37" s="100">
        <v>1351</v>
      </c>
      <c r="D37" s="97">
        <v>1</v>
      </c>
      <c r="E37" s="99" t="s">
        <v>277</v>
      </c>
    </row>
    <row r="38" spans="1:5" ht="14.6" x14ac:dyDescent="0.4">
      <c r="A38" s="98" t="s">
        <v>238</v>
      </c>
      <c r="B38" s="99" t="s">
        <v>278</v>
      </c>
      <c r="C38" s="100">
        <v>1353</v>
      </c>
      <c r="D38" s="97">
        <v>1</v>
      </c>
      <c r="E38" s="99" t="s">
        <v>279</v>
      </c>
    </row>
    <row r="39" spans="1:5" ht="14.6" x14ac:dyDescent="0.4">
      <c r="A39" s="98" t="s">
        <v>238</v>
      </c>
      <c r="B39" s="99" t="s">
        <v>289</v>
      </c>
      <c r="C39" s="100">
        <v>1377</v>
      </c>
      <c r="D39" s="97">
        <v>1</v>
      </c>
      <c r="E39" s="99" t="s">
        <v>280</v>
      </c>
    </row>
    <row r="40" spans="1:5" ht="14.6" x14ac:dyDescent="0.4">
      <c r="A40" s="98" t="s">
        <v>238</v>
      </c>
      <c r="B40" s="99" t="s">
        <v>289</v>
      </c>
      <c r="C40" s="100">
        <v>1378</v>
      </c>
      <c r="D40" s="97">
        <v>1</v>
      </c>
      <c r="E40" s="99" t="s">
        <v>281</v>
      </c>
    </row>
    <row r="41" spans="1:5" ht="14.6" x14ac:dyDescent="0.4">
      <c r="A41" s="98" t="s">
        <v>238</v>
      </c>
      <c r="B41" s="99" t="s">
        <v>289</v>
      </c>
      <c r="C41" s="100">
        <v>1379</v>
      </c>
      <c r="D41" s="97">
        <v>1</v>
      </c>
      <c r="E41" s="99" t="s">
        <v>282</v>
      </c>
    </row>
    <row r="42" spans="1:5" ht="14.6" x14ac:dyDescent="0.4">
      <c r="A42" s="98" t="s">
        <v>238</v>
      </c>
      <c r="B42" s="99" t="s">
        <v>289</v>
      </c>
      <c r="C42" s="100">
        <v>1381</v>
      </c>
      <c r="D42" s="97">
        <v>1</v>
      </c>
      <c r="E42" s="99" t="s">
        <v>314</v>
      </c>
    </row>
    <row r="43" spans="1:5" ht="14.6" x14ac:dyDescent="0.4">
      <c r="A43" s="98" t="s">
        <v>238</v>
      </c>
      <c r="B43" s="99" t="s">
        <v>289</v>
      </c>
      <c r="C43" s="100">
        <v>1382</v>
      </c>
      <c r="D43" s="97">
        <v>1</v>
      </c>
      <c r="E43" s="99" t="s">
        <v>283</v>
      </c>
    </row>
    <row r="44" spans="1:5" ht="14.6" x14ac:dyDescent="0.4">
      <c r="A44" s="98" t="s">
        <v>238</v>
      </c>
      <c r="B44" s="99" t="s">
        <v>289</v>
      </c>
      <c r="C44" s="100">
        <v>1383</v>
      </c>
      <c r="D44" s="97">
        <v>1</v>
      </c>
      <c r="E44" s="99" t="s">
        <v>284</v>
      </c>
    </row>
    <row r="45" spans="1:5" ht="14.6" x14ac:dyDescent="0.4">
      <c r="A45" s="98" t="s">
        <v>238</v>
      </c>
      <c r="B45" s="99" t="s">
        <v>289</v>
      </c>
      <c r="C45" s="100">
        <v>1384</v>
      </c>
      <c r="D45" s="97">
        <v>1</v>
      </c>
      <c r="E45" s="99" t="s">
        <v>285</v>
      </c>
    </row>
    <row r="46" spans="1:5" ht="14.6" x14ac:dyDescent="0.4">
      <c r="A46" s="98" t="s">
        <v>238</v>
      </c>
      <c r="B46" s="99" t="s">
        <v>289</v>
      </c>
      <c r="C46" s="100">
        <v>1385</v>
      </c>
      <c r="D46" s="97">
        <v>1</v>
      </c>
      <c r="E46" s="99" t="s">
        <v>286</v>
      </c>
    </row>
    <row r="47" spans="1:5" ht="14.6" x14ac:dyDescent="0.4">
      <c r="A47" s="98" t="s">
        <v>238</v>
      </c>
      <c r="B47" s="99" t="s">
        <v>289</v>
      </c>
      <c r="C47" s="100">
        <v>1386</v>
      </c>
      <c r="D47" s="97">
        <v>1</v>
      </c>
      <c r="E47" s="99" t="s">
        <v>287</v>
      </c>
    </row>
    <row r="48" spans="1:5" ht="14.6" x14ac:dyDescent="0.4">
      <c r="A48" s="98" t="s">
        <v>238</v>
      </c>
      <c r="B48" s="99" t="s">
        <v>289</v>
      </c>
      <c r="C48" s="100">
        <v>1387</v>
      </c>
      <c r="D48" s="97">
        <v>1</v>
      </c>
      <c r="E48" s="99" t="s">
        <v>304</v>
      </c>
    </row>
    <row r="49" spans="1:5" ht="14.6" x14ac:dyDescent="0.4">
      <c r="A49" s="98" t="s">
        <v>238</v>
      </c>
      <c r="B49" s="99" t="s">
        <v>289</v>
      </c>
      <c r="C49" s="100">
        <v>1388</v>
      </c>
      <c r="D49" s="97">
        <v>1</v>
      </c>
      <c r="E49" s="99" t="s">
        <v>288</v>
      </c>
    </row>
    <row r="50" spans="1:5" ht="14.6" x14ac:dyDescent="0.4">
      <c r="A50" s="98" t="s">
        <v>238</v>
      </c>
      <c r="B50" s="99" t="s">
        <v>291</v>
      </c>
      <c r="C50" s="100">
        <v>2298</v>
      </c>
      <c r="D50" s="97">
        <v>1</v>
      </c>
      <c r="E50" s="99" t="s">
        <v>290</v>
      </c>
    </row>
    <row r="51" spans="1:5" ht="14.6" x14ac:dyDescent="0.4">
      <c r="A51" s="98" t="s">
        <v>238</v>
      </c>
      <c r="B51" s="99" t="s">
        <v>291</v>
      </c>
      <c r="C51" s="100">
        <v>2308</v>
      </c>
      <c r="D51" s="97">
        <v>1</v>
      </c>
      <c r="E51" s="99" t="s">
        <v>292</v>
      </c>
    </row>
    <row r="52" spans="1:5" ht="14.6" x14ac:dyDescent="0.4">
      <c r="A52" s="98" t="s">
        <v>238</v>
      </c>
      <c r="B52" s="99" t="s">
        <v>293</v>
      </c>
      <c r="C52" s="100" t="s">
        <v>207</v>
      </c>
      <c r="D52" s="97">
        <v>1</v>
      </c>
      <c r="E52" s="99"/>
    </row>
    <row r="53" spans="1:5" ht="14.6" x14ac:dyDescent="0.4">
      <c r="A53" s="98" t="s">
        <v>238</v>
      </c>
      <c r="B53" s="99" t="s">
        <v>294</v>
      </c>
      <c r="C53" s="100" t="s">
        <v>207</v>
      </c>
      <c r="D53" s="97">
        <v>1</v>
      </c>
      <c r="E53" s="99"/>
    </row>
    <row r="54" spans="1:5" ht="14.6" x14ac:dyDescent="0.4">
      <c r="A54" s="98" t="s">
        <v>238</v>
      </c>
      <c r="B54" s="99" t="s">
        <v>310</v>
      </c>
      <c r="C54" s="98" t="s">
        <v>207</v>
      </c>
      <c r="D54" s="97">
        <v>1</v>
      </c>
      <c r="E54" s="99"/>
    </row>
    <row r="55" spans="1:5" ht="14.6" x14ac:dyDescent="0.4">
      <c r="A55" s="98" t="s">
        <v>205</v>
      </c>
      <c r="B55" s="99" t="s">
        <v>205</v>
      </c>
      <c r="C55" s="98">
        <v>188</v>
      </c>
      <c r="D55" s="97">
        <v>1</v>
      </c>
      <c r="E55" s="99" t="s">
        <v>311</v>
      </c>
    </row>
    <row r="56" spans="1:5" ht="14.6" x14ac:dyDescent="0.4">
      <c r="A56" s="98" t="s">
        <v>205</v>
      </c>
      <c r="B56" s="99" t="s">
        <v>208</v>
      </c>
      <c r="C56" s="98">
        <v>271</v>
      </c>
      <c r="D56" s="97">
        <v>1</v>
      </c>
      <c r="E56" s="99" t="s">
        <v>209</v>
      </c>
    </row>
    <row r="57" spans="1:5" ht="14.6" x14ac:dyDescent="0.4">
      <c r="A57" s="98" t="s">
        <v>205</v>
      </c>
      <c r="B57" s="99" t="s">
        <v>208</v>
      </c>
      <c r="C57" s="98">
        <v>279</v>
      </c>
      <c r="D57" s="97">
        <v>1</v>
      </c>
      <c r="E57" s="99" t="s">
        <v>210</v>
      </c>
    </row>
    <row r="58" spans="1:5" ht="14.6" x14ac:dyDescent="0.4">
      <c r="A58" s="98" t="s">
        <v>205</v>
      </c>
      <c r="B58" s="99" t="s">
        <v>212</v>
      </c>
      <c r="C58" s="98">
        <v>394</v>
      </c>
      <c r="D58" s="97">
        <v>1</v>
      </c>
      <c r="E58" s="99" t="s">
        <v>213</v>
      </c>
    </row>
    <row r="59" spans="1:5" ht="14.6" x14ac:dyDescent="0.4">
      <c r="A59" s="98" t="s">
        <v>205</v>
      </c>
      <c r="B59" s="99" t="s">
        <v>212</v>
      </c>
      <c r="C59" s="98">
        <v>400</v>
      </c>
      <c r="D59" s="97">
        <v>1</v>
      </c>
      <c r="E59" s="99" t="s">
        <v>214</v>
      </c>
    </row>
    <row r="60" spans="1:5" ht="14.6" x14ac:dyDescent="0.4">
      <c r="A60" s="98" t="s">
        <v>205</v>
      </c>
      <c r="B60" s="99" t="s">
        <v>215</v>
      </c>
      <c r="C60" s="98">
        <v>423</v>
      </c>
      <c r="D60" s="97">
        <v>1</v>
      </c>
      <c r="E60" s="99" t="s">
        <v>216</v>
      </c>
    </row>
    <row r="61" spans="1:5" ht="14.6" x14ac:dyDescent="0.4">
      <c r="A61" s="98" t="s">
        <v>205</v>
      </c>
      <c r="B61" s="99" t="s">
        <v>215</v>
      </c>
      <c r="C61" s="98">
        <v>425</v>
      </c>
      <c r="D61" s="97">
        <v>1</v>
      </c>
      <c r="E61" s="99" t="s">
        <v>217</v>
      </c>
    </row>
    <row r="62" spans="1:5" ht="14.6" x14ac:dyDescent="0.4">
      <c r="A62" s="98" t="s">
        <v>205</v>
      </c>
      <c r="B62" s="99" t="s">
        <v>215</v>
      </c>
      <c r="C62" s="98">
        <v>428</v>
      </c>
      <c r="D62" s="97">
        <v>1</v>
      </c>
      <c r="E62" s="99" t="s">
        <v>218</v>
      </c>
    </row>
    <row r="63" spans="1:5" ht="14.6" x14ac:dyDescent="0.4">
      <c r="A63" s="98" t="s">
        <v>205</v>
      </c>
      <c r="B63" s="99" t="s">
        <v>221</v>
      </c>
      <c r="C63" s="98">
        <v>459</v>
      </c>
      <c r="D63" s="97">
        <v>1</v>
      </c>
      <c r="E63" s="99" t="s">
        <v>222</v>
      </c>
    </row>
    <row r="64" spans="1:5" ht="14.6" x14ac:dyDescent="0.4">
      <c r="A64" s="98" t="s">
        <v>205</v>
      </c>
      <c r="B64" s="99" t="s">
        <v>221</v>
      </c>
      <c r="C64" s="98">
        <v>470</v>
      </c>
      <c r="D64" s="97">
        <v>1</v>
      </c>
      <c r="E64" s="99" t="s">
        <v>219</v>
      </c>
    </row>
    <row r="65" spans="1:5" ht="14.6" x14ac:dyDescent="0.4">
      <c r="A65" s="98" t="s">
        <v>205</v>
      </c>
      <c r="B65" s="99" t="s">
        <v>221</v>
      </c>
      <c r="C65" s="98">
        <v>472</v>
      </c>
      <c r="D65" s="97">
        <v>1</v>
      </c>
      <c r="E65" s="99" t="s">
        <v>220</v>
      </c>
    </row>
    <row r="66" spans="1:5" ht="14.6" x14ac:dyDescent="0.4">
      <c r="A66" s="98" t="s">
        <v>205</v>
      </c>
      <c r="B66" s="99" t="s">
        <v>224</v>
      </c>
      <c r="C66" s="98">
        <v>598</v>
      </c>
      <c r="D66" s="97">
        <v>1</v>
      </c>
      <c r="E66" s="99" t="s">
        <v>225</v>
      </c>
    </row>
    <row r="67" spans="1:5" ht="14.6" x14ac:dyDescent="0.4">
      <c r="A67" s="98" t="s">
        <v>205</v>
      </c>
      <c r="B67" s="99" t="s">
        <v>224</v>
      </c>
      <c r="C67" s="98">
        <v>680</v>
      </c>
      <c r="D67" s="97">
        <v>1</v>
      </c>
      <c r="E67" s="99" t="s">
        <v>226</v>
      </c>
    </row>
    <row r="68" spans="1:5" ht="14.6" x14ac:dyDescent="0.4">
      <c r="A68" s="98" t="s">
        <v>205</v>
      </c>
      <c r="B68" s="99" t="s">
        <v>224</v>
      </c>
      <c r="C68" s="98">
        <v>708</v>
      </c>
      <c r="D68" s="97">
        <v>1</v>
      </c>
      <c r="E68" s="99" t="s">
        <v>227</v>
      </c>
    </row>
    <row r="69" spans="1:5" ht="14.6" x14ac:dyDescent="0.4">
      <c r="A69" s="98" t="s">
        <v>205</v>
      </c>
      <c r="B69" s="99" t="s">
        <v>228</v>
      </c>
      <c r="C69" s="98">
        <v>726</v>
      </c>
      <c r="D69" s="97">
        <v>1</v>
      </c>
      <c r="E69" s="99" t="s">
        <v>229</v>
      </c>
    </row>
    <row r="70" spans="1:5" ht="14.6" x14ac:dyDescent="0.4">
      <c r="A70" s="98" t="s">
        <v>205</v>
      </c>
      <c r="B70" s="99" t="s">
        <v>228</v>
      </c>
      <c r="C70" s="98">
        <v>739</v>
      </c>
      <c r="D70" s="97">
        <v>1</v>
      </c>
      <c r="E70" s="99" t="s">
        <v>230</v>
      </c>
    </row>
    <row r="71" spans="1:5" ht="14.6" x14ac:dyDescent="0.4">
      <c r="A71" s="98" t="s">
        <v>205</v>
      </c>
      <c r="B71" s="99" t="s">
        <v>228</v>
      </c>
      <c r="C71" s="98">
        <v>740</v>
      </c>
      <c r="D71" s="97">
        <v>1</v>
      </c>
      <c r="E71" s="99" t="s">
        <v>231</v>
      </c>
    </row>
    <row r="72" spans="1:5" ht="14.6" x14ac:dyDescent="0.4">
      <c r="A72" s="98" t="s">
        <v>205</v>
      </c>
      <c r="B72" s="99" t="s">
        <v>228</v>
      </c>
      <c r="C72" s="98">
        <v>754</v>
      </c>
      <c r="D72" s="97">
        <v>1</v>
      </c>
      <c r="E72" s="99" t="s">
        <v>232</v>
      </c>
    </row>
    <row r="73" spans="1:5" ht="14.6" x14ac:dyDescent="0.4">
      <c r="A73" s="98" t="s">
        <v>205</v>
      </c>
      <c r="B73" s="99" t="s">
        <v>228</v>
      </c>
      <c r="C73" s="98">
        <v>758</v>
      </c>
      <c r="D73" s="97">
        <v>1</v>
      </c>
      <c r="E73" s="99" t="s">
        <v>233</v>
      </c>
    </row>
    <row r="74" spans="1:5" ht="14.6" x14ac:dyDescent="0.4">
      <c r="A74" s="98" t="s">
        <v>205</v>
      </c>
      <c r="B74" s="99" t="s">
        <v>228</v>
      </c>
      <c r="C74" s="98">
        <v>779</v>
      </c>
      <c r="D74" s="97">
        <v>1</v>
      </c>
      <c r="E74" s="99" t="s">
        <v>234</v>
      </c>
    </row>
    <row r="75" spans="1:5" ht="14.6" x14ac:dyDescent="0.4">
      <c r="A75" s="98" t="s">
        <v>205</v>
      </c>
      <c r="B75" s="99" t="s">
        <v>228</v>
      </c>
      <c r="C75" s="98">
        <v>793</v>
      </c>
      <c r="D75" s="97">
        <v>1</v>
      </c>
      <c r="E75" s="99" t="s">
        <v>235</v>
      </c>
    </row>
    <row r="76" spans="1:5" ht="14.6" x14ac:dyDescent="0.4">
      <c r="A76" s="98" t="s">
        <v>205</v>
      </c>
      <c r="B76" s="99" t="s">
        <v>236</v>
      </c>
      <c r="C76" s="98">
        <v>898</v>
      </c>
      <c r="D76" s="97">
        <v>1</v>
      </c>
      <c r="E76" s="99" t="s">
        <v>227</v>
      </c>
    </row>
    <row r="77" spans="1:5" ht="14.6" x14ac:dyDescent="0.4">
      <c r="A77" s="98" t="s">
        <v>205</v>
      </c>
      <c r="B77" s="99" t="s">
        <v>236</v>
      </c>
      <c r="C77" s="98">
        <v>927</v>
      </c>
      <c r="D77" s="97">
        <v>1</v>
      </c>
      <c r="E77" s="99" t="s">
        <v>237</v>
      </c>
    </row>
    <row r="78" spans="1:5" ht="14.6" x14ac:dyDescent="0.4">
      <c r="A78" s="98" t="s">
        <v>205</v>
      </c>
      <c r="B78" s="99" t="s">
        <v>206</v>
      </c>
      <c r="C78" s="98" t="s">
        <v>207</v>
      </c>
      <c r="D78" s="97">
        <v>1</v>
      </c>
      <c r="E78" s="99"/>
    </row>
    <row r="79" spans="1:5" ht="14.6" x14ac:dyDescent="0.4">
      <c r="A79" s="98" t="s">
        <v>205</v>
      </c>
      <c r="B79" s="99" t="s">
        <v>211</v>
      </c>
      <c r="C79" s="98" t="s">
        <v>207</v>
      </c>
      <c r="D79" s="97">
        <v>1</v>
      </c>
      <c r="E79" s="99"/>
    </row>
    <row r="80" spans="1:5" ht="14.6" x14ac:dyDescent="0.4">
      <c r="A80" s="98" t="s">
        <v>205</v>
      </c>
      <c r="B80" s="99" t="s">
        <v>223</v>
      </c>
      <c r="C80" s="98" t="s">
        <v>207</v>
      </c>
      <c r="D80" s="97">
        <v>1</v>
      </c>
      <c r="E80" s="99"/>
    </row>
    <row r="81" spans="1:5" ht="14.6" x14ac:dyDescent="0.4">
      <c r="A81" s="98" t="s">
        <v>265</v>
      </c>
      <c r="B81" s="99" t="s">
        <v>298</v>
      </c>
      <c r="C81" s="100">
        <v>106</v>
      </c>
      <c r="D81" s="97">
        <v>1</v>
      </c>
      <c r="E81" s="99" t="s">
        <v>302</v>
      </c>
    </row>
    <row r="82" spans="1:5" ht="14.6" x14ac:dyDescent="0.4">
      <c r="A82" s="98" t="s">
        <v>265</v>
      </c>
      <c r="B82" s="99" t="s">
        <v>266</v>
      </c>
      <c r="C82" s="100">
        <v>107</v>
      </c>
      <c r="D82" s="97">
        <v>1</v>
      </c>
      <c r="E82" s="99" t="s">
        <v>302</v>
      </c>
    </row>
    <row r="83" spans="1:5" ht="14.6" x14ac:dyDescent="0.4">
      <c r="A83" s="98" t="s">
        <v>265</v>
      </c>
      <c r="B83" s="99" t="s">
        <v>299</v>
      </c>
      <c r="C83" s="100">
        <v>115</v>
      </c>
      <c r="D83" s="97">
        <v>1</v>
      </c>
      <c r="E83" s="99" t="s">
        <v>296</v>
      </c>
    </row>
    <row r="84" spans="1:5" ht="14.6" x14ac:dyDescent="0.4">
      <c r="A84" s="98" t="s">
        <v>265</v>
      </c>
      <c r="B84" s="99" t="s">
        <v>298</v>
      </c>
      <c r="C84" s="100">
        <v>120</v>
      </c>
      <c r="D84" s="97">
        <v>1</v>
      </c>
      <c r="E84" s="99" t="s">
        <v>295</v>
      </c>
    </row>
    <row r="85" spans="1:5" ht="14.6" x14ac:dyDescent="0.4">
      <c r="A85" s="98" t="s">
        <v>265</v>
      </c>
      <c r="B85" s="99" t="s">
        <v>266</v>
      </c>
      <c r="C85" s="100">
        <v>122</v>
      </c>
      <c r="D85" s="97">
        <v>1</v>
      </c>
      <c r="E85" s="99" t="s">
        <v>295</v>
      </c>
    </row>
    <row r="86" spans="1:5" ht="14.6" x14ac:dyDescent="0.4">
      <c r="A86" s="98" t="s">
        <v>265</v>
      </c>
      <c r="B86" s="99" t="s">
        <v>299</v>
      </c>
      <c r="C86" s="100">
        <v>131</v>
      </c>
      <c r="D86" s="97">
        <v>1</v>
      </c>
      <c r="E86" s="99" t="s">
        <v>295</v>
      </c>
    </row>
    <row r="87" spans="1:5" ht="14.6" x14ac:dyDescent="0.4">
      <c r="A87" s="98" t="s">
        <v>265</v>
      </c>
      <c r="B87" s="99" t="s">
        <v>266</v>
      </c>
      <c r="C87" s="100">
        <v>136</v>
      </c>
      <c r="D87" s="97">
        <v>1</v>
      </c>
      <c r="E87" s="99" t="s">
        <v>297</v>
      </c>
    </row>
    <row r="88" spans="1:5" ht="14.6" x14ac:dyDescent="0.4">
      <c r="A88" s="98"/>
      <c r="B88" s="99"/>
      <c r="C88" s="98"/>
      <c r="D88" s="97"/>
      <c r="E88" s="99"/>
    </row>
    <row r="89" spans="1:5" ht="14.6" x14ac:dyDescent="0.4">
      <c r="A89" s="98"/>
      <c r="B89" s="99"/>
      <c r="C89" s="98"/>
      <c r="D89" s="97"/>
      <c r="E89" s="99"/>
    </row>
    <row r="90" spans="1:5" ht="14.6" x14ac:dyDescent="0.4">
      <c r="A90" s="98"/>
      <c r="B90" s="99"/>
      <c r="C90" s="98"/>
      <c r="D90" s="97"/>
      <c r="E90" s="99"/>
    </row>
    <row r="91" spans="1:5" ht="14.6" x14ac:dyDescent="0.4">
      <c r="A91" s="98"/>
      <c r="B91" s="99"/>
      <c r="C91" s="98"/>
      <c r="D91" s="97"/>
      <c r="E91" s="99"/>
    </row>
    <row r="92" spans="1:5" ht="14.6" x14ac:dyDescent="0.4">
      <c r="A92" s="98"/>
      <c r="B92" s="99"/>
      <c r="C92" s="100"/>
      <c r="D92" s="97"/>
      <c r="E92" s="99"/>
    </row>
    <row r="93" spans="1:5" ht="14.6" x14ac:dyDescent="0.4">
      <c r="A93" s="98"/>
      <c r="B93" s="99"/>
      <c r="C93" s="100"/>
      <c r="D93" s="97"/>
      <c r="E93" s="99"/>
    </row>
    <row r="94" spans="1:5" ht="14.6" x14ac:dyDescent="0.4">
      <c r="A94" s="98"/>
      <c r="B94" s="99"/>
      <c r="C94" s="100"/>
      <c r="D94" s="97"/>
      <c r="E94" s="99"/>
    </row>
    <row r="95" spans="1:5" ht="14.6" x14ac:dyDescent="0.4">
      <c r="A95" s="98"/>
      <c r="B95" s="99"/>
      <c r="C95" s="100"/>
      <c r="D95" s="97"/>
      <c r="E95" s="99"/>
    </row>
    <row r="96" spans="1:5" ht="14.6" x14ac:dyDescent="0.4">
      <c r="A96" s="98"/>
      <c r="B96" s="99"/>
      <c r="C96" s="100"/>
      <c r="D96" s="97"/>
      <c r="E96" s="99"/>
    </row>
    <row r="97" spans="1:5" ht="14.6" x14ac:dyDescent="0.4">
      <c r="A97" s="98"/>
      <c r="B97" s="99"/>
      <c r="C97" s="100"/>
      <c r="D97" s="97"/>
      <c r="E97" s="99"/>
    </row>
    <row r="98" spans="1:5" ht="14.6" x14ac:dyDescent="0.4">
      <c r="A98" s="98"/>
      <c r="B98" s="99"/>
      <c r="C98" s="100"/>
      <c r="D98" s="97"/>
      <c r="E98" s="99"/>
    </row>
    <row r="99" spans="1:5" ht="14.6" x14ac:dyDescent="0.4">
      <c r="A99" s="98"/>
      <c r="B99" s="99"/>
      <c r="C99" s="100"/>
      <c r="D99" s="97"/>
      <c r="E99" s="99"/>
    </row>
    <row r="100" spans="1:5" ht="14.6" x14ac:dyDescent="0.4">
      <c r="A100" s="98"/>
      <c r="B100" s="99"/>
      <c r="C100" s="100"/>
      <c r="D100" s="97"/>
      <c r="E100" s="99"/>
    </row>
    <row r="101" spans="1:5" ht="14.6" x14ac:dyDescent="0.4">
      <c r="A101" s="98"/>
      <c r="B101" s="99"/>
      <c r="C101" s="100"/>
      <c r="D101" s="97"/>
      <c r="E101" s="99"/>
    </row>
    <row r="102" spans="1:5" ht="14.6" x14ac:dyDescent="0.4">
      <c r="A102" s="98"/>
      <c r="B102" s="99"/>
      <c r="C102" s="100"/>
      <c r="D102" s="97"/>
      <c r="E102" s="99"/>
    </row>
    <row r="103" spans="1:5" ht="14.6" x14ac:dyDescent="0.4">
      <c r="A103" s="98"/>
      <c r="B103" s="99"/>
      <c r="C103" s="100"/>
      <c r="D103" s="97"/>
      <c r="E103" s="99"/>
    </row>
    <row r="104" spans="1:5" ht="14.6" x14ac:dyDescent="0.4">
      <c r="A104" s="98"/>
      <c r="B104" s="99"/>
      <c r="C104" s="100"/>
      <c r="D104" s="97"/>
      <c r="E104" s="99"/>
    </row>
    <row r="105" spans="1:5" ht="14.6" x14ac:dyDescent="0.4">
      <c r="A105" s="98"/>
      <c r="B105" s="99"/>
      <c r="C105" s="100"/>
      <c r="D105" s="97"/>
      <c r="E105" s="99"/>
    </row>
    <row r="106" spans="1:5" ht="14.6" x14ac:dyDescent="0.4">
      <c r="A106" s="98"/>
      <c r="B106" s="99"/>
      <c r="C106" s="100"/>
      <c r="D106" s="97"/>
      <c r="E106" s="99"/>
    </row>
    <row r="107" spans="1:5" ht="14.6" x14ac:dyDescent="0.4">
      <c r="A107" s="98"/>
      <c r="B107" s="99"/>
      <c r="C107" s="100"/>
      <c r="D107" s="97"/>
      <c r="E107" s="99"/>
    </row>
    <row r="108" spans="1:5" ht="14.6" x14ac:dyDescent="0.4">
      <c r="A108" s="98"/>
      <c r="B108" s="99"/>
      <c r="C108" s="100"/>
      <c r="D108" s="97"/>
      <c r="E108" s="99"/>
    </row>
    <row r="109" spans="1:5" ht="14.6" x14ac:dyDescent="0.4">
      <c r="A109" s="98"/>
      <c r="B109" s="99"/>
      <c r="C109" s="100"/>
      <c r="D109" s="97"/>
      <c r="E109" s="99"/>
    </row>
    <row r="110" spans="1:5" ht="14.6" x14ac:dyDescent="0.4">
      <c r="A110" s="98"/>
      <c r="B110" s="99"/>
      <c r="C110" s="100"/>
      <c r="D110" s="97"/>
      <c r="E110" s="99"/>
    </row>
    <row r="111" spans="1:5" ht="14.6" x14ac:dyDescent="0.4">
      <c r="A111" s="98"/>
      <c r="B111" s="99"/>
      <c r="C111" s="100"/>
      <c r="D111" s="97"/>
      <c r="E111" s="99"/>
    </row>
    <row r="112" spans="1:5" ht="14.6" x14ac:dyDescent="0.4">
      <c r="A112" s="98"/>
      <c r="B112" s="99"/>
      <c r="C112" s="100"/>
      <c r="D112" s="97"/>
      <c r="E112" s="99"/>
    </row>
    <row r="113" spans="1:5" ht="14.6" x14ac:dyDescent="0.4">
      <c r="A113" s="98"/>
      <c r="B113" s="99"/>
      <c r="C113" s="100"/>
      <c r="D113" s="97"/>
      <c r="E113" s="99"/>
    </row>
    <row r="114" spans="1:5" ht="14.6" x14ac:dyDescent="0.4">
      <c r="A114" s="98"/>
      <c r="B114" s="99"/>
      <c r="C114" s="100"/>
      <c r="D114" s="97"/>
      <c r="E114" s="99"/>
    </row>
    <row r="115" spans="1:5" ht="14.6" x14ac:dyDescent="0.4">
      <c r="A115" s="98"/>
      <c r="B115" s="99"/>
      <c r="C115" s="100"/>
      <c r="D115" s="97"/>
      <c r="E115" s="99"/>
    </row>
    <row r="116" spans="1:5" ht="14.6" x14ac:dyDescent="0.4">
      <c r="A116" s="98"/>
      <c r="B116" s="99"/>
      <c r="C116" s="100"/>
      <c r="D116" s="97"/>
      <c r="E116" s="99"/>
    </row>
    <row r="117" spans="1:5" ht="14.6" x14ac:dyDescent="0.4">
      <c r="A117" s="98"/>
      <c r="B117" s="99"/>
      <c r="C117" s="100"/>
      <c r="D117" s="97"/>
      <c r="E117" s="99"/>
    </row>
    <row r="118" spans="1:5" ht="14.6" hidden="1" x14ac:dyDescent="0.4">
      <c r="E118" s="43"/>
    </row>
    <row r="119" spans="1:5" ht="14.6" hidden="1" x14ac:dyDescent="0.4">
      <c r="E119" s="43"/>
    </row>
    <row r="120" spans="1:5" ht="14.6" hidden="1" x14ac:dyDescent="0.4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51"/>
  <sheetViews>
    <sheetView zoomScale="115" zoomScaleNormal="115" workbookViewId="0">
      <selection activeCell="B29" sqref="B29"/>
    </sheetView>
  </sheetViews>
  <sheetFormatPr defaultColWidth="0" defaultRowHeight="14.6" zeroHeight="1" x14ac:dyDescent="0.4"/>
  <cols>
    <col min="1" max="1" width="11.78515625" customWidth="1"/>
    <col min="2" max="2" width="18.85546875" customWidth="1"/>
    <col min="3" max="3" width="12.640625" customWidth="1"/>
    <col min="4" max="4" width="9.35546875" customWidth="1"/>
    <col min="5" max="5" width="53.5703125" customWidth="1"/>
    <col min="6" max="16384" width="8.85546875" hidden="1"/>
  </cols>
  <sheetData>
    <row r="1" spans="1:5" x14ac:dyDescent="0.4">
      <c r="A1" t="s">
        <v>244</v>
      </c>
      <c r="B1" t="s">
        <v>344</v>
      </c>
      <c r="C1" t="s">
        <v>107</v>
      </c>
      <c r="D1" t="s">
        <v>112</v>
      </c>
      <c r="E1" s="43" t="s">
        <v>111</v>
      </c>
    </row>
    <row r="2" spans="1:5" hidden="1" x14ac:dyDescent="0.4">
      <c r="A2" t="s">
        <v>247</v>
      </c>
      <c r="B2" t="s">
        <v>108</v>
      </c>
      <c r="D2" t="s">
        <v>109</v>
      </c>
      <c r="E2" s="43" t="s">
        <v>250</v>
      </c>
    </row>
    <row r="3" spans="1:5" hidden="1" x14ac:dyDescent="0.4">
      <c r="A3" t="s">
        <v>247</v>
      </c>
      <c r="E3" s="43"/>
    </row>
    <row r="4" spans="1:5" hidden="1" x14ac:dyDescent="0.4">
      <c r="A4" t="s">
        <v>247</v>
      </c>
      <c r="E4" s="43"/>
    </row>
    <row r="5" spans="1:5" hidden="1" x14ac:dyDescent="0.4">
      <c r="A5" t="s">
        <v>247</v>
      </c>
      <c r="E5" s="43"/>
    </row>
    <row r="6" spans="1:5" hidden="1" x14ac:dyDescent="0.4">
      <c r="A6" s="102" t="s">
        <v>247</v>
      </c>
      <c r="B6" s="102" t="s">
        <v>110</v>
      </c>
      <c r="C6" s="102" t="s">
        <v>333</v>
      </c>
      <c r="D6" s="102" t="s">
        <v>109</v>
      </c>
      <c r="E6" s="103" t="s">
        <v>113</v>
      </c>
    </row>
    <row r="7" spans="1:5" hidden="1" x14ac:dyDescent="0.4">
      <c r="A7" s="102"/>
      <c r="B7" s="102"/>
      <c r="C7" s="102"/>
      <c r="D7" s="102"/>
      <c r="E7" s="103"/>
    </row>
    <row r="8" spans="1:5" x14ac:dyDescent="0.4">
      <c r="A8" s="102" t="s">
        <v>245</v>
      </c>
      <c r="B8" s="102" t="s">
        <v>325</v>
      </c>
      <c r="C8" s="102" t="s">
        <v>334</v>
      </c>
      <c r="D8" s="102" t="s">
        <v>334</v>
      </c>
      <c r="E8" s="103" t="s">
        <v>371</v>
      </c>
    </row>
    <row r="9" spans="1:5" x14ac:dyDescent="0.4">
      <c r="A9" s="102" t="s">
        <v>245</v>
      </c>
      <c r="B9" s="102" t="s">
        <v>322</v>
      </c>
      <c r="C9" s="102" t="s">
        <v>334</v>
      </c>
      <c r="D9" s="102" t="s">
        <v>334</v>
      </c>
      <c r="E9" s="103" t="s">
        <v>370</v>
      </c>
    </row>
    <row r="10" spans="1:5" x14ac:dyDescent="0.4">
      <c r="A10" s="102" t="s">
        <v>245</v>
      </c>
      <c r="B10" s="102" t="s">
        <v>321</v>
      </c>
      <c r="C10" s="102" t="s">
        <v>334</v>
      </c>
      <c r="D10" s="102" t="s">
        <v>334</v>
      </c>
      <c r="E10" s="103" t="s">
        <v>369</v>
      </c>
    </row>
    <row r="11" spans="1:5" x14ac:dyDescent="0.4">
      <c r="A11" s="102" t="s">
        <v>245</v>
      </c>
      <c r="B11" s="102" t="s">
        <v>323</v>
      </c>
      <c r="C11" s="102" t="s">
        <v>334</v>
      </c>
      <c r="D11" s="102" t="s">
        <v>334</v>
      </c>
      <c r="E11" s="103" t="s">
        <v>368</v>
      </c>
    </row>
    <row r="12" spans="1:5" x14ac:dyDescent="0.4">
      <c r="A12" s="102" t="s">
        <v>245</v>
      </c>
      <c r="B12" s="102" t="s">
        <v>100</v>
      </c>
      <c r="C12" s="102" t="s">
        <v>334</v>
      </c>
      <c r="D12" s="102" t="s">
        <v>334</v>
      </c>
      <c r="E12" s="104" t="s">
        <v>367</v>
      </c>
    </row>
    <row r="13" spans="1:5" x14ac:dyDescent="0.4">
      <c r="A13" s="102" t="s">
        <v>245</v>
      </c>
      <c r="B13" s="102" t="s">
        <v>99</v>
      </c>
      <c r="C13" s="102" t="s">
        <v>334</v>
      </c>
      <c r="D13" s="102" t="s">
        <v>334</v>
      </c>
      <c r="E13" s="103" t="s">
        <v>366</v>
      </c>
    </row>
    <row r="14" spans="1:5" x14ac:dyDescent="0.4">
      <c r="A14" s="102" t="s">
        <v>245</v>
      </c>
      <c r="B14" s="102" t="s">
        <v>114</v>
      </c>
      <c r="C14" s="102" t="s">
        <v>334</v>
      </c>
      <c r="D14" s="102" t="s">
        <v>334</v>
      </c>
      <c r="E14" s="103" t="s">
        <v>365</v>
      </c>
    </row>
    <row r="15" spans="1:5" x14ac:dyDescent="0.4">
      <c r="A15" s="102" t="s">
        <v>245</v>
      </c>
      <c r="B15" s="102" t="s">
        <v>320</v>
      </c>
      <c r="C15" s="102" t="s">
        <v>334</v>
      </c>
      <c r="D15" s="102" t="s">
        <v>334</v>
      </c>
      <c r="E15" s="103" t="s">
        <v>364</v>
      </c>
    </row>
    <row r="16" spans="1:5" x14ac:dyDescent="0.4">
      <c r="A16" s="102" t="s">
        <v>245</v>
      </c>
      <c r="B16" s="102" t="s">
        <v>328</v>
      </c>
      <c r="C16" s="102" t="s">
        <v>334</v>
      </c>
      <c r="D16" s="102" t="s">
        <v>334</v>
      </c>
      <c r="E16" s="103" t="s">
        <v>363</v>
      </c>
    </row>
    <row r="17" spans="1:5" x14ac:dyDescent="0.4">
      <c r="A17" s="102" t="s">
        <v>245</v>
      </c>
      <c r="B17" s="102" t="s">
        <v>101</v>
      </c>
      <c r="C17" s="102" t="s">
        <v>334</v>
      </c>
      <c r="D17" s="102" t="s">
        <v>334</v>
      </c>
      <c r="E17" s="103" t="s">
        <v>362</v>
      </c>
    </row>
    <row r="18" spans="1:5" x14ac:dyDescent="0.4">
      <c r="A18" s="102" t="s">
        <v>245</v>
      </c>
      <c r="B18" s="102" t="s">
        <v>326</v>
      </c>
      <c r="C18" s="102" t="s">
        <v>334</v>
      </c>
      <c r="D18" s="102" t="s">
        <v>334</v>
      </c>
      <c r="E18" s="103" t="s">
        <v>361</v>
      </c>
    </row>
    <row r="19" spans="1:5" x14ac:dyDescent="0.4">
      <c r="A19" s="102" t="s">
        <v>245</v>
      </c>
      <c r="B19" s="102" t="s">
        <v>324</v>
      </c>
      <c r="C19" s="102" t="s">
        <v>334</v>
      </c>
      <c r="D19" s="102" t="s">
        <v>334</v>
      </c>
      <c r="E19" s="103" t="s">
        <v>345</v>
      </c>
    </row>
    <row r="20" spans="1:5" x14ac:dyDescent="0.4">
      <c r="A20" s="102" t="s">
        <v>245</v>
      </c>
      <c r="B20" s="102" t="s">
        <v>327</v>
      </c>
      <c r="C20" s="102" t="s">
        <v>334</v>
      </c>
      <c r="D20" s="102" t="s">
        <v>334</v>
      </c>
      <c r="E20" s="103" t="s">
        <v>360</v>
      </c>
    </row>
    <row r="21" spans="1:5" x14ac:dyDescent="0.4">
      <c r="A21" s="102" t="s">
        <v>246</v>
      </c>
      <c r="B21" s="102" t="s">
        <v>332</v>
      </c>
      <c r="C21" s="102" t="s">
        <v>334</v>
      </c>
      <c r="D21" s="102" t="s">
        <v>334</v>
      </c>
      <c r="E21" s="103" t="s">
        <v>359</v>
      </c>
    </row>
    <row r="22" spans="1:5" x14ac:dyDescent="0.4">
      <c r="A22" s="102" t="s">
        <v>246</v>
      </c>
      <c r="B22" s="102" t="s">
        <v>335</v>
      </c>
      <c r="C22" s="102"/>
      <c r="D22" s="102"/>
      <c r="E22" s="103" t="s">
        <v>372</v>
      </c>
    </row>
    <row r="23" spans="1:5" x14ac:dyDescent="0.4">
      <c r="A23" s="102" t="s">
        <v>246</v>
      </c>
      <c r="B23" s="102" t="s">
        <v>339</v>
      </c>
      <c r="C23" s="102" t="s">
        <v>334</v>
      </c>
      <c r="D23" s="102" t="s">
        <v>334</v>
      </c>
      <c r="E23" s="103" t="s">
        <v>356</v>
      </c>
    </row>
    <row r="24" spans="1:5" x14ac:dyDescent="0.4">
      <c r="A24" s="102" t="s">
        <v>246</v>
      </c>
      <c r="B24" s="102" t="s">
        <v>336</v>
      </c>
      <c r="C24" s="102" t="s">
        <v>334</v>
      </c>
      <c r="D24" s="102" t="s">
        <v>334</v>
      </c>
      <c r="E24" s="103" t="s">
        <v>355</v>
      </c>
    </row>
    <row r="25" spans="1:5" x14ac:dyDescent="0.4">
      <c r="A25" s="102" t="s">
        <v>246</v>
      </c>
      <c r="B25" s="102" t="s">
        <v>340</v>
      </c>
      <c r="C25" s="102" t="s">
        <v>334</v>
      </c>
      <c r="D25" s="102" t="s">
        <v>334</v>
      </c>
      <c r="E25" s="103" t="s">
        <v>354</v>
      </c>
    </row>
    <row r="26" spans="1:5" x14ac:dyDescent="0.4">
      <c r="A26" s="102" t="s">
        <v>246</v>
      </c>
      <c r="B26" s="102" t="s">
        <v>114</v>
      </c>
      <c r="C26" s="102" t="s">
        <v>334</v>
      </c>
      <c r="D26" s="102" t="s">
        <v>334</v>
      </c>
      <c r="E26" s="103" t="s">
        <v>353</v>
      </c>
    </row>
    <row r="27" spans="1:5" x14ac:dyDescent="0.4">
      <c r="A27" s="102" t="s">
        <v>246</v>
      </c>
      <c r="B27" s="102" t="s">
        <v>330</v>
      </c>
      <c r="C27" s="102" t="s">
        <v>334</v>
      </c>
      <c r="D27" s="102" t="s">
        <v>334</v>
      </c>
      <c r="E27" s="103" t="s">
        <v>357</v>
      </c>
    </row>
    <row r="28" spans="1:5" x14ac:dyDescent="0.4">
      <c r="A28" s="102" t="s">
        <v>246</v>
      </c>
      <c r="B28" s="102" t="s">
        <v>329</v>
      </c>
      <c r="C28" s="102" t="s">
        <v>334</v>
      </c>
      <c r="D28" s="102" t="s">
        <v>334</v>
      </c>
      <c r="E28" s="103" t="s">
        <v>358</v>
      </c>
    </row>
    <row r="29" spans="1:5" x14ac:dyDescent="0.4">
      <c r="A29" s="102" t="s">
        <v>246</v>
      </c>
      <c r="B29" s="102" t="s">
        <v>342</v>
      </c>
      <c r="C29" s="102" t="s">
        <v>334</v>
      </c>
      <c r="D29" s="102" t="s">
        <v>334</v>
      </c>
      <c r="E29" s="103" t="s">
        <v>352</v>
      </c>
    </row>
    <row r="30" spans="1:5" x14ac:dyDescent="0.4">
      <c r="A30" s="102" t="s">
        <v>246</v>
      </c>
      <c r="B30" s="102" t="s">
        <v>338</v>
      </c>
      <c r="C30" s="102" t="s">
        <v>334</v>
      </c>
      <c r="D30" s="102" t="s">
        <v>334</v>
      </c>
      <c r="E30" s="103" t="s">
        <v>351</v>
      </c>
    </row>
    <row r="31" spans="1:5" x14ac:dyDescent="0.4">
      <c r="A31" s="102" t="s">
        <v>246</v>
      </c>
      <c r="B31" s="102" t="s">
        <v>341</v>
      </c>
      <c r="C31" s="102" t="s">
        <v>334</v>
      </c>
      <c r="D31" s="102" t="s">
        <v>334</v>
      </c>
      <c r="E31" s="103" t="s">
        <v>346</v>
      </c>
    </row>
    <row r="32" spans="1:5" x14ac:dyDescent="0.4">
      <c r="A32" s="102" t="s">
        <v>246</v>
      </c>
      <c r="B32" s="102" t="s">
        <v>343</v>
      </c>
      <c r="C32" s="102" t="s">
        <v>334</v>
      </c>
      <c r="D32" s="102" t="s">
        <v>334</v>
      </c>
      <c r="E32" s="103" t="s">
        <v>347</v>
      </c>
    </row>
    <row r="33" spans="1:5" x14ac:dyDescent="0.4">
      <c r="A33" s="102" t="s">
        <v>246</v>
      </c>
      <c r="B33" s="102" t="s">
        <v>115</v>
      </c>
      <c r="C33" s="102" t="s">
        <v>207</v>
      </c>
      <c r="D33" s="102"/>
      <c r="E33" s="103" t="s">
        <v>348</v>
      </c>
    </row>
    <row r="34" spans="1:5" x14ac:dyDescent="0.4">
      <c r="A34" s="102" t="s">
        <v>246</v>
      </c>
      <c r="B34" s="102" t="s">
        <v>331</v>
      </c>
      <c r="C34" s="102" t="s">
        <v>334</v>
      </c>
      <c r="D34" s="102" t="s">
        <v>334</v>
      </c>
      <c r="E34" s="103" t="s">
        <v>349</v>
      </c>
    </row>
    <row r="35" spans="1:5" x14ac:dyDescent="0.4">
      <c r="A35" s="102" t="s">
        <v>246</v>
      </c>
      <c r="B35" s="102" t="s">
        <v>116</v>
      </c>
      <c r="C35" s="102" t="s">
        <v>334</v>
      </c>
      <c r="D35" s="102" t="s">
        <v>334</v>
      </c>
      <c r="E35" s="103" t="s">
        <v>345</v>
      </c>
    </row>
    <row r="36" spans="1:5" x14ac:dyDescent="0.4">
      <c r="A36" s="102" t="s">
        <v>246</v>
      </c>
      <c r="B36" s="102" t="s">
        <v>337</v>
      </c>
      <c r="C36" s="102" t="s">
        <v>334</v>
      </c>
      <c r="D36" s="102" t="s">
        <v>334</v>
      </c>
      <c r="E36" s="103" t="s">
        <v>350</v>
      </c>
    </row>
    <row r="37" spans="1:5" hidden="1" x14ac:dyDescent="0.4">
      <c r="A37" s="102"/>
      <c r="B37" s="102"/>
      <c r="C37" s="102"/>
      <c r="D37" s="102"/>
      <c r="E37" s="103"/>
    </row>
    <row r="38" spans="1:5" hidden="1" x14ac:dyDescent="0.4">
      <c r="A38" s="102"/>
      <c r="B38" s="102"/>
      <c r="C38" s="102"/>
      <c r="D38" s="102"/>
      <c r="E38" s="103"/>
    </row>
    <row r="39" spans="1:5" hidden="1" x14ac:dyDescent="0.4">
      <c r="A39" s="102"/>
      <c r="B39" s="102"/>
      <c r="C39" s="102"/>
      <c r="D39" s="102"/>
      <c r="E39" s="103"/>
    </row>
    <row r="40" spans="1:5" hidden="1" x14ac:dyDescent="0.4">
      <c r="A40" s="102"/>
      <c r="B40" s="102"/>
      <c r="C40" s="102"/>
      <c r="D40" s="102"/>
      <c r="E40" s="103"/>
    </row>
    <row r="41" spans="1:5" hidden="1" x14ac:dyDescent="0.4">
      <c r="A41" s="102"/>
      <c r="B41" s="102"/>
      <c r="C41" s="102"/>
      <c r="D41" s="102"/>
      <c r="E41" s="103"/>
    </row>
    <row r="42" spans="1:5" hidden="1" x14ac:dyDescent="0.4">
      <c r="A42" s="102"/>
      <c r="B42" s="102"/>
      <c r="C42" s="102"/>
      <c r="D42" s="102"/>
      <c r="E42" s="103"/>
    </row>
    <row r="43" spans="1:5" hidden="1" x14ac:dyDescent="0.4">
      <c r="A43" s="102"/>
      <c r="B43" s="102"/>
      <c r="C43" s="102"/>
      <c r="D43" s="102"/>
      <c r="E43" s="103"/>
    </row>
    <row r="44" spans="1:5" hidden="1" x14ac:dyDescent="0.4">
      <c r="A44" s="102"/>
      <c r="B44" s="102"/>
      <c r="C44" s="102"/>
      <c r="D44" s="102"/>
      <c r="E44" s="103"/>
    </row>
    <row r="45" spans="1:5" hidden="1" x14ac:dyDescent="0.4">
      <c r="A45" s="102"/>
      <c r="B45" s="102"/>
      <c r="C45" s="102"/>
      <c r="D45" s="102"/>
      <c r="E45" s="103"/>
    </row>
    <row r="46" spans="1:5" hidden="1" x14ac:dyDescent="0.4">
      <c r="A46" s="102"/>
      <c r="B46" s="102"/>
      <c r="C46" s="102"/>
      <c r="D46" s="102"/>
      <c r="E46" s="103"/>
    </row>
    <row r="47" spans="1:5" hidden="1" x14ac:dyDescent="0.4">
      <c r="E47" s="43"/>
    </row>
    <row r="48" spans="1:5" hidden="1" x14ac:dyDescent="0.4">
      <c r="E48" s="43"/>
    </row>
    <row r="49" spans="5:5" hidden="1" x14ac:dyDescent="0.4">
      <c r="E49" s="43"/>
    </row>
    <row r="50" spans="5:5" hidden="1" x14ac:dyDescent="0.4"/>
    <row r="51" spans="5:5" hidden="1" x14ac:dyDescent="0.4"/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C120"/>
  <sheetViews>
    <sheetView zoomScaleNormal="100" workbookViewId="0">
      <selection activeCell="C43" sqref="C43"/>
    </sheetView>
  </sheetViews>
  <sheetFormatPr defaultColWidth="0" defaultRowHeight="14.4" customHeight="1" zeroHeight="1" x14ac:dyDescent="0.4"/>
  <cols>
    <col min="1" max="1" width="29.640625" customWidth="1"/>
    <col min="2" max="2" width="31.42578125" customWidth="1"/>
    <col min="3" max="3" width="7" customWidth="1"/>
    <col min="4" max="4" width="5.85546875" customWidth="1"/>
    <col min="5" max="5" width="77.78515625" customWidth="1"/>
    <col min="8" max="16383" width="8.85546875" hidden="1"/>
    <col min="16384" max="16384" width="12.2109375" hidden="1" customWidth="1"/>
  </cols>
  <sheetData>
    <row r="1" spans="1:5" ht="14.6" x14ac:dyDescent="0.4">
      <c r="A1" t="s">
        <v>201</v>
      </c>
      <c r="B1" t="s">
        <v>202</v>
      </c>
      <c r="C1" t="s">
        <v>203</v>
      </c>
      <c r="D1" t="s">
        <v>204</v>
      </c>
      <c r="E1" s="43" t="s">
        <v>111</v>
      </c>
    </row>
    <row r="2" spans="1:5" ht="14.6" hidden="1" x14ac:dyDescent="0.4">
      <c r="A2" s="98" t="s">
        <v>238</v>
      </c>
      <c r="B2" s="99" t="s">
        <v>255</v>
      </c>
      <c r="C2" s="100">
        <v>577</v>
      </c>
      <c r="D2" s="97">
        <v>1</v>
      </c>
      <c r="E2" s="99" t="s">
        <v>389</v>
      </c>
    </row>
    <row r="3" spans="1:5" ht="14.6" x14ac:dyDescent="0.4">
      <c r="A3" s="98" t="s">
        <v>238</v>
      </c>
      <c r="B3" s="99" t="s">
        <v>255</v>
      </c>
      <c r="C3" s="100">
        <v>582</v>
      </c>
      <c r="D3" s="97"/>
      <c r="E3" s="99" t="s">
        <v>254</v>
      </c>
    </row>
    <row r="4" spans="1:5" ht="14.6" hidden="1" x14ac:dyDescent="0.4">
      <c r="A4" s="98" t="s">
        <v>238</v>
      </c>
      <c r="B4" s="99" t="s">
        <v>255</v>
      </c>
      <c r="C4" s="100">
        <v>628</v>
      </c>
      <c r="D4" s="97">
        <v>1</v>
      </c>
      <c r="E4" s="99" t="s">
        <v>390</v>
      </c>
    </row>
    <row r="5" spans="1:5" ht="14.6" x14ac:dyDescent="0.4">
      <c r="A5" s="98" t="s">
        <v>238</v>
      </c>
      <c r="B5" s="99" t="s">
        <v>255</v>
      </c>
      <c r="C5" s="100">
        <v>705</v>
      </c>
      <c r="D5" s="97"/>
      <c r="E5" s="99" t="s">
        <v>391</v>
      </c>
    </row>
    <row r="6" spans="1:5" ht="14.6" x14ac:dyDescent="0.4">
      <c r="A6" s="98" t="s">
        <v>238</v>
      </c>
      <c r="B6" s="99" t="s">
        <v>255</v>
      </c>
      <c r="C6" s="100">
        <v>770</v>
      </c>
      <c r="D6" s="98">
        <v>1</v>
      </c>
      <c r="E6" s="99" t="s">
        <v>392</v>
      </c>
    </row>
    <row r="7" spans="1:5" ht="14.6" x14ac:dyDescent="0.4">
      <c r="A7" s="98" t="s">
        <v>238</v>
      </c>
      <c r="B7" s="99" t="s">
        <v>255</v>
      </c>
      <c r="C7" s="100">
        <v>771</v>
      </c>
      <c r="D7" s="98">
        <v>1</v>
      </c>
      <c r="E7" s="99" t="s">
        <v>393</v>
      </c>
    </row>
    <row r="8" spans="1:5" ht="14.6" x14ac:dyDescent="0.4">
      <c r="A8" s="98" t="s">
        <v>238</v>
      </c>
      <c r="B8" s="99" t="s">
        <v>255</v>
      </c>
      <c r="C8" s="100">
        <v>772</v>
      </c>
      <c r="D8" s="98">
        <v>1</v>
      </c>
      <c r="E8" s="99" t="s">
        <v>394</v>
      </c>
    </row>
    <row r="9" spans="1:5" ht="14.6" hidden="1" x14ac:dyDescent="0.4">
      <c r="A9" s="98" t="s">
        <v>238</v>
      </c>
      <c r="B9" s="99" t="s">
        <v>255</v>
      </c>
      <c r="C9" s="100">
        <v>773</v>
      </c>
      <c r="D9" s="98">
        <v>0</v>
      </c>
      <c r="E9" s="99" t="s">
        <v>395</v>
      </c>
    </row>
    <row r="10" spans="1:5" ht="14.6" hidden="1" x14ac:dyDescent="0.4">
      <c r="A10" s="98" t="s">
        <v>238</v>
      </c>
      <c r="B10" s="99" t="s">
        <v>255</v>
      </c>
      <c r="C10" s="100">
        <v>863</v>
      </c>
      <c r="D10" s="98">
        <v>1</v>
      </c>
      <c r="E10" s="99" t="s">
        <v>396</v>
      </c>
    </row>
    <row r="11" spans="1:5" ht="14.6" hidden="1" x14ac:dyDescent="0.4">
      <c r="A11" s="98" t="s">
        <v>238</v>
      </c>
      <c r="B11" s="99" t="s">
        <v>260</v>
      </c>
      <c r="C11" s="100">
        <v>897</v>
      </c>
      <c r="D11" s="97">
        <v>1</v>
      </c>
      <c r="E11" s="99" t="s">
        <v>397</v>
      </c>
    </row>
    <row r="12" spans="1:5" ht="14.6" hidden="1" x14ac:dyDescent="0.4">
      <c r="A12" s="98" t="s">
        <v>238</v>
      </c>
      <c r="B12" s="99" t="s">
        <v>260</v>
      </c>
      <c r="C12" s="100">
        <v>906</v>
      </c>
      <c r="D12" s="97">
        <v>1</v>
      </c>
      <c r="E12" s="99" t="s">
        <v>398</v>
      </c>
    </row>
    <row r="13" spans="1:5" ht="14.6" hidden="1" x14ac:dyDescent="0.4">
      <c r="A13" s="98" t="s">
        <v>238</v>
      </c>
      <c r="B13" s="99" t="s">
        <v>239</v>
      </c>
      <c r="C13" s="100">
        <v>13</v>
      </c>
      <c r="D13" s="97">
        <v>1</v>
      </c>
      <c r="E13" s="99" t="s">
        <v>374</v>
      </c>
    </row>
    <row r="14" spans="1:5" ht="14.6" hidden="1" x14ac:dyDescent="0.4">
      <c r="A14" s="98" t="s">
        <v>238</v>
      </c>
      <c r="B14" s="99" t="s">
        <v>239</v>
      </c>
      <c r="C14" s="100">
        <v>14</v>
      </c>
      <c r="D14" s="97">
        <v>1</v>
      </c>
      <c r="E14" s="106" t="s">
        <v>375</v>
      </c>
    </row>
    <row r="15" spans="1:5" ht="14.6" hidden="1" x14ac:dyDescent="0.4">
      <c r="A15" s="98" t="s">
        <v>238</v>
      </c>
      <c r="B15" s="99" t="s">
        <v>239</v>
      </c>
      <c r="C15" s="100">
        <v>15</v>
      </c>
      <c r="D15" s="97">
        <v>1</v>
      </c>
      <c r="E15" s="106" t="s">
        <v>376</v>
      </c>
    </row>
    <row r="16" spans="1:5" ht="14.6" hidden="1" x14ac:dyDescent="0.4">
      <c r="A16" s="98" t="s">
        <v>238</v>
      </c>
      <c r="B16" s="99" t="s">
        <v>239</v>
      </c>
      <c r="C16" s="100">
        <v>16</v>
      </c>
      <c r="D16" s="97">
        <v>1</v>
      </c>
      <c r="E16" s="106" t="s">
        <v>377</v>
      </c>
    </row>
    <row r="17" spans="1:5" ht="14.6" hidden="1" x14ac:dyDescent="0.4">
      <c r="A17" s="98" t="s">
        <v>238</v>
      </c>
      <c r="B17" s="99" t="s">
        <v>239</v>
      </c>
      <c r="C17" s="100">
        <v>17</v>
      </c>
      <c r="D17" s="97">
        <v>1</v>
      </c>
      <c r="E17" s="106" t="s">
        <v>378</v>
      </c>
    </row>
    <row r="18" spans="1:5" ht="14.6" hidden="1" x14ac:dyDescent="0.4">
      <c r="A18" s="98" t="s">
        <v>238</v>
      </c>
      <c r="B18" s="99" t="s">
        <v>239</v>
      </c>
      <c r="C18" s="100">
        <v>18</v>
      </c>
      <c r="D18" s="97">
        <v>1</v>
      </c>
      <c r="E18" s="106" t="s">
        <v>379</v>
      </c>
    </row>
    <row r="19" spans="1:5" ht="14.6" hidden="1" x14ac:dyDescent="0.4">
      <c r="A19" s="98" t="s">
        <v>238</v>
      </c>
      <c r="B19" s="99" t="s">
        <v>239</v>
      </c>
      <c r="C19" s="100">
        <v>19</v>
      </c>
      <c r="D19" s="97">
        <v>1</v>
      </c>
      <c r="E19" s="106" t="s">
        <v>380</v>
      </c>
    </row>
    <row r="20" spans="1:5" ht="14.6" hidden="1" x14ac:dyDescent="0.4">
      <c r="A20" s="98" t="s">
        <v>238</v>
      </c>
      <c r="B20" s="99" t="s">
        <v>239</v>
      </c>
      <c r="C20" s="100">
        <v>20</v>
      </c>
      <c r="D20" s="97">
        <v>1</v>
      </c>
      <c r="E20" s="106" t="s">
        <v>381</v>
      </c>
    </row>
    <row r="21" spans="1:5" ht="14.6" hidden="1" x14ac:dyDescent="0.4">
      <c r="A21" s="98" t="s">
        <v>238</v>
      </c>
      <c r="B21" s="99" t="s">
        <v>239</v>
      </c>
      <c r="C21" s="100">
        <v>21</v>
      </c>
      <c r="D21" s="97">
        <v>1</v>
      </c>
      <c r="E21" s="106" t="s">
        <v>382</v>
      </c>
    </row>
    <row r="22" spans="1:5" ht="14.6" hidden="1" x14ac:dyDescent="0.4">
      <c r="A22" s="98" t="s">
        <v>238</v>
      </c>
      <c r="B22" s="99" t="s">
        <v>239</v>
      </c>
      <c r="C22" s="100">
        <v>22</v>
      </c>
      <c r="D22" s="97">
        <v>1</v>
      </c>
      <c r="E22" s="106" t="s">
        <v>383</v>
      </c>
    </row>
    <row r="23" spans="1:5" ht="14.6" hidden="1" x14ac:dyDescent="0.4">
      <c r="A23" s="98" t="s">
        <v>238</v>
      </c>
      <c r="B23" s="99" t="s">
        <v>239</v>
      </c>
      <c r="C23" s="100">
        <v>23</v>
      </c>
      <c r="D23" s="97">
        <v>1</v>
      </c>
      <c r="E23" s="106" t="s">
        <v>384</v>
      </c>
    </row>
    <row r="24" spans="1:5" ht="14.6" hidden="1" x14ac:dyDescent="0.4">
      <c r="A24" s="98" t="s">
        <v>238</v>
      </c>
      <c r="B24" s="99" t="s">
        <v>239</v>
      </c>
      <c r="C24" s="100">
        <v>24</v>
      </c>
      <c r="D24" s="97">
        <v>1</v>
      </c>
      <c r="E24" s="106" t="s">
        <v>385</v>
      </c>
    </row>
    <row r="25" spans="1:5" ht="14.6" x14ac:dyDescent="0.4">
      <c r="A25" s="98" t="s">
        <v>238</v>
      </c>
      <c r="B25" s="99" t="s">
        <v>239</v>
      </c>
      <c r="C25" s="100">
        <v>25</v>
      </c>
      <c r="D25" s="97">
        <v>1</v>
      </c>
      <c r="E25" s="106" t="s">
        <v>428</v>
      </c>
    </row>
    <row r="26" spans="1:5" ht="14.6" hidden="1" x14ac:dyDescent="0.4">
      <c r="A26" s="98" t="s">
        <v>238</v>
      </c>
      <c r="B26" s="99" t="s">
        <v>239</v>
      </c>
      <c r="C26" s="100">
        <v>37</v>
      </c>
      <c r="D26" s="97">
        <v>1</v>
      </c>
      <c r="E26" s="106" t="s">
        <v>386</v>
      </c>
    </row>
    <row r="27" spans="1:5" ht="14.6" hidden="1" x14ac:dyDescent="0.4">
      <c r="A27" s="98" t="s">
        <v>238</v>
      </c>
      <c r="B27" s="99" t="s">
        <v>239</v>
      </c>
      <c r="C27" s="100">
        <v>69</v>
      </c>
      <c r="D27" s="97">
        <v>1</v>
      </c>
      <c r="E27" s="99" t="s">
        <v>387</v>
      </c>
    </row>
    <row r="28" spans="1:5" ht="14.6" x14ac:dyDescent="0.4">
      <c r="A28" s="98" t="s">
        <v>238</v>
      </c>
      <c r="B28" s="99" t="s">
        <v>239</v>
      </c>
      <c r="C28" s="100">
        <v>71</v>
      </c>
      <c r="D28" s="97"/>
      <c r="E28" s="99" t="s">
        <v>388</v>
      </c>
    </row>
    <row r="29" spans="1:5" ht="14.6" x14ac:dyDescent="0.4">
      <c r="A29" s="98" t="s">
        <v>205</v>
      </c>
      <c r="B29" s="99" t="s">
        <v>205</v>
      </c>
      <c r="C29" s="100">
        <v>122</v>
      </c>
      <c r="D29" s="97"/>
      <c r="E29" s="99" t="s">
        <v>399</v>
      </c>
    </row>
    <row r="30" spans="1:5" ht="14.6" x14ac:dyDescent="0.4">
      <c r="A30" s="98" t="s">
        <v>205</v>
      </c>
      <c r="B30" s="99" t="s">
        <v>205</v>
      </c>
      <c r="C30" s="100">
        <v>151</v>
      </c>
      <c r="D30" s="97"/>
      <c r="E30" s="99" t="s">
        <v>400</v>
      </c>
    </row>
    <row r="31" spans="1:5" ht="14.6" x14ac:dyDescent="0.4">
      <c r="A31" s="98" t="s">
        <v>205</v>
      </c>
      <c r="B31" s="99" t="s">
        <v>224</v>
      </c>
      <c r="C31" s="100">
        <v>578</v>
      </c>
      <c r="D31" s="97"/>
      <c r="E31" s="99" t="s">
        <v>401</v>
      </c>
    </row>
    <row r="32" spans="1:5" ht="14.6" x14ac:dyDescent="0.4">
      <c r="A32" s="98" t="s">
        <v>205</v>
      </c>
      <c r="B32" s="99" t="s">
        <v>224</v>
      </c>
      <c r="C32" s="100">
        <v>579</v>
      </c>
      <c r="D32" s="97"/>
      <c r="E32" s="99" t="s">
        <v>402</v>
      </c>
    </row>
    <row r="33" spans="1:5" ht="14.6" x14ac:dyDescent="0.4">
      <c r="A33" s="98" t="s">
        <v>205</v>
      </c>
      <c r="B33" s="99" t="s">
        <v>224</v>
      </c>
      <c r="C33" s="100">
        <v>586</v>
      </c>
      <c r="D33" s="97"/>
      <c r="E33" s="99" t="s">
        <v>403</v>
      </c>
    </row>
    <row r="34" spans="1:5" ht="14.6" x14ac:dyDescent="0.4">
      <c r="A34" s="98" t="s">
        <v>205</v>
      </c>
      <c r="B34" s="99" t="s">
        <v>224</v>
      </c>
      <c r="C34" s="100">
        <v>599</v>
      </c>
      <c r="D34" s="97"/>
      <c r="E34" s="99" t="s">
        <v>404</v>
      </c>
    </row>
    <row r="35" spans="1:5" ht="14.6" x14ac:dyDescent="0.4">
      <c r="A35" s="98" t="s">
        <v>205</v>
      </c>
      <c r="B35" s="99" t="s">
        <v>224</v>
      </c>
      <c r="C35" s="100">
        <v>600</v>
      </c>
      <c r="D35" s="97"/>
      <c r="E35" s="99" t="s">
        <v>405</v>
      </c>
    </row>
    <row r="36" spans="1:5" ht="14.6" x14ac:dyDescent="0.4">
      <c r="A36" s="98" t="s">
        <v>205</v>
      </c>
      <c r="B36" s="99" t="s">
        <v>224</v>
      </c>
      <c r="C36" s="100">
        <v>608</v>
      </c>
      <c r="D36" s="97"/>
      <c r="E36" s="99" t="s">
        <v>406</v>
      </c>
    </row>
    <row r="37" spans="1:5" ht="14.6" x14ac:dyDescent="0.4">
      <c r="A37" s="98" t="s">
        <v>205</v>
      </c>
      <c r="B37" s="99" t="s">
        <v>228</v>
      </c>
      <c r="C37" s="100">
        <v>718</v>
      </c>
      <c r="D37" s="97"/>
      <c r="E37" s="99" t="s">
        <v>407</v>
      </c>
    </row>
    <row r="38" spans="1:5" ht="14.6" x14ac:dyDescent="0.4">
      <c r="A38" s="98"/>
      <c r="B38" s="99"/>
      <c r="C38" s="100"/>
      <c r="D38" s="97"/>
      <c r="E38" s="99"/>
    </row>
    <row r="39" spans="1:5" ht="14.6" x14ac:dyDescent="0.4">
      <c r="A39" s="98"/>
      <c r="B39" s="99"/>
      <c r="C39" s="100"/>
      <c r="D39" s="97"/>
      <c r="E39" s="99"/>
    </row>
    <row r="40" spans="1:5" ht="14.6" x14ac:dyDescent="0.4">
      <c r="A40" s="98"/>
      <c r="B40" s="99"/>
      <c r="C40" s="100"/>
      <c r="D40" s="97"/>
      <c r="E40" s="99"/>
    </row>
    <row r="41" spans="1:5" ht="14.6" x14ac:dyDescent="0.4">
      <c r="A41" s="98"/>
      <c r="B41" s="99"/>
      <c r="C41" s="100"/>
      <c r="D41" s="97"/>
      <c r="E41" s="99"/>
    </row>
    <row r="42" spans="1:5" ht="14.6" x14ac:dyDescent="0.4">
      <c r="A42" s="98"/>
      <c r="B42" s="99"/>
      <c r="C42" s="100"/>
      <c r="D42" s="97"/>
      <c r="E42" s="99"/>
    </row>
    <row r="43" spans="1:5" ht="14.6" x14ac:dyDescent="0.4">
      <c r="A43" s="98"/>
      <c r="B43" s="99"/>
      <c r="C43" s="100"/>
      <c r="D43" s="97"/>
      <c r="E43" s="99"/>
    </row>
    <row r="44" spans="1:5" ht="14.6" x14ac:dyDescent="0.4">
      <c r="A44" s="98"/>
      <c r="B44" s="99"/>
      <c r="C44" s="100"/>
      <c r="D44" s="97"/>
      <c r="E44" s="99"/>
    </row>
    <row r="45" spans="1:5" ht="14.6" x14ac:dyDescent="0.4">
      <c r="A45" s="98"/>
      <c r="B45" s="99"/>
      <c r="C45" s="100"/>
      <c r="D45" s="97"/>
      <c r="E45" s="99"/>
    </row>
    <row r="46" spans="1:5" ht="14.6" x14ac:dyDescent="0.4">
      <c r="A46" s="98"/>
      <c r="B46" s="99"/>
      <c r="C46" s="100"/>
      <c r="D46" s="97"/>
      <c r="E46" s="99"/>
    </row>
    <row r="47" spans="1:5" ht="14.6" x14ac:dyDescent="0.4">
      <c r="A47" s="98"/>
      <c r="B47" s="99"/>
      <c r="C47" s="100"/>
      <c r="D47" s="97"/>
      <c r="E47" s="99"/>
    </row>
    <row r="48" spans="1:5" ht="14.6" x14ac:dyDescent="0.4">
      <c r="A48" s="98"/>
      <c r="B48" s="99"/>
      <c r="C48" s="100"/>
      <c r="D48" s="97"/>
      <c r="E48" s="99"/>
    </row>
    <row r="49" spans="1:5" ht="14.6" x14ac:dyDescent="0.4">
      <c r="A49" s="98"/>
      <c r="B49" s="99"/>
      <c r="C49" s="100"/>
      <c r="D49" s="97"/>
      <c r="E49" s="99"/>
    </row>
    <row r="50" spans="1:5" ht="14.6" x14ac:dyDescent="0.4">
      <c r="A50" s="98"/>
      <c r="B50" s="99"/>
      <c r="C50" s="100"/>
      <c r="D50" s="97"/>
      <c r="E50" s="99"/>
    </row>
    <row r="51" spans="1:5" ht="14.6" x14ac:dyDescent="0.4">
      <c r="A51" s="98"/>
      <c r="B51" s="99"/>
      <c r="C51" s="100"/>
      <c r="D51" s="97"/>
      <c r="E51" s="99"/>
    </row>
    <row r="52" spans="1:5" ht="14.6" x14ac:dyDescent="0.4">
      <c r="A52" s="98"/>
      <c r="B52" s="99"/>
      <c r="C52" s="100"/>
      <c r="D52" s="97"/>
      <c r="E52" s="99"/>
    </row>
    <row r="53" spans="1:5" ht="14.6" x14ac:dyDescent="0.4">
      <c r="A53" s="98"/>
      <c r="B53" s="99"/>
      <c r="C53" s="100"/>
      <c r="D53" s="97"/>
      <c r="E53" s="99"/>
    </row>
    <row r="54" spans="1:5" ht="14.6" x14ac:dyDescent="0.4">
      <c r="A54" s="98"/>
      <c r="B54" s="99"/>
      <c r="C54" s="98"/>
      <c r="D54" s="97"/>
      <c r="E54" s="99"/>
    </row>
    <row r="55" spans="1:5" ht="14.6" x14ac:dyDescent="0.4">
      <c r="A55" s="98"/>
      <c r="B55" s="99"/>
      <c r="C55" s="98"/>
      <c r="D55" s="97"/>
      <c r="E55" s="99"/>
    </row>
    <row r="56" spans="1:5" ht="14.6" x14ac:dyDescent="0.4">
      <c r="A56" s="98"/>
      <c r="B56" s="99"/>
      <c r="C56" s="98"/>
      <c r="D56" s="97"/>
      <c r="E56" s="99"/>
    </row>
    <row r="57" spans="1:5" ht="14.6" x14ac:dyDescent="0.4">
      <c r="A57" s="98"/>
      <c r="B57" s="99"/>
      <c r="C57" s="98"/>
      <c r="D57" s="97"/>
      <c r="E57" s="99"/>
    </row>
    <row r="58" spans="1:5" ht="14.6" x14ac:dyDescent="0.4">
      <c r="A58" s="98"/>
      <c r="B58" s="99"/>
      <c r="C58" s="98"/>
      <c r="D58" s="97"/>
      <c r="E58" s="99"/>
    </row>
    <row r="59" spans="1:5" ht="14.6" x14ac:dyDescent="0.4">
      <c r="A59" s="98"/>
      <c r="B59" s="99"/>
      <c r="C59" s="98"/>
      <c r="D59" s="97"/>
      <c r="E59" s="99"/>
    </row>
    <row r="60" spans="1:5" ht="14.6" x14ac:dyDescent="0.4">
      <c r="A60" s="98"/>
      <c r="B60" s="99"/>
      <c r="C60" s="98"/>
      <c r="D60" s="97"/>
      <c r="E60" s="99"/>
    </row>
    <row r="61" spans="1:5" ht="14.6" x14ac:dyDescent="0.4">
      <c r="A61" s="98"/>
      <c r="B61" s="99"/>
      <c r="C61" s="98"/>
      <c r="D61" s="97"/>
      <c r="E61" s="99"/>
    </row>
    <row r="62" spans="1:5" ht="14.6" x14ac:dyDescent="0.4">
      <c r="A62" s="98"/>
      <c r="B62" s="99"/>
      <c r="C62" s="98"/>
      <c r="D62" s="97"/>
      <c r="E62" s="99"/>
    </row>
    <row r="63" spans="1:5" ht="14.6" x14ac:dyDescent="0.4">
      <c r="A63" s="98"/>
      <c r="B63" s="99"/>
      <c r="C63" s="98"/>
      <c r="D63" s="97"/>
      <c r="E63" s="99"/>
    </row>
    <row r="64" spans="1:5" ht="14.6" x14ac:dyDescent="0.4">
      <c r="A64" s="98"/>
      <c r="B64" s="99"/>
      <c r="C64" s="98"/>
      <c r="D64" s="97"/>
      <c r="E64" s="99"/>
    </row>
    <row r="65" spans="1:5" ht="14.6" x14ac:dyDescent="0.4">
      <c r="A65" s="98"/>
      <c r="B65" s="99"/>
      <c r="C65" s="98"/>
      <c r="D65" s="97"/>
      <c r="E65" s="99"/>
    </row>
    <row r="66" spans="1:5" ht="14.6" x14ac:dyDescent="0.4">
      <c r="A66" s="98"/>
      <c r="B66" s="99"/>
      <c r="C66" s="98"/>
      <c r="D66" s="97"/>
      <c r="E66" s="99"/>
    </row>
    <row r="67" spans="1:5" ht="14.6" x14ac:dyDescent="0.4">
      <c r="A67" s="98"/>
      <c r="B67" s="99"/>
      <c r="C67" s="98"/>
      <c r="D67" s="97"/>
      <c r="E67" s="99"/>
    </row>
    <row r="68" spans="1:5" ht="14.6" x14ac:dyDescent="0.4">
      <c r="A68" s="98"/>
      <c r="B68" s="99"/>
      <c r="C68" s="98"/>
      <c r="D68" s="97"/>
      <c r="E68" s="99"/>
    </row>
    <row r="69" spans="1:5" ht="14.6" x14ac:dyDescent="0.4">
      <c r="A69" s="98"/>
      <c r="B69" s="99"/>
      <c r="C69" s="98"/>
      <c r="D69" s="97"/>
      <c r="E69" s="99"/>
    </row>
    <row r="70" spans="1:5" ht="14.6" x14ac:dyDescent="0.4">
      <c r="A70" s="98"/>
      <c r="B70" s="99"/>
      <c r="C70" s="98"/>
      <c r="D70" s="97"/>
      <c r="E70" s="99"/>
    </row>
    <row r="71" spans="1:5" ht="14.6" x14ac:dyDescent="0.4">
      <c r="A71" s="98"/>
      <c r="B71" s="99"/>
      <c r="C71" s="98"/>
      <c r="D71" s="97"/>
      <c r="E71" s="99"/>
    </row>
    <row r="72" spans="1:5" ht="14.6" x14ac:dyDescent="0.4">
      <c r="A72" s="98"/>
      <c r="B72" s="99"/>
      <c r="C72" s="98"/>
      <c r="D72" s="97"/>
      <c r="E72" s="99"/>
    </row>
    <row r="73" spans="1:5" ht="14.6" x14ac:dyDescent="0.4">
      <c r="A73" s="98"/>
      <c r="B73" s="99"/>
      <c r="C73" s="98"/>
      <c r="D73" s="97"/>
      <c r="E73" s="99"/>
    </row>
    <row r="74" spans="1:5" ht="14.6" x14ac:dyDescent="0.4">
      <c r="A74" s="98"/>
      <c r="B74" s="99"/>
      <c r="C74" s="98"/>
      <c r="D74" s="97"/>
      <c r="E74" s="99"/>
    </row>
    <row r="75" spans="1:5" ht="14.6" x14ac:dyDescent="0.4">
      <c r="A75" s="98"/>
      <c r="B75" s="99"/>
      <c r="C75" s="98"/>
      <c r="D75" s="97"/>
      <c r="E75" s="99"/>
    </row>
    <row r="76" spans="1:5" ht="14.6" x14ac:dyDescent="0.4">
      <c r="A76" s="98"/>
      <c r="B76" s="99"/>
      <c r="C76" s="98"/>
      <c r="D76" s="97"/>
      <c r="E76" s="99"/>
    </row>
    <row r="77" spans="1:5" ht="14.6" x14ac:dyDescent="0.4">
      <c r="A77" s="98"/>
      <c r="B77" s="99"/>
      <c r="C77" s="98"/>
      <c r="D77" s="97"/>
      <c r="E77" s="99"/>
    </row>
    <row r="78" spans="1:5" ht="14.6" x14ac:dyDescent="0.4">
      <c r="A78" s="98"/>
      <c r="B78" s="99"/>
      <c r="C78" s="98"/>
      <c r="D78" s="97"/>
      <c r="E78" s="99"/>
    </row>
    <row r="79" spans="1:5" ht="14.6" x14ac:dyDescent="0.4">
      <c r="A79" s="98"/>
      <c r="B79" s="99"/>
      <c r="C79" s="98"/>
      <c r="D79" s="97"/>
      <c r="E79" s="99"/>
    </row>
    <row r="80" spans="1:5" ht="14.6" x14ac:dyDescent="0.4">
      <c r="A80" s="98"/>
      <c r="B80" s="99"/>
      <c r="C80" s="98"/>
      <c r="D80" s="97"/>
      <c r="E80" s="99"/>
    </row>
    <row r="81" spans="1:5" ht="14.6" x14ac:dyDescent="0.4">
      <c r="A81" s="98"/>
      <c r="B81" s="99"/>
      <c r="C81" s="100"/>
      <c r="D81" s="97"/>
      <c r="E81" s="99"/>
    </row>
    <row r="82" spans="1:5" ht="14.6" x14ac:dyDescent="0.4">
      <c r="A82" s="98"/>
      <c r="B82" s="99"/>
      <c r="C82" s="100"/>
      <c r="D82" s="97"/>
      <c r="E82" s="99"/>
    </row>
    <row r="83" spans="1:5" ht="14.6" x14ac:dyDescent="0.4">
      <c r="A83" s="98"/>
      <c r="B83" s="99"/>
      <c r="C83" s="100"/>
      <c r="D83" s="97"/>
      <c r="E83" s="99"/>
    </row>
    <row r="84" spans="1:5" ht="14.6" x14ac:dyDescent="0.4">
      <c r="A84" s="98"/>
      <c r="B84" s="99"/>
      <c r="C84" s="100"/>
      <c r="D84" s="97"/>
      <c r="E84" s="99"/>
    </row>
    <row r="85" spans="1:5" ht="14.6" x14ac:dyDescent="0.4">
      <c r="A85" s="98"/>
      <c r="B85" s="99"/>
      <c r="C85" s="100"/>
      <c r="D85" s="97"/>
      <c r="E85" s="99"/>
    </row>
    <row r="86" spans="1:5" ht="14.6" x14ac:dyDescent="0.4">
      <c r="A86" s="98"/>
      <c r="B86" s="99"/>
      <c r="C86" s="100"/>
      <c r="D86" s="97"/>
      <c r="E86" s="99"/>
    </row>
    <row r="87" spans="1:5" ht="14.6" x14ac:dyDescent="0.4">
      <c r="A87" s="98"/>
      <c r="B87" s="99"/>
      <c r="C87" s="100"/>
      <c r="D87" s="97"/>
      <c r="E87" s="99"/>
    </row>
    <row r="88" spans="1:5" ht="14.6" x14ac:dyDescent="0.4">
      <c r="A88" s="98"/>
      <c r="B88" s="99"/>
      <c r="C88" s="98"/>
      <c r="D88" s="97"/>
      <c r="E88" s="99"/>
    </row>
    <row r="89" spans="1:5" ht="14.6" x14ac:dyDescent="0.4">
      <c r="A89" s="98"/>
      <c r="B89" s="99"/>
      <c r="C89" s="98"/>
      <c r="D89" s="97"/>
      <c r="E89" s="99"/>
    </row>
    <row r="90" spans="1:5" ht="14.6" x14ac:dyDescent="0.4">
      <c r="A90" s="98"/>
      <c r="B90" s="99"/>
      <c r="C90" s="98"/>
      <c r="D90" s="97"/>
      <c r="E90" s="99"/>
    </row>
    <row r="91" spans="1:5" ht="14.6" x14ac:dyDescent="0.4">
      <c r="A91" s="98"/>
      <c r="B91" s="99"/>
      <c r="C91" s="98"/>
      <c r="D91" s="97"/>
      <c r="E91" s="99"/>
    </row>
    <row r="92" spans="1:5" ht="14.6" x14ac:dyDescent="0.4">
      <c r="A92" s="98"/>
      <c r="B92" s="99"/>
      <c r="C92" s="100"/>
      <c r="D92" s="97"/>
      <c r="E92" s="99"/>
    </row>
    <row r="93" spans="1:5" ht="14.6" x14ac:dyDescent="0.4">
      <c r="A93" s="98"/>
      <c r="B93" s="99"/>
      <c r="C93" s="100"/>
      <c r="D93" s="97"/>
      <c r="E93" s="99"/>
    </row>
    <row r="94" spans="1:5" ht="14.6" x14ac:dyDescent="0.4">
      <c r="A94" s="98"/>
      <c r="B94" s="99"/>
      <c r="C94" s="100"/>
      <c r="D94" s="97"/>
      <c r="E94" s="99"/>
    </row>
    <row r="95" spans="1:5" ht="14.6" x14ac:dyDescent="0.4">
      <c r="A95" s="98"/>
      <c r="B95" s="99"/>
      <c r="C95" s="100"/>
      <c r="D95" s="97"/>
      <c r="E95" s="99"/>
    </row>
    <row r="96" spans="1:5" ht="14.6" x14ac:dyDescent="0.4">
      <c r="A96" s="98"/>
      <c r="B96" s="99"/>
      <c r="C96" s="100"/>
      <c r="D96" s="97"/>
      <c r="E96" s="99"/>
    </row>
    <row r="97" spans="1:5" ht="14.6" x14ac:dyDescent="0.4">
      <c r="A97" s="98"/>
      <c r="B97" s="99"/>
      <c r="C97" s="100"/>
      <c r="D97" s="97"/>
      <c r="E97" s="99"/>
    </row>
    <row r="98" spans="1:5" ht="14.6" x14ac:dyDescent="0.4">
      <c r="A98" s="98"/>
      <c r="B98" s="99"/>
      <c r="C98" s="100"/>
      <c r="D98" s="97"/>
      <c r="E98" s="99"/>
    </row>
    <row r="99" spans="1:5" ht="14.6" x14ac:dyDescent="0.4">
      <c r="A99" s="98"/>
      <c r="B99" s="99"/>
      <c r="C99" s="100"/>
      <c r="D99" s="97"/>
      <c r="E99" s="99"/>
    </row>
    <row r="100" spans="1:5" ht="14.6" x14ac:dyDescent="0.4">
      <c r="A100" s="98"/>
      <c r="B100" s="99"/>
      <c r="C100" s="100"/>
      <c r="D100" s="97"/>
      <c r="E100" s="99"/>
    </row>
    <row r="101" spans="1:5" ht="14.6" x14ac:dyDescent="0.4">
      <c r="A101" s="98"/>
      <c r="B101" s="99"/>
      <c r="C101" s="100"/>
      <c r="D101" s="97"/>
      <c r="E101" s="99"/>
    </row>
    <row r="102" spans="1:5" ht="14.6" x14ac:dyDescent="0.4">
      <c r="A102" s="98"/>
      <c r="B102" s="99"/>
      <c r="C102" s="100"/>
      <c r="D102" s="97"/>
      <c r="E102" s="99"/>
    </row>
    <row r="103" spans="1:5" ht="14.6" x14ac:dyDescent="0.4">
      <c r="A103" s="98"/>
      <c r="B103" s="99"/>
      <c r="C103" s="100"/>
      <c r="D103" s="97"/>
      <c r="E103" s="99"/>
    </row>
    <row r="104" spans="1:5" ht="14.6" x14ac:dyDescent="0.4">
      <c r="A104" s="98"/>
      <c r="B104" s="99"/>
      <c r="C104" s="100"/>
      <c r="D104" s="97"/>
      <c r="E104" s="99"/>
    </row>
    <row r="105" spans="1:5" ht="14.6" x14ac:dyDescent="0.4">
      <c r="A105" s="98"/>
      <c r="B105" s="99"/>
      <c r="C105" s="100"/>
      <c r="D105" s="97"/>
      <c r="E105" s="99"/>
    </row>
    <row r="106" spans="1:5" ht="14.6" x14ac:dyDescent="0.4">
      <c r="A106" s="98"/>
      <c r="B106" s="99"/>
      <c r="C106" s="100"/>
      <c r="D106" s="97"/>
      <c r="E106" s="99"/>
    </row>
    <row r="107" spans="1:5" ht="14.6" x14ac:dyDescent="0.4">
      <c r="A107" s="98"/>
      <c r="B107" s="99"/>
      <c r="C107" s="100"/>
      <c r="D107" s="97"/>
      <c r="E107" s="99"/>
    </row>
    <row r="108" spans="1:5" ht="14.6" x14ac:dyDescent="0.4">
      <c r="A108" s="98"/>
      <c r="B108" s="99"/>
      <c r="C108" s="100"/>
      <c r="D108" s="97"/>
      <c r="E108" s="99"/>
    </row>
    <row r="109" spans="1:5" ht="14.6" x14ac:dyDescent="0.4">
      <c r="A109" s="98"/>
      <c r="B109" s="99"/>
      <c r="C109" s="100"/>
      <c r="D109" s="97"/>
      <c r="E109" s="99"/>
    </row>
    <row r="110" spans="1:5" ht="14.6" x14ac:dyDescent="0.4">
      <c r="A110" s="98"/>
      <c r="B110" s="99"/>
      <c r="C110" s="100"/>
      <c r="D110" s="97"/>
      <c r="E110" s="99"/>
    </row>
    <row r="111" spans="1:5" ht="14.6" x14ac:dyDescent="0.4">
      <c r="A111" s="98"/>
      <c r="B111" s="99"/>
      <c r="C111" s="100"/>
      <c r="D111" s="97"/>
      <c r="E111" s="99"/>
    </row>
    <row r="112" spans="1:5" ht="14.6" x14ac:dyDescent="0.4">
      <c r="A112" s="98"/>
      <c r="B112" s="99"/>
      <c r="C112" s="100"/>
      <c r="D112" s="97"/>
      <c r="E112" s="99"/>
    </row>
    <row r="113" spans="1:5" ht="14.6" x14ac:dyDescent="0.4">
      <c r="A113" s="98"/>
      <c r="B113" s="99"/>
      <c r="C113" s="100"/>
      <c r="D113" s="97"/>
      <c r="E113" s="99"/>
    </row>
    <row r="114" spans="1:5" ht="14.6" x14ac:dyDescent="0.4">
      <c r="A114" s="98"/>
      <c r="B114" s="99"/>
      <c r="C114" s="100"/>
      <c r="D114" s="97"/>
      <c r="E114" s="99"/>
    </row>
    <row r="115" spans="1:5" ht="14.6" x14ac:dyDescent="0.4">
      <c r="A115" s="98"/>
      <c r="B115" s="99"/>
      <c r="C115" s="100"/>
      <c r="D115" s="97"/>
      <c r="E115" s="99"/>
    </row>
    <row r="116" spans="1:5" ht="14.6" x14ac:dyDescent="0.4">
      <c r="A116" s="98"/>
      <c r="B116" s="99"/>
      <c r="C116" s="100"/>
      <c r="D116" s="97"/>
      <c r="E116" s="99"/>
    </row>
    <row r="117" spans="1:5" ht="14.6" x14ac:dyDescent="0.4">
      <c r="A117" s="98"/>
      <c r="B117" s="99"/>
      <c r="C117" s="100"/>
      <c r="D117" s="97"/>
      <c r="E117" s="99"/>
    </row>
    <row r="118" spans="1:5" ht="14.6" hidden="1" x14ac:dyDescent="0.4">
      <c r="E118" s="43"/>
    </row>
    <row r="119" spans="1:5" ht="14.6" hidden="1" x14ac:dyDescent="0.4">
      <c r="E119" s="43"/>
    </row>
    <row r="120" spans="1:5" ht="14.6" hidden="1" x14ac:dyDescent="0.4">
      <c r="E120" s="43"/>
    </row>
  </sheetData>
  <conditionalFormatting sqref="D59:D117 D2:D55">
    <cfRule type="iconSet" priority="2">
      <iconSet iconSet="3Symbols2" showValue="0">
        <cfvo type="percent" val="0"/>
        <cfvo type="num" val="0.5"/>
        <cfvo type="num" val="1"/>
      </iconSet>
    </cfRule>
  </conditionalFormatting>
  <conditionalFormatting sqref="D56:D75">
    <cfRule type="iconSet" priority="1">
      <iconSet iconSet="3Symbols2" showValue="0">
        <cfvo type="percent" val="0"/>
        <cfvo type="num" val="0.5"/>
        <cfvo type="num" val="1"/>
      </iconSet>
    </cfRule>
  </conditionalFormatting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Project Planner</vt:lpstr>
      <vt:lpstr>Task List</vt:lpstr>
      <vt:lpstr>Run Schedule</vt:lpstr>
      <vt:lpstr>Units Check</vt:lpstr>
      <vt:lpstr>IO Units</vt:lpstr>
      <vt:lpstr>Hardcoded Values</vt:lpstr>
      <vt:lpstr>period_selected</vt:lpstr>
      <vt:lpstr>'Project Planner'!Print_Titles</vt:lpstr>
      <vt:lpstr>TitleRegion..BO60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Ross Greenwood</dc:creator>
  <cp:lastModifiedBy>Ross Greenwood</cp:lastModifiedBy>
  <dcterms:created xsi:type="dcterms:W3CDTF">2016-12-05T05:14:59Z</dcterms:created>
  <dcterms:modified xsi:type="dcterms:W3CDTF">2018-04-28T07:18:52Z</dcterms:modified>
</cp:coreProperties>
</file>