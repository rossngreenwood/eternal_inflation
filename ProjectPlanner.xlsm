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bookViews>
    <workbookView xWindow="0" yWindow="0" windowWidth="8652" windowHeight="7644" activeTab="1"/>
  </bookViews>
  <sheets>
    <sheet name="Project Planner" sheetId="1" r:id="rId1"/>
    <sheet name="Task List" sheetId="3" r:id="rId2"/>
    <sheet name="Run Schedule" sheetId="4" r:id="rId3"/>
    <sheet name="IO Units" sheetId="5" r:id="rId4"/>
    <sheet name="Units Check" sheetId="6" r:id="rId5"/>
    <sheet name="Hardcoded Values" sheetId="7" r:id="rId6"/>
    <sheet name="Plot Names" sheetId="8" r:id="rId7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</workbook>
</file>

<file path=xl/calcChain.xml><?xml version="1.0" encoding="utf-8"?>
<calcChain xmlns="http://schemas.openxmlformats.org/spreadsheetml/2006/main">
  <c r="J1100" i="4" l="1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J1066" i="4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1047" i="4"/>
  <c r="J1046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816" i="4" l="1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D2" i="5" l="1"/>
  <c r="D3" i="5"/>
  <c r="D4" i="5"/>
  <c r="D5" i="5"/>
  <c r="D6" i="5"/>
  <c r="D7" i="5"/>
  <c r="D21" i="5"/>
  <c r="D8" i="5"/>
  <c r="D22" i="5"/>
  <c r="D17" i="5"/>
  <c r="D31" i="5"/>
  <c r="D18" i="5"/>
  <c r="D32" i="5"/>
  <c r="D19" i="5"/>
  <c r="D33" i="5"/>
  <c r="D20" i="5"/>
  <c r="D34" i="5"/>
  <c r="D35" i="5"/>
  <c r="D36" i="5"/>
  <c r="D37" i="5"/>
  <c r="D38" i="5"/>
  <c r="D9" i="5"/>
  <c r="D23" i="5"/>
  <c r="D10" i="5"/>
  <c r="D24" i="5"/>
  <c r="D11" i="5"/>
  <c r="D25" i="5"/>
  <c r="D12" i="5"/>
  <c r="D26" i="5"/>
  <c r="D13" i="5"/>
  <c r="D27" i="5"/>
  <c r="D14" i="5"/>
  <c r="D28" i="5"/>
  <c r="D15" i="5"/>
  <c r="D29" i="5"/>
  <c r="D16" i="5"/>
  <c r="D30" i="5"/>
  <c r="D39" i="5"/>
  <c r="D40" i="5"/>
  <c r="D41" i="5"/>
  <c r="D42" i="5"/>
  <c r="D43" i="5"/>
  <c r="D44" i="5"/>
  <c r="D45" i="5"/>
  <c r="D46" i="5"/>
  <c r="D47" i="5"/>
  <c r="D48" i="5"/>
  <c r="J535" i="4" l="1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534" i="4"/>
  <c r="J392" i="4" l="1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B139" i="3" l="1"/>
  <c r="J109" i="4" l="1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108" i="4" l="1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 l="1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C66" i="4" l="1"/>
  <c r="J66" i="4" s="1"/>
  <c r="C65" i="4"/>
  <c r="J65" i="4" s="1"/>
  <c r="C59" i="4" l="1"/>
  <c r="J59" i="4" s="1"/>
  <c r="C60" i="4"/>
  <c r="J60" i="4" s="1"/>
  <c r="C61" i="4"/>
  <c r="J61" i="4" s="1"/>
  <c r="C62" i="4"/>
  <c r="J62" i="4" s="1"/>
  <c r="C63" i="4"/>
  <c r="J63" i="4" s="1"/>
  <c r="C64" i="4"/>
  <c r="J64" i="4" s="1"/>
  <c r="C58" i="4"/>
  <c r="J58" i="4" s="1"/>
  <c r="C51" i="4"/>
  <c r="J51" i="4" s="1"/>
  <c r="C52" i="4"/>
  <c r="J52" i="4" s="1"/>
  <c r="C53" i="4"/>
  <c r="J53" i="4" s="1"/>
  <c r="C54" i="4"/>
  <c r="J54" i="4" s="1"/>
  <c r="C55" i="4"/>
  <c r="J55" i="4" s="1"/>
  <c r="C56" i="4"/>
  <c r="J56" i="4" s="1"/>
  <c r="C57" i="4"/>
  <c r="J57" i="4" s="1"/>
  <c r="J50" i="4" l="1"/>
  <c r="J49" i="4"/>
  <c r="J48" i="4"/>
  <c r="J47" i="4"/>
  <c r="J46" i="4"/>
  <c r="J45" i="4"/>
  <c r="J44" i="4"/>
  <c r="J43" i="4" l="1"/>
  <c r="J42" i="4"/>
  <c r="J41" i="4"/>
  <c r="J40" i="4"/>
  <c r="J39" i="4"/>
  <c r="J38" i="4"/>
  <c r="J37" i="4"/>
  <c r="J36" i="4" l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15" i="4" l="1"/>
  <c r="J14" i="4"/>
  <c r="J13" i="4"/>
  <c r="J12" i="4"/>
  <c r="J11" i="4"/>
  <c r="J10" i="4"/>
  <c r="J9" i="4"/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<sst xmlns="http://schemas.openxmlformats.org/spreadsheetml/2006/main" count="4015" uniqueCount="1627">
  <si>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</si>
  <si>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</si>
  <si>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</si>
  <si>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</si>
  <si>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</si>
  <si>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</si>
  <si>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</si>
  <si>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</si>
  <si>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</si>
  <si>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</si>
  <si>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</si>
  <si>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</si>
  <si>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</si>
  <si>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</si>
  <si>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</si>
  <si>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</si>
  <si>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</si>
  <si>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</si>
  <si>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</si>
  <si>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</si>
  <si>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</si>
  <si>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</si>
  <si>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</si>
  <si>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</si>
  <si>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</si>
  <si>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</si>
  <si>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</si>
  <si>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</si>
  <si>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</si>
  <si>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Filler writing</t>
  </si>
  <si>
    <t>Results writing</t>
  </si>
  <si>
    <t>Full runs</t>
  </si>
  <si>
    <t>Writing review</t>
  </si>
  <si>
    <t>Post to Arxiv</t>
  </si>
  <si>
    <t>Package code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</si>
  <si>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</si>
  <si>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</si>
  <si>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</si>
  <si>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</si>
  <si>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</si>
  <si>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</si>
  <si>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</si>
  <si>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</si>
  <si>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</si>
  <si>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</si>
  <si>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</si>
  <si>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</si>
  <si>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</si>
  <si>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</si>
  <si>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</si>
  <si>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</si>
  <si>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</si>
  <si>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</si>
  <si>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</si>
  <si>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</si>
  <si>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</si>
  <si>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</si>
  <si>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</si>
  <si>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</si>
  <si>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</si>
  <si>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</si>
  <si>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</si>
  <si>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</si>
  <si>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</si>
  <si>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</si>
  <si>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</si>
  <si>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</si>
  <si>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</si>
  <si>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</si>
  <si>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</si>
  <si>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</si>
  <si>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</si>
  <si>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</si>
  <si>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</si>
  <si>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</si>
  <si>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</si>
  <si>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</si>
  <si>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</si>
  <si>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</si>
  <si>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</si>
  <si>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</si>
  <si>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</si>
  <si>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</si>
  <si>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</si>
  <si>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</si>
  <si>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</si>
  <si>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</si>
  <si>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</si>
  <si>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</si>
  <si>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</si>
  <si>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</si>
  <si>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</si>
  <si>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</si>
  <si>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</si>
  <si>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</si>
  <si>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</si>
  <si>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</si>
  <si>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</si>
  <si>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</si>
  <si>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</si>
  <si>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</si>
  <si>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</si>
  <si>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Runtime</t>
  </si>
  <si>
    <t>lambda_screen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</si>
  <si>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</si>
  <si>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</si>
  <si>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</si>
  <si>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</si>
  <si>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</si>
  <si>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</si>
  <si>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</si>
  <si>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</si>
  <si>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</si>
  <si>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</si>
  <si>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</si>
  <si>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</si>
  <si>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</si>
  <si>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</si>
  <si>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</si>
  <si>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</si>
  <si>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</si>
  <si>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</si>
  <si>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</si>
  <si>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</si>
  <si>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</si>
  <si>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</si>
  <si>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</si>
  <si>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</si>
  <si>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</si>
  <si>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</si>
  <si>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</si>
  <si>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</si>
  <si>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</si>
  <si>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</si>
  <si>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</si>
  <si>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</si>
  <si>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</si>
  <si>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</si>
  <si>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</si>
  <si>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</si>
  <si>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</si>
  <si>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</si>
  <si>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</si>
  <si>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</si>
  <si>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</si>
  <si>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</si>
  <si>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</si>
  <si>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</si>
  <si>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</si>
  <si>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</si>
  <si>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</si>
  <si>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Make stochastic and topological checks compatible with A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</si>
  <si>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</si>
  <si>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</si>
  <si>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</si>
  <si>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</si>
  <si>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</si>
  <si>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</si>
  <si>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</si>
  <si>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</si>
  <si>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</si>
  <si>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</si>
  <si>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</si>
  <si>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</si>
  <si>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</si>
  <si>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</si>
  <si>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</si>
  <si>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</si>
  <si>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</si>
  <si>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</si>
  <si>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</si>
  <si>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</si>
  <si>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</si>
  <si>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</si>
  <si>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</si>
  <si>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</si>
  <si>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</si>
  <si>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</si>
  <si>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</si>
  <si>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</si>
  <si>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</si>
  <si>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</si>
  <si>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</si>
  <si>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</si>
  <si>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</si>
  <si>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</si>
  <si>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</si>
  <si>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</si>
  <si>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</si>
  <si>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</si>
  <si>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</si>
  <si>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</si>
  <si>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</si>
  <si>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</si>
  <si>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</si>
  <si>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</si>
  <si>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</si>
  <si>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</si>
  <si>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</si>
  <si>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</si>
  <si>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</si>
  <si>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</si>
  <si>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</si>
  <si>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</si>
  <si>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</si>
  <si>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</si>
  <si>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</si>
  <si>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</si>
  <si>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</si>
  <si>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</si>
  <si>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</si>
  <si>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</si>
  <si>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</si>
  <si>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</si>
  <si>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</si>
  <si>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</si>
  <si>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</si>
  <si>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</si>
  <si>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</si>
  <si>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</si>
  <si>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</si>
  <si>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</si>
  <si>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</si>
  <si>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</si>
  <si>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</si>
  <si>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</si>
  <si>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</si>
  <si>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</si>
  <si>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</si>
  <si>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</si>
  <si>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</si>
  <si>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</si>
  <si>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</si>
  <si>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</si>
  <si>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</si>
  <si>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</si>
  <si>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</si>
  <si>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</si>
  <si>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</si>
  <si>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</si>
  <si>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</si>
  <si>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</si>
  <si>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</si>
  <si>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</si>
  <si>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</si>
  <si>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</si>
  <si>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</si>
  <si>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</si>
  <si>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</si>
  <si>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</si>
  <si>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</si>
  <si>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</si>
  <si>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</si>
  <si>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</si>
  <si>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</si>
  <si>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</si>
  <si>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</si>
  <si>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</si>
  <si>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</si>
  <si>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</si>
  <si>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</si>
  <si>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</si>
  <si>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</si>
  <si>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</si>
  <si>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</si>
  <si>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</si>
  <si>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</si>
  <si>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</si>
  <si>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</si>
  <si>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</si>
  <si>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</si>
  <si>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</si>
  <si>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</si>
  <si>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</si>
  <si>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</si>
  <si>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</si>
  <si>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</si>
  <si>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</si>
  <si>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</si>
  <si>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</si>
  <si>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</si>
  <si>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</si>
  <si>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</si>
  <si>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</si>
  <si>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</si>
  <si>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</si>
  <si>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</si>
  <si>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</si>
  <si>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</si>
  <si>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</si>
  <si>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</si>
  <si>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</si>
  <si>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</si>
  <si>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</si>
  <si>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</si>
  <si>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</si>
  <si>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</si>
  <si>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</si>
  <si>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</si>
  <si>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</si>
  <si>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</si>
  <si>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</si>
  <si>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</si>
  <si>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</si>
  <si>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</si>
  <si>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</si>
  <si>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</si>
  <si>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</si>
  <si>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</si>
  <si>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</si>
  <si>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</si>
  <si>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</si>
  <si>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</si>
  <si>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</si>
  <si>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</si>
  <si>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</si>
  <si>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</si>
  <si>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</si>
  <si>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</si>
  <si>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</si>
  <si>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</si>
  <si>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</si>
  <si>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</si>
  <si>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</si>
  <si>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</si>
  <si>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</si>
  <si>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</si>
  <si>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</si>
  <si>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</si>
  <si>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</si>
  <si>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</si>
  <si>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</si>
  <si>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</si>
  <si>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</si>
  <si>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</si>
  <si>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</si>
  <si>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</si>
  <si>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</si>
  <si>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</si>
  <si>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</si>
  <si>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</si>
  <si>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</si>
  <si>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</si>
  <si>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</si>
  <si>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</si>
  <si>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</si>
  <si>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</si>
  <si>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</si>
  <si>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</si>
  <si>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</si>
  <si>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</si>
  <si>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</si>
  <si>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</si>
  <si>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</si>
  <si>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</si>
  <si>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</si>
  <si>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</si>
  <si>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</si>
  <si>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</si>
  <si>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</si>
  <si>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</si>
  <si>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</si>
  <si>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</si>
  <si>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</si>
  <si>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</si>
  <si>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</si>
  <si>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</si>
  <si>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</si>
  <si>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</si>
  <si>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</si>
  <si>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</si>
  <si>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</si>
  <si>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</si>
  <si>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</si>
  <si>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</si>
  <si>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</si>
  <si>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</si>
  <si>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</si>
  <si>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</si>
  <si>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</si>
  <si>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</si>
  <si>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</si>
  <si>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</si>
  <si>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</si>
  <si>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</si>
  <si>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</si>
  <si>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</si>
  <si>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</si>
  <si>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</si>
  <si>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</si>
  <si>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</si>
  <si>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</si>
  <si>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</si>
  <si>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</si>
  <si>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</si>
  <si>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</si>
  <si>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</si>
  <si>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</si>
  <si>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</si>
  <si>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</si>
  <si>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</si>
  <si>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</si>
  <si>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</si>
  <si>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</si>
  <si>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</si>
  <si>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</si>
  <si>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</si>
  <si>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</si>
  <si>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</si>
  <si>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</si>
  <si>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</si>
  <si>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</si>
  <si>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</si>
  <si>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</si>
  <si>
    <t>\data\input\infile_0008.txt</t>
  </si>
  <si>
    <t>\data\input\infile_0009.txt</t>
  </si>
  <si>
    <t>\data\input\infile_0010.txt</t>
  </si>
  <si>
    <t>\data\input\infile_0011.txt</t>
  </si>
  <si>
    <t>\data\input\infile_0012.txt</t>
  </si>
  <si>
    <t>\data\input\infile_0013.txt</t>
  </si>
  <si>
    <t>\data\input\infile_0014.txt</t>
  </si>
  <si>
    <t>42ecabc</t>
  </si>
  <si>
    <t>Git Hash</t>
  </si>
  <si>
    <t>Figure out why so much memory is being used on SLURM</t>
  </si>
  <si>
    <t>rho_Lambda_thres',   0,...  % Threshold below which vacuum energy is considered "small"</t>
  </si>
  <si>
    <t>a4181f4</t>
  </si>
  <si>
    <t>\data\input\infile_0015.txt</t>
  </si>
  <si>
    <t>\data\input\infile_0016.txt</t>
  </si>
  <si>
    <t>\data\input\infile_0017.txt</t>
  </si>
  <si>
    <t>\data\input\infile_0018.txt</t>
  </si>
  <si>
    <t>\data\input\infile_0019.txt</t>
  </si>
  <si>
    <t>\data\input\infile_0020.txt</t>
  </si>
  <si>
    <t>\data\input\infile_0021.txt</t>
  </si>
  <si>
    <t>Modify params to include flags</t>
  </si>
  <si>
    <t>rho_lambda_thres=done, n_recycle=done, flag_screen_basin=done</t>
  </si>
  <si>
    <t>Toggle/Compare internal settings</t>
  </si>
  <si>
    <t>Secondary collection</t>
  </si>
  <si>
    <t>Analysis of Initial Collection</t>
  </si>
  <si>
    <t>Initial data Collection (Order 1e7 samples/each)</t>
  </si>
  <si>
    <t>Analysis  of secondary collection</t>
  </si>
  <si>
    <t>Full analysis</t>
  </si>
  <si>
    <t>NSinceStoch &gt; N sometimes – why?</t>
  </si>
  <si>
    <t>Implement using parallel Matlab rather than Python</t>
  </si>
  <si>
    <t>Prevent more than 4 workers from running FVI at once</t>
  </si>
  <si>
    <t>Clean up Latex document</t>
  </si>
  <si>
    <t>Make Matlab use real random numbers</t>
  </si>
  <si>
    <t>Why are we losing connection to a worker?</t>
  </si>
  <si>
    <t>Finish writing methods section</t>
  </si>
  <si>
    <t>Make drawing to accompany flowchart</t>
  </si>
  <si>
    <t>Why is lgOk not single-valued every time?</t>
  </si>
  <si>
    <t>Re-activate combining output</t>
  </si>
  <si>
    <t>Shift indices of worker_#.txt files in 0015-0021</t>
  </si>
  <si>
    <t>Change indexing scheme in matlab code</t>
  </si>
  <si>
    <t>a60df0f</t>
  </si>
  <si>
    <t>\data\input\infile_0022.txt</t>
  </si>
  <si>
    <t>\data\input\infile_0023.txt</t>
  </si>
  <si>
    <t>\data\input\infile_0024.txt</t>
  </si>
  <si>
    <t>\data\input\infile_0025.txt</t>
  </si>
  <si>
    <t>\data\input\infile_0026.txt</t>
  </si>
  <si>
    <t>\data\input\infile_0027.txt</t>
  </si>
  <si>
    <t>\data\input\infile_0028.txt</t>
  </si>
  <si>
    <t>\data\input\infile_0029.txt</t>
  </si>
  <si>
    <t>\data\input\infile_0030.txt</t>
  </si>
  <si>
    <t>\data\input\infile_0031.txt</t>
  </si>
  <si>
    <t>\data\input\infile_0032.txt</t>
  </si>
  <si>
    <t>\data\input\infile_0033.txt</t>
  </si>
  <si>
    <t>\data\input\infile_0034.txt</t>
  </si>
  <si>
    <t>\data\input\infile_0035.txt</t>
  </si>
  <si>
    <t>a2ef204</t>
  </si>
  <si>
    <t>Fix n_iter</t>
  </si>
  <si>
    <t>\data\input\infile_0036.txt</t>
  </si>
  <si>
    <t>\data\input\infile_0037.txt</t>
  </si>
  <si>
    <t>\data\input\infile_0038.txt</t>
  </si>
  <si>
    <t>\data\input\infile_0039.txt</t>
  </si>
  <si>
    <t>\data\input\infile_0040.txt</t>
  </si>
  <si>
    <t>\data\input\infile_0041.txt</t>
  </si>
  <si>
    <t>\data\input\infile_0042.txt</t>
  </si>
  <si>
    <t>Works with n_tunnel_max = 1</t>
  </si>
  <si>
    <t>\data\input\infile_0043.txt</t>
  </si>
  <si>
    <t>\data\input\infile_0044.txt</t>
  </si>
  <si>
    <t>\data\input\infile_0045.txt</t>
  </si>
  <si>
    <t>\data\input\infile_0046.txt</t>
  </si>
  <si>
    <t>\data\input\infile_0047.txt</t>
  </si>
  <si>
    <t>\data\input\infile_0048.txt</t>
  </si>
  <si>
    <t>\data\input\infile_0049.txt</t>
  </si>
  <si>
    <t>\data\input\infile_0050.txt</t>
  </si>
  <si>
    <t>\data\input\infile_0051.txt</t>
  </si>
  <si>
    <t>\data\input\infile_0052.txt</t>
  </si>
  <si>
    <t>\data\input\infile_0053.txt</t>
  </si>
  <si>
    <t>\data\input\infile_0054.txt</t>
  </si>
  <si>
    <t>\data\input\infile_0055.txt</t>
  </si>
  <si>
    <t>\data\input\infile_0056.txt</t>
  </si>
  <si>
    <t>\data\input\infile_0057.txt</t>
  </si>
  <si>
    <t>\data\input\infile_0058.txt</t>
  </si>
  <si>
    <t>\data\input\infile_0059.txt</t>
  </si>
  <si>
    <t>\data\input\infile_0060.txt</t>
  </si>
  <si>
    <t>\data\input\infile_0061.txt</t>
  </si>
  <si>
    <t>\data\input\infile_0062.txt</t>
  </si>
  <si>
    <t>\data\input\infile_0063.txt</t>
  </si>
  <si>
    <t>Plot fraction with stochastic eternal across mv and mh scales</t>
  </si>
  <si>
    <t>Optimize file read</t>
  </si>
  <si>
    <t>Create truncated output files on server</t>
  </si>
  <si>
    <t>Make sure rho_Lambda is being recorded and recovered in data</t>
  </si>
  <si>
    <t>\data\input\infile_0064.txt</t>
  </si>
  <si>
    <t>\data\input\infile_0065.txt</t>
  </si>
  <si>
    <t>Stash changes to plot_histograms</t>
  </si>
  <si>
    <t>Figure out why rho_Lambda is being recorded as 0</t>
  </si>
  <si>
    <t>A</t>
  </si>
  <si>
    <t>\data\input\infile_0066.txt</t>
  </si>
  <si>
    <t>\data\input\infile_0067.txt</t>
  </si>
  <si>
    <t>\data\input\infile_0068.txt</t>
  </si>
  <si>
    <t>\data\input\infile_0069.txt</t>
  </si>
  <si>
    <t>\data\input\infile_0070.txt</t>
  </si>
  <si>
    <t>\data\input\infile_0071.txt</t>
  </si>
  <si>
    <t>\data\input\infile_0072.txt</t>
  </si>
  <si>
    <t>\data\input\infile_0073.txt</t>
  </si>
  <si>
    <t>\data\input\infile_0074.txt</t>
  </si>
  <si>
    <t>\data\input\infile_0075.txt</t>
  </si>
  <si>
    <t>\data\input\infile_0076.txt</t>
  </si>
  <si>
    <t>\data\input\infile_0077.txt</t>
  </si>
  <si>
    <t>\data\input\infile_0078.txt</t>
  </si>
  <si>
    <t>\data\input\infile_0079.txt</t>
  </si>
  <si>
    <t>Run ID</t>
  </si>
  <si>
    <t>Automate partition selection</t>
  </si>
  <si>
    <t>What happened to second derivative check for stochastics?</t>
  </si>
  <si>
    <t>\data\input\infile_0080.txt</t>
  </si>
  <si>
    <t>\data\input\infile_0081.txt</t>
  </si>
  <si>
    <t>\data\input\infile_0082.txt</t>
  </si>
  <si>
    <t>\data\input\infile_0083.txt</t>
  </si>
  <si>
    <t>\data\input\infile_0084.txt</t>
  </si>
  <si>
    <t>\data\input\infile_0085.txt</t>
  </si>
  <si>
    <t>\data\input\infile_0086.txt</t>
  </si>
  <si>
    <t>\data\input\infile_0087.txt</t>
  </si>
  <si>
    <t>\data\input\infile_0088.txt</t>
  </si>
  <si>
    <t>\data\input\infile_0089.txt</t>
  </si>
  <si>
    <t>\data\input\infile_0090.txt</t>
  </si>
  <si>
    <t>\data\input\infile_0091.txt</t>
  </si>
  <si>
    <t>\data\input\infile_0092.txt</t>
  </si>
  <si>
    <t>\data\input\infile_0093.txt</t>
  </si>
  <si>
    <t>\data\input\infile_0094.txt</t>
  </si>
  <si>
    <t>\data\input\infile_0095.txt</t>
  </si>
  <si>
    <t>\data\input\infile_0096.txt</t>
  </si>
  <si>
    <t>\data\input\infile_0097.txt</t>
  </si>
  <si>
    <t>\data\input\infile_0098.txt</t>
  </si>
  <si>
    <t>\data\input\infile_0099.txt</t>
  </si>
  <si>
    <t>\data\input\infile_0100.txt</t>
  </si>
  <si>
    <t>\data\input\infile_0101.txt</t>
  </si>
  <si>
    <t>\data\input\infile_0102.txt</t>
  </si>
  <si>
    <t>\data\input\infile_0103.txt</t>
  </si>
  <si>
    <t>\data\input\infile_0104.txt</t>
  </si>
  <si>
    <t>\data\input\infile_0105.txt</t>
  </si>
  <si>
    <t>\data\input\infile_0106.txt</t>
  </si>
  <si>
    <t>\data\input\infile_0107.txt</t>
  </si>
  <si>
    <t>Make a system for naming plots</t>
  </si>
  <si>
    <t>Code</t>
  </si>
  <si>
    <t>make_stoch_plot.m</t>
  </si>
  <si>
    <t>A 3D bar plot of the fraction of models with at least one epoch of stochastic eternal inflation, with m_v on the x-axis, and m_h on the y-axis.  Assumes a rectangular mesh grid spanning m_v and m_h.</t>
  </si>
  <si>
    <t>hns1</t>
  </si>
  <si>
    <t>A histogram of the scalar spectral index.</t>
  </si>
  <si>
    <t>plot_histograms.m</t>
  </si>
  <si>
    <t>halp</t>
  </si>
  <si>
    <t>A histogram of the running of scalar spectral index.</t>
  </si>
  <si>
    <t>Generator Function</t>
  </si>
  <si>
    <t>sfrb</t>
  </si>
  <si>
    <t>sfrl</t>
  </si>
  <si>
    <t>\data\input\infile_0108.txt</t>
  </si>
  <si>
    <t>\data\input\infile_0109.txt</t>
  </si>
  <si>
    <t>\data\input\infile_0110.txt</t>
  </si>
  <si>
    <t>\data\input\infile_0111.txt</t>
  </si>
  <si>
    <t>\data\input\infile_0112.txt</t>
  </si>
  <si>
    <t>\data\input\infile_0113.txt</t>
  </si>
  <si>
    <t>\data\input\infile_0114.txt</t>
  </si>
  <si>
    <t>\data\input\infile_0115.txt</t>
  </si>
  <si>
    <t>\data\input\infile_0116.txt</t>
  </si>
  <si>
    <t>\data\input\infile_0117.txt</t>
  </si>
  <si>
    <t>\data\input\infile_0118.txt</t>
  </si>
  <si>
    <t>\data\input\infile_0119.txt</t>
  </si>
  <si>
    <t>\data\input\infile_0120.txt</t>
  </si>
  <si>
    <t>\data\input\infile_0121.txt</t>
  </si>
  <si>
    <t>\data\input\infile_0122.txt</t>
  </si>
  <si>
    <t>\data\input\infile_0123.txt</t>
  </si>
  <si>
    <t>\data\input\infile_0124.txt</t>
  </si>
  <si>
    <t>\data\input\infile_0125.txt</t>
  </si>
  <si>
    <t>\data\input\infile_0126.txt</t>
  </si>
  <si>
    <t>\data\input\infile_0127.txt</t>
  </si>
  <si>
    <t>\data\input\infile_0128.txt</t>
  </si>
  <si>
    <t>\data\input\infile_0129.txt</t>
  </si>
  <si>
    <t>\data\input\infile_0130.txt</t>
  </si>
  <si>
    <t>\data\input\infile_0131.txt</t>
  </si>
  <si>
    <t>\data\input\infile_0132.txt</t>
  </si>
  <si>
    <t>\data\input\infile_0133.txt</t>
  </si>
  <si>
    <t>\data\input\infile_0134.txt</t>
  </si>
  <si>
    <t>\data\input\infile_0135.txt</t>
  </si>
  <si>
    <t>\data\input\infile_0136.txt</t>
  </si>
  <si>
    <t>\data\input\infile_0137.txt</t>
  </si>
  <si>
    <t>\data\input\infile_0138.txt</t>
  </si>
  <si>
    <t>\data\input\infile_0139.txt</t>
  </si>
  <si>
    <t>\data\input\infile_0140.txt</t>
  </si>
  <si>
    <t>\data\input\infile_0141.txt</t>
  </si>
  <si>
    <t>\data\input\infile_0142.txt</t>
  </si>
  <si>
    <t>\data\input\infile_0143.txt</t>
  </si>
  <si>
    <t>\data\input\infile_0144.txt</t>
  </si>
  <si>
    <t>\data\input\infile_0145.txt</t>
  </si>
  <si>
    <t>\data\input\infile_0146.txt</t>
  </si>
  <si>
    <t>\data\input\infile_0147.txt</t>
  </si>
  <si>
    <t>\data\input\infile_0148.txt</t>
  </si>
  <si>
    <t>\data\input\infile_0149.txt</t>
  </si>
  <si>
    <t>\data\input\infile_0150.txt</t>
  </si>
  <si>
    <t>\data\input\infile_0151.txt</t>
  </si>
  <si>
    <t>\data\input\infile_0152.txt</t>
  </si>
  <si>
    <t>\data\input\infile_0153.txt</t>
  </si>
  <si>
    <t>\data\input\infile_0154.txt</t>
  </si>
  <si>
    <t>\data\input\infile_0155.txt</t>
  </si>
  <si>
    <t>\data\input\infile_0156.txt</t>
  </si>
  <si>
    <t>\data\input\infile_0157.txt</t>
  </si>
  <si>
    <t>\data\input\infile_0158.txt</t>
  </si>
  <si>
    <t>\data\input\infile_0159.txt</t>
  </si>
  <si>
    <t>\data\input\infile_0160.txt</t>
  </si>
  <si>
    <t>\data\input\infile_0161.txt</t>
  </si>
  <si>
    <t>\data\input\infile_0162.txt</t>
  </si>
  <si>
    <t>\data\input\infile_0163.txt</t>
  </si>
  <si>
    <t>\data\input\infile_0164.txt</t>
  </si>
  <si>
    <t>\data\input\infile_0165.txt</t>
  </si>
  <si>
    <t>\data\input\infile_0166.txt</t>
  </si>
  <si>
    <t>\data\input\infile_0167.txt</t>
  </si>
  <si>
    <t>\data\input\infile_0168.txt</t>
  </si>
  <si>
    <t>\data\input\infile_0169.txt</t>
  </si>
  <si>
    <t>\data\input\infile_0170.txt</t>
  </si>
  <si>
    <t>\data\input\infile_0171.txt</t>
  </si>
  <si>
    <t>\data\input\infile_0172.txt</t>
  </si>
  <si>
    <t>\data\input\infile_0173.txt</t>
  </si>
  <si>
    <t>\data\input\infile_0174.txt</t>
  </si>
  <si>
    <t>\data\input\infile_0175.txt</t>
  </si>
  <si>
    <t>\data\input\infile_0176.txt</t>
  </si>
  <si>
    <t>\data\input\infile_0177.txt</t>
  </si>
  <si>
    <t>\data\input\infile_0178.txt</t>
  </si>
  <si>
    <t>\data\input\infile_0179.txt</t>
  </si>
  <si>
    <t>\data\input\infile_0180.txt</t>
  </si>
  <si>
    <t>\data\input\infile_0181.txt</t>
  </si>
  <si>
    <t>\data\input\infile_0182.txt</t>
  </si>
  <si>
    <t>\data\input\infile_0183.txt</t>
  </si>
  <si>
    <t>\data\input\infile_0184.txt</t>
  </si>
  <si>
    <t>\data\input\infile_0185.txt</t>
  </si>
  <si>
    <t>\data\input\infile_0186.txt</t>
  </si>
  <si>
    <t>\data\input\infile_0187.txt</t>
  </si>
  <si>
    <t>\data\input\infile_0188.txt</t>
  </si>
  <si>
    <t>\data\input\infile_0189.txt</t>
  </si>
  <si>
    <t>\data\input\infile_0190.txt</t>
  </si>
  <si>
    <t>\data\input\infile_0191.txt</t>
  </si>
  <si>
    <t>\data\input\infile_0192.txt</t>
  </si>
  <si>
    <t>\data\input\infile_0193.txt</t>
  </si>
  <si>
    <t>\data\input\infile_0194.txt</t>
  </si>
  <si>
    <t>\data\input\infile_0195.txt</t>
  </si>
  <si>
    <t>\data\input\infile_0196.txt</t>
  </si>
  <si>
    <t>\data\input\infile_0197.txt</t>
  </si>
  <si>
    <t>\data\input\infile_0198.txt</t>
  </si>
  <si>
    <t>\data\input\infile_0199.txt</t>
  </si>
  <si>
    <t>\data\input\infile_0200.txt</t>
  </si>
  <si>
    <t>\data\input\infile_0201.txt</t>
  </si>
  <si>
    <t>\data\input\infile_0202.txt</t>
  </si>
  <si>
    <t>\data\input\infile_0203.txt</t>
  </si>
  <si>
    <t>\data\input\infile_0204.txt</t>
  </si>
  <si>
    <t>\data\input\infile_0205.txt</t>
  </si>
  <si>
    <t>\data\input\infile_0206.txt</t>
  </si>
  <si>
    <t>\data\input\infile_0207.txt</t>
  </si>
  <si>
    <t>\data\input\infile_0208.txt</t>
  </si>
  <si>
    <t>\data\input\infile_0209.txt</t>
  </si>
  <si>
    <t>\data\input\infile_0210.txt</t>
  </si>
  <si>
    <t>\data\input\infile_0211.txt</t>
  </si>
  <si>
    <t>\data\input\infile_0212.txt</t>
  </si>
  <si>
    <t>\data\input\infile_0213.txt</t>
  </si>
  <si>
    <t>\data\input\infile_0214.txt</t>
  </si>
  <si>
    <t>\data\input\infile_0215.txt</t>
  </si>
  <si>
    <t>\data\input\infile_0216.txt</t>
  </si>
  <si>
    <t>\data\input\infile_0217.txt</t>
  </si>
  <si>
    <t>\data\input\infile_0218.txt</t>
  </si>
  <si>
    <t>\data\input\infile_0219.txt</t>
  </si>
  <si>
    <t>\data\input\infile_0220.txt</t>
  </si>
  <si>
    <t>\data\input\infile_0221.txt</t>
  </si>
  <si>
    <t>\data\input\infile_0222.txt</t>
  </si>
  <si>
    <t>\data\input\infile_0223.txt</t>
  </si>
  <si>
    <t>\data\input\infile_0224.txt</t>
  </si>
  <si>
    <t>\data\input\infile_0225.txt</t>
  </si>
  <si>
    <t>\data\input\infile_0226.txt</t>
  </si>
  <si>
    <t>\data\input\infile_0227.txt</t>
  </si>
  <si>
    <t>\data\input\infile_0228.txt</t>
  </si>
  <si>
    <t>\data\input\infile_0229.txt</t>
  </si>
  <si>
    <t>\data\input\infile_0230.txt</t>
  </si>
  <si>
    <t>\data\input\infile_0231.txt</t>
  </si>
  <si>
    <t>\data\input\infile_0232.txt</t>
  </si>
  <si>
    <t>\data\input\infile_0233.txt</t>
  </si>
  <si>
    <t>\data\input\infile_0234.txt</t>
  </si>
  <si>
    <t>\data\input\infile_0235.txt</t>
  </si>
  <si>
    <t>\data\input\infile_0236.txt</t>
  </si>
  <si>
    <t>\data\input\infile_0237.txt</t>
  </si>
  <si>
    <t>\data\input\infile_0238.txt</t>
  </si>
  <si>
    <t>\data\input\infile_0239.txt</t>
  </si>
  <si>
    <t>\data\input\infile_0240.txt</t>
  </si>
  <si>
    <t>\data\input\infile_0241.txt</t>
  </si>
  <si>
    <t>\data\input\infile_0242.txt</t>
  </si>
  <si>
    <t>\data\input\infile_0243.txt</t>
  </si>
  <si>
    <t>\data\input\infile_0244.txt</t>
  </si>
  <si>
    <t>\data\input\infile_0245.txt</t>
  </si>
  <si>
    <t>\data\input\infile_0246.txt</t>
  </si>
  <si>
    <t>\data\input\infile_0247.txt</t>
  </si>
  <si>
    <t>\data\input\infile_0248.txt</t>
  </si>
  <si>
    <t>\data\input\infile_0249.txt</t>
  </si>
  <si>
    <t>Generate data around peak of correct Q fraction</t>
  </si>
  <si>
    <t>\data\input\infile_0250.txt</t>
  </si>
  <si>
    <t>\data\input\infile_0251.txt</t>
  </si>
  <si>
    <t>\data\input\infile_0252.txt</t>
  </si>
  <si>
    <t>\data\input\infile_0253.txt</t>
  </si>
  <si>
    <t>\data\input\infile_0254.txt</t>
  </si>
  <si>
    <t>\data\input\infile_0255.txt</t>
  </si>
  <si>
    <t>\data\input\infile_0256.txt</t>
  </si>
  <si>
    <t>\data\input\infile_0257.txt</t>
  </si>
  <si>
    <t>\data\input\infile_0258.txt</t>
  </si>
  <si>
    <t>\data\input\infile_0259.txt</t>
  </si>
  <si>
    <t>\data\input\infile_0260.txt</t>
  </si>
  <si>
    <t>\data\input\infile_0261.txt</t>
  </si>
  <si>
    <t>\data\input\infile_0262.txt</t>
  </si>
  <si>
    <t>\data\input\infile_0263.txt</t>
  </si>
  <si>
    <t>\data\input\infile_0264.txt</t>
  </si>
  <si>
    <t>\data\input\infile_0265.txt</t>
  </si>
  <si>
    <t>\data\input\infile_0266.txt</t>
  </si>
  <si>
    <t>\data\input\infile_0267.txt</t>
  </si>
  <si>
    <t>\data\input\infile_0268.txt</t>
  </si>
  <si>
    <t>\data\input\infile_0269.txt</t>
  </si>
  <si>
    <t>\data\input\infile_0270.txt</t>
  </si>
  <si>
    <t>\data\input\infile_0271.txt</t>
  </si>
  <si>
    <t>\data\input\infile_0272.txt</t>
  </si>
  <si>
    <t>\data\input\infile_0273.txt</t>
  </si>
  <si>
    <t>\data\input\infile_0274.txt</t>
  </si>
  <si>
    <t>\data\input\infile_0275.txt</t>
  </si>
  <si>
    <t>\data\input\infile_0276.txt</t>
  </si>
  <si>
    <t>\data\input\infile_0277.txt</t>
  </si>
  <si>
    <t>\data\input\infile_0278.txt</t>
  </si>
  <si>
    <t>\data\input\infile_0279.txt</t>
  </si>
  <si>
    <t>\data\input\infile_0280.txt</t>
  </si>
  <si>
    <t>\data\input\infile_0281.txt</t>
  </si>
  <si>
    <t>\data\input\infile_0282.txt</t>
  </si>
  <si>
    <t>\data\input\infile_0283.txt</t>
  </si>
  <si>
    <t>\data\input\infile_0284.txt</t>
  </si>
  <si>
    <t>\data\input\infile_0285.txt</t>
  </si>
  <si>
    <t>\data\input\infile_0286.txt</t>
  </si>
  <si>
    <t>\data\input\infile_0287.txt</t>
  </si>
  <si>
    <t>\data\input\infile_0288.txt</t>
  </si>
  <si>
    <t>\data\input\infile_0289.txt</t>
  </si>
  <si>
    <t>\data\input\infile_0290.txt</t>
  </si>
  <si>
    <t>\data\input\infile_0291.txt</t>
  </si>
  <si>
    <t>\data\input\infile_0292.txt</t>
  </si>
  <si>
    <t>\data\input\infile_0293.txt</t>
  </si>
  <si>
    <t>\data\input\infile_0294.txt</t>
  </si>
  <si>
    <t>\data\input\infile_0295.txt</t>
  </si>
  <si>
    <t>\data\input\infile_0296.txt</t>
  </si>
  <si>
    <t>\data\input\infile_0297.txt</t>
  </si>
  <si>
    <t>\data\input\infile_0298.txt</t>
  </si>
  <si>
    <t>\data\input\infile_0299.txt</t>
  </si>
  <si>
    <t>\data\input\infile_0300.txt</t>
  </si>
  <si>
    <t>\data\input\infile_0301.txt</t>
  </si>
  <si>
    <t>\data\input\infile_0302.txt</t>
  </si>
  <si>
    <t>\data\input\infile_0303.txt</t>
  </si>
  <si>
    <t>\data\input\infile_0304.txt</t>
  </si>
  <si>
    <t>\data\input\infile_0305.txt</t>
  </si>
  <si>
    <t>\data\input\infile_0306.txt</t>
  </si>
  <si>
    <t>\data\input\infile_0307.txt</t>
  </si>
  <si>
    <t>\data\input\infile_0308.txt</t>
  </si>
  <si>
    <t>\data\input\infile_0309.txt</t>
  </si>
  <si>
    <t>\data\input\infile_0310.txt</t>
  </si>
  <si>
    <t>\data\input\infile_0311.txt</t>
  </si>
  <si>
    <t>\data\input\infile_0312.txt</t>
  </si>
  <si>
    <t>\data\input\infile_0313.txt</t>
  </si>
  <si>
    <t>\data\input\infile_0314.txt</t>
  </si>
  <si>
    <t>\data\input\infile_0315.txt</t>
  </si>
  <si>
    <t>\data\input\infile_0316.txt</t>
  </si>
  <si>
    <t>\data\input\infile_0317.txt</t>
  </si>
  <si>
    <t>\data\input\infile_0318.txt</t>
  </si>
  <si>
    <t>\data\input\infile_0319.txt</t>
  </si>
  <si>
    <t>\data\input\infile_0320.txt</t>
  </si>
  <si>
    <t>\data\input\infile_0321.txt</t>
  </si>
  <si>
    <t>\data\input\infile_0322.txt</t>
  </si>
  <si>
    <t>\data\input\infile_0323.txt</t>
  </si>
  <si>
    <t>\data\input\infile_0324.txt</t>
  </si>
  <si>
    <t>\data\input\infile_0325.txt</t>
  </si>
  <si>
    <t>\data\input\infile_0326.txt</t>
  </si>
  <si>
    <t>\data\input\infile_0327.txt</t>
  </si>
  <si>
    <t>\data\input\infile_0328.txt</t>
  </si>
  <si>
    <t>\data\input\infile_0329.txt</t>
  </si>
  <si>
    <t>\data\input\infile_0330.txt</t>
  </si>
  <si>
    <t>\data\input\infile_0331.txt</t>
  </si>
  <si>
    <t>\data\input\infile_0332.txt</t>
  </si>
  <si>
    <t>\data\input\infile_0333.txt</t>
  </si>
  <si>
    <t>\data\input\infile_0334.txt</t>
  </si>
  <si>
    <t>\data\input\infile_0335.txt</t>
  </si>
  <si>
    <t>\data\input\infile_0336.txt</t>
  </si>
  <si>
    <t>\data\input\infile_0337.txt</t>
  </si>
  <si>
    <t>\data\input\infile_0338.txt</t>
  </si>
  <si>
    <t>\data\input\infile_0339.txt</t>
  </si>
  <si>
    <t>\data\input\infile_0340.txt</t>
  </si>
  <si>
    <t>\data\input\infile_0341.txt</t>
  </si>
  <si>
    <t>\data\input\infile_0342.txt</t>
  </si>
  <si>
    <t>\data\input\infile_0343.txt</t>
  </si>
  <si>
    <t>\data\input\infile_0344.txt</t>
  </si>
  <si>
    <t>\data\input\infile_0345.txt</t>
  </si>
  <si>
    <t>\data\input\infile_0346.txt</t>
  </si>
  <si>
    <t>\data\input\infile_0347.txt</t>
  </si>
  <si>
    <t>\data\input\infile_0348.txt</t>
  </si>
  <si>
    <t>\data\input\infile_0349.txt</t>
  </si>
  <si>
    <t>\data\input\infile_0350.txt</t>
  </si>
  <si>
    <t>\data\input\infile_0351.txt</t>
  </si>
  <si>
    <t>\data\input\infile_0352.txt</t>
  </si>
  <si>
    <t>\data\input\infile_0353.txt</t>
  </si>
  <si>
    <t>\data\input\infile_0354.txt</t>
  </si>
  <si>
    <t>\data\input\infile_0355.txt</t>
  </si>
  <si>
    <t>\data\input\infile_0356.txt</t>
  </si>
  <si>
    <t>\data\input\infile_0357.txt</t>
  </si>
  <si>
    <t>\data\input\infile_0358.txt</t>
  </si>
  <si>
    <t>\data\input\infile_0359.txt</t>
  </si>
  <si>
    <t>\data\input\infile_0360.txt</t>
  </si>
  <si>
    <t>\data\input\infile_0361.txt</t>
  </si>
  <si>
    <t>\data\input\infile_0362.txt</t>
  </si>
  <si>
    <t>\data\input\infile_0363.txt</t>
  </si>
  <si>
    <t>\data\input\infile_0364.txt</t>
  </si>
  <si>
    <t>\data\input\infile_0365.txt</t>
  </si>
  <si>
    <t>\data\input\infile_0366.txt</t>
  </si>
  <si>
    <t>\data\input\infile_0367.txt</t>
  </si>
  <si>
    <t>\data\input\infile_0368.txt</t>
  </si>
  <si>
    <t>\data\input\infile_0369.txt</t>
  </si>
  <si>
    <t>\data\input\infile_0370.txt</t>
  </si>
  <si>
    <t>\data\input\infile_0371.txt</t>
  </si>
  <si>
    <t>\data\input\infile_0372.txt</t>
  </si>
  <si>
    <t>\data\input\infile_0373.txt</t>
  </si>
  <si>
    <t>\data\input\infile_0374.txt</t>
  </si>
  <si>
    <t>\data\input\infile_0375.txt</t>
  </si>
  <si>
    <t>\data\input\infile_0376.txt</t>
  </si>
  <si>
    <t>\data\input\infile_0377.txt</t>
  </si>
  <si>
    <t>\data\input\infile_0378.txt</t>
  </si>
  <si>
    <t>\data\input\infile_0379.txt</t>
  </si>
  <si>
    <t>\data\input\infile_0380.txt</t>
  </si>
  <si>
    <t>\data\input\infile_0381.txt</t>
  </si>
  <si>
    <t>\data\input\infile_0382.txt</t>
  </si>
  <si>
    <t>\data\input\infile_0383.txt</t>
  </si>
  <si>
    <t>\data\input\infile_0384.txt</t>
  </si>
  <si>
    <t>\data\input\infile_0385.txt</t>
  </si>
  <si>
    <t>\data\input\infile_0386.txt</t>
  </si>
  <si>
    <t>\data\input\infile_0387.txt</t>
  </si>
  <si>
    <t>\data\input\infile_0388.txt</t>
  </si>
  <si>
    <t>\data\input\infile_0389.txt</t>
  </si>
  <si>
    <t>\data\input\infile_0390.txt</t>
  </si>
  <si>
    <t>\data\input\infile_0391.txt</t>
  </si>
  <si>
    <t>Add post hoc rho_Lambda back into data structure</t>
  </si>
  <si>
    <t>Run fraction data again</t>
  </si>
  <si>
    <t>Get started with Jupyter and Pandas</t>
  </si>
  <si>
    <t>Set up a jupyter server</t>
  </si>
  <si>
    <t>\data\input\infile_0392.txt</t>
  </si>
  <si>
    <t>\data\input\infile_0393.txt</t>
  </si>
  <si>
    <t>\data\input\infile_0394.txt</t>
  </si>
  <si>
    <t>\data\input\infile_0395.txt</t>
  </si>
  <si>
    <t>\data\input\infile_0396.txt</t>
  </si>
  <si>
    <t>\data\input\infile_0397.txt</t>
  </si>
  <si>
    <t>\data\input\infile_0398.txt</t>
  </si>
  <si>
    <t>\data\input\infile_0399.txt</t>
  </si>
  <si>
    <t>\data\input\infile_0400.txt</t>
  </si>
  <si>
    <t>\data\input\infile_0401.txt</t>
  </si>
  <si>
    <t>\data\input\infile_0402.txt</t>
  </si>
  <si>
    <t>\data\input\infile_0403.txt</t>
  </si>
  <si>
    <t>\data\input\infile_0404.txt</t>
  </si>
  <si>
    <t>\data\input\infile_0405.txt</t>
  </si>
  <si>
    <t>\data\input\infile_0406.txt</t>
  </si>
  <si>
    <t>\data\input\infile_0407.txt</t>
  </si>
  <si>
    <t>\data\input\infile_0408.txt</t>
  </si>
  <si>
    <t>\data\input\infile_0409.txt</t>
  </si>
  <si>
    <t>\data\input\infile_0410.txt</t>
  </si>
  <si>
    <t>\data\input\infile_0411.txt</t>
  </si>
  <si>
    <t>\data\input\infile_0412.txt</t>
  </si>
  <si>
    <t>\data\input\infile_0413.txt</t>
  </si>
  <si>
    <t>\data\input\infile_0414.txt</t>
  </si>
  <si>
    <t>\data\input\infile_0415.txt</t>
  </si>
  <si>
    <t>\data\input\infile_0416.txt</t>
  </si>
  <si>
    <t>\data\input\infile_0417.txt</t>
  </si>
  <si>
    <t>\data\input\infile_0418.txt</t>
  </si>
  <si>
    <t>\data\input\infile_0419.txt</t>
  </si>
  <si>
    <t>\data\input\infile_0420.txt</t>
  </si>
  <si>
    <t>\data\input\infile_0421.txt</t>
  </si>
  <si>
    <t>\data\input\infile_0422.txt</t>
  </si>
  <si>
    <t>\data\input\infile_0423.txt</t>
  </si>
  <si>
    <t>\data\input\infile_0424.txt</t>
  </si>
  <si>
    <t>\data\input\infile_0425.txt</t>
  </si>
  <si>
    <t>\data\input\infile_0426.txt</t>
  </si>
  <si>
    <t>\data\input\infile_0427.txt</t>
  </si>
  <si>
    <t>\data\input\infile_0428.txt</t>
  </si>
  <si>
    <t>\data\input\infile_0429.txt</t>
  </si>
  <si>
    <t>\data\input\infile_0430.txt</t>
  </si>
  <si>
    <t>\data\input\infile_0431.txt</t>
  </si>
  <si>
    <t>\data\input\infile_0432.txt</t>
  </si>
  <si>
    <t>\data\input\infile_0433.txt</t>
  </si>
  <si>
    <t>\data\input\infile_0434.txt</t>
  </si>
  <si>
    <t>\data\input\infile_0435.txt</t>
  </si>
  <si>
    <t>\data\input\infile_0436.txt</t>
  </si>
  <si>
    <t>\data\input\infile_0437.txt</t>
  </si>
  <si>
    <t>\data\input\infile_0438.txt</t>
  </si>
  <si>
    <t>\data\input\infile_0439.txt</t>
  </si>
  <si>
    <t>\data\input\infile_0440.txt</t>
  </si>
  <si>
    <t>\data\input\infile_0441.txt</t>
  </si>
  <si>
    <t>\data\input\infile_0442.txt</t>
  </si>
  <si>
    <t>\data\input\infile_0443.txt</t>
  </si>
  <si>
    <t>\data\input\infile_0444.txt</t>
  </si>
  <si>
    <t>\data\input\infile_0445.txt</t>
  </si>
  <si>
    <t>\data\input\infile_0446.txt</t>
  </si>
  <si>
    <t>\data\input\infile_0447.txt</t>
  </si>
  <si>
    <t>\data\input\infile_0448.txt</t>
  </si>
  <si>
    <t>\data\input\infile_0449.txt</t>
  </si>
  <si>
    <t>\data\input\infile_0450.txt</t>
  </si>
  <si>
    <t>\data\input\infile_0451.txt</t>
  </si>
  <si>
    <t>\data\input\infile_0452.txt</t>
  </si>
  <si>
    <t>\data\input\infile_0453.txt</t>
  </si>
  <si>
    <t>\data\input\infile_0454.txt</t>
  </si>
  <si>
    <t>\data\input\infile_0455.txt</t>
  </si>
  <si>
    <t>\data\input\infile_0456.txt</t>
  </si>
  <si>
    <t>\data\input\infile_0457.txt</t>
  </si>
  <si>
    <t>\data\input\infile_0458.txt</t>
  </si>
  <si>
    <t>\data\input\infile_0459.txt</t>
  </si>
  <si>
    <t>\data\input\infile_0460.txt</t>
  </si>
  <si>
    <t>\data\input\infile_0461.txt</t>
  </si>
  <si>
    <t>\data\input\infile_0462.txt</t>
  </si>
  <si>
    <t>\data\input\infile_0463.txt</t>
  </si>
  <si>
    <t>\data\input\infile_0464.txt</t>
  </si>
  <si>
    <t>\data\input\infile_0465.txt</t>
  </si>
  <si>
    <t>\data\input\infile_0466.txt</t>
  </si>
  <si>
    <t>\data\input\infile_0467.txt</t>
  </si>
  <si>
    <t>\data\input\infile_0468.txt</t>
  </si>
  <si>
    <t>\data\input\infile_0469.txt</t>
  </si>
  <si>
    <t>\data\input\infile_0470.txt</t>
  </si>
  <si>
    <t>\data\input\infile_0471.txt</t>
  </si>
  <si>
    <t>\data\input\infile_0472.txt</t>
  </si>
  <si>
    <t>\data\input\infile_0473.txt</t>
  </si>
  <si>
    <t>\data\input\infile_0474.txt</t>
  </si>
  <si>
    <t>\data\input\infile_0475.txt</t>
  </si>
  <si>
    <t>\data\input\infile_0476.txt</t>
  </si>
  <si>
    <t>\data\input\infile_0477.txt</t>
  </si>
  <si>
    <t>\data\input\infile_0478.txt</t>
  </si>
  <si>
    <t>\data\input\infile_0479.txt</t>
  </si>
  <si>
    <t>\data\input\infile_0480.txt</t>
  </si>
  <si>
    <t>\data\input\infile_0481.txt</t>
  </si>
  <si>
    <t>\data\input\infile_0482.txt</t>
  </si>
  <si>
    <t>\data\input\infile_0483.txt</t>
  </si>
  <si>
    <t>\data\input\infile_0484.txt</t>
  </si>
  <si>
    <t>\data\input\infile_0485.txt</t>
  </si>
  <si>
    <t>\data\input\infile_0486.txt</t>
  </si>
  <si>
    <t>\data\input\infile_0487.txt</t>
  </si>
  <si>
    <t>\data\input\infile_0488.txt</t>
  </si>
  <si>
    <t>\data\input\infile_0489.txt</t>
  </si>
  <si>
    <t>\data\input\infile_0490.txt</t>
  </si>
  <si>
    <t>\data\input\infile_0491.txt</t>
  </si>
  <si>
    <t>\data\input\infile_0492.txt</t>
  </si>
  <si>
    <t>\data\input\infile_0493.txt</t>
  </si>
  <si>
    <t>\data\input\infile_0494.txt</t>
  </si>
  <si>
    <t>\data\input\infile_0495.txt</t>
  </si>
  <si>
    <t>\data\input\infile_0496.txt</t>
  </si>
  <si>
    <t>\data\input\infile_0497.txt</t>
  </si>
  <si>
    <t>\data\input\infile_0498.txt</t>
  </si>
  <si>
    <t>\data\input\infile_0499.txt</t>
  </si>
  <si>
    <t>\data\input\infile_0500.txt</t>
  </si>
  <si>
    <t>\data\input\infile_0501.txt</t>
  </si>
  <si>
    <t>\data\input\infile_0502.txt</t>
  </si>
  <si>
    <t>\data\input\infile_0503.txt</t>
  </si>
  <si>
    <t>\data\input\infile_0504.txt</t>
  </si>
  <si>
    <t>\data\input\infile_0505.txt</t>
  </si>
  <si>
    <t>\data\input\infile_0506.txt</t>
  </si>
  <si>
    <t>\data\input\infile_0507.txt</t>
  </si>
  <si>
    <t>\data\input\infile_0508.txt</t>
  </si>
  <si>
    <t>\data\input\infile_0509.txt</t>
  </si>
  <si>
    <t>\data\input\infile_0510.txt</t>
  </si>
  <si>
    <t>\data\input\infile_0511.txt</t>
  </si>
  <si>
    <t>\data\input\infile_0512.txt</t>
  </si>
  <si>
    <t>\data\input\infile_0513.txt</t>
  </si>
  <si>
    <t>\data\input\infile_0514.txt</t>
  </si>
  <si>
    <t>\data\input\infile_0515.txt</t>
  </si>
  <si>
    <t>\data\input\infile_0516.txt</t>
  </si>
  <si>
    <t>\data\input\infile_0517.txt</t>
  </si>
  <si>
    <t>\data\input\infile_0518.txt</t>
  </si>
  <si>
    <t>\data\input\infile_0519.txt</t>
  </si>
  <si>
    <t>\data\input\infile_0520.txt</t>
  </si>
  <si>
    <t>\data\input\infile_0521.txt</t>
  </si>
  <si>
    <t>\data\input\infile_0522.txt</t>
  </si>
  <si>
    <t>\data\input\infile_0523.txt</t>
  </si>
  <si>
    <t>\data\input\infile_0524.txt</t>
  </si>
  <si>
    <t>\data\input\infile_0525.txt</t>
  </si>
  <si>
    <t>\data\input\infile_0526.txt</t>
  </si>
  <si>
    <t>\data\input\infile_0527.txt</t>
  </si>
  <si>
    <t>\data\input\infile_0528.txt</t>
  </si>
  <si>
    <t>\data\input\infile_0529.txt</t>
  </si>
  <si>
    <t>\data\input\infile_0530.txt</t>
  </si>
  <si>
    <t>\data\input\infile_0531.txt</t>
  </si>
  <si>
    <t>\data\input\infile_0532.txt</t>
  </si>
  <si>
    <t>Compare with and without Lambda adjustment</t>
  </si>
  <si>
    <t>Add success rate to plots</t>
  </si>
  <si>
    <t>\data\input\infile_0533.txt</t>
  </si>
  <si>
    <t>\data\input\infile_0534.txt</t>
  </si>
  <si>
    <t>\data\input\infile_0535.txt</t>
  </si>
  <si>
    <t>\data\input\infile_0536.txt</t>
  </si>
  <si>
    <t>\data\input\infile_0537.txt</t>
  </si>
  <si>
    <t>\data\input\infile_0538.txt</t>
  </si>
  <si>
    <t>\data\input\infile_0539.txt</t>
  </si>
  <si>
    <t>\data\input\infile_0540.txt</t>
  </si>
  <si>
    <t>\data\input\infile_0541.txt</t>
  </si>
  <si>
    <t>\data\input\infile_0542.txt</t>
  </si>
  <si>
    <t>\data\input\infile_0543.txt</t>
  </si>
  <si>
    <t>\data\input\infile_0544.txt</t>
  </si>
  <si>
    <t>\data\input\infile_0545.txt</t>
  </si>
  <si>
    <t>\data\input\infile_0546.txt</t>
  </si>
  <si>
    <t>\data\input\infile_0547.txt</t>
  </si>
  <si>
    <t>\data\input\infile_0548.txt</t>
  </si>
  <si>
    <t>\data\input\infile_0549.txt</t>
  </si>
  <si>
    <t>\data\input\infile_0550.txt</t>
  </si>
  <si>
    <t>\data\input\infile_0551.txt</t>
  </si>
  <si>
    <t>\data\input\infile_0552.txt</t>
  </si>
  <si>
    <t>\data\input\infile_0553.txt</t>
  </si>
  <si>
    <t>\data\input\infile_0554.txt</t>
  </si>
  <si>
    <t>\data\input\infile_0555.txt</t>
  </si>
  <si>
    <t>\data\input\infile_0556.txt</t>
  </si>
  <si>
    <t>\data\input\infile_0557.txt</t>
  </si>
  <si>
    <t>\data\input\infile_0558.txt</t>
  </si>
  <si>
    <t>\data\input\infile_0559.txt</t>
  </si>
  <si>
    <t>\data\input\infile_0560.txt</t>
  </si>
  <si>
    <t>\data\input\infile_0561.txt</t>
  </si>
  <si>
    <t>\data\input\infile_0562.txt</t>
  </si>
  <si>
    <t>\data\input\infile_0563.txt</t>
  </si>
  <si>
    <t>\data\input\infile_0564.txt</t>
  </si>
  <si>
    <t>\data\input\infile_0565.txt</t>
  </si>
  <si>
    <t>\data\input\infile_0566.txt</t>
  </si>
  <si>
    <t>\data\input\infile_0567.txt</t>
  </si>
  <si>
    <t>\data\input\infile_0568.txt</t>
  </si>
  <si>
    <t>\data\input\infile_0569.txt</t>
  </si>
  <si>
    <t>\data\input\infile_0570.txt</t>
  </si>
  <si>
    <t>\data\input\infile_0571.txt</t>
  </si>
  <si>
    <t>\data\input\infile_0572.txt</t>
  </si>
  <si>
    <t>\data\input\infile_0573.txt</t>
  </si>
  <si>
    <t>\data\input\infile_0574.txt</t>
  </si>
  <si>
    <t>\data\input\infile_0575.txt</t>
  </si>
  <si>
    <t>\data\input\infile_0576.txt</t>
  </si>
  <si>
    <t>\data\input\infile_0577.txt</t>
  </si>
  <si>
    <t>\data\input\infile_0578.txt</t>
  </si>
  <si>
    <t>\data\input\infile_0579.txt</t>
  </si>
  <si>
    <t>\data\input\infile_0580.txt</t>
  </si>
  <si>
    <t>\data\input\infile_0581.txt</t>
  </si>
  <si>
    <t>\data\input\infile_0582.txt</t>
  </si>
  <si>
    <t>\data\input\infile_0583.txt</t>
  </si>
  <si>
    <t>\data\input\infile_0584.txt</t>
  </si>
  <si>
    <t>\data\input\infile_0585.txt</t>
  </si>
  <si>
    <t>\data\input\infile_0586.txt</t>
  </si>
  <si>
    <t>\data\input\infile_0587.txt</t>
  </si>
  <si>
    <t>\data\input\infile_0588.txt</t>
  </si>
  <si>
    <t>\data\input\infile_0589.txt</t>
  </si>
  <si>
    <t>\data\input\infile_0590.txt</t>
  </si>
  <si>
    <t>\data\input\infile_0591.txt</t>
  </si>
  <si>
    <t>\data\input\infile_0592.txt</t>
  </si>
  <si>
    <t>\data\input\infile_0593.txt</t>
  </si>
  <si>
    <t>\data\input\infile_0594.txt</t>
  </si>
  <si>
    <t>\data\input\infile_0595.txt</t>
  </si>
  <si>
    <t>\data\input\infile_0596.txt</t>
  </si>
  <si>
    <t>\data\input\infile_0597.txt</t>
  </si>
  <si>
    <t>\data\input\infile_0598.txt</t>
  </si>
  <si>
    <t>\data\input\infile_0599.txt</t>
  </si>
  <si>
    <t>\data\input\infile_0600.txt</t>
  </si>
  <si>
    <t>\data\input\infile_0601.txt</t>
  </si>
  <si>
    <t>\data\input\infile_0602.txt</t>
  </si>
  <si>
    <t>\data\input\infile_0603.txt</t>
  </si>
  <si>
    <t>\data\input\infile_0604.txt</t>
  </si>
  <si>
    <t>\data\input\infile_0605.txt</t>
  </si>
  <si>
    <t>\data\input\infile_0606.txt</t>
  </si>
  <si>
    <t>\data\input\infile_0607.txt</t>
  </si>
  <si>
    <t>\data\input\infile_0608.txt</t>
  </si>
  <si>
    <t>\data\input\infile_0609.txt</t>
  </si>
  <si>
    <t>\data\input\infile_0610.txt</t>
  </si>
  <si>
    <t>\data\input\infile_0611.txt</t>
  </si>
  <si>
    <t>\data\input\infile_0612.txt</t>
  </si>
  <si>
    <t>\data\input\infile_0613.txt</t>
  </si>
  <si>
    <t>\data\input\infile_0614.txt</t>
  </si>
  <si>
    <t>\data\input\infile_0615.txt</t>
  </si>
  <si>
    <t>\data\input\infile_0616.txt</t>
  </si>
  <si>
    <t>\data\input\infile_0617.txt</t>
  </si>
  <si>
    <t>\data\input\infile_0618.txt</t>
  </si>
  <si>
    <t>\data\input\infile_0619.txt</t>
  </si>
  <si>
    <t>\data\input\infile_0620.txt</t>
  </si>
  <si>
    <t>\data\input\infile_0621.txt</t>
  </si>
  <si>
    <t>\data\input\infile_0622.txt</t>
  </si>
  <si>
    <t>\data\input\infile_0623.txt</t>
  </si>
  <si>
    <t>\data\input\infile_0624.txt</t>
  </si>
  <si>
    <t>\data\input\infile_0625.txt</t>
  </si>
  <si>
    <t>\data\input\infile_0626.txt</t>
  </si>
  <si>
    <t>\data\input\infile_0627.txt</t>
  </si>
  <si>
    <t>\data\input\infile_0628.txt</t>
  </si>
  <si>
    <t>\data\input\infile_0629.txt</t>
  </si>
  <si>
    <t>\data\input\infile_0630.txt</t>
  </si>
  <si>
    <t>\data\input\infile_0631.txt</t>
  </si>
  <si>
    <t>\data\input\infile_0632.txt</t>
  </si>
  <si>
    <t>\data\input\infile_0633.txt</t>
  </si>
  <si>
    <t>\data\input\infile_0634.txt</t>
  </si>
  <si>
    <t>\data\input\infile_0635.txt</t>
  </si>
  <si>
    <t>\data\input\infile_0636.txt</t>
  </si>
  <si>
    <t>\data\input\infile_0637.txt</t>
  </si>
  <si>
    <t>\data\input\infile_0638.txt</t>
  </si>
  <si>
    <t>\data\input\infile_0639.txt</t>
  </si>
  <si>
    <t>\data\input\infile_0640.txt</t>
  </si>
  <si>
    <t>\data\input\infile_0641.txt</t>
  </si>
  <si>
    <t>\data\input\infile_0642.txt</t>
  </si>
  <si>
    <t>\data\input\infile_0643.txt</t>
  </si>
  <si>
    <t>\data\input\infile_0644.txt</t>
  </si>
  <si>
    <t>\data\input\infile_0645.txt</t>
  </si>
  <si>
    <t>\data\input\infile_0646.txt</t>
  </si>
  <si>
    <t>\data\input\infile_0647.txt</t>
  </si>
  <si>
    <t>\data\input\infile_0648.txt</t>
  </si>
  <si>
    <t>\data\input\infile_0649.txt</t>
  </si>
  <si>
    <t>\data\input\infile_0650.txt</t>
  </si>
  <si>
    <t>\data\input\infile_0651.txt</t>
  </si>
  <si>
    <t>\data\input\infile_0652.txt</t>
  </si>
  <si>
    <t>\data\input\infile_0653.txt</t>
  </si>
  <si>
    <t>\data\input\infile_0654.txt</t>
  </si>
  <si>
    <t>\data\input\infile_0655.txt</t>
  </si>
  <si>
    <t>\data\input\infile_0656.txt</t>
  </si>
  <si>
    <t>\data\input\infile_0657.txt</t>
  </si>
  <si>
    <t>\data\input\infile_0658.txt</t>
  </si>
  <si>
    <t>\data\input\infile_0659.txt</t>
  </si>
  <si>
    <t>\data\input\infile_0660.txt</t>
  </si>
  <si>
    <t>\data\input\infile_0661.txt</t>
  </si>
  <si>
    <t>\data\input\infile_0662.txt</t>
  </si>
  <si>
    <t>\data\input\infile_0663.txt</t>
  </si>
  <si>
    <t>\data\input\infile_0664.txt</t>
  </si>
  <si>
    <t>\data\input\infile_0665.txt</t>
  </si>
  <si>
    <t>\data\input\infile_0666.txt</t>
  </si>
  <si>
    <t>\data\input\infile_0667.txt</t>
  </si>
  <si>
    <t>\data\input\infile_0668.txt</t>
  </si>
  <si>
    <t>\data\input\infile_0669.txt</t>
  </si>
  <si>
    <t>\data\input\infile_0670.txt</t>
  </si>
  <si>
    <t>\data\input\infile_0671.txt</t>
  </si>
  <si>
    <t>\data\input\infile_0672.txt</t>
  </si>
  <si>
    <t>\data\input\infile_0673.txt</t>
  </si>
  <si>
    <t>Check which energy outputs are taken to the power 4</t>
  </si>
  <si>
    <t>Clarify meaning of status codes</t>
  </si>
  <si>
    <t>Current behavior: input (rho_Lambda_thres/m_Pl^4)^(1/4); output (rho_Lambda/m_Pl^4)</t>
  </si>
  <si>
    <t>{"42ecabc":{"pos","12"}}</t>
  </si>
  <si>
    <t>{"42ecabc":{"pos","10"}}</t>
  </si>
  <si>
    <t>{"42ecabc":{"pos","11"}}</t>
  </si>
  <si>
    <t>rho_offset</t>
  </si>
  <si>
    <t>record_flag</t>
  </si>
  <si>
    <t>Record history of input/output configurations</t>
  </si>
  <si>
    <t>{"42ecabc":{"pos","5" }}</t>
  </si>
  <si>
    <t>{"42ecabc":{"pos","4" }}</t>
  </si>
  <si>
    <t>{"42ecabc":{"pos","8" }}</t>
  </si>
  <si>
    <t>{"42ecabc":{"pos","6" }}</t>
  </si>
  <si>
    <t>{"42ecabc":{"pos","3" }}</t>
  </si>
  <si>
    <t>{"42ecabc":{"pos","2" }}</t>
  </si>
  <si>
    <t>{"42ecabc":{"pos","1" }}</t>
  </si>
  <si>
    <t>{"42ecabc":{"pos","7" }}</t>
  </si>
  <si>
    <t>{"42ecabc":{"pos","9" }}</t>
  </si>
  <si>
    <t>Position2</t>
  </si>
  <si>
    <t>Position History</t>
  </si>
  <si>
    <t>Amount by which V(\phi) was offset to fix the vacuum energy to zero, divided by m_Pl^4</t>
  </si>
  <si>
    <t>Adjusted vertical mass scale (not currently used)</t>
  </si>
  <si>
    <t>Fix the amplitude of scalar curvature perturabations on the fly by tuning mv? (not currently used)</t>
  </si>
  <si>
    <t>Flag {1,2,3} indicating how much data is to be written to file, based on how far each simulation progressed</t>
  </si>
  <si>
    <t>{"42ecabc":{"pos","0" }}</t>
  </si>
  <si>
    <t>{"42ecabc":{"pos","0" },"2f717da":{"pos","0" }}</t>
  </si>
  <si>
    <t>{"42ecabc":{"pos","1" },"2f717da":{"pos","1" }}</t>
  </si>
  <si>
    <t>{"42ecabc":{"pos","2" },"2f717da":{"pos","2" }}</t>
  </si>
  <si>
    <t>{"42ecabc":{"pos","3" },"2f717da":{"pos","3" }}</t>
  </si>
  <si>
    <t>{"42ecabc":{"pos","16"},"2f717da":{"pos","4" }}</t>
  </si>
  <si>
    <t>{"42ecabc":{"pos","4" },"2f717da":{"pos","5" }}</t>
  </si>
  <si>
    <t>{"42ecabc":{"pos","5" },"2f717da":{"pos","6" }}</t>
  </si>
  <si>
    <t>{"42ecabc":{"pos","6" },"2f717da":{"pos","7" }}</t>
  </si>
  <si>
    <t>{"42ecabc":{"pos","7" },"2f717da":{"pos","8" }}</t>
  </si>
  <si>
    <t>{"42ecabc":{"pos","8" },"2f717da":{"pos","9" }}</t>
  </si>
  <si>
    <t>{"42ecabc":{"pos","9" },"2f717da":{"pos","10"}}</t>
  </si>
  <si>
    <t>{"42ecabc":{"pos","10"},"2f717da":{"pos","11"}}</t>
  </si>
  <si>
    <t>{"42ecabc":{"pos","11"},"2f717da":{"pos","12"}}</t>
  </si>
  <si>
    <t>{"42ecabc":{"pos","12"},"2f717da":{"pos","13"}}</t>
  </si>
  <si>
    <t>{"42ecabc":{"pos","13"},"2f717da":{"pos","14"}}</t>
  </si>
  <si>
    <t>{"42ecabc":{"pos","14"},"2f717da":{"pos","15"}}</t>
  </si>
  <si>
    <t>{"42ecabc":{"pos","15"},"2f717da":{"pos","16"}}</t>
  </si>
  <si>
    <t>{"42ecabc":{"pos",""  },"2f717da":{"pos","17"}}</t>
  </si>
  <si>
    <t>Fix n_iter in output file header</t>
  </si>
  <si>
    <t>c6418cc</t>
  </si>
  <si>
    <t>Check that code runs with n_tunnel_max = 2</t>
  </si>
  <si>
    <t>Change output</t>
  </si>
  <si>
    <t>Copy all workers' seeds to second header line of output file</t>
  </si>
  <si>
    <t>Make sure random numbers don't repeat</t>
  </si>
  <si>
    <t>009a23d</t>
  </si>
  <si>
    <t>2f717da</t>
  </si>
  <si>
    <t>3fbad0f</t>
  </si>
  <si>
    <t>\data\input\infile_0674.txt</t>
  </si>
  <si>
    <t>\data\input\infile_0675.txt</t>
  </si>
  <si>
    <t>\data\input\infile_0676.txt</t>
  </si>
  <si>
    <t>\data\input\infile_0677.txt</t>
  </si>
  <si>
    <t>\data\input\infile_0678.txt</t>
  </si>
  <si>
    <t>\data\input\infile_0679.txt</t>
  </si>
  <si>
    <t>\data\input\infile_0680.txt</t>
  </si>
  <si>
    <t>\data\input\infile_0681.txt</t>
  </si>
  <si>
    <t>\data\input\infile_0682.txt</t>
  </si>
  <si>
    <t>\data\input\infile_0683.txt</t>
  </si>
  <si>
    <t>\data\input\infile_0684.txt</t>
  </si>
  <si>
    <t>\data\input\infile_0685.txt</t>
  </si>
  <si>
    <t>\data\input\infile_0686.txt</t>
  </si>
  <si>
    <t>\data\input\infile_0687.txt</t>
  </si>
  <si>
    <t>\data\input\infile_0688.txt</t>
  </si>
  <si>
    <t>\data\input\infile_0689.txt</t>
  </si>
  <si>
    <t>\data\input\infile_0690.txt</t>
  </si>
  <si>
    <t>\data\input\infile_0691.txt</t>
  </si>
  <si>
    <t>\data\input\infile_0692.txt</t>
  </si>
  <si>
    <t>\data\input\infile_0693.txt</t>
  </si>
  <si>
    <t>\data\input\infile_0694.txt</t>
  </si>
  <si>
    <t>\data\input\infile_0695.txt</t>
  </si>
  <si>
    <t>\data\input\infile_0696.txt</t>
  </si>
  <si>
    <t>\data\input\infile_0697.txt</t>
  </si>
  <si>
    <t>\data\input\infile_0698.txt</t>
  </si>
  <si>
    <t>\data\input\infile_0699.txt</t>
  </si>
  <si>
    <t>\data\input\infile_0700.txt</t>
  </si>
  <si>
    <t>\data\input\infile_0701.txt</t>
  </si>
  <si>
    <t>\data\input\infile_0702.txt</t>
  </si>
  <si>
    <t>\data\input\infile_0703.txt</t>
  </si>
  <si>
    <t>\data\input\infile_0704.txt</t>
  </si>
  <si>
    <t>\data\input\infile_0705.txt</t>
  </si>
  <si>
    <t>\data\input\infile_0706.txt</t>
  </si>
  <si>
    <t>\data\input\infile_0707.txt</t>
  </si>
  <si>
    <t>\data\input\infile_0708.txt</t>
  </si>
  <si>
    <t>\data\input\infile_0709.txt</t>
  </si>
  <si>
    <t>\data\input\infile_0710.txt</t>
  </si>
  <si>
    <t>\data\input\infile_0711.txt</t>
  </si>
  <si>
    <t>\data\input\infile_0712.txt</t>
  </si>
  <si>
    <t>\data\input\infile_0713.txt</t>
  </si>
  <si>
    <t>\data\input\infile_0714.txt</t>
  </si>
  <si>
    <t>\data\input\infile_0715.txt</t>
  </si>
  <si>
    <t>\data\input\infile_0716.txt</t>
  </si>
  <si>
    <t>\data\input\infile_0717.txt</t>
  </si>
  <si>
    <t>\data\input\infile_0718.txt</t>
  </si>
  <si>
    <t>\data\input\infile_0719.txt</t>
  </si>
  <si>
    <t>\data\input\infile_0720.txt</t>
  </si>
  <si>
    <t>\data\input\infile_0721.txt</t>
  </si>
  <si>
    <t>\data\input\infile_0722.txt</t>
  </si>
  <si>
    <t>\data\input\infile_0723.txt</t>
  </si>
  <si>
    <t>\data\input\infile_0724.txt</t>
  </si>
  <si>
    <t>\data\input\infile_0725.txt</t>
  </si>
  <si>
    <t>\data\input\infile_0726.txt</t>
  </si>
  <si>
    <t>\data\input\infile_0727.txt</t>
  </si>
  <si>
    <t>\data\input\infile_0728.txt</t>
  </si>
  <si>
    <t>\data\input\infile_0729.txt</t>
  </si>
  <si>
    <t>\data\input\infile_0730.txt</t>
  </si>
  <si>
    <t>\data\input\infile_0731.txt</t>
  </si>
  <si>
    <t>\data\input\infile_0732.txt</t>
  </si>
  <si>
    <t>\data\input\infile_0733.txt</t>
  </si>
  <si>
    <t>\data\input\infile_0734.txt</t>
  </si>
  <si>
    <t>\data\input\infile_0735.txt</t>
  </si>
  <si>
    <t>\data\input\infile_0736.txt</t>
  </si>
  <si>
    <t>\data\input\infile_0737.txt</t>
  </si>
  <si>
    <t>\data\input\infile_0738.txt</t>
  </si>
  <si>
    <t>\data\input\infile_0739.txt</t>
  </si>
  <si>
    <t>\data\input\infile_0740.txt</t>
  </si>
  <si>
    <t>\data\input\infile_0741.txt</t>
  </si>
  <si>
    <t>\data\input\infile_0742.txt</t>
  </si>
  <si>
    <t>\data\input\infile_0743.txt</t>
  </si>
  <si>
    <t>\data\input\infile_0744.txt</t>
  </si>
  <si>
    <t>\data\input\infile_0745.txt</t>
  </si>
  <si>
    <t>\data\input\infile_0746.txt</t>
  </si>
  <si>
    <t>\data\input\infile_0747.txt</t>
  </si>
  <si>
    <t>\data\input\infile_0748.txt</t>
  </si>
  <si>
    <t>\data\input\infile_0749.txt</t>
  </si>
  <si>
    <t>\data\input\infile_0750.txt</t>
  </si>
  <si>
    <t>\data\input\infile_0751.txt</t>
  </si>
  <si>
    <t>\data\input\infile_0752.txt</t>
  </si>
  <si>
    <t>\data\input\infile_0753.txt</t>
  </si>
  <si>
    <t>\data\input\infile_0754.txt</t>
  </si>
  <si>
    <t>\data\input\infile_0755.txt</t>
  </si>
  <si>
    <t>\data\input\infile_0756.txt</t>
  </si>
  <si>
    <t>\data\input\infile_0757.txt</t>
  </si>
  <si>
    <t>\data\input\infile_0758.txt</t>
  </si>
  <si>
    <t>\data\input\infile_0759.txt</t>
  </si>
  <si>
    <t>\data\input\infile_0760.txt</t>
  </si>
  <si>
    <t>\data\input\infile_0761.txt</t>
  </si>
  <si>
    <t>\data\input\infile_0762.txt</t>
  </si>
  <si>
    <t>\data\input\infile_0763.txt</t>
  </si>
  <si>
    <t>\data\input\infile_0764.txt</t>
  </si>
  <si>
    <t>\data\input\infile_0765.txt</t>
  </si>
  <si>
    <t>\data\input\infile_0766.txt</t>
  </si>
  <si>
    <t>\data\input\infile_0767.txt</t>
  </si>
  <si>
    <t>\data\input\infile_0768.txt</t>
  </si>
  <si>
    <t>\data\input\infile_0769.txt</t>
  </si>
  <si>
    <t>\data\input\infile_0770.txt</t>
  </si>
  <si>
    <t>\data\input\infile_0771.txt</t>
  </si>
  <si>
    <t>\data\input\infile_0772.txt</t>
  </si>
  <si>
    <t>\data\input\infile_0773.txt</t>
  </si>
  <si>
    <t>\data\input\infile_0774.txt</t>
  </si>
  <si>
    <t>\data\input\infile_0775.txt</t>
  </si>
  <si>
    <t>\data\input\infile_0776.txt</t>
  </si>
  <si>
    <t>\data\input\infile_0777.txt</t>
  </si>
  <si>
    <t>\data\input\infile_0778.txt</t>
  </si>
  <si>
    <t>\data\input\infile_0779.txt</t>
  </si>
  <si>
    <t>\data\input\infile_0780.txt</t>
  </si>
  <si>
    <t>\data\input\infile_0781.txt</t>
  </si>
  <si>
    <t>\data\input\infile_0782.txt</t>
  </si>
  <si>
    <t>\data\input\infile_0783.txt</t>
  </si>
  <si>
    <t>\data\input\infile_0784.txt</t>
  </si>
  <si>
    <t>\data\input\infile_0785.txt</t>
  </si>
  <si>
    <t>\data\input\infile_0786.txt</t>
  </si>
  <si>
    <t>\data\input\infile_0787.txt</t>
  </si>
  <si>
    <t>\data\input\infile_0788.txt</t>
  </si>
  <si>
    <t>\data\input\infile_0789.txt</t>
  </si>
  <si>
    <t>\data\input\infile_0790.txt</t>
  </si>
  <si>
    <t>\data\input\infile_0791.txt</t>
  </si>
  <si>
    <t>\data\input\infile_0792.txt</t>
  </si>
  <si>
    <t>\data\input\infile_0793.txt</t>
  </si>
  <si>
    <t>\data\input\infile_0794.txt</t>
  </si>
  <si>
    <t>\data\input\infile_0795.txt</t>
  </si>
  <si>
    <t>\data\input\infile_0796.txt</t>
  </si>
  <si>
    <t>\data\input\infile_0797.txt</t>
  </si>
  <si>
    <t>\data\input\infile_0798.txt</t>
  </si>
  <si>
    <t>\data\input\infile_0799.txt</t>
  </si>
  <si>
    <t>\data\input\infile_0800.txt</t>
  </si>
  <si>
    <t>\data\input\infile_0801.txt</t>
  </si>
  <si>
    <t>\data\input\infile_0802.txt</t>
  </si>
  <si>
    <t>\data\input\infile_0803.txt</t>
  </si>
  <si>
    <t>\data\input\infile_0804.txt</t>
  </si>
  <si>
    <t>\data\input\infile_0805.txt</t>
  </si>
  <si>
    <t>\data\input\infile_0806.txt</t>
  </si>
  <si>
    <t>\data\input\infile_0807.txt</t>
  </si>
  <si>
    <t>\data\input\infile_0808.txt</t>
  </si>
  <si>
    <t>\data\input\infile_0809.txt</t>
  </si>
  <si>
    <t>\data\input\infile_0810.txt</t>
  </si>
  <si>
    <t>\data\input\infile_0811.txt</t>
  </si>
  <si>
    <t>\data\input\infile_0812.txt</t>
  </si>
  <si>
    <t>\data\input\infile_0813.txt</t>
  </si>
  <si>
    <t>\data\input\infile_0814.txt</t>
  </si>
  <si>
    <t>\data\input\infile_0815.txt</t>
  </si>
  <si>
    <t>\data\input\infile_0816.txt</t>
  </si>
  <si>
    <t>\data\input\infile_0817.txt</t>
  </si>
  <si>
    <t>\data\input\infile_0818.txt</t>
  </si>
  <si>
    <t>\data\input\infile_0819.txt</t>
  </si>
  <si>
    <t>\data\input\infile_0820.txt</t>
  </si>
  <si>
    <t>\data\input\infile_0821.txt</t>
  </si>
  <si>
    <t>\data\input\infile_0822.txt</t>
  </si>
  <si>
    <t>\data\input\infile_0823.txt</t>
  </si>
  <si>
    <t>\data\input\infile_0824.txt</t>
  </si>
  <si>
    <t>\data\input\infile_0825.txt</t>
  </si>
  <si>
    <t>\data\input\infile_0826.txt</t>
  </si>
  <si>
    <t>\data\input\infile_0827.txt</t>
  </si>
  <si>
    <t>\data\input\infile_0828.txt</t>
  </si>
  <si>
    <t>\data\input\infile_0829.txt</t>
  </si>
  <si>
    <t>\data\input\infile_0830.txt</t>
  </si>
  <si>
    <t>\data\input\infile_0831.txt</t>
  </si>
  <si>
    <t>\data\input\infile_0832.txt</t>
  </si>
  <si>
    <t>\data\input\infile_0833.txt</t>
  </si>
  <si>
    <t>\data\input\infile_0834.txt</t>
  </si>
  <si>
    <t>\data\input\infile_0835.txt</t>
  </si>
  <si>
    <t>\data\input\infile_0836.txt</t>
  </si>
  <si>
    <t>\data\input\infile_0837.txt</t>
  </si>
  <si>
    <t>\data\input\infile_0838.txt</t>
  </si>
  <si>
    <t>\data\input\infile_0839.txt</t>
  </si>
  <si>
    <t>\data\input\infile_0840.txt</t>
  </si>
  <si>
    <t>\data\input\infile_0841.txt</t>
  </si>
  <si>
    <t>\data\input\infile_0842.txt</t>
  </si>
  <si>
    <t>\data\input\infile_0843.txt</t>
  </si>
  <si>
    <t>\data\input\infile_0844.txt</t>
  </si>
  <si>
    <t>\data\input\infile_0845.txt</t>
  </si>
  <si>
    <t>\data\input\infile_0846.txt</t>
  </si>
  <si>
    <t>\data\input\infile_0847.txt</t>
  </si>
  <si>
    <t>\data\input\infile_0848.txt</t>
  </si>
  <si>
    <t>\data\input\infile_0849.txt</t>
  </si>
  <si>
    <t>\data\input\infile_0850.txt</t>
  </si>
  <si>
    <t>\data\input\infile_0851.txt</t>
  </si>
  <si>
    <t>\data\input\infile_0852.txt</t>
  </si>
  <si>
    <t>\data\input\infile_0853.txt</t>
  </si>
  <si>
    <t>\data\input\infile_0854.txt</t>
  </si>
  <si>
    <t>\data\input\infile_0855.txt</t>
  </si>
  <si>
    <t>\data\input\infile_0856.txt</t>
  </si>
  <si>
    <t>\data\input\infile_0857.txt</t>
  </si>
  <si>
    <t>\data\input\infile_0858.txt</t>
  </si>
  <si>
    <t>\data\input\infile_0859.txt</t>
  </si>
  <si>
    <t>\data\input\infile_0860.txt</t>
  </si>
  <si>
    <t>\data\input\infile_0861.txt</t>
  </si>
  <si>
    <t>\data\input\infile_0862.txt</t>
  </si>
  <si>
    <t>\data\input\infile_0863.txt</t>
  </si>
  <si>
    <t>\data\input\infile_0864.txt</t>
  </si>
  <si>
    <t>\data\input\infile_0865.txt</t>
  </si>
  <si>
    <t>\data\input\infile_0866.txt</t>
  </si>
  <si>
    <t>\data\input\infile_0867.txt</t>
  </si>
  <si>
    <t>\data\input\infile_0868.txt</t>
  </si>
  <si>
    <t>\data\input\infile_0869.txt</t>
  </si>
  <si>
    <t>\data\input\infile_0870.txt</t>
  </si>
  <si>
    <t>\data\input\infile_0871.txt</t>
  </si>
  <si>
    <t>\data\input\infile_0872.txt</t>
  </si>
  <si>
    <t>\data\input\infile_0873.txt</t>
  </si>
  <si>
    <t>\data\input\infile_0874.txt</t>
  </si>
  <si>
    <t>\data\input\infile_0875.txt</t>
  </si>
  <si>
    <t>\data\input\infile_0876.txt</t>
  </si>
  <si>
    <t>\data\input\infile_0877.txt</t>
  </si>
  <si>
    <t>\data\input\infile_0878.txt</t>
  </si>
  <si>
    <t>\data\input\infile_0879.txt</t>
  </si>
  <si>
    <t>\data\input\infile_0880.txt</t>
  </si>
  <si>
    <t>\data\input\infile_0881.txt</t>
  </si>
  <si>
    <t>\data\input\infile_0882.txt</t>
  </si>
  <si>
    <t>\data\input\infile_0883.txt</t>
  </si>
  <si>
    <t>\data\input\infile_0884.txt</t>
  </si>
  <si>
    <t>\data\input\infile_0885.txt</t>
  </si>
  <si>
    <t>\data\input\infile_0886.txt</t>
  </si>
  <si>
    <t>\data\input\infile_0887.txt</t>
  </si>
  <si>
    <t>\data\input\infile_0888.txt</t>
  </si>
  <si>
    <t>\data\input\infile_0889.txt</t>
  </si>
  <si>
    <t>\data\input\infile_0890.txt</t>
  </si>
  <si>
    <t>\data\input\infile_0891.txt</t>
  </si>
  <si>
    <t>\data\input\infile_0892.txt</t>
  </si>
  <si>
    <t>\data\input\infile_0893.txt</t>
  </si>
  <si>
    <t>\data\input\infile_0894.txt</t>
  </si>
  <si>
    <t>\data\input\infile_0895.txt</t>
  </si>
  <si>
    <t>\data\input\infile_0896.txt</t>
  </si>
  <si>
    <t>\data\input\infile_0897.txt</t>
  </si>
  <si>
    <t>\data\input\infile_0898.txt</t>
  </si>
  <si>
    <t>\data\input\infile_0899.txt</t>
  </si>
  <si>
    <t>\data\input\infile_0900.txt</t>
  </si>
  <si>
    <t>\data\input\infile_0901.txt</t>
  </si>
  <si>
    <t>\data\input\infile_0902.txt</t>
  </si>
  <si>
    <t>\data\input\infile_0903.txt</t>
  </si>
  <si>
    <t>\data\input\infile_0904.txt</t>
  </si>
  <si>
    <t>\data\input\infile_0905.txt</t>
  </si>
  <si>
    <t>\data\input\infile_0906.txt</t>
  </si>
  <si>
    <t>\data\input\infile_0907.txt</t>
  </si>
  <si>
    <t>\data\input\infile_0908.txt</t>
  </si>
  <si>
    <t>\data\input\infile_0909.txt</t>
  </si>
  <si>
    <t>\data\input\infile_0910.txt</t>
  </si>
  <si>
    <t>\data\input\infile_0911.txt</t>
  </si>
  <si>
    <t>\data\input\infile_0912.txt</t>
  </si>
  <si>
    <t>\data\input\infile_0913.txt</t>
  </si>
  <si>
    <t>\data\input\infile_0914.txt</t>
  </si>
  <si>
    <t>\data\input\infile_0915.txt</t>
  </si>
  <si>
    <t>\data\input\infile_0916.txt</t>
  </si>
  <si>
    <t>\data\input\infile_0917.txt</t>
  </si>
  <si>
    <t>\data\input\infile_0918.txt</t>
  </si>
  <si>
    <t>\data\input\infile_0919.txt</t>
  </si>
  <si>
    <t>\data\input\infile_0920.txt</t>
  </si>
  <si>
    <t>\data\input\infile_0921.txt</t>
  </si>
  <si>
    <t>\data\input\infile_0922.txt</t>
  </si>
  <si>
    <t>\data\input\infile_0923.txt</t>
  </si>
  <si>
    <t>\data\input\infile_0924.txt</t>
  </si>
  <si>
    <t>\data\input\infile_0925.txt</t>
  </si>
  <si>
    <t>\data\input\infile_0926.txt</t>
  </si>
  <si>
    <t>\data\input\infile_0927.txt</t>
  </si>
  <si>
    <t>\data\input\infile_0928.txt</t>
  </si>
  <si>
    <t>\data\input\infile_0929.txt</t>
  </si>
  <si>
    <t>\data\input\infile_0930.txt</t>
  </si>
  <si>
    <t>\data\input\infile_0931.txt</t>
  </si>
  <si>
    <t>\data\input\infile_0932.txt</t>
  </si>
  <si>
    <t>\data\input\infile_0933.txt</t>
  </si>
  <si>
    <t>\data\input\infile_0934.txt</t>
  </si>
  <si>
    <t>\data\input\infile_0935.txt</t>
  </si>
  <si>
    <t>\data\input\infile_0936.txt</t>
  </si>
  <si>
    <t>\data\input\infile_0937.txt</t>
  </si>
  <si>
    <t>\data\input\infile_0938.txt</t>
  </si>
  <si>
    <t>\data\input\infile_0939.txt</t>
  </si>
  <si>
    <t>\data\input\infile_0940.txt</t>
  </si>
  <si>
    <t>\data\input\infile_0941.txt</t>
  </si>
  <si>
    <t>\data\input\infile_0942.txt</t>
  </si>
  <si>
    <t>\data\input\infile_0943.txt</t>
  </si>
  <si>
    <t>\data\input\infile_0944.txt</t>
  </si>
  <si>
    <t>\data\input\infile_0945.txt</t>
  </si>
  <si>
    <t>\data\input\infile_0946.txt</t>
  </si>
  <si>
    <t>\data\input\infile_0947.txt</t>
  </si>
  <si>
    <t>\data\input\infile_0948.txt</t>
  </si>
  <si>
    <t>\data\input\infile_0949.txt</t>
  </si>
  <si>
    <t>\data\input\infile_0950.txt</t>
  </si>
  <si>
    <t>\data\input\infile_0951.txt</t>
  </si>
  <si>
    <t>\data\input\infile_0952.txt</t>
  </si>
  <si>
    <t>\data\input\infile_0953.txt</t>
  </si>
  <si>
    <t>\data\input\infile_0954.txt</t>
  </si>
  <si>
    <t>\data\input\infile_0955.txt</t>
  </si>
  <si>
    <t>\data\input\infile_0956.txt</t>
  </si>
  <si>
    <t>\data\input\infile_0957.txt</t>
  </si>
  <si>
    <t>Combine eternal_sim_cleanup and eternal_sim_truncate</t>
  </si>
  <si>
    <t>Remove mv, add flag_hawking_moss, V(false vacuum)</t>
  </si>
  <si>
    <t>Error: Placing top of potential barrier outside</t>
  </si>
  <si>
    <t>\data\input\infile_0958.txt</t>
  </si>
  <si>
    <t>\data\input\infile_0959.txt</t>
  </si>
  <si>
    <t>\data\input\infile_0960.txt</t>
  </si>
  <si>
    <t>\data\input\infile_0961.txt</t>
  </si>
  <si>
    <t>\data\input\infile_0962.txt</t>
  </si>
  <si>
    <t>\data\input\infile_0963.txt</t>
  </si>
  <si>
    <t>\data\input\infile_0964.txt</t>
  </si>
  <si>
    <t>\data\input\infile_0965.txt</t>
  </si>
  <si>
    <t>\data\input\infile_0966.txt</t>
  </si>
  <si>
    <t>\data\input\infile_0967.txt</t>
  </si>
  <si>
    <t>\data\input\infile_0968.txt</t>
  </si>
  <si>
    <t>\data\input\infile_0969.txt</t>
  </si>
  <si>
    <t>\data\input\infile_0970.txt</t>
  </si>
  <si>
    <t>\data\input\infile_0971.txt</t>
  </si>
  <si>
    <t>\data\input\infile_0972.txt</t>
  </si>
  <si>
    <t>\data\input\infile_0973.txt</t>
  </si>
  <si>
    <t>\data\input\infile_0974.txt</t>
  </si>
  <si>
    <t>\data\input\infile_0975.txt</t>
  </si>
  <si>
    <t>\data\input\infile_0976.txt</t>
  </si>
  <si>
    <t>\data\input\infile_0977.txt</t>
  </si>
  <si>
    <t>\data\input\infile_0978.txt</t>
  </si>
  <si>
    <t>\data\input\infile_0979.txt</t>
  </si>
  <si>
    <t>\data\input\infile_0980.txt</t>
  </si>
  <si>
    <t>\data\input\infile_0981.txt</t>
  </si>
  <si>
    <t>\data\input\infile_0982.txt</t>
  </si>
  <si>
    <t>\data\input\infile_0983.txt</t>
  </si>
  <si>
    <t>\data\input\infile_0984.txt</t>
  </si>
  <si>
    <t>\data\input\infile_0985.txt</t>
  </si>
  <si>
    <t>\data\input\infile_0986.txt</t>
  </si>
  <si>
    <t>\data\input\infile_0987.txt</t>
  </si>
  <si>
    <t>\data\input\infile_0988.txt</t>
  </si>
  <si>
    <t>\data\input\infile_0989.txt</t>
  </si>
  <si>
    <t>\data\input\infile_0990.txt</t>
  </si>
  <si>
    <t>\data\input\infile_0991.txt</t>
  </si>
  <si>
    <t>\data\input\infile_0992.txt</t>
  </si>
  <si>
    <t>\data\input\infile_0993.txt</t>
  </si>
  <si>
    <t>\data\input\infile_0994.txt</t>
  </si>
  <si>
    <t>\data\input\infile_0995.txt</t>
  </si>
  <si>
    <t>\data\input\infile_0996.txt</t>
  </si>
  <si>
    <t>\data\input\infile_0997.txt</t>
  </si>
  <si>
    <t>\data\input\infile_0998.txt</t>
  </si>
  <si>
    <t>\data\input\infile_0999.txt</t>
  </si>
  <si>
    <t>\data\input\infile_1000.txt</t>
  </si>
  <si>
    <t>\data\input\infile_1001.txt</t>
  </si>
  <si>
    <t>\data\input\infile_1002.txt</t>
  </si>
  <si>
    <t>\data\input\infile_1003.txt</t>
  </si>
  <si>
    <t>\data\input\infile_1004.txt</t>
  </si>
  <si>
    <t>\data\input\infile_1005.txt</t>
  </si>
  <si>
    <t>\data\input\infile_1006.txt</t>
  </si>
  <si>
    <t>\data\input\infile_1007.txt</t>
  </si>
  <si>
    <t>\data\input\infile_1008.txt</t>
  </si>
  <si>
    <t>\data\input\infile_1009.txt</t>
  </si>
  <si>
    <t>\data\input\infile_1010.txt</t>
  </si>
  <si>
    <t>\data\input\infile_1011.txt</t>
  </si>
  <si>
    <t>\data\input\infile_1012.txt</t>
  </si>
  <si>
    <t>\data\input\infile_1013.txt</t>
  </si>
  <si>
    <t>\data\input\infile_1014.txt</t>
  </si>
  <si>
    <t>\data\input\infile_1015.txt</t>
  </si>
  <si>
    <t>\data\input\infile_1016.txt</t>
  </si>
  <si>
    <t>\data\input\infile_1017.txt</t>
  </si>
  <si>
    <t>\data\input\infile_1018.txt</t>
  </si>
  <si>
    <t>\data\input\infile_1019.txt</t>
  </si>
  <si>
    <t>\data\input\infile_1020.txt</t>
  </si>
  <si>
    <t>\data\input\infile_1021.txt</t>
  </si>
  <si>
    <t>\data\input\infile_1022.txt</t>
  </si>
  <si>
    <t>\data\input\infile_1023.txt</t>
  </si>
  <si>
    <t>\data\input\infile_1024.txt</t>
  </si>
  <si>
    <t>\data\input\infile_1025.txt</t>
  </si>
  <si>
    <t>\data\input\infile_1026.txt</t>
  </si>
  <si>
    <t>\data\input\infile_1027.txt</t>
  </si>
  <si>
    <t>\data\input\infile_1028.txt</t>
  </si>
  <si>
    <t>\data\input\infile_1029.txt</t>
  </si>
  <si>
    <t>\data\input\infile_1030.txt</t>
  </si>
  <si>
    <t>\data\input\infile_1031.txt</t>
  </si>
  <si>
    <t>\data\input\infile_1032.txt</t>
  </si>
  <si>
    <t>\data\input\infile_1033.txt</t>
  </si>
  <si>
    <t>\data\input\infile_1034.txt</t>
  </si>
  <si>
    <t>\data\input\infile_1035.txt</t>
  </si>
  <si>
    <t>\data\input\infile_1036.txt</t>
  </si>
  <si>
    <t>\data\input\infile_1037.txt</t>
  </si>
  <si>
    <t>\data\input\infile_1038.txt</t>
  </si>
  <si>
    <t>\data\input\infile_1039.txt</t>
  </si>
  <si>
    <t>\data\input\infile_1040.txt</t>
  </si>
  <si>
    <t>\data\input\infile_1041.txt</t>
  </si>
  <si>
    <t>\data\input\infile_1042.txt</t>
  </si>
  <si>
    <t>\data\input\infile_1043.txt</t>
  </si>
  <si>
    <t>\data\input\infile_1044.txt</t>
  </si>
  <si>
    <t>\data\input\infile_1045.txt</t>
  </si>
  <si>
    <t>\data\input\infile_1046.txt</t>
  </si>
  <si>
    <t>\data\input\infile_1047.txt</t>
  </si>
  <si>
    <t>\data\input\infile_1048.txt</t>
  </si>
  <si>
    <t>\data\input\infile_1049.txt</t>
  </si>
  <si>
    <t>\data\input\infile_1050.txt</t>
  </si>
  <si>
    <t>\data\input\infile_1051.txt</t>
  </si>
  <si>
    <t>\data\input\infile_1052.txt</t>
  </si>
  <si>
    <t>\data\input\infile_1053.txt</t>
  </si>
  <si>
    <t>\data\input\infile_1054.txt</t>
  </si>
  <si>
    <t>\data\input\infile_1055.txt</t>
  </si>
  <si>
    <t>\data\input\infile_1056.txt</t>
  </si>
  <si>
    <t>\data\input\infile_1057.txt</t>
  </si>
  <si>
    <t>\data\input\infile_1058.txt</t>
  </si>
  <si>
    <t>\data\input\infile_1059.txt</t>
  </si>
  <si>
    <t>\data\input\infile_1060.txt</t>
  </si>
  <si>
    <t>\data\input\infile_1061.txt</t>
  </si>
  <si>
    <t>\data\input\infile_1062.txt</t>
  </si>
  <si>
    <t>\data\input\infile_1063.txt</t>
  </si>
  <si>
    <t>\data\input\infile_1064.txt</t>
  </si>
  <si>
    <t>\data\input\infile_1065.txt</t>
  </si>
  <si>
    <t>\data\input\infile_1066.txt</t>
  </si>
  <si>
    <t>\data\input\infile_1067.txt</t>
  </si>
  <si>
    <t>\data\input\infile_1068.txt</t>
  </si>
  <si>
    <t>\data\input\infile_1069.txt</t>
  </si>
  <si>
    <t>\data\input\infile_1070.txt</t>
  </si>
  <si>
    <t>\data\input\infile_1071.txt</t>
  </si>
  <si>
    <t>\data\input\infile_1072.txt</t>
  </si>
  <si>
    <t>\data\input\infile_1073.txt</t>
  </si>
  <si>
    <t>\data\input\infile_1074.txt</t>
  </si>
  <si>
    <t>\data\input\infile_1075.txt</t>
  </si>
  <si>
    <t>\data\input\infile_1076.txt</t>
  </si>
  <si>
    <t>\data\input\infile_1077.txt</t>
  </si>
  <si>
    <t>\data\input\infile_1078.txt</t>
  </si>
  <si>
    <t>\data\input\infile_1079.txt</t>
  </si>
  <si>
    <t>\data\input\infile_1080.txt</t>
  </si>
  <si>
    <t>\data\input\infile_1081.txt</t>
  </si>
  <si>
    <t>\data\input\infile_1082.txt</t>
  </si>
  <si>
    <t>\data\input\infile_1083.txt</t>
  </si>
  <si>
    <t>\data\input\infile_1084.txt</t>
  </si>
  <si>
    <t>\data\input\infile_1085.txt</t>
  </si>
  <si>
    <t>\data\input\infile_1086.txt</t>
  </si>
  <si>
    <t>\data\input\infile_1087.txt</t>
  </si>
  <si>
    <t>\data\input\infile_1088.txt</t>
  </si>
  <si>
    <t>\data\input\infile_1089.txt</t>
  </si>
  <si>
    <t>\data\input\infile_1090.txt</t>
  </si>
  <si>
    <t>\data\input\infile_1091.txt</t>
  </si>
  <si>
    <t>\data\input\infile_1092.txt</t>
  </si>
  <si>
    <t>\data\input\infile_1093.txt</t>
  </si>
  <si>
    <t>\data\input\infile_1094.txt</t>
  </si>
  <si>
    <t>\data\input\infile_1095.txt</t>
  </si>
  <si>
    <t>\data\input\infile_1096.txt</t>
  </si>
  <si>
    <t>\data\input\infile_1097.txt</t>
  </si>
  <si>
    <t>\data\input\infile_1098.txt</t>
  </si>
  <si>
    <t>\data\input\infile_1099.txt</t>
  </si>
  <si>
    <t>Change a_0 in potential definition, rather than pass rho_offset</t>
  </si>
  <si>
    <t>Rename misnamed output_t files</t>
  </si>
  <si>
    <t>Running slurm_select without -r results in "output_t_.txt"</t>
  </si>
  <si>
    <t>Add logging for cases where FVI throws an erro</t>
  </si>
  <si>
    <t>Verify random numbers are random</t>
  </si>
  <si>
    <t>Add test_ids to sbatch comment</t>
  </si>
  <si>
    <t>24e8f0e</t>
  </si>
  <si>
    <t>Add cores to EIS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</si>
</sst>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d\-mmm;@"/>
    <numFmt numFmtId="165" formatCode="ddd\ m/d"/>
    <numFmt numFmtId="166" formatCode="0000"/>
    <numFmt numFmtId="167" formatCode="0.000000"/>
    <numFmt numFmtId="168" formatCode="h:mm:ss;@"/>
  </numFmts>
  <fonts count="96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</fonts>
  <fills count="10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84" fillId="0" borderId="0" applyNumberFormat="0" applyFill="0" applyBorder="0" applyAlignment="0" applyProtection="0"/>
    <xf numFmtId="0" fontId="78" fillId="0" borderId="0" applyFill="0" applyBorder="0" applyProtection="0">
      <alignment horizontal="left" wrapText="1"/>
    </xf>
    <xf numFmtId="3" fontId="86" fillId="0" borderId="2" applyFill="0" applyProtection="0">
      <alignment horizontal="center"/>
    </xf>
    <xf numFmtId="0" fontId="86" fillId="0" borderId="0" applyFill="0" applyBorder="0" applyProtection="0">
      <alignment horizontal="center" wrapText="1"/>
    </xf>
    <xf numFmtId="0" fontId="77" fillId="0" borderId="0" applyNumberFormat="0" applyFill="0" applyBorder="0" applyProtection="0">
      <alignment horizontal="left" vertical="center"/>
    </xf>
    <xf numFmtId="9" fontId="79" fillId="0" borderId="0" applyFill="0" applyBorder="0" applyProtection="0">
      <alignment horizontal="center" vertical="center"/>
    </xf>
    <xf numFmtId="0" fontId="85" fillId="6" borderId="1" applyNumberFormat="0" applyProtection="0">
      <alignment horizontal="left" vertical="center"/>
    </xf>
    <xf numFmtId="0" fontId="84" fillId="0" borderId="0" applyNumberFormat="0" applyFill="0" applyBorder="0" applyProtection="0">
      <alignment vertical="center"/>
    </xf>
    <xf numFmtId="0" fontId="86" fillId="0" borderId="0" applyFill="0" applyProtection="0">
      <alignment vertical="center"/>
    </xf>
    <xf numFmtId="0" fontId="86" fillId="0" borderId="0" applyFill="0" applyProtection="0">
      <alignment horizontal="center" vertical="center" wrapText="1"/>
    </xf>
    <xf numFmtId="0" fontId="86" fillId="0" borderId="0" applyFill="0" applyProtection="0">
      <alignment horizontal="left"/>
    </xf>
    <xf numFmtId="0" fontId="88" fillId="0" borderId="0" applyNumberFormat="0" applyFill="0" applyBorder="0" applyProtection="0">
      <alignment vertical="center"/>
    </xf>
    <xf numFmtId="1" fontId="89" fillId="6" borderId="1">
      <alignment horizontal="center" vertical="center"/>
    </xf>
    <xf numFmtId="0" fontId="87" fillId="2" borderId="4" applyNumberFormat="0" applyFont="0" applyAlignment="0">
      <alignment horizontal="center"/>
    </xf>
    <xf numFmtId="0" fontId="87" fillId="3" borderId="3" applyNumberFormat="0" applyFont="0" applyAlignment="0">
      <alignment horizontal="center"/>
    </xf>
    <xf numFmtId="0" fontId="87" fillId="4" borderId="3" applyNumberFormat="0" applyFont="0" applyAlignment="0">
      <alignment horizontal="center"/>
    </xf>
    <xf numFmtId="0" fontId="87" fillId="5" borderId="3" applyNumberFormat="0" applyFont="0" applyAlignment="0">
      <alignment horizontal="center"/>
    </xf>
    <xf numFmtId="0" fontId="87" fillId="7" borderId="3" applyNumberFormat="0" applyFont="0" applyAlignment="0">
      <alignment horizontal="center"/>
    </xf>
    <xf numFmtId="0" fontId="76" fillId="0" borderId="0"/>
  </cellStyleXfs>
  <cellXfs count="167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78" fillId="0" borderId="0" xfId="2">
      <alignment horizontal="left" wrapText="1"/>
    </xf>
    <xf numFmtId="3" fontId="86" fillId="0" borderId="2" xfId="3">
      <alignment horizontal="center"/>
    </xf>
    <xf numFmtId="9" fontId="79" fillId="0" borderId="0" xfId="6">
      <alignment horizontal="center" vertical="center"/>
    </xf>
    <xf numFmtId="0" fontId="85" fillId="6" borderId="1" xfId="7">
      <alignment horizontal="left" vertical="center"/>
    </xf>
    <xf numFmtId="0" fontId="80" fillId="0" borderId="0" xfId="2" applyFont="1">
      <alignment horizontal="left" wrapText="1"/>
    </xf>
    <xf numFmtId="0" fontId="81" fillId="0" borderId="0" xfId="0" applyFont="1" applyAlignment="1">
      <alignment horizontal="center"/>
    </xf>
    <xf numFmtId="9" fontId="82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84" fillId="0" borderId="0" xfId="1" applyAlignment="1">
      <alignment horizontal="center"/>
    </xf>
    <xf numFmtId="0" fontId="84" fillId="0" borderId="0" xfId="8">
      <alignment vertical="center"/>
    </xf>
    <xf numFmtId="1" fontId="89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86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0" fontId="76" fillId="0" borderId="0" xfId="19"/>
    <xf numFmtId="0" fontId="76" fillId="0" borderId="0" xfId="19" applyAlignment="1">
      <alignment horizontal="center"/>
    </xf>
    <xf numFmtId="165" fontId="76" fillId="0" borderId="0" xfId="19" applyNumberFormat="1" applyAlignment="1">
      <alignment horizontal="center"/>
    </xf>
    <xf numFmtId="0" fontId="76" fillId="0" borderId="0" xfId="19" applyNumberFormat="1" applyAlignment="1">
      <alignment horizontal="center"/>
    </xf>
    <xf numFmtId="0" fontId="75" fillId="0" borderId="0" xfId="19" applyFont="1"/>
    <xf numFmtId="0" fontId="74" fillId="0" borderId="0" xfId="19" applyFont="1"/>
    <xf numFmtId="0" fontId="73" fillId="0" borderId="0" xfId="19" applyFont="1"/>
    <xf numFmtId="0" fontId="72" fillId="0" borderId="0" xfId="19" applyFont="1"/>
    <xf numFmtId="0" fontId="71" fillId="0" borderId="0" xfId="19" applyFont="1"/>
    <xf numFmtId="0" fontId="70" fillId="0" borderId="0" xfId="19" applyFont="1"/>
    <xf numFmtId="0" fontId="69" fillId="0" borderId="0" xfId="19" applyFont="1"/>
    <xf numFmtId="0" fontId="68" fillId="0" borderId="0" xfId="19" applyFont="1"/>
    <xf numFmtId="0" fontId="67" fillId="0" borderId="0" xfId="19" applyFont="1"/>
    <xf numFmtId="0" fontId="66" fillId="0" borderId="0" xfId="19" applyFont="1"/>
    <xf numFmtId="0" fontId="65" fillId="0" borderId="0" xfId="19" applyFont="1"/>
    <xf numFmtId="0" fontId="64" fillId="0" borderId="0" xfId="19" applyFont="1"/>
    <xf numFmtId="0" fontId="63" fillId="0" borderId="0" xfId="19" applyFont="1"/>
    <xf numFmtId="0" fontId="62" fillId="0" borderId="0" xfId="19" applyFont="1"/>
    <xf numFmtId="0" fontId="61" fillId="0" borderId="0" xfId="19" applyFont="1"/>
    <xf numFmtId="0" fontId="60" fillId="0" borderId="0" xfId="19" applyFont="1"/>
    <xf numFmtId="0" fontId="90" fillId="0" borderId="0" xfId="0" applyFont="1" applyAlignment="1">
      <alignment horizontal="center" vertical="center" textRotation="90"/>
    </xf>
    <xf numFmtId="0" fontId="90" fillId="0" borderId="0" xfId="0" applyFont="1">
      <alignment horizontal="center" vertical="center"/>
    </xf>
    <xf numFmtId="0" fontId="90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59" fillId="0" borderId="0" xfId="19" applyFont="1"/>
    <xf numFmtId="0" fontId="57" fillId="0" borderId="0" xfId="19" applyFont="1"/>
    <xf numFmtId="0" fontId="56" fillId="0" borderId="0" xfId="19" applyFont="1"/>
    <xf numFmtId="0" fontId="55" fillId="0" borderId="0" xfId="19" applyFont="1"/>
    <xf numFmtId="0" fontId="54" fillId="0" borderId="0" xfId="19" applyFont="1"/>
    <xf numFmtId="0" fontId="53" fillId="0" borderId="0" xfId="19" applyFont="1"/>
    <xf numFmtId="0" fontId="52" fillId="0" borderId="0" xfId="19" applyFont="1"/>
    <xf numFmtId="0" fontId="51" fillId="0" borderId="0" xfId="19" applyFont="1"/>
    <xf numFmtId="0" fontId="50" fillId="0" borderId="0" xfId="19" applyFont="1"/>
    <xf numFmtId="0" fontId="49" fillId="0" borderId="0" xfId="19" applyFont="1"/>
    <xf numFmtId="0" fontId="58" fillId="0" borderId="0" xfId="19" applyFont="1" applyAlignment="1">
      <alignment horizontal="left"/>
    </xf>
    <xf numFmtId="0" fontId="59" fillId="0" borderId="0" xfId="19" applyFont="1" applyAlignment="1">
      <alignment horizontal="left"/>
    </xf>
    <xf numFmtId="0" fontId="71" fillId="0" borderId="0" xfId="19" applyFont="1" applyAlignment="1">
      <alignment horizontal="left"/>
    </xf>
    <xf numFmtId="0" fontId="76" fillId="0" borderId="0" xfId="19" applyAlignment="1">
      <alignment horizontal="left"/>
    </xf>
    <xf numFmtId="0" fontId="74" fillId="0" borderId="0" xfId="19" applyFont="1" applyAlignment="1">
      <alignment horizontal="left"/>
    </xf>
    <xf numFmtId="0" fontId="67" fillId="0" borderId="0" xfId="19" applyFont="1" applyAlignment="1">
      <alignment horizontal="left"/>
    </xf>
    <xf numFmtId="0" fontId="55" fillId="0" borderId="0" xfId="19" applyFont="1" applyAlignment="1">
      <alignment horizontal="left"/>
    </xf>
    <xf numFmtId="18" fontId="67" fillId="0" borderId="0" xfId="19" applyNumberFormat="1" applyFont="1" applyAlignment="1">
      <alignment horizontal="left"/>
    </xf>
    <xf numFmtId="0" fontId="49" fillId="0" borderId="0" xfId="19" applyFont="1" applyAlignment="1">
      <alignment horizontal="left"/>
    </xf>
    <xf numFmtId="0" fontId="48" fillId="0" borderId="0" xfId="19" applyFont="1"/>
    <xf numFmtId="0" fontId="47" fillId="0" borderId="0" xfId="19" applyFont="1"/>
    <xf numFmtId="0" fontId="46" fillId="0" borderId="0" xfId="19" applyFont="1"/>
    <xf numFmtId="0" fontId="46" fillId="0" borderId="0" xfId="19" applyFont="1" applyAlignment="1">
      <alignment horizontal="left"/>
    </xf>
    <xf numFmtId="0" fontId="45" fillId="0" borderId="0" xfId="19" applyFont="1"/>
    <xf numFmtId="0" fontId="44" fillId="0" borderId="0" xfId="19" applyFont="1"/>
    <xf numFmtId="0" fontId="44" fillId="0" borderId="0" xfId="19" applyFont="1" applyAlignment="1">
      <alignment horizontal="left"/>
    </xf>
    <xf numFmtId="0" fontId="43" fillId="0" borderId="0" xfId="19" applyNumberFormat="1" applyFont="1" applyAlignment="1">
      <alignment horizontal="center"/>
    </xf>
    <xf numFmtId="0" fontId="43" fillId="0" borderId="0" xfId="19" applyFont="1"/>
    <xf numFmtId="0" fontId="43" fillId="0" borderId="0" xfId="19" applyFont="1" applyAlignment="1">
      <alignment horizontal="left"/>
    </xf>
    <xf numFmtId="0" fontId="42" fillId="0" borderId="0" xfId="19" applyFont="1"/>
    <xf numFmtId="0" fontId="42" fillId="0" borderId="0" xfId="19" applyFont="1" applyAlignment="1">
      <alignment horizontal="left"/>
    </xf>
    <xf numFmtId="0" fontId="41" fillId="0" borderId="0" xfId="19" applyFont="1"/>
    <xf numFmtId="0" fontId="40" fillId="0" borderId="0" xfId="19" applyFont="1"/>
    <xf numFmtId="0" fontId="39" fillId="0" borderId="0" xfId="19" applyFont="1"/>
    <xf numFmtId="0" fontId="38" fillId="0" borderId="0" xfId="19" applyFont="1"/>
    <xf numFmtId="0" fontId="37" fillId="0" borderId="0" xfId="19" applyFont="1"/>
    <xf numFmtId="165" fontId="37" fillId="0" borderId="0" xfId="19" applyNumberFormat="1" applyFont="1" applyAlignment="1">
      <alignment horizontal="center"/>
    </xf>
    <xf numFmtId="0" fontId="37" fillId="0" borderId="0" xfId="19" applyFont="1" applyAlignment="1">
      <alignment horizontal="left"/>
    </xf>
    <xf numFmtId="0" fontId="36" fillId="0" borderId="0" xfId="19" applyFont="1"/>
    <xf numFmtId="0" fontId="36" fillId="0" borderId="0" xfId="19" applyFont="1" applyAlignment="1">
      <alignment horizontal="left"/>
    </xf>
    <xf numFmtId="0" fontId="35" fillId="0" borderId="0" xfId="19" applyFont="1"/>
    <xf numFmtId="0" fontId="34" fillId="0" borderId="0" xfId="19" applyFont="1"/>
    <xf numFmtId="0" fontId="34" fillId="0" borderId="0" xfId="19" applyFont="1" applyAlignment="1">
      <alignment horizontal="left"/>
    </xf>
    <xf numFmtId="0" fontId="33" fillId="0" borderId="0" xfId="19" applyFont="1"/>
    <xf numFmtId="0" fontId="33" fillId="0" borderId="0" xfId="19" applyFont="1" applyAlignment="1">
      <alignment horizontal="left"/>
    </xf>
    <xf numFmtId="0" fontId="32" fillId="0" borderId="0" xfId="19" applyFont="1"/>
    <xf numFmtId="165" fontId="32" fillId="0" borderId="0" xfId="19" applyNumberFormat="1" applyFont="1" applyAlignment="1">
      <alignment horizontal="center"/>
    </xf>
    <xf numFmtId="0" fontId="31" fillId="0" borderId="0" xfId="19" applyFont="1"/>
    <xf numFmtId="0" fontId="30" fillId="0" borderId="0" xfId="19" applyFont="1"/>
    <xf numFmtId="0" fontId="30" fillId="0" borderId="0" xfId="19" applyFont="1" applyAlignment="1">
      <alignment horizontal="left"/>
    </xf>
    <xf numFmtId="0" fontId="29" fillId="0" borderId="0" xfId="19" applyFont="1"/>
    <xf numFmtId="0" fontId="28" fillId="0" borderId="0" xfId="19" applyFont="1" applyAlignment="1">
      <alignment horizontal="left"/>
    </xf>
    <xf numFmtId="0" fontId="28" fillId="0" borderId="0" xfId="19" applyFont="1"/>
    <xf numFmtId="0" fontId="91" fillId="0" borderId="0" xfId="0" applyFont="1">
      <alignment horizontal="center" vertical="center"/>
    </xf>
    <xf numFmtId="0" fontId="92" fillId="0" borderId="0" xfId="0" applyFont="1">
      <alignment horizontal="center" vertical="center"/>
    </xf>
    <xf numFmtId="0" fontId="92" fillId="0" borderId="0" xfId="0" applyFont="1" applyAlignment="1">
      <alignment horizontal="left" vertical="center"/>
    </xf>
    <xf numFmtId="1" fontId="92" fillId="0" borderId="0" xfId="0" applyNumberFormat="1" applyFont="1">
      <alignment horizontal="center" vertical="center"/>
    </xf>
    <xf numFmtId="0" fontId="27" fillId="0" borderId="0" xfId="19" applyFont="1"/>
    <xf numFmtId="0" fontId="95" fillId="0" borderId="0" xfId="0" applyFont="1">
      <alignment horizontal="center" vertical="center"/>
    </xf>
    <xf numFmtId="0" fontId="95" fillId="0" borderId="0" xfId="0" applyFont="1" applyAlignment="1">
      <alignment horizontal="left" vertical="center"/>
    </xf>
    <xf numFmtId="0" fontId="95" fillId="0" borderId="0" xfId="0" quotePrefix="1" applyFont="1" applyAlignment="1">
      <alignment horizontal="left" vertical="center"/>
    </xf>
    <xf numFmtId="166" fontId="85" fillId="0" borderId="0" xfId="0" applyNumberFormat="1" applyFont="1">
      <alignment horizontal="center" vertical="center"/>
    </xf>
    <xf numFmtId="0" fontId="92" fillId="0" borderId="0" xfId="0" quotePrefix="1" applyFont="1" applyAlignment="1">
      <alignment horizontal="left" vertical="center"/>
    </xf>
    <xf numFmtId="16" fontId="90" fillId="0" borderId="0" xfId="0" applyNumberFormat="1" applyFont="1">
      <alignment horizontal="center" vertical="center"/>
    </xf>
    <xf numFmtId="167" fontId="90" fillId="0" borderId="0" xfId="0" applyNumberFormat="1" applyFont="1">
      <alignment horizontal="center" vertical="center"/>
    </xf>
    <xf numFmtId="1" fontId="90" fillId="0" borderId="0" xfId="0" applyNumberFormat="1" applyFont="1">
      <alignment horizontal="center" vertical="center"/>
    </xf>
    <xf numFmtId="0" fontId="90" fillId="0" borderId="0" xfId="0" applyFont="1" applyAlignment="1">
      <alignment horizontal="center" vertical="center"/>
    </xf>
    <xf numFmtId="168" fontId="90" fillId="0" borderId="0" xfId="0" applyNumberFormat="1" applyFont="1">
      <alignment horizontal="center" vertical="center"/>
    </xf>
    <xf numFmtId="0" fontId="26" fillId="0" borderId="0" xfId="19" applyFont="1"/>
    <xf numFmtId="0" fontId="25" fillId="0" borderId="0" xfId="19" applyFont="1"/>
    <xf numFmtId="165" fontId="25" fillId="0" borderId="0" xfId="19" applyNumberFormat="1" applyFont="1" applyAlignment="1">
      <alignment horizontal="center"/>
    </xf>
    <xf numFmtId="0" fontId="25" fillId="0" borderId="0" xfId="19" applyFont="1" applyAlignment="1">
      <alignment horizontal="left"/>
    </xf>
    <xf numFmtId="0" fontId="80" fillId="0" borderId="0" xfId="2" applyFont="1" applyAlignment="1">
      <alignment horizontal="left" vertical="center" wrapText="1"/>
    </xf>
    <xf numFmtId="0" fontId="24" fillId="0" borderId="0" xfId="19" applyFont="1"/>
    <xf numFmtId="0" fontId="23" fillId="0" borderId="0" xfId="19" applyFont="1"/>
    <xf numFmtId="0" fontId="22" fillId="0" borderId="0" xfId="19" applyFont="1"/>
    <xf numFmtId="0" fontId="21" fillId="0" borderId="0" xfId="19" applyFont="1"/>
    <xf numFmtId="0" fontId="20" fillId="0" borderId="0" xfId="19" applyFont="1"/>
    <xf numFmtId="0" fontId="19" fillId="0" borderId="0" xfId="19" applyFont="1"/>
    <xf numFmtId="0" fontId="18" fillId="0" borderId="0" xfId="19" applyFont="1"/>
    <xf numFmtId="0" fontId="18" fillId="0" borderId="0" xfId="19" applyFont="1" applyAlignment="1">
      <alignment horizontal="left"/>
    </xf>
    <xf numFmtId="0" fontId="17" fillId="0" borderId="0" xfId="19" applyFont="1" applyAlignment="1">
      <alignment horizontal="left"/>
    </xf>
    <xf numFmtId="0" fontId="16" fillId="0" borderId="0" xfId="19" applyFont="1"/>
    <xf numFmtId="165" fontId="16" fillId="0" borderId="0" xfId="19" applyNumberFormat="1" applyFont="1" applyAlignment="1">
      <alignment horizontal="center"/>
    </xf>
    <xf numFmtId="0" fontId="15" fillId="0" borderId="0" xfId="19" applyFont="1"/>
    <xf numFmtId="0" fontId="14" fillId="0" borderId="0" xfId="19" applyFont="1"/>
    <xf numFmtId="0" fontId="13" fillId="0" borderId="0" xfId="19" applyFont="1"/>
    <xf numFmtId="0" fontId="12" fillId="0" borderId="0" xfId="19" applyFont="1"/>
    <xf numFmtId="0" fontId="11" fillId="0" borderId="0" xfId="19" applyFont="1"/>
    <xf numFmtId="49" fontId="91" fillId="9" borderId="0" xfId="0" applyNumberFormat="1" applyFont="1" applyFill="1">
      <alignment horizontal="center" vertical="center"/>
    </xf>
    <xf numFmtId="49" fontId="0" fillId="9" borderId="0" xfId="0" applyNumberFormat="1" applyFill="1" applyAlignment="1">
      <alignment horizontal="left" vertical="center" wrapText="1"/>
    </xf>
    <xf numFmtId="0" fontId="10" fillId="0" borderId="0" xfId="19" applyFont="1"/>
    <xf numFmtId="0" fontId="9" fillId="0" borderId="0" xfId="19" applyFont="1"/>
    <xf numFmtId="0" fontId="8" fillId="0" borderId="0" xfId="19" applyFont="1"/>
    <xf numFmtId="0" fontId="7" fillId="0" borderId="0" xfId="19" applyFont="1"/>
    <xf numFmtId="0" fontId="6" fillId="0" borderId="0" xfId="19" applyFont="1"/>
    <xf numFmtId="0" fontId="5" fillId="0" borderId="0" xfId="19" applyFont="1"/>
    <xf numFmtId="0" fontId="5" fillId="0" borderId="0" xfId="19" applyFont="1" applyAlignment="1">
      <alignment horizontal="left"/>
    </xf>
    <xf numFmtId="0" fontId="92" fillId="0" borderId="0" xfId="0" applyFont="1" applyAlignment="1">
      <alignment horizontal="right" vertical="center"/>
    </xf>
    <xf numFmtId="0" fontId="4" fillId="0" borderId="0" xfId="19" applyFont="1"/>
    <xf numFmtId="2" fontId="0" fillId="0" borderId="0" xfId="0" applyNumberFormat="1">
      <alignment horizontal="center" vertical="center"/>
    </xf>
    <xf numFmtId="2" fontId="95" fillId="0" borderId="0" xfId="0" applyNumberFormat="1" applyFont="1">
      <alignment horizontal="center" vertical="center"/>
    </xf>
    <xf numFmtId="1" fontId="95" fillId="0" borderId="0" xfId="0" applyNumberFormat="1" applyFont="1" applyAlignment="1">
      <alignment horizontal="center" vertical="center"/>
    </xf>
    <xf numFmtId="0" fontId="3" fillId="0" borderId="0" xfId="19" applyFont="1"/>
    <xf numFmtId="0" fontId="3" fillId="0" borderId="0" xfId="19" applyFont="1" applyAlignment="1">
      <alignment horizontal="left"/>
    </xf>
    <xf numFmtId="0" fontId="2" fillId="0" borderId="0" xfId="19" applyFont="1"/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88" fillId="0" borderId="0" xfId="12">
      <alignment vertical="center"/>
    </xf>
    <xf numFmtId="0" fontId="86" fillId="0" borderId="0" xfId="9">
      <alignment vertical="center"/>
    </xf>
    <xf numFmtId="0" fontId="86" fillId="0" borderId="2" xfId="9" applyBorder="1">
      <alignment vertical="center"/>
    </xf>
    <xf numFmtId="0" fontId="86" fillId="0" borderId="0" xfId="10">
      <alignment horizontal="center" vertical="center" wrapText="1"/>
    </xf>
    <xf numFmtId="0" fontId="86" fillId="0" borderId="2" xfId="10" applyBorder="1">
      <alignment horizontal="center" vertical="center" wrapText="1"/>
    </xf>
    <xf numFmtId="0" fontId="86" fillId="0" borderId="5" xfId="10" applyBorder="1">
      <alignment horizontal="center" vertical="center" wrapText="1"/>
    </xf>
    <xf numFmtId="0" fontId="83" fillId="0" borderId="6" xfId="5" applyFont="1" applyBorder="1">
      <alignment horizontal="left" vertical="center"/>
    </xf>
    <xf numFmtId="0" fontId="83" fillId="0" borderId="0" xfId="5" applyFont="1">
      <alignment horizontal="left" vertical="center"/>
    </xf>
    <xf numFmtId="0" fontId="83" fillId="0" borderId="7" xfId="5" applyFont="1" applyBorder="1">
      <alignment horizontal="left" vertical="center"/>
    </xf>
    <xf numFmtId="0" fontId="83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0" fontId="1" fillId="0" borderId="0" xfId="19" applyFont="1"/>
  </cellXfs>
  <cellStyles count="20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Normal 2" xfId="19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52"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numFmt numFmtId="0" formatCode="General"/>
      <alignment horizontal="center" vertical="bottom" textRotation="0" wrapText="0" indent="0" justifyLastLine="0" shrinkToFit="0" readingOrder="0"/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F163" totalsRowShown="0">
  <autoFilter ref="A1:F163">
    <filterColumn colId="3">
      <filters blank="1">
        <filter val="0"/>
        <filter val="0.25"/>
        <filter val="0.75"/>
      </filters>
    </filterColumn>
  </autoFilter>
  <sortState ref="A30:F163">
    <sortCondition descending="1" ref="C1:C163"/>
  </sortState>
  <tableColumns count="6">
    <tableColumn id="1" name="Task"/>
    <tableColumn id="2" name="Assigned"/>
    <tableColumn id="3" name="Due"/>
    <tableColumn id="6" name=" " dataDxfId="41"/>
    <tableColumn id="4" name="Review"/>
    <tableColumn id="5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S1100" totalsRowShown="0" headerRowDxfId="40" dataDxfId="39">
  <autoFilter ref="A1:S1100"/>
  <sortState ref="A2:S771">
    <sortCondition ref="A1:A771"/>
  </sortState>
  <tableColumns count="19">
    <tableColumn id="1" name="Run ID" dataDxfId="38"/>
    <tableColumn id="18" name="n_iter" dataDxfId="37"/>
    <tableColumn id="2" name="mv" dataDxfId="36"/>
    <tableColumn id="3" name="mh" dataDxfId="35"/>
    <tableColumn id="4" name="kmax" dataDxfId="34"/>
    <tableColumn id="19" name="gamma" dataDxfId="33"/>
    <tableColumn id="8" name="measure" dataDxfId="32"/>
    <tableColumn id="9" name="n_tunnel_max" dataDxfId="31"/>
    <tableColumn id="5" name="lambda_screen" dataDxfId="30"/>
    <tableColumn id="6" name="rho_Lambda_thres" dataDxfId="29"/>
    <tableColumn id="20" name="fixQ" dataDxfId="28"/>
    <tableColumn id="21" name="Nafter" dataDxfId="27"/>
    <tableColumn id="22" name="seed" dataDxfId="26"/>
    <tableColumn id="7" name="n_recycle" dataDxfId="25"/>
    <tableColumn id="14" name="Input File Path" dataDxfId="24"/>
    <tableColumn id="10" name="Job ID" dataDxfId="23"/>
    <tableColumn id="24" name="End Date2" dataDxfId="22"/>
    <tableColumn id="11" name="Runtime" dataDxfId="21"/>
    <tableColumn id="12" name="Git Hash" dataDxfId="20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1:G48" totalsRowShown="0">
  <autoFilter ref="A1:G48">
    <filterColumn colId="0">
      <filters>
        <filter val="Input"/>
        <filter val="Output"/>
      </filters>
    </filterColumn>
  </autoFilter>
  <sortState ref="A8:G38">
    <sortCondition ref="A1:A48"/>
  </sortState>
  <tableColumns count="7">
    <tableColumn id="1" name="I/O"/>
    <tableColumn id="6" name="Quantity" dataDxfId="19"/>
    <tableColumn id="5" name="Position History" dataDxfId="18"/>
    <tableColumn id="7" name="Position2" dataDxfId="17">
      <calculatedColumnFormula>VALUE(LEFT(RIGHT(Table4[[#This Row],[Position History]],5),FIND(CHAR(34),RIGHT(Table4[[#This Row],[Position History]],5))-1))</calculatedColumnFormula>
    </tableColumn>
    <tableColumn id="2" name="Dimensions"/>
    <tableColumn id="3" name="Units"/>
    <tableColumn id="4" name="Description" dataDxfId="16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able44" displayName="Table44" ref="A1:E117" totalsRowShown="0" dataDxfId="15">
  <autoFilter ref="A1:E117"/>
  <sortState ref="A2:E117">
    <sortCondition ref="A1:A117"/>
  </sortState>
  <tableColumns count="5">
    <tableColumn id="1" name="Class" dataDxfId="14"/>
    <tableColumn id="2" name="Function" dataDxfId="13"/>
    <tableColumn id="3" name="Line" dataDxfId="12"/>
    <tableColumn id="5" name="Checked" dataDxfId="11"/>
    <tableColumn id="4" name="Description" dataDxfId="10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5" name="Table446" displayName="Table446" ref="A1:E117" totalsRowShown="0" dataDxfId="9">
  <autoFilter ref="A1:E117">
    <filterColumn colId="3">
      <filters blank="1"/>
    </filterColumn>
  </autoFilter>
  <sortState ref="A2:E117">
    <sortCondition ref="A1:A117"/>
  </sortState>
  <tableColumns count="5">
    <tableColumn id="1" name="Class" dataDxfId="8"/>
    <tableColumn id="2" name="Function" dataDxfId="7"/>
    <tableColumn id="3" name="Line" dataDxfId="6"/>
    <tableColumn id="5" name="Checked" dataDxfId="5"/>
    <tableColumn id="4" name="Description" dataDxfId="4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A1:C28" totalsRowShown="0" dataDxfId="3">
  <autoFilter ref="A1:C28"/>
  <tableColumns count="3">
    <tableColumn id="1" name="Code" dataDxfId="2"/>
    <tableColumn id="2" name="Description" dataDxfId="1"/>
    <tableColumn id="3" name="Generator Function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FD32"/>
  <sheetViews>
    <sheetView showGridLines="0" zoomScale="85" zoomScaleNormal="85" zoomScaleSheetLayoutView="80" workbookViewId="0">
      <selection activeCell="L5" sqref="L5"/>
    </sheetView>
  </sheetViews>
  <sheetFormatPr defaultColWidth="0" defaultRowHeight="30" customHeight="1" x14ac:dyDescent="0.35"/>
  <cols>
    <col min="1" max="1" width="2.6640625" customWidth="1"/>
    <col min="2" max="2" width="42.5546875" style="2" customWidth="1"/>
    <col min="3" max="6" width="11.6640625" style="1" customWidth="1"/>
    <col min="7" max="7" width="15.6640625" style="4" customWidth="1"/>
    <col min="8" max="27" width="3.5546875" style="1" customWidth="1"/>
    <col min="28" max="48" width="3.5546875" customWidth="1"/>
    <col min="49" max="67" width="0" hidden="1" customWidth="1"/>
    <col min="68" max="16384" width="2.77734375" hidden="1"/>
  </cols>
  <sheetData>
    <row r="1" spans="2:16384" ht="60" customHeight="1" thickBot="1" x14ac:dyDescent="1.05">
      <c r="B1" s="11" t="s">
        <v>35</v>
      </c>
      <c r="C1" s="10"/>
      <c r="D1" s="10"/>
      <c r="E1" s="10"/>
      <c r="F1" s="10"/>
      <c r="G1" s="10"/>
    </row>
    <row r="2" spans="2:16384" ht="21" customHeight="1" thickTop="1" thickBot="1" x14ac:dyDescent="0.35">
      <c r="B2" s="152" t="s">
        <v>28</v>
      </c>
      <c r="C2" s="152"/>
      <c r="D2" s="152"/>
      <c r="E2" s="152"/>
      <c r="F2" s="152"/>
      <c r="G2" s="5" t="s">
        <v>20</v>
      </c>
      <c r="H2" s="12">
        <v>2</v>
      </c>
      <c r="J2" s="13"/>
      <c r="K2" s="158" t="s">
        <v>27</v>
      </c>
      <c r="L2" s="159"/>
      <c r="M2" s="159"/>
      <c r="N2" s="159"/>
      <c r="O2" s="160"/>
      <c r="P2" s="14"/>
      <c r="Q2" s="158" t="s">
        <v>26</v>
      </c>
      <c r="R2" s="161"/>
      <c r="S2" s="161"/>
      <c r="T2" s="160"/>
      <c r="U2" s="15"/>
      <c r="V2" s="150" t="s">
        <v>17</v>
      </c>
      <c r="W2" s="151"/>
      <c r="X2" s="151"/>
      <c r="Y2" s="162"/>
      <c r="Z2" s="16"/>
      <c r="AA2" s="163" t="s">
        <v>18</v>
      </c>
      <c r="AB2" s="164"/>
      <c r="AC2" s="164"/>
      <c r="AD2" s="164"/>
      <c r="AE2" s="164"/>
      <c r="AF2" s="164"/>
      <c r="AG2" s="165"/>
      <c r="AH2" s="17"/>
      <c r="AI2" s="150" t="s">
        <v>19</v>
      </c>
      <c r="AJ2" s="151"/>
      <c r="AK2" s="151"/>
      <c r="AL2" s="151"/>
      <c r="AM2" s="151"/>
      <c r="AN2" s="151"/>
      <c r="AO2" s="151"/>
      <c r="AP2" s="151"/>
    </row>
    <row r="3" spans="2:16384" s="9" customFormat="1" ht="39.9" customHeight="1" thickTop="1" x14ac:dyDescent="0.3">
      <c r="B3" s="153" t="s">
        <v>0</v>
      </c>
      <c r="C3" s="155" t="s">
        <v>21</v>
      </c>
      <c r="D3" s="155" t="s">
        <v>22</v>
      </c>
      <c r="E3" s="155" t="s">
        <v>23</v>
      </c>
      <c r="F3" s="155" t="s">
        <v>24</v>
      </c>
      <c r="G3" s="157" t="s">
        <v>25</v>
      </c>
      <c r="H3" s="18">
        <v>43234</v>
      </c>
      <c r="I3" s="18">
        <v>43241</v>
      </c>
      <c r="J3" s="18">
        <v>43248</v>
      </c>
      <c r="K3" s="18">
        <v>43255</v>
      </c>
      <c r="L3" s="18">
        <v>43262</v>
      </c>
      <c r="M3" s="18">
        <v>43269</v>
      </c>
      <c r="N3" s="18">
        <v>43276</v>
      </c>
      <c r="O3" s="18">
        <v>43283</v>
      </c>
      <c r="P3" s="18">
        <v>43290</v>
      </c>
      <c r="Q3" s="18">
        <v>43297</v>
      </c>
      <c r="R3" s="18">
        <v>43304</v>
      </c>
      <c r="S3" s="18">
        <v>43311</v>
      </c>
      <c r="T3" s="18">
        <v>43318</v>
      </c>
      <c r="U3" s="18">
        <v>43325</v>
      </c>
      <c r="V3" s="18">
        <v>43332</v>
      </c>
      <c r="W3" s="18">
        <v>43339</v>
      </c>
      <c r="X3" s="18">
        <v>43346</v>
      </c>
      <c r="Y3" s="18">
        <v>43353</v>
      </c>
      <c r="Z3" s="18">
        <v>43360</v>
      </c>
      <c r="AA3" s="18">
        <v>43367</v>
      </c>
      <c r="AB3" s="18">
        <v>43374</v>
      </c>
      <c r="AC3" s="18">
        <v>43381</v>
      </c>
      <c r="AD3" s="18">
        <v>43388</v>
      </c>
      <c r="AE3" s="18">
        <v>43395</v>
      </c>
      <c r="AF3" s="18">
        <v>43402</v>
      </c>
      <c r="AG3" s="18">
        <v>43409</v>
      </c>
      <c r="AH3" s="18">
        <v>43416</v>
      </c>
      <c r="AI3" s="18">
        <v>43423</v>
      </c>
      <c r="AJ3" s="18">
        <v>43430</v>
      </c>
      <c r="AK3" s="18">
        <v>43437</v>
      </c>
      <c r="AL3" s="18">
        <v>43444</v>
      </c>
      <c r="AM3" s="18">
        <v>43451</v>
      </c>
      <c r="AN3" s="18">
        <v>43458</v>
      </c>
      <c r="AO3" s="18">
        <v>43465</v>
      </c>
      <c r="AP3" s="18">
        <v>43472</v>
      </c>
      <c r="AQ3" s="18">
        <v>43479</v>
      </c>
      <c r="AR3" s="18">
        <v>43486</v>
      </c>
      <c r="AS3" s="18">
        <v>43493</v>
      </c>
      <c r="AT3" s="18">
        <v>43500</v>
      </c>
      <c r="AU3" s="18">
        <v>43507</v>
      </c>
      <c r="AV3" s="18">
        <v>43514</v>
      </c>
      <c r="AW3" s="18">
        <v>43521</v>
      </c>
      <c r="AX3" s="18">
        <v>43528</v>
      </c>
      <c r="AY3" s="18">
        <v>43535</v>
      </c>
      <c r="AZ3" s="18">
        <v>43542</v>
      </c>
      <c r="BA3" s="18">
        <v>43549</v>
      </c>
      <c r="BB3" s="18">
        <v>43556</v>
      </c>
      <c r="BC3" s="18">
        <v>43563</v>
      </c>
      <c r="BD3" s="18">
        <v>43570</v>
      </c>
      <c r="BE3" s="18">
        <v>43577</v>
      </c>
      <c r="BF3" s="18">
        <v>43584</v>
      </c>
      <c r="BG3" s="18">
        <v>43591</v>
      </c>
      <c r="BH3" s="18">
        <v>43598</v>
      </c>
      <c r="BI3" s="18">
        <v>43605</v>
      </c>
      <c r="BJ3" s="18">
        <v>43612</v>
      </c>
      <c r="BK3" s="18">
        <v>43619</v>
      </c>
      <c r="BL3" s="18">
        <v>43626</v>
      </c>
      <c r="BM3" s="18">
        <v>43633</v>
      </c>
      <c r="BN3" s="18">
        <v>43640</v>
      </c>
      <c r="BO3" s="18">
        <v>43647</v>
      </c>
      <c r="BP3" s="18">
        <v>43654</v>
      </c>
      <c r="BQ3" s="18">
        <v>43661</v>
      </c>
      <c r="BR3" s="18">
        <v>43668</v>
      </c>
      <c r="BS3" s="18">
        <v>43675</v>
      </c>
      <c r="BT3" s="18">
        <v>43682</v>
      </c>
      <c r="BU3" s="18">
        <v>43689</v>
      </c>
      <c r="BV3" s="18">
        <v>43696</v>
      </c>
      <c r="BW3" s="18">
        <v>43703</v>
      </c>
      <c r="BX3" s="18">
        <v>43710</v>
      </c>
      <c r="BY3" s="18">
        <v>43717</v>
      </c>
      <c r="BZ3" s="18">
        <v>43724</v>
      </c>
      <c r="CA3" s="18">
        <v>43731</v>
      </c>
      <c r="CB3" s="18">
        <v>43738</v>
      </c>
      <c r="CC3" s="18">
        <v>43745</v>
      </c>
      <c r="CD3" s="18">
        <v>43752</v>
      </c>
      <c r="CE3" s="18">
        <v>43759</v>
      </c>
      <c r="CF3" s="18">
        <v>43766</v>
      </c>
      <c r="CG3" s="18">
        <v>43773</v>
      </c>
      <c r="CH3" s="18">
        <v>43780</v>
      </c>
      <c r="CI3" s="18">
        <v>43787</v>
      </c>
      <c r="CJ3" s="18">
        <v>43794</v>
      </c>
      <c r="CK3" s="18">
        <v>43801</v>
      </c>
      <c r="CL3" s="18">
        <v>43808</v>
      </c>
      <c r="CM3" s="18">
        <v>43815</v>
      </c>
      <c r="CN3" s="18">
        <v>43822</v>
      </c>
      <c r="CO3" s="18">
        <v>43829</v>
      </c>
      <c r="CP3" s="18">
        <v>43836</v>
      </c>
      <c r="CQ3" s="18">
        <v>43843</v>
      </c>
      <c r="CR3" s="18">
        <v>43850</v>
      </c>
      <c r="CS3" s="18">
        <v>43857</v>
      </c>
      <c r="CT3" s="18">
        <v>43864</v>
      </c>
      <c r="CU3" s="18">
        <v>43871</v>
      </c>
      <c r="CV3" s="18">
        <v>43878</v>
      </c>
      <c r="CW3" s="18">
        <v>43885</v>
      </c>
      <c r="CX3" s="18">
        <v>43892</v>
      </c>
      <c r="CY3" s="18">
        <v>43899</v>
      </c>
      <c r="CZ3" s="18">
        <v>43906</v>
      </c>
      <c r="DA3" s="18">
        <v>43913</v>
      </c>
      <c r="DB3" s="18">
        <v>43920</v>
      </c>
      <c r="DC3" s="18">
        <v>43927</v>
      </c>
      <c r="DD3" s="18">
        <v>43934</v>
      </c>
      <c r="DE3" s="18">
        <v>43941</v>
      </c>
      <c r="DF3" s="18">
        <v>43948</v>
      </c>
      <c r="DG3" s="18">
        <v>43955</v>
      </c>
      <c r="DH3" s="18">
        <v>43962</v>
      </c>
      <c r="DI3" s="18">
        <v>43969</v>
      </c>
      <c r="DJ3" s="18">
        <v>43976</v>
      </c>
      <c r="DK3" s="18">
        <v>43983</v>
      </c>
      <c r="DL3" s="18">
        <v>43990</v>
      </c>
      <c r="DM3" s="18">
        <v>43997</v>
      </c>
      <c r="DN3" s="18">
        <v>44004</v>
      </c>
      <c r="DO3" s="18">
        <v>44011</v>
      </c>
      <c r="DP3" s="18">
        <v>44018</v>
      </c>
      <c r="DQ3" s="18">
        <v>44025</v>
      </c>
      <c r="DR3" s="18">
        <v>44032</v>
      </c>
      <c r="DS3" s="18">
        <v>44039</v>
      </c>
      <c r="DT3" s="18">
        <v>44046</v>
      </c>
      <c r="DU3" s="18">
        <v>44053</v>
      </c>
      <c r="DV3" s="18">
        <v>44060</v>
      </c>
      <c r="DW3" s="18">
        <v>44067</v>
      </c>
      <c r="DX3" s="18">
        <v>44074</v>
      </c>
      <c r="DY3" s="18">
        <v>44081</v>
      </c>
      <c r="DZ3" s="18">
        <v>44088</v>
      </c>
      <c r="EA3" s="18">
        <v>44095</v>
      </c>
      <c r="EB3" s="18">
        <v>44102</v>
      </c>
      <c r="EC3" s="18">
        <v>44109</v>
      </c>
      <c r="ED3" s="18">
        <v>44116</v>
      </c>
      <c r="EE3" s="18">
        <v>44123</v>
      </c>
      <c r="EF3" s="18">
        <v>44130</v>
      </c>
      <c r="EG3" s="18">
        <v>44137</v>
      </c>
      <c r="EH3" s="18">
        <v>44144</v>
      </c>
      <c r="EI3" s="18">
        <v>44151</v>
      </c>
      <c r="EJ3" s="18">
        <v>44158</v>
      </c>
      <c r="EK3" s="18">
        <v>44165</v>
      </c>
      <c r="EL3" s="18">
        <v>44172</v>
      </c>
      <c r="EM3" s="18">
        <v>44179</v>
      </c>
      <c r="EN3" s="18">
        <v>44186</v>
      </c>
      <c r="EO3" s="18">
        <v>44193</v>
      </c>
      <c r="EP3" s="18">
        <v>44200</v>
      </c>
      <c r="EQ3" s="18">
        <v>44207</v>
      </c>
      <c r="ER3" s="18">
        <v>44214</v>
      </c>
      <c r="ES3" s="18">
        <v>44221</v>
      </c>
      <c r="ET3" s="18">
        <v>44228</v>
      </c>
      <c r="EU3" s="18">
        <v>44235</v>
      </c>
      <c r="EV3" s="18">
        <v>44242</v>
      </c>
      <c r="EW3" s="18">
        <v>44249</v>
      </c>
      <c r="EX3" s="18">
        <v>44256</v>
      </c>
      <c r="EY3" s="18">
        <v>44263</v>
      </c>
      <c r="EZ3" s="18">
        <v>44270</v>
      </c>
      <c r="FA3" s="18">
        <v>44277</v>
      </c>
      <c r="FB3" s="18">
        <v>44284</v>
      </c>
      <c r="FC3" s="18">
        <v>44291</v>
      </c>
      <c r="FD3" s="18">
        <v>44298</v>
      </c>
      <c r="FE3" s="18">
        <v>44305</v>
      </c>
      <c r="FF3" s="18">
        <v>44312</v>
      </c>
      <c r="FG3" s="18">
        <v>44319</v>
      </c>
      <c r="FH3" s="18">
        <v>44326</v>
      </c>
      <c r="FI3" s="18">
        <v>44333</v>
      </c>
      <c r="FJ3" s="18">
        <v>44340</v>
      </c>
      <c r="FK3" s="18">
        <v>44347</v>
      </c>
      <c r="FL3" s="18">
        <v>44354</v>
      </c>
      <c r="FM3" s="18">
        <v>44361</v>
      </c>
      <c r="FN3" s="18">
        <v>44368</v>
      </c>
      <c r="FO3" s="18">
        <v>44375</v>
      </c>
      <c r="FP3" s="18">
        <v>44382</v>
      </c>
      <c r="FQ3" s="18">
        <v>44389</v>
      </c>
      <c r="FR3" s="18">
        <v>44396</v>
      </c>
      <c r="FS3" s="18">
        <v>44403</v>
      </c>
      <c r="FT3" s="18">
        <v>44410</v>
      </c>
      <c r="FU3" s="18">
        <v>44417</v>
      </c>
      <c r="FV3" s="18">
        <v>44424</v>
      </c>
      <c r="FW3" s="18">
        <v>44431</v>
      </c>
      <c r="FX3" s="18">
        <v>44438</v>
      </c>
      <c r="FY3" s="18">
        <v>44445</v>
      </c>
      <c r="FZ3" s="18">
        <v>44452</v>
      </c>
      <c r="GA3" s="18">
        <v>44459</v>
      </c>
      <c r="GB3" s="18">
        <v>44466</v>
      </c>
      <c r="GC3" s="18">
        <v>44473</v>
      </c>
      <c r="GD3" s="18">
        <v>44480</v>
      </c>
      <c r="GE3" s="18">
        <v>44487</v>
      </c>
      <c r="GF3" s="18">
        <v>44494</v>
      </c>
      <c r="GG3" s="18">
        <v>44501</v>
      </c>
      <c r="GH3" s="18">
        <v>44508</v>
      </c>
      <c r="GI3" s="18">
        <v>44515</v>
      </c>
      <c r="GJ3" s="18">
        <v>44522</v>
      </c>
      <c r="GK3" s="18">
        <v>44529</v>
      </c>
      <c r="GL3" s="18">
        <v>44536</v>
      </c>
      <c r="GM3" s="18">
        <v>44543</v>
      </c>
      <c r="GN3" s="18">
        <v>44550</v>
      </c>
      <c r="GO3" s="18">
        <v>44557</v>
      </c>
      <c r="GP3" s="18">
        <v>44564</v>
      </c>
      <c r="GQ3" s="18">
        <v>44571</v>
      </c>
      <c r="GR3" s="18">
        <v>44578</v>
      </c>
      <c r="GS3" s="18">
        <v>44585</v>
      </c>
      <c r="GT3" s="18">
        <v>44592</v>
      </c>
      <c r="GU3" s="18">
        <v>44599</v>
      </c>
      <c r="GV3" s="18">
        <v>44606</v>
      </c>
      <c r="GW3" s="18">
        <v>44613</v>
      </c>
      <c r="GX3" s="18">
        <v>44620</v>
      </c>
      <c r="GY3" s="18">
        <v>44627</v>
      </c>
      <c r="GZ3" s="18">
        <v>44634</v>
      </c>
      <c r="HA3" s="18">
        <v>44641</v>
      </c>
      <c r="HB3" s="18">
        <v>44648</v>
      </c>
      <c r="HC3" s="18">
        <v>44655</v>
      </c>
      <c r="HD3" s="18">
        <v>44662</v>
      </c>
      <c r="HE3" s="18">
        <v>44669</v>
      </c>
      <c r="HF3" s="18">
        <v>44676</v>
      </c>
      <c r="HG3" s="18">
        <v>44683</v>
      </c>
      <c r="HH3" s="18">
        <v>44690</v>
      </c>
      <c r="HI3" s="18">
        <v>44697</v>
      </c>
      <c r="HJ3" s="18">
        <v>44704</v>
      </c>
      <c r="HK3" s="18">
        <v>44711</v>
      </c>
      <c r="HL3" s="18">
        <v>44718</v>
      </c>
      <c r="HM3" s="18">
        <v>44725</v>
      </c>
      <c r="HN3" s="18">
        <v>44732</v>
      </c>
      <c r="HO3" s="18">
        <v>44739</v>
      </c>
      <c r="HP3" s="18">
        <v>44746</v>
      </c>
      <c r="HQ3" s="18">
        <v>44753</v>
      </c>
      <c r="HR3" s="18">
        <v>44760</v>
      </c>
      <c r="HS3" s="18">
        <v>44767</v>
      </c>
      <c r="HT3" s="18">
        <v>44774</v>
      </c>
      <c r="HU3" s="18">
        <v>44781</v>
      </c>
      <c r="HV3" s="18">
        <v>44788</v>
      </c>
      <c r="HW3" s="18">
        <v>44795</v>
      </c>
      <c r="HX3" s="18">
        <v>44802</v>
      </c>
      <c r="HY3" s="18">
        <v>44809</v>
      </c>
      <c r="HZ3" s="18">
        <v>44816</v>
      </c>
      <c r="IA3" s="18">
        <v>44823</v>
      </c>
      <c r="IB3" s="18">
        <v>44830</v>
      </c>
      <c r="IC3" s="18">
        <v>44837</v>
      </c>
      <c r="ID3" s="18">
        <v>44844</v>
      </c>
      <c r="IE3" s="18">
        <v>44851</v>
      </c>
      <c r="IF3" s="18">
        <v>44858</v>
      </c>
      <c r="IG3" s="18">
        <v>44865</v>
      </c>
      <c r="IH3" s="18">
        <v>44872</v>
      </c>
      <c r="II3" s="18">
        <v>44879</v>
      </c>
      <c r="IJ3" s="18">
        <v>44886</v>
      </c>
      <c r="IK3" s="18">
        <v>44893</v>
      </c>
      <c r="IL3" s="18">
        <v>44900</v>
      </c>
      <c r="IM3" s="18">
        <v>44907</v>
      </c>
      <c r="IN3" s="18">
        <v>44914</v>
      </c>
      <c r="IO3" s="18">
        <v>44921</v>
      </c>
      <c r="IP3" s="18">
        <v>44928</v>
      </c>
      <c r="IQ3" s="18">
        <v>44935</v>
      </c>
      <c r="IR3" s="18">
        <v>44942</v>
      </c>
      <c r="IS3" s="18">
        <v>44949</v>
      </c>
      <c r="IT3" s="18">
        <v>44956</v>
      </c>
      <c r="IU3" s="18">
        <v>44963</v>
      </c>
      <c r="IV3" s="18">
        <v>44970</v>
      </c>
      <c r="IW3" s="18">
        <v>44977</v>
      </c>
      <c r="IX3" s="18">
        <v>44984</v>
      </c>
      <c r="IY3" s="18">
        <v>44991</v>
      </c>
      <c r="IZ3" s="18">
        <v>44998</v>
      </c>
      <c r="JA3" s="18">
        <v>45005</v>
      </c>
      <c r="JB3" s="18">
        <v>45012</v>
      </c>
      <c r="JC3" s="18">
        <v>45019</v>
      </c>
      <c r="JD3" s="18">
        <v>45026</v>
      </c>
      <c r="JE3" s="18">
        <v>45033</v>
      </c>
      <c r="JF3" s="18">
        <v>45040</v>
      </c>
      <c r="JG3" s="18">
        <v>45047</v>
      </c>
      <c r="JH3" s="18">
        <v>45054</v>
      </c>
      <c r="JI3" s="18">
        <v>45061</v>
      </c>
      <c r="JJ3" s="18">
        <v>45068</v>
      </c>
      <c r="JK3" s="18">
        <v>45075</v>
      </c>
      <c r="JL3" s="18">
        <v>45082</v>
      </c>
      <c r="JM3" s="18">
        <v>45089</v>
      </c>
      <c r="JN3" s="18">
        <v>45096</v>
      </c>
      <c r="JO3" s="18">
        <v>45103</v>
      </c>
      <c r="JP3" s="18">
        <v>45110</v>
      </c>
      <c r="JQ3" s="18">
        <v>45117</v>
      </c>
      <c r="JR3" s="18">
        <v>45124</v>
      </c>
      <c r="JS3" s="18">
        <v>45131</v>
      </c>
      <c r="JT3" s="18">
        <v>45138</v>
      </c>
      <c r="JU3" s="18">
        <v>45145</v>
      </c>
      <c r="JV3" s="18">
        <v>45152</v>
      </c>
      <c r="JW3" s="18">
        <v>45159</v>
      </c>
      <c r="JX3" s="18">
        <v>45166</v>
      </c>
      <c r="JY3" s="18">
        <v>45173</v>
      </c>
      <c r="JZ3" s="18">
        <v>45180</v>
      </c>
      <c r="KA3" s="18">
        <v>45187</v>
      </c>
      <c r="KB3" s="18">
        <v>45194</v>
      </c>
      <c r="KC3" s="18">
        <v>45201</v>
      </c>
      <c r="KD3" s="18">
        <v>45208</v>
      </c>
      <c r="KE3" s="18">
        <v>45215</v>
      </c>
      <c r="KF3" s="18">
        <v>45222</v>
      </c>
      <c r="KG3" s="18">
        <v>45229</v>
      </c>
      <c r="KH3" s="18">
        <v>45236</v>
      </c>
      <c r="KI3" s="18">
        <v>45243</v>
      </c>
      <c r="KJ3" s="18">
        <v>45250</v>
      </c>
      <c r="KK3" s="18">
        <v>45257</v>
      </c>
      <c r="KL3" s="18">
        <v>45264</v>
      </c>
      <c r="KM3" s="18">
        <v>45271</v>
      </c>
      <c r="KN3" s="18">
        <v>45278</v>
      </c>
      <c r="KO3" s="18">
        <v>45285</v>
      </c>
      <c r="KP3" s="18">
        <v>45292</v>
      </c>
      <c r="KQ3" s="18">
        <v>45299</v>
      </c>
      <c r="KR3" s="18">
        <v>45306</v>
      </c>
      <c r="KS3" s="18">
        <v>45313</v>
      </c>
      <c r="KT3" s="18">
        <v>45320</v>
      </c>
      <c r="KU3" s="18">
        <v>45327</v>
      </c>
      <c r="KV3" s="18">
        <v>45334</v>
      </c>
      <c r="KW3" s="18">
        <v>45341</v>
      </c>
      <c r="KX3" s="18">
        <v>45348</v>
      </c>
      <c r="KY3" s="18">
        <v>45355</v>
      </c>
      <c r="KZ3" s="18">
        <v>45362</v>
      </c>
      <c r="LA3" s="18">
        <v>45369</v>
      </c>
      <c r="LB3" s="18">
        <v>45376</v>
      </c>
      <c r="LC3" s="18">
        <v>45383</v>
      </c>
      <c r="LD3" s="18">
        <v>45390</v>
      </c>
      <c r="LE3" s="18">
        <v>45397</v>
      </c>
      <c r="LF3" s="18">
        <v>45404</v>
      </c>
      <c r="LG3" s="18">
        <v>45411</v>
      </c>
      <c r="LH3" s="18">
        <v>45418</v>
      </c>
      <c r="LI3" s="18">
        <v>45425</v>
      </c>
      <c r="LJ3" s="18">
        <v>45432</v>
      </c>
      <c r="LK3" s="18">
        <v>45439</v>
      </c>
      <c r="LL3" s="18">
        <v>45446</v>
      </c>
      <c r="LM3" s="18">
        <v>45453</v>
      </c>
      <c r="LN3" s="18">
        <v>45460</v>
      </c>
      <c r="LO3" s="18">
        <v>45467</v>
      </c>
      <c r="LP3" s="18">
        <v>45474</v>
      </c>
      <c r="LQ3" s="18">
        <v>45481</v>
      </c>
      <c r="LR3" s="18">
        <v>45488</v>
      </c>
      <c r="LS3" s="18">
        <v>45495</v>
      </c>
      <c r="LT3" s="18">
        <v>45502</v>
      </c>
      <c r="LU3" s="18">
        <v>45509</v>
      </c>
      <c r="LV3" s="18">
        <v>45516</v>
      </c>
      <c r="LW3" s="18">
        <v>45523</v>
      </c>
      <c r="LX3" s="18">
        <v>45530</v>
      </c>
      <c r="LY3" s="18">
        <v>45537</v>
      </c>
      <c r="LZ3" s="18">
        <v>45544</v>
      </c>
      <c r="MA3" s="18">
        <v>45551</v>
      </c>
      <c r="MB3" s="18">
        <v>45558</v>
      </c>
      <c r="MC3" s="18">
        <v>45565</v>
      </c>
      <c r="MD3" s="18">
        <v>45572</v>
      </c>
      <c r="ME3" s="18">
        <v>45579</v>
      </c>
      <c r="MF3" s="18">
        <v>45586</v>
      </c>
      <c r="MG3" s="18">
        <v>45593</v>
      </c>
      <c r="MH3" s="18">
        <v>45600</v>
      </c>
      <c r="MI3" s="18">
        <v>45607</v>
      </c>
      <c r="MJ3" s="18">
        <v>45614</v>
      </c>
      <c r="MK3" s="18">
        <v>45621</v>
      </c>
      <c r="ML3" s="18">
        <v>45628</v>
      </c>
      <c r="MM3" s="18">
        <v>45635</v>
      </c>
      <c r="MN3" s="18">
        <v>45642</v>
      </c>
      <c r="MO3" s="18">
        <v>45649</v>
      </c>
      <c r="MP3" s="18">
        <v>45656</v>
      </c>
      <c r="MQ3" s="18">
        <v>45663</v>
      </c>
      <c r="MR3" s="18">
        <v>45670</v>
      </c>
      <c r="MS3" s="18">
        <v>45677</v>
      </c>
      <c r="MT3" s="18">
        <v>45684</v>
      </c>
      <c r="MU3" s="18">
        <v>45691</v>
      </c>
      <c r="MV3" s="18">
        <v>45698</v>
      </c>
      <c r="MW3" s="18">
        <v>45705</v>
      </c>
      <c r="MX3" s="18">
        <v>45712</v>
      </c>
      <c r="MY3" s="18">
        <v>45719</v>
      </c>
      <c r="MZ3" s="18">
        <v>45726</v>
      </c>
      <c r="NA3" s="18">
        <v>45733</v>
      </c>
      <c r="NB3" s="18">
        <v>45740</v>
      </c>
      <c r="NC3" s="18">
        <v>45747</v>
      </c>
      <c r="ND3" s="18">
        <v>45754</v>
      </c>
      <c r="NE3" s="18">
        <v>45761</v>
      </c>
      <c r="NF3" s="18">
        <v>45768</v>
      </c>
      <c r="NG3" s="18">
        <v>45775</v>
      </c>
      <c r="NH3" s="18">
        <v>45782</v>
      </c>
      <c r="NI3" s="18">
        <v>45789</v>
      </c>
      <c r="NJ3" s="18">
        <v>45796</v>
      </c>
      <c r="NK3" s="18">
        <v>45803</v>
      </c>
      <c r="NL3" s="18">
        <v>45810</v>
      </c>
      <c r="NM3" s="18">
        <v>45817</v>
      </c>
      <c r="NN3" s="18">
        <v>45824</v>
      </c>
      <c r="NO3" s="18">
        <v>45831</v>
      </c>
      <c r="NP3" s="18">
        <v>45838</v>
      </c>
      <c r="NQ3" s="18">
        <v>45845</v>
      </c>
      <c r="NR3" s="18">
        <v>45852</v>
      </c>
      <c r="NS3" s="18">
        <v>45859</v>
      </c>
      <c r="NT3" s="18">
        <v>45866</v>
      </c>
      <c r="NU3" s="18">
        <v>45873</v>
      </c>
      <c r="NV3" s="18">
        <v>45880</v>
      </c>
      <c r="NW3" s="18">
        <v>45887</v>
      </c>
      <c r="NX3" s="18">
        <v>45894</v>
      </c>
      <c r="NY3" s="18">
        <v>45901</v>
      </c>
      <c r="NZ3" s="18">
        <v>45908</v>
      </c>
      <c r="OA3" s="18">
        <v>45915</v>
      </c>
      <c r="OB3" s="18">
        <v>45922</v>
      </c>
      <c r="OC3" s="18">
        <v>45929</v>
      </c>
      <c r="OD3" s="18">
        <v>45936</v>
      </c>
      <c r="OE3" s="18">
        <v>45943</v>
      </c>
      <c r="OF3" s="18">
        <v>45950</v>
      </c>
      <c r="OG3" s="18">
        <v>45957</v>
      </c>
      <c r="OH3" s="18">
        <v>45964</v>
      </c>
      <c r="OI3" s="18">
        <v>45971</v>
      </c>
      <c r="OJ3" s="18">
        <v>45978</v>
      </c>
      <c r="OK3" s="18">
        <v>45985</v>
      </c>
      <c r="OL3" s="18">
        <v>45992</v>
      </c>
      <c r="OM3" s="18">
        <v>45999</v>
      </c>
      <c r="ON3" s="18">
        <v>46006</v>
      </c>
      <c r="OO3" s="18">
        <v>46013</v>
      </c>
      <c r="OP3" s="18">
        <v>46020</v>
      </c>
      <c r="OQ3" s="18">
        <v>46027</v>
      </c>
      <c r="OR3" s="18">
        <v>46034</v>
      </c>
      <c r="OS3" s="18">
        <v>46041</v>
      </c>
      <c r="OT3" s="18">
        <v>46048</v>
      </c>
      <c r="OU3" s="18">
        <v>46055</v>
      </c>
      <c r="OV3" s="18">
        <v>46062</v>
      </c>
      <c r="OW3" s="18">
        <v>46069</v>
      </c>
      <c r="OX3" s="18">
        <v>46076</v>
      </c>
      <c r="OY3" s="18">
        <v>46083</v>
      </c>
      <c r="OZ3" s="18">
        <v>46090</v>
      </c>
      <c r="PA3" s="18">
        <v>46097</v>
      </c>
      <c r="PB3" s="18">
        <v>46104</v>
      </c>
      <c r="PC3" s="18">
        <v>46111</v>
      </c>
      <c r="PD3" s="18">
        <v>46118</v>
      </c>
      <c r="PE3" s="18">
        <v>46125</v>
      </c>
      <c r="PF3" s="18">
        <v>46132</v>
      </c>
      <c r="PG3" s="18">
        <v>46139</v>
      </c>
      <c r="PH3" s="18">
        <v>46146</v>
      </c>
      <c r="PI3" s="18">
        <v>46153</v>
      </c>
      <c r="PJ3" s="18">
        <v>46160</v>
      </c>
      <c r="PK3" s="18">
        <v>46167</v>
      </c>
      <c r="PL3" s="18">
        <v>46174</v>
      </c>
      <c r="PM3" s="18">
        <v>46181</v>
      </c>
      <c r="PN3" s="18">
        <v>46188</v>
      </c>
      <c r="PO3" s="18">
        <v>46195</v>
      </c>
      <c r="PP3" s="18">
        <v>46202</v>
      </c>
      <c r="PQ3" s="18">
        <v>46209</v>
      </c>
      <c r="PR3" s="18">
        <v>46216</v>
      </c>
      <c r="PS3" s="18">
        <v>46223</v>
      </c>
      <c r="PT3" s="18">
        <v>46230</v>
      </c>
      <c r="PU3" s="18">
        <v>46237</v>
      </c>
      <c r="PV3" s="18">
        <v>46244</v>
      </c>
      <c r="PW3" s="18">
        <v>46251</v>
      </c>
      <c r="PX3" s="18">
        <v>46258</v>
      </c>
      <c r="PY3" s="18">
        <v>46265</v>
      </c>
      <c r="PZ3" s="18">
        <v>46272</v>
      </c>
      <c r="QA3" s="18">
        <v>46279</v>
      </c>
      <c r="QB3" s="18">
        <v>46286</v>
      </c>
      <c r="QC3" s="18">
        <v>46293</v>
      </c>
      <c r="QD3" s="18">
        <v>46300</v>
      </c>
      <c r="QE3" s="18">
        <v>46307</v>
      </c>
      <c r="QF3" s="18">
        <v>46314</v>
      </c>
      <c r="QG3" s="18">
        <v>46321</v>
      </c>
      <c r="QH3" s="18">
        <v>46328</v>
      </c>
      <c r="QI3" s="18">
        <v>46335</v>
      </c>
      <c r="QJ3" s="18">
        <v>46342</v>
      </c>
      <c r="QK3" s="18">
        <v>46349</v>
      </c>
      <c r="QL3" s="18">
        <v>46356</v>
      </c>
      <c r="QM3" s="18">
        <v>46363</v>
      </c>
      <c r="QN3" s="18">
        <v>46370</v>
      </c>
      <c r="QO3" s="18">
        <v>46377</v>
      </c>
      <c r="QP3" s="18">
        <v>46384</v>
      </c>
      <c r="QQ3" s="18">
        <v>46391</v>
      </c>
      <c r="QR3" s="18">
        <v>46398</v>
      </c>
      <c r="QS3" s="18">
        <v>46405</v>
      </c>
      <c r="QT3" s="18">
        <v>46412</v>
      </c>
      <c r="QU3" s="18">
        <v>46419</v>
      </c>
      <c r="QV3" s="18">
        <v>46426</v>
      </c>
      <c r="QW3" s="18">
        <v>46433</v>
      </c>
      <c r="QX3" s="18">
        <v>46440</v>
      </c>
      <c r="QY3" s="18">
        <v>46447</v>
      </c>
      <c r="QZ3" s="18">
        <v>46454</v>
      </c>
      <c r="RA3" s="18">
        <v>46461</v>
      </c>
      <c r="RB3" s="18">
        <v>46468</v>
      </c>
      <c r="RC3" s="18">
        <v>46475</v>
      </c>
      <c r="RD3" s="18">
        <v>46482</v>
      </c>
      <c r="RE3" s="18">
        <v>46489</v>
      </c>
      <c r="RF3" s="18">
        <v>46496</v>
      </c>
      <c r="RG3" s="18">
        <v>46503</v>
      </c>
      <c r="RH3" s="18">
        <v>46510</v>
      </c>
      <c r="RI3" s="18">
        <v>46517</v>
      </c>
      <c r="RJ3" s="18">
        <v>46524</v>
      </c>
      <c r="RK3" s="18">
        <v>46531</v>
      </c>
      <c r="RL3" s="18">
        <v>46538</v>
      </c>
      <c r="RM3" s="18">
        <v>46545</v>
      </c>
      <c r="RN3" s="18">
        <v>46552</v>
      </c>
      <c r="RO3" s="18">
        <v>46559</v>
      </c>
      <c r="RP3" s="18">
        <v>46566</v>
      </c>
      <c r="RQ3" s="18">
        <v>46573</v>
      </c>
      <c r="RR3" s="18">
        <v>46580</v>
      </c>
      <c r="RS3" s="18">
        <v>46587</v>
      </c>
      <c r="RT3" s="18">
        <v>46594</v>
      </c>
      <c r="RU3" s="18">
        <v>46601</v>
      </c>
      <c r="RV3" s="18">
        <v>46608</v>
      </c>
      <c r="RW3" s="18">
        <v>46615</v>
      </c>
      <c r="RX3" s="18">
        <v>46622</v>
      </c>
      <c r="RY3" s="18">
        <v>46629</v>
      </c>
      <c r="RZ3" s="18">
        <v>46636</v>
      </c>
      <c r="SA3" s="18">
        <v>46643</v>
      </c>
      <c r="SB3" s="18">
        <v>46650</v>
      </c>
      <c r="SC3" s="18">
        <v>46657</v>
      </c>
      <c r="SD3" s="18">
        <v>46664</v>
      </c>
      <c r="SE3" s="18">
        <v>46671</v>
      </c>
      <c r="SF3" s="18">
        <v>46678</v>
      </c>
      <c r="SG3" s="18">
        <v>46685</v>
      </c>
      <c r="SH3" s="18">
        <v>46692</v>
      </c>
      <c r="SI3" s="18">
        <v>46699</v>
      </c>
      <c r="SJ3" s="18">
        <v>46706</v>
      </c>
      <c r="SK3" s="18">
        <v>46713</v>
      </c>
      <c r="SL3" s="18">
        <v>46720</v>
      </c>
      <c r="SM3" s="18">
        <v>46727</v>
      </c>
      <c r="SN3" s="18">
        <v>46734</v>
      </c>
      <c r="SO3" s="18">
        <v>46741</v>
      </c>
      <c r="SP3" s="18">
        <v>46748</v>
      </c>
      <c r="SQ3" s="18">
        <v>46755</v>
      </c>
      <c r="SR3" s="18">
        <v>46762</v>
      </c>
      <c r="SS3" s="18">
        <v>46769</v>
      </c>
      <c r="ST3" s="18">
        <v>46776</v>
      </c>
      <c r="SU3" s="18">
        <v>46783</v>
      </c>
      <c r="SV3" s="18">
        <v>46790</v>
      </c>
      <c r="SW3" s="18">
        <v>46797</v>
      </c>
      <c r="SX3" s="18">
        <v>46804</v>
      </c>
      <c r="SY3" s="18">
        <v>46811</v>
      </c>
      <c r="SZ3" s="18">
        <v>46818</v>
      </c>
      <c r="TA3" s="18">
        <v>46825</v>
      </c>
      <c r="TB3" s="18">
        <v>46832</v>
      </c>
      <c r="TC3" s="18">
        <v>46839</v>
      </c>
      <c r="TD3" s="18">
        <v>46846</v>
      </c>
      <c r="TE3" s="18">
        <v>46853</v>
      </c>
      <c r="TF3" s="18">
        <v>46860</v>
      </c>
      <c r="TG3" s="18">
        <v>46867</v>
      </c>
      <c r="TH3" s="18">
        <v>46874</v>
      </c>
      <c r="TI3" s="18">
        <v>46881</v>
      </c>
      <c r="TJ3" s="18">
        <v>46888</v>
      </c>
      <c r="TK3" s="18">
        <v>46895</v>
      </c>
      <c r="TL3" s="18">
        <v>46902</v>
      </c>
      <c r="TM3" s="18">
        <v>46909</v>
      </c>
      <c r="TN3" s="18">
        <v>46916</v>
      </c>
      <c r="TO3" s="18">
        <v>46923</v>
      </c>
      <c r="TP3" s="18">
        <v>46930</v>
      </c>
      <c r="TQ3" s="18">
        <v>46937</v>
      </c>
      <c r="TR3" s="18">
        <v>46944</v>
      </c>
      <c r="TS3" s="18">
        <v>46951</v>
      </c>
      <c r="TT3" s="18">
        <v>46958</v>
      </c>
      <c r="TU3" s="18">
        <v>46965</v>
      </c>
      <c r="TV3" s="18">
        <v>46972</v>
      </c>
      <c r="TW3" s="18">
        <v>46979</v>
      </c>
      <c r="TX3" s="18">
        <v>46986</v>
      </c>
      <c r="TY3" s="18">
        <v>46993</v>
      </c>
      <c r="TZ3" s="18">
        <v>47000</v>
      </c>
      <c r="UA3" s="18">
        <v>47007</v>
      </c>
      <c r="UB3" s="18">
        <v>47014</v>
      </c>
      <c r="UC3" s="18">
        <v>47021</v>
      </c>
      <c r="UD3" s="18">
        <v>47028</v>
      </c>
      <c r="UE3" s="18">
        <v>47035</v>
      </c>
      <c r="UF3" s="18">
        <v>47042</v>
      </c>
      <c r="UG3" s="18">
        <v>47049</v>
      </c>
      <c r="UH3" s="18">
        <v>47056</v>
      </c>
      <c r="UI3" s="18">
        <v>47063</v>
      </c>
      <c r="UJ3" s="18">
        <v>47070</v>
      </c>
      <c r="UK3" s="18">
        <v>47077</v>
      </c>
      <c r="UL3" s="18">
        <v>47084</v>
      </c>
      <c r="UM3" s="18">
        <v>47091</v>
      </c>
      <c r="UN3" s="18">
        <v>47098</v>
      </c>
      <c r="UO3" s="18">
        <v>47105</v>
      </c>
      <c r="UP3" s="18">
        <v>47112</v>
      </c>
      <c r="UQ3" s="18">
        <v>47119</v>
      </c>
      <c r="UR3" s="18">
        <v>47126</v>
      </c>
      <c r="US3" s="18">
        <v>47133</v>
      </c>
      <c r="UT3" s="18">
        <v>47140</v>
      </c>
      <c r="UU3" s="18">
        <v>47147</v>
      </c>
      <c r="UV3" s="18">
        <v>47154</v>
      </c>
      <c r="UW3" s="18">
        <v>47161</v>
      </c>
      <c r="UX3" s="18">
        <v>47168</v>
      </c>
      <c r="UY3" s="18">
        <v>47175</v>
      </c>
      <c r="UZ3" s="18">
        <v>47182</v>
      </c>
      <c r="VA3" s="18">
        <v>47189</v>
      </c>
      <c r="VB3" s="18">
        <v>47196</v>
      </c>
      <c r="VC3" s="18">
        <v>47203</v>
      </c>
      <c r="VD3" s="18">
        <v>47210</v>
      </c>
      <c r="VE3" s="18">
        <v>47217</v>
      </c>
      <c r="VF3" s="18">
        <v>47224</v>
      </c>
      <c r="VG3" s="18">
        <v>47231</v>
      </c>
      <c r="VH3" s="18">
        <v>47238</v>
      </c>
      <c r="VI3" s="18">
        <v>47245</v>
      </c>
      <c r="VJ3" s="18">
        <v>47252</v>
      </c>
      <c r="VK3" s="18">
        <v>47259</v>
      </c>
      <c r="VL3" s="18">
        <v>47266</v>
      </c>
      <c r="VM3" s="18">
        <v>47273</v>
      </c>
      <c r="VN3" s="18">
        <v>47280</v>
      </c>
      <c r="VO3" s="18">
        <v>47287</v>
      </c>
      <c r="VP3" s="18">
        <v>47294</v>
      </c>
      <c r="VQ3" s="18">
        <v>47301</v>
      </c>
      <c r="VR3" s="18">
        <v>47308</v>
      </c>
      <c r="VS3" s="18">
        <v>47315</v>
      </c>
      <c r="VT3" s="18">
        <v>47322</v>
      </c>
      <c r="VU3" s="18">
        <v>47329</v>
      </c>
      <c r="VV3" s="18">
        <v>47336</v>
      </c>
      <c r="VW3" s="18">
        <v>47343</v>
      </c>
      <c r="VX3" s="18">
        <v>47350</v>
      </c>
      <c r="VY3" s="18">
        <v>47357</v>
      </c>
      <c r="VZ3" s="18">
        <v>47364</v>
      </c>
      <c r="WA3" s="18">
        <v>47371</v>
      </c>
      <c r="WB3" s="18">
        <v>47378</v>
      </c>
      <c r="WC3" s="18">
        <v>47385</v>
      </c>
      <c r="WD3" s="18">
        <v>47392</v>
      </c>
      <c r="WE3" s="18">
        <v>47399</v>
      </c>
      <c r="WF3" s="18">
        <v>47406</v>
      </c>
      <c r="WG3" s="18">
        <v>47413</v>
      </c>
      <c r="WH3" s="18">
        <v>47420</v>
      </c>
      <c r="WI3" s="18">
        <v>47427</v>
      </c>
      <c r="WJ3" s="18">
        <v>47434</v>
      </c>
      <c r="WK3" s="18">
        <v>47441</v>
      </c>
      <c r="WL3" s="18">
        <v>47448</v>
      </c>
      <c r="WM3" s="18">
        <v>47455</v>
      </c>
      <c r="WN3" s="18">
        <v>47462</v>
      </c>
      <c r="WO3" s="18">
        <v>47469</v>
      </c>
      <c r="WP3" s="18">
        <v>47476</v>
      </c>
      <c r="WQ3" s="18">
        <v>47483</v>
      </c>
      <c r="WR3" s="18">
        <v>47490</v>
      </c>
      <c r="WS3" s="18">
        <v>47497</v>
      </c>
      <c r="WT3" s="18">
        <v>47504</v>
      </c>
      <c r="WU3" s="18">
        <v>47511</v>
      </c>
      <c r="WV3" s="18">
        <v>47518</v>
      </c>
      <c r="WW3" s="18">
        <v>47525</v>
      </c>
      <c r="WX3" s="18">
        <v>47532</v>
      </c>
      <c r="WY3" s="18">
        <v>47539</v>
      </c>
      <c r="WZ3" s="18">
        <v>47546</v>
      </c>
      <c r="XA3" s="18">
        <v>47553</v>
      </c>
      <c r="XB3" s="18">
        <v>47560</v>
      </c>
      <c r="XC3" s="18">
        <v>47567</v>
      </c>
      <c r="XD3" s="18">
        <v>47574</v>
      </c>
      <c r="XE3" s="18">
        <v>47581</v>
      </c>
      <c r="XF3" s="18">
        <v>47588</v>
      </c>
      <c r="XG3" s="18">
        <v>47595</v>
      </c>
      <c r="XH3" s="18">
        <v>47602</v>
      </c>
      <c r="XI3" s="18">
        <v>47609</v>
      </c>
      <c r="XJ3" s="18">
        <v>47616</v>
      </c>
      <c r="XK3" s="18">
        <v>47623</v>
      </c>
      <c r="XL3" s="18">
        <v>47630</v>
      </c>
      <c r="XM3" s="18">
        <v>47637</v>
      </c>
      <c r="XN3" s="18">
        <v>47644</v>
      </c>
      <c r="XO3" s="18">
        <v>47651</v>
      </c>
      <c r="XP3" s="18">
        <v>47658</v>
      </c>
      <c r="XQ3" s="18">
        <v>47665</v>
      </c>
      <c r="XR3" s="18">
        <v>47672</v>
      </c>
      <c r="XS3" s="18">
        <v>47679</v>
      </c>
      <c r="XT3" s="18">
        <v>47686</v>
      </c>
      <c r="XU3" s="18">
        <v>47693</v>
      </c>
      <c r="XV3" s="18">
        <v>47700</v>
      </c>
      <c r="XW3" s="18">
        <v>47707</v>
      </c>
      <c r="XX3" s="18">
        <v>47714</v>
      </c>
      <c r="XY3" s="18">
        <v>47721</v>
      </c>
      <c r="XZ3" s="18">
        <v>47728</v>
      </c>
      <c r="YA3" s="18">
        <v>47735</v>
      </c>
      <c r="YB3" s="18">
        <v>47742</v>
      </c>
      <c r="YC3" s="18">
        <v>47749</v>
      </c>
      <c r="YD3" s="18">
        <v>47756</v>
      </c>
      <c r="YE3" s="18">
        <v>47763</v>
      </c>
      <c r="YF3" s="18">
        <v>47770</v>
      </c>
      <c r="YG3" s="18">
        <v>47777</v>
      </c>
      <c r="YH3" s="18">
        <v>47784</v>
      </c>
      <c r="YI3" s="18">
        <v>47791</v>
      </c>
      <c r="YJ3" s="18">
        <v>47798</v>
      </c>
      <c r="YK3" s="18">
        <v>47805</v>
      </c>
      <c r="YL3" s="18">
        <v>47812</v>
      </c>
      <c r="YM3" s="18">
        <v>47819</v>
      </c>
      <c r="YN3" s="18">
        <v>47826</v>
      </c>
      <c r="YO3" s="18">
        <v>47833</v>
      </c>
      <c r="YP3" s="18">
        <v>47840</v>
      </c>
      <c r="YQ3" s="18">
        <v>47847</v>
      </c>
      <c r="YR3" s="18">
        <v>47854</v>
      </c>
      <c r="YS3" s="18">
        <v>47861</v>
      </c>
      <c r="YT3" s="18">
        <v>47868</v>
      </c>
      <c r="YU3" s="18">
        <v>47875</v>
      </c>
      <c r="YV3" s="18">
        <v>47882</v>
      </c>
      <c r="YW3" s="18">
        <v>47889</v>
      </c>
      <c r="YX3" s="18">
        <v>47896</v>
      </c>
      <c r="YY3" s="18">
        <v>47903</v>
      </c>
      <c r="YZ3" s="18">
        <v>47910</v>
      </c>
      <c r="ZA3" s="18">
        <v>47917</v>
      </c>
      <c r="ZB3" s="18">
        <v>47924</v>
      </c>
      <c r="ZC3" s="18">
        <v>47931</v>
      </c>
      <c r="ZD3" s="18">
        <v>47938</v>
      </c>
      <c r="ZE3" s="18">
        <v>47945</v>
      </c>
      <c r="ZF3" s="18">
        <v>47952</v>
      </c>
      <c r="ZG3" s="18">
        <v>47959</v>
      </c>
      <c r="ZH3" s="18">
        <v>47966</v>
      </c>
      <c r="ZI3" s="18">
        <v>47973</v>
      </c>
      <c r="ZJ3" s="18">
        <v>47980</v>
      </c>
      <c r="ZK3" s="18">
        <v>47987</v>
      </c>
      <c r="ZL3" s="18">
        <v>47994</v>
      </c>
      <c r="ZM3" s="18">
        <v>48001</v>
      </c>
      <c r="ZN3" s="18">
        <v>48008</v>
      </c>
      <c r="ZO3" s="18">
        <v>48015</v>
      </c>
      <c r="ZP3" s="18">
        <v>48022</v>
      </c>
      <c r="ZQ3" s="18">
        <v>48029</v>
      </c>
      <c r="ZR3" s="18">
        <v>48036</v>
      </c>
      <c r="ZS3" s="18">
        <v>48043</v>
      </c>
      <c r="ZT3" s="18">
        <v>48050</v>
      </c>
      <c r="ZU3" s="18">
        <v>48057</v>
      </c>
      <c r="ZV3" s="18">
        <v>48064</v>
      </c>
      <c r="ZW3" s="18">
        <v>48071</v>
      </c>
      <c r="ZX3" s="18">
        <v>48078</v>
      </c>
      <c r="ZY3" s="18">
        <v>48085</v>
      </c>
      <c r="ZZ3" s="18">
        <v>48092</v>
      </c>
      <c r="AAA3" s="18">
        <v>48099</v>
      </c>
      <c r="AAB3" s="18">
        <v>48106</v>
      </c>
      <c r="AAC3" s="18">
        <v>48113</v>
      </c>
      <c r="AAD3" s="18">
        <v>48120</v>
      </c>
      <c r="AAE3" s="18">
        <v>48127</v>
      </c>
      <c r="AAF3" s="18">
        <v>48134</v>
      </c>
      <c r="AAG3" s="18">
        <v>48141</v>
      </c>
      <c r="AAH3" s="18">
        <v>48148</v>
      </c>
      <c r="AAI3" s="18">
        <v>48155</v>
      </c>
      <c r="AAJ3" s="18">
        <v>48162</v>
      </c>
      <c r="AAK3" s="18">
        <v>48169</v>
      </c>
      <c r="AAL3" s="18">
        <v>48176</v>
      </c>
      <c r="AAM3" s="18">
        <v>48183</v>
      </c>
      <c r="AAN3" s="18">
        <v>48190</v>
      </c>
      <c r="AAO3" s="18">
        <v>48197</v>
      </c>
      <c r="AAP3" s="18">
        <v>48204</v>
      </c>
      <c r="AAQ3" s="18">
        <v>48211</v>
      </c>
      <c r="AAR3" s="18">
        <v>48218</v>
      </c>
      <c r="AAS3" s="18">
        <v>48225</v>
      </c>
      <c r="AAT3" s="18">
        <v>48232</v>
      </c>
      <c r="AAU3" s="18">
        <v>48239</v>
      </c>
      <c r="AAV3" s="18">
        <v>48246</v>
      </c>
      <c r="AAW3" s="18">
        <v>48253</v>
      </c>
      <c r="AAX3" s="18">
        <v>48260</v>
      </c>
      <c r="AAY3" s="18">
        <v>48267</v>
      </c>
      <c r="AAZ3" s="18">
        <v>48274</v>
      </c>
      <c r="ABA3" s="18">
        <v>48281</v>
      </c>
      <c r="ABB3" s="18">
        <v>48288</v>
      </c>
      <c r="ABC3" s="18">
        <v>48295</v>
      </c>
      <c r="ABD3" s="18">
        <v>48302</v>
      </c>
      <c r="ABE3" s="18">
        <v>48309</v>
      </c>
      <c r="ABF3" s="18">
        <v>48316</v>
      </c>
      <c r="ABG3" s="18">
        <v>48323</v>
      </c>
      <c r="ABH3" s="18">
        <v>48330</v>
      </c>
      <c r="ABI3" s="18">
        <v>48337</v>
      </c>
      <c r="ABJ3" s="18">
        <v>48344</v>
      </c>
      <c r="ABK3" s="18">
        <v>48351</v>
      </c>
      <c r="ABL3" s="18">
        <v>48358</v>
      </c>
      <c r="ABM3" s="18">
        <v>48365</v>
      </c>
      <c r="ABN3" s="18">
        <v>48372</v>
      </c>
      <c r="ABO3" s="18">
        <v>48379</v>
      </c>
      <c r="ABP3" s="18">
        <v>48386</v>
      </c>
      <c r="ABQ3" s="18">
        <v>48393</v>
      </c>
      <c r="ABR3" s="18">
        <v>48400</v>
      </c>
      <c r="ABS3" s="18">
        <v>48407</v>
      </c>
      <c r="ABT3" s="18">
        <v>48414</v>
      </c>
      <c r="ABU3" s="18">
        <v>48421</v>
      </c>
      <c r="ABV3" s="18">
        <v>48428</v>
      </c>
      <c r="ABW3" s="18">
        <v>48435</v>
      </c>
      <c r="ABX3" s="18">
        <v>48442</v>
      </c>
      <c r="ABY3" s="18">
        <v>48449</v>
      </c>
      <c r="ABZ3" s="18">
        <v>48456</v>
      </c>
      <c r="ACA3" s="18">
        <v>48463</v>
      </c>
      <c r="ACB3" s="18">
        <v>48470</v>
      </c>
      <c r="ACC3" s="18">
        <v>48477</v>
      </c>
      <c r="ACD3" s="18">
        <v>48484</v>
      </c>
      <c r="ACE3" s="18">
        <v>48491</v>
      </c>
      <c r="ACF3" s="18">
        <v>48498</v>
      </c>
      <c r="ACG3" s="18">
        <v>48505</v>
      </c>
      <c r="ACH3" s="18">
        <v>48512</v>
      </c>
      <c r="ACI3" s="18">
        <v>48519</v>
      </c>
      <c r="ACJ3" s="18">
        <v>48526</v>
      </c>
      <c r="ACK3" s="18">
        <v>48533</v>
      </c>
      <c r="ACL3" s="18">
        <v>48540</v>
      </c>
      <c r="ACM3" s="18">
        <v>48547</v>
      </c>
      <c r="ACN3" s="18">
        <v>48554</v>
      </c>
      <c r="ACO3" s="18">
        <v>48561</v>
      </c>
      <c r="ACP3" s="18">
        <v>48568</v>
      </c>
      <c r="ACQ3" s="18">
        <v>48575</v>
      </c>
      <c r="ACR3" s="18">
        <v>48582</v>
      </c>
      <c r="ACS3" s="18">
        <v>48589</v>
      </c>
      <c r="ACT3" s="18">
        <v>48596</v>
      </c>
      <c r="ACU3" s="18">
        <v>48603</v>
      </c>
      <c r="ACV3" s="18">
        <v>48610</v>
      </c>
      <c r="ACW3" s="18">
        <v>48617</v>
      </c>
      <c r="ACX3" s="18">
        <v>48624</v>
      </c>
      <c r="ACY3" s="18">
        <v>48631</v>
      </c>
      <c r="ACZ3" s="18">
        <v>48638</v>
      </c>
      <c r="ADA3" s="18">
        <v>48645</v>
      </c>
      <c r="ADB3" s="18">
        <v>48652</v>
      </c>
      <c r="ADC3" s="18">
        <v>48659</v>
      </c>
      <c r="ADD3" s="18">
        <v>48666</v>
      </c>
      <c r="ADE3" s="18">
        <v>48673</v>
      </c>
      <c r="ADF3" s="18">
        <v>48680</v>
      </c>
      <c r="ADG3" s="18">
        <v>48687</v>
      </c>
      <c r="ADH3" s="18">
        <v>48694</v>
      </c>
      <c r="ADI3" s="18">
        <v>48701</v>
      </c>
      <c r="ADJ3" s="18">
        <v>48708</v>
      </c>
      <c r="ADK3" s="18">
        <v>48715</v>
      </c>
      <c r="ADL3" s="18">
        <v>48722</v>
      </c>
      <c r="ADM3" s="18">
        <v>48729</v>
      </c>
      <c r="ADN3" s="18">
        <v>48736</v>
      </c>
      <c r="ADO3" s="18">
        <v>48743</v>
      </c>
      <c r="ADP3" s="18">
        <v>48750</v>
      </c>
      <c r="ADQ3" s="18">
        <v>48757</v>
      </c>
      <c r="ADR3" s="18">
        <v>48764</v>
      </c>
      <c r="ADS3" s="18">
        <v>48771</v>
      </c>
      <c r="ADT3" s="18">
        <v>48778</v>
      </c>
      <c r="ADU3" s="18">
        <v>48785</v>
      </c>
      <c r="ADV3" s="18">
        <v>48792</v>
      </c>
      <c r="ADW3" s="18">
        <v>48799</v>
      </c>
      <c r="ADX3" s="18">
        <v>48806</v>
      </c>
      <c r="ADY3" s="18">
        <v>48813</v>
      </c>
      <c r="ADZ3" s="18">
        <v>48820</v>
      </c>
      <c r="AEA3" s="18">
        <v>48827</v>
      </c>
      <c r="AEB3" s="18">
        <v>48834</v>
      </c>
      <c r="AEC3" s="18">
        <v>48841</v>
      </c>
      <c r="AED3" s="18">
        <v>48848</v>
      </c>
      <c r="AEE3" s="18">
        <v>48855</v>
      </c>
      <c r="AEF3" s="18">
        <v>48862</v>
      </c>
      <c r="AEG3" s="18">
        <v>48869</v>
      </c>
      <c r="AEH3" s="18">
        <v>48876</v>
      </c>
      <c r="AEI3" s="18">
        <v>48883</v>
      </c>
      <c r="AEJ3" s="18">
        <v>48890</v>
      </c>
      <c r="AEK3" s="18">
        <v>48897</v>
      </c>
      <c r="AEL3" s="18">
        <v>48904</v>
      </c>
      <c r="AEM3" s="18">
        <v>48911</v>
      </c>
      <c r="AEN3" s="18">
        <v>48918</v>
      </c>
      <c r="AEO3" s="18">
        <v>48925</v>
      </c>
      <c r="AEP3" s="18">
        <v>48932</v>
      </c>
      <c r="AEQ3" s="18">
        <v>48939</v>
      </c>
      <c r="AER3" s="18">
        <v>48946</v>
      </c>
      <c r="AES3" s="18">
        <v>48953</v>
      </c>
      <c r="AET3" s="18">
        <v>48960</v>
      </c>
      <c r="AEU3" s="18">
        <v>48967</v>
      </c>
      <c r="AEV3" s="18">
        <v>48974</v>
      </c>
      <c r="AEW3" s="18">
        <v>48981</v>
      </c>
      <c r="AEX3" s="18">
        <v>48988</v>
      </c>
      <c r="AEY3" s="18">
        <v>48995</v>
      </c>
      <c r="AEZ3" s="18">
        <v>49002</v>
      </c>
      <c r="AFA3" s="18">
        <v>49009</v>
      </c>
      <c r="AFB3" s="18">
        <v>49016</v>
      </c>
      <c r="AFC3" s="18">
        <v>49023</v>
      </c>
      <c r="AFD3" s="18">
        <v>49030</v>
      </c>
      <c r="AFE3" s="18">
        <v>49037</v>
      </c>
      <c r="AFF3" s="18">
        <v>49044</v>
      </c>
      <c r="AFG3" s="18">
        <v>49051</v>
      </c>
      <c r="AFH3" s="18">
        <v>49058</v>
      </c>
      <c r="AFI3" s="18">
        <v>49065</v>
      </c>
      <c r="AFJ3" s="18">
        <v>49072</v>
      </c>
      <c r="AFK3" s="18">
        <v>49079</v>
      </c>
      <c r="AFL3" s="18">
        <v>49086</v>
      </c>
      <c r="AFM3" s="18">
        <v>49093</v>
      </c>
      <c r="AFN3" s="18">
        <v>49100</v>
      </c>
      <c r="AFO3" s="18">
        <v>49107</v>
      </c>
      <c r="AFP3" s="18">
        <v>49114</v>
      </c>
      <c r="AFQ3" s="18">
        <v>49121</v>
      </c>
      <c r="AFR3" s="18">
        <v>49128</v>
      </c>
      <c r="AFS3" s="18">
        <v>49135</v>
      </c>
      <c r="AFT3" s="18">
        <v>49142</v>
      </c>
      <c r="AFU3" s="18">
        <v>49149</v>
      </c>
      <c r="AFV3" s="18">
        <v>49156</v>
      </c>
      <c r="AFW3" s="18">
        <v>49163</v>
      </c>
      <c r="AFX3" s="18">
        <v>49170</v>
      </c>
      <c r="AFY3" s="18">
        <v>49177</v>
      </c>
      <c r="AFZ3" s="18">
        <v>49184</v>
      </c>
      <c r="AGA3" s="18">
        <v>49191</v>
      </c>
      <c r="AGB3" s="18">
        <v>49198</v>
      </c>
      <c r="AGC3" s="18">
        <v>49205</v>
      </c>
      <c r="AGD3" s="18">
        <v>49212</v>
      </c>
      <c r="AGE3" s="18">
        <v>49219</v>
      </c>
      <c r="AGF3" s="18">
        <v>49226</v>
      </c>
      <c r="AGG3" s="18">
        <v>49233</v>
      </c>
      <c r="AGH3" s="18">
        <v>49240</v>
      </c>
      <c r="AGI3" s="18">
        <v>49247</v>
      </c>
      <c r="AGJ3" s="18">
        <v>49254</v>
      </c>
      <c r="AGK3" s="18">
        <v>49261</v>
      </c>
      <c r="AGL3" s="18">
        <v>49268</v>
      </c>
      <c r="AGM3" s="18">
        <v>49275</v>
      </c>
      <c r="AGN3" s="18">
        <v>49282</v>
      </c>
      <c r="AGO3" s="18">
        <v>49289</v>
      </c>
      <c r="AGP3" s="18">
        <v>49296</v>
      </c>
      <c r="AGQ3" s="18">
        <v>49303</v>
      </c>
      <c r="AGR3" s="18">
        <v>49310</v>
      </c>
      <c r="AGS3" s="18">
        <v>49317</v>
      </c>
      <c r="AGT3" s="18">
        <v>49324</v>
      </c>
      <c r="AGU3" s="18">
        <v>49331</v>
      </c>
      <c r="AGV3" s="18">
        <v>49338</v>
      </c>
      <c r="AGW3" s="18">
        <v>49345</v>
      </c>
      <c r="AGX3" s="18">
        <v>49352</v>
      </c>
      <c r="AGY3" s="18">
        <v>49359</v>
      </c>
      <c r="AGZ3" s="18">
        <v>49366</v>
      </c>
      <c r="AHA3" s="18">
        <v>49373</v>
      </c>
      <c r="AHB3" s="18">
        <v>49380</v>
      </c>
      <c r="AHC3" s="18">
        <v>49387</v>
      </c>
      <c r="AHD3" s="18">
        <v>49394</v>
      </c>
      <c r="AHE3" s="18">
        <v>49401</v>
      </c>
      <c r="AHF3" s="18">
        <v>49408</v>
      </c>
      <c r="AHG3" s="18">
        <v>49415</v>
      </c>
      <c r="AHH3" s="18">
        <v>49422</v>
      </c>
      <c r="AHI3" s="18">
        <v>49429</v>
      </c>
      <c r="AHJ3" s="18">
        <v>49436</v>
      </c>
      <c r="AHK3" s="18">
        <v>49443</v>
      </c>
      <c r="AHL3" s="18">
        <v>49450</v>
      </c>
      <c r="AHM3" s="18">
        <v>49457</v>
      </c>
      <c r="AHN3" s="18">
        <v>49464</v>
      </c>
      <c r="AHO3" s="18">
        <v>49471</v>
      </c>
      <c r="AHP3" s="18">
        <v>49478</v>
      </c>
      <c r="AHQ3" s="18">
        <v>49485</v>
      </c>
      <c r="AHR3" s="18">
        <v>49492</v>
      </c>
      <c r="AHS3" s="18">
        <v>49499</v>
      </c>
      <c r="AHT3" s="18">
        <v>49506</v>
      </c>
      <c r="AHU3" s="18">
        <v>49513</v>
      </c>
      <c r="AHV3" s="18">
        <v>49520</v>
      </c>
      <c r="AHW3" s="18">
        <v>49527</v>
      </c>
      <c r="AHX3" s="18">
        <v>49534</v>
      </c>
      <c r="AHY3" s="18">
        <v>49541</v>
      </c>
      <c r="AHZ3" s="18">
        <v>49548</v>
      </c>
      <c r="AIA3" s="18">
        <v>49555</v>
      </c>
      <c r="AIB3" s="18">
        <v>49562</v>
      </c>
      <c r="AIC3" s="18">
        <v>49569</v>
      </c>
      <c r="AID3" s="18">
        <v>49576</v>
      </c>
      <c r="AIE3" s="18">
        <v>49583</v>
      </c>
      <c r="AIF3" s="18">
        <v>49590</v>
      </c>
      <c r="AIG3" s="18">
        <v>49597</v>
      </c>
      <c r="AIH3" s="18">
        <v>49604</v>
      </c>
      <c r="AII3" s="18">
        <v>49611</v>
      </c>
      <c r="AIJ3" s="18">
        <v>49618</v>
      </c>
      <c r="AIK3" s="18">
        <v>49625</v>
      </c>
      <c r="AIL3" s="18">
        <v>49632</v>
      </c>
      <c r="AIM3" s="18">
        <v>49639</v>
      </c>
      <c r="AIN3" s="18">
        <v>49646</v>
      </c>
      <c r="AIO3" s="18">
        <v>49653</v>
      </c>
      <c r="AIP3" s="18">
        <v>49660</v>
      </c>
      <c r="AIQ3" s="18">
        <v>49667</v>
      </c>
      <c r="AIR3" s="18">
        <v>49674</v>
      </c>
      <c r="AIS3" s="18">
        <v>49681</v>
      </c>
      <c r="AIT3" s="18">
        <v>49688</v>
      </c>
      <c r="AIU3" s="18">
        <v>49695</v>
      </c>
      <c r="AIV3" s="18">
        <v>49702</v>
      </c>
      <c r="AIW3" s="18">
        <v>49709</v>
      </c>
      <c r="AIX3" s="18">
        <v>49716</v>
      </c>
      <c r="AIY3" s="18">
        <v>49723</v>
      </c>
      <c r="AIZ3" s="18">
        <v>49730</v>
      </c>
      <c r="AJA3" s="18">
        <v>49737</v>
      </c>
      <c r="AJB3" s="18">
        <v>49744</v>
      </c>
      <c r="AJC3" s="18">
        <v>49751</v>
      </c>
      <c r="AJD3" s="18">
        <v>49758</v>
      </c>
      <c r="AJE3" s="18">
        <v>49765</v>
      </c>
      <c r="AJF3" s="18">
        <v>49772</v>
      </c>
      <c r="AJG3" s="18">
        <v>49779</v>
      </c>
      <c r="AJH3" s="18">
        <v>49786</v>
      </c>
      <c r="AJI3" s="18">
        <v>49793</v>
      </c>
      <c r="AJJ3" s="18">
        <v>49800</v>
      </c>
      <c r="AJK3" s="18">
        <v>49807</v>
      </c>
      <c r="AJL3" s="18">
        <v>49814</v>
      </c>
      <c r="AJM3" s="18">
        <v>49821</v>
      </c>
      <c r="AJN3" s="18">
        <v>49828</v>
      </c>
      <c r="AJO3" s="18">
        <v>49835</v>
      </c>
      <c r="AJP3" s="18">
        <v>49842</v>
      </c>
      <c r="AJQ3" s="18">
        <v>49849</v>
      </c>
      <c r="AJR3" s="18">
        <v>49856</v>
      </c>
      <c r="AJS3" s="18">
        <v>49863</v>
      </c>
      <c r="AJT3" s="18">
        <v>49870</v>
      </c>
      <c r="AJU3" s="18">
        <v>49877</v>
      </c>
      <c r="AJV3" s="18">
        <v>49884</v>
      </c>
      <c r="AJW3" s="18">
        <v>49891</v>
      </c>
      <c r="AJX3" s="18">
        <v>49898</v>
      </c>
      <c r="AJY3" s="18">
        <v>49905</v>
      </c>
      <c r="AJZ3" s="18">
        <v>49912</v>
      </c>
      <c r="AKA3" s="18">
        <v>49919</v>
      </c>
      <c r="AKB3" s="18">
        <v>49926</v>
      </c>
      <c r="AKC3" s="18">
        <v>49933</v>
      </c>
      <c r="AKD3" s="18">
        <v>49940</v>
      </c>
      <c r="AKE3" s="18">
        <v>49947</v>
      </c>
      <c r="AKF3" s="18">
        <v>49954</v>
      </c>
      <c r="AKG3" s="18">
        <v>49961</v>
      </c>
      <c r="AKH3" s="18">
        <v>49968</v>
      </c>
      <c r="AKI3" s="18">
        <v>49975</v>
      </c>
      <c r="AKJ3" s="18">
        <v>49982</v>
      </c>
      <c r="AKK3" s="18">
        <v>49989</v>
      </c>
      <c r="AKL3" s="18">
        <v>49996</v>
      </c>
      <c r="AKM3" s="18">
        <v>50003</v>
      </c>
      <c r="AKN3" s="18">
        <v>50010</v>
      </c>
      <c r="AKO3" s="18">
        <v>50017</v>
      </c>
      <c r="AKP3" s="18">
        <v>50024</v>
      </c>
      <c r="AKQ3" s="18">
        <v>50031</v>
      </c>
      <c r="AKR3" s="18">
        <v>50038</v>
      </c>
      <c r="AKS3" s="18">
        <v>50045</v>
      </c>
      <c r="AKT3" s="18">
        <v>50052</v>
      </c>
      <c r="AKU3" s="18">
        <v>50059</v>
      </c>
      <c r="AKV3" s="18">
        <v>50066</v>
      </c>
      <c r="AKW3" s="18">
        <v>50073</v>
      </c>
      <c r="AKX3" s="18">
        <v>50080</v>
      </c>
      <c r="AKY3" s="18">
        <v>50087</v>
      </c>
      <c r="AKZ3" s="18">
        <v>50094</v>
      </c>
      <c r="ALA3" s="18">
        <v>50101</v>
      </c>
      <c r="ALB3" s="18">
        <v>50108</v>
      </c>
      <c r="ALC3" s="18">
        <v>50115</v>
      </c>
      <c r="ALD3" s="18">
        <v>50122</v>
      </c>
      <c r="ALE3" s="18">
        <v>50129</v>
      </c>
      <c r="ALF3" s="18">
        <v>50136</v>
      </c>
      <c r="ALG3" s="18">
        <v>50143</v>
      </c>
      <c r="ALH3" s="18">
        <v>50150</v>
      </c>
      <c r="ALI3" s="18">
        <v>50157</v>
      </c>
      <c r="ALJ3" s="18">
        <v>50164</v>
      </c>
      <c r="ALK3" s="18">
        <v>50171</v>
      </c>
      <c r="ALL3" s="18">
        <v>50178</v>
      </c>
      <c r="ALM3" s="18">
        <v>50185</v>
      </c>
      <c r="ALN3" s="18">
        <v>50192</v>
      </c>
      <c r="ALO3" s="18">
        <v>50199</v>
      </c>
      <c r="ALP3" s="18">
        <v>50206</v>
      </c>
      <c r="ALQ3" s="18">
        <v>50213</v>
      </c>
      <c r="ALR3" s="18">
        <v>50220</v>
      </c>
      <c r="ALS3" s="18">
        <v>50227</v>
      </c>
      <c r="ALT3" s="18">
        <v>50234</v>
      </c>
      <c r="ALU3" s="18">
        <v>50241</v>
      </c>
      <c r="ALV3" s="18">
        <v>50248</v>
      </c>
      <c r="ALW3" s="18">
        <v>50255</v>
      </c>
      <c r="ALX3" s="18">
        <v>50262</v>
      </c>
      <c r="ALY3" s="18">
        <v>50269</v>
      </c>
      <c r="ALZ3" s="18">
        <v>50276</v>
      </c>
      <c r="AMA3" s="18">
        <v>50283</v>
      </c>
      <c r="AMB3" s="18">
        <v>50290</v>
      </c>
      <c r="AMC3" s="18">
        <v>50297</v>
      </c>
      <c r="AMD3" s="18">
        <v>50304</v>
      </c>
      <c r="AME3" s="18">
        <v>50311</v>
      </c>
      <c r="AMF3" s="18">
        <v>50318</v>
      </c>
      <c r="AMG3" s="18">
        <v>50325</v>
      </c>
      <c r="AMH3" s="18">
        <v>50332</v>
      </c>
      <c r="AMI3" s="18">
        <v>50339</v>
      </c>
      <c r="AMJ3" s="18">
        <v>50346</v>
      </c>
      <c r="AMK3" s="18">
        <v>50353</v>
      </c>
      <c r="AML3" s="18">
        <v>50360</v>
      </c>
      <c r="AMM3" s="18">
        <v>50367</v>
      </c>
      <c r="AMN3" s="18">
        <v>50374</v>
      </c>
      <c r="AMO3" s="18">
        <v>50381</v>
      </c>
      <c r="AMP3" s="18">
        <v>50388</v>
      </c>
      <c r="AMQ3" s="18">
        <v>50395</v>
      </c>
      <c r="AMR3" s="18">
        <v>50402</v>
      </c>
      <c r="AMS3" s="18">
        <v>50409</v>
      </c>
      <c r="AMT3" s="18">
        <v>50416</v>
      </c>
      <c r="AMU3" s="18">
        <v>50423</v>
      </c>
      <c r="AMV3" s="18">
        <v>50430</v>
      </c>
      <c r="AMW3" s="18">
        <v>50437</v>
      </c>
      <c r="AMX3" s="18">
        <v>50444</v>
      </c>
      <c r="AMY3" s="18">
        <v>50451</v>
      </c>
      <c r="AMZ3" s="18">
        <v>50458</v>
      </c>
      <c r="ANA3" s="18">
        <v>50465</v>
      </c>
      <c r="ANB3" s="18">
        <v>50472</v>
      </c>
      <c r="ANC3" s="18">
        <v>50479</v>
      </c>
      <c r="AND3" s="18">
        <v>50486</v>
      </c>
      <c r="ANE3" s="18">
        <v>50493</v>
      </c>
      <c r="ANF3" s="18">
        <v>50500</v>
      </c>
      <c r="ANG3" s="18">
        <v>50507</v>
      </c>
      <c r="ANH3" s="18">
        <v>50514</v>
      </c>
      <c r="ANI3" s="18">
        <v>50521</v>
      </c>
      <c r="ANJ3" s="18">
        <v>50528</v>
      </c>
      <c r="ANK3" s="18">
        <v>50535</v>
      </c>
      <c r="ANL3" s="18">
        <v>50542</v>
      </c>
      <c r="ANM3" s="18">
        <v>50549</v>
      </c>
      <c r="ANN3" s="18">
        <v>50556</v>
      </c>
      <c r="ANO3" s="18">
        <v>50563</v>
      </c>
      <c r="ANP3" s="18">
        <v>50570</v>
      </c>
      <c r="ANQ3" s="18">
        <v>50577</v>
      </c>
      <c r="ANR3" s="18">
        <v>50584</v>
      </c>
      <c r="ANS3" s="18">
        <v>50591</v>
      </c>
      <c r="ANT3" s="18">
        <v>50598</v>
      </c>
      <c r="ANU3" s="18">
        <v>50605</v>
      </c>
      <c r="ANV3" s="18">
        <v>50612</v>
      </c>
      <c r="ANW3" s="18">
        <v>50619</v>
      </c>
      <c r="ANX3" s="18">
        <v>50626</v>
      </c>
      <c r="ANY3" s="18">
        <v>50633</v>
      </c>
      <c r="ANZ3" s="18">
        <v>50640</v>
      </c>
      <c r="AOA3" s="18">
        <v>50647</v>
      </c>
      <c r="AOB3" s="18">
        <v>50654</v>
      </c>
      <c r="AOC3" s="18">
        <v>50661</v>
      </c>
      <c r="AOD3" s="18">
        <v>50668</v>
      </c>
      <c r="AOE3" s="18">
        <v>50675</v>
      </c>
      <c r="AOF3" s="18">
        <v>50682</v>
      </c>
      <c r="AOG3" s="18">
        <v>50689</v>
      </c>
      <c r="AOH3" s="18">
        <v>50696</v>
      </c>
      <c r="AOI3" s="18">
        <v>50703</v>
      </c>
      <c r="AOJ3" s="18">
        <v>50710</v>
      </c>
      <c r="AOK3" s="18">
        <v>50717</v>
      </c>
      <c r="AOL3" s="18">
        <v>50724</v>
      </c>
      <c r="AOM3" s="18">
        <v>50731</v>
      </c>
      <c r="AON3" s="18">
        <v>50738</v>
      </c>
      <c r="AOO3" s="18">
        <v>50745</v>
      </c>
      <c r="AOP3" s="18">
        <v>50752</v>
      </c>
      <c r="AOQ3" s="18">
        <v>50759</v>
      </c>
      <c r="AOR3" s="18">
        <v>50766</v>
      </c>
      <c r="AOS3" s="18">
        <v>50773</v>
      </c>
      <c r="AOT3" s="18">
        <v>50780</v>
      </c>
      <c r="AOU3" s="18">
        <v>50787</v>
      </c>
      <c r="AOV3" s="18">
        <v>50794</v>
      </c>
      <c r="AOW3" s="18">
        <v>50801</v>
      </c>
      <c r="AOX3" s="18">
        <v>50808</v>
      </c>
      <c r="AOY3" s="18">
        <v>50815</v>
      </c>
      <c r="AOZ3" s="18">
        <v>50822</v>
      </c>
      <c r="APA3" s="18">
        <v>50829</v>
      </c>
      <c r="APB3" s="18">
        <v>50836</v>
      </c>
      <c r="APC3" s="18">
        <v>50843</v>
      </c>
      <c r="APD3" s="18">
        <v>50850</v>
      </c>
      <c r="APE3" s="18">
        <v>50857</v>
      </c>
      <c r="APF3" s="18">
        <v>50864</v>
      </c>
      <c r="APG3" s="18">
        <v>50871</v>
      </c>
      <c r="APH3" s="18">
        <v>50878</v>
      </c>
      <c r="API3" s="18">
        <v>50885</v>
      </c>
      <c r="APJ3" s="18">
        <v>50892</v>
      </c>
      <c r="APK3" s="18">
        <v>50899</v>
      </c>
      <c r="APL3" s="18">
        <v>50906</v>
      </c>
      <c r="APM3" s="18">
        <v>50913</v>
      </c>
      <c r="APN3" s="18">
        <v>50920</v>
      </c>
      <c r="APO3" s="18">
        <v>50927</v>
      </c>
      <c r="APP3" s="18">
        <v>50934</v>
      </c>
      <c r="APQ3" s="18">
        <v>50941</v>
      </c>
      <c r="APR3" s="18">
        <v>50948</v>
      </c>
      <c r="APS3" s="18">
        <v>50955</v>
      </c>
      <c r="APT3" s="18">
        <v>50962</v>
      </c>
      <c r="APU3" s="18">
        <v>50969</v>
      </c>
      <c r="APV3" s="18">
        <v>50976</v>
      </c>
      <c r="APW3" s="18">
        <v>50983</v>
      </c>
      <c r="APX3" s="18">
        <v>50990</v>
      </c>
      <c r="APY3" s="18">
        <v>50997</v>
      </c>
      <c r="APZ3" s="18">
        <v>51004</v>
      </c>
      <c r="AQA3" s="18">
        <v>51011</v>
      </c>
      <c r="AQB3" s="18">
        <v>51018</v>
      </c>
      <c r="AQC3" s="18">
        <v>51025</v>
      </c>
      <c r="AQD3" s="18">
        <v>51032</v>
      </c>
      <c r="AQE3" s="18">
        <v>51039</v>
      </c>
      <c r="AQF3" s="18">
        <v>51046</v>
      </c>
      <c r="AQG3" s="18">
        <v>51053</v>
      </c>
      <c r="AQH3" s="18">
        <v>51060</v>
      </c>
      <c r="AQI3" s="18">
        <v>51067</v>
      </c>
      <c r="AQJ3" s="18">
        <v>51074</v>
      </c>
      <c r="AQK3" s="18">
        <v>51081</v>
      </c>
      <c r="AQL3" s="18">
        <v>51088</v>
      </c>
      <c r="AQM3" s="18">
        <v>51095</v>
      </c>
      <c r="AQN3" s="18">
        <v>51102</v>
      </c>
      <c r="AQO3" s="18">
        <v>51109</v>
      </c>
      <c r="AQP3" s="18">
        <v>51116</v>
      </c>
      <c r="AQQ3" s="18">
        <v>51123</v>
      </c>
      <c r="AQR3" s="18">
        <v>51130</v>
      </c>
      <c r="AQS3" s="18">
        <v>51137</v>
      </c>
      <c r="AQT3" s="18">
        <v>51144</v>
      </c>
      <c r="AQU3" s="18">
        <v>51151</v>
      </c>
      <c r="AQV3" s="18">
        <v>51158</v>
      </c>
      <c r="AQW3" s="18">
        <v>51165</v>
      </c>
      <c r="AQX3" s="18">
        <v>51172</v>
      </c>
      <c r="AQY3" s="18">
        <v>51179</v>
      </c>
      <c r="AQZ3" s="18">
        <v>51186</v>
      </c>
      <c r="ARA3" s="18">
        <v>51193</v>
      </c>
      <c r="ARB3" s="18">
        <v>51200</v>
      </c>
      <c r="ARC3" s="18">
        <v>51207</v>
      </c>
      <c r="ARD3" s="18">
        <v>51214</v>
      </c>
      <c r="ARE3" s="18">
        <v>51221</v>
      </c>
      <c r="ARF3" s="18">
        <v>51228</v>
      </c>
      <c r="ARG3" s="18">
        <v>51235</v>
      </c>
      <c r="ARH3" s="18">
        <v>51242</v>
      </c>
      <c r="ARI3" s="18">
        <v>51249</v>
      </c>
      <c r="ARJ3" s="18">
        <v>51256</v>
      </c>
      <c r="ARK3" s="18">
        <v>51263</v>
      </c>
      <c r="ARL3" s="18">
        <v>51270</v>
      </c>
      <c r="ARM3" s="18">
        <v>51277</v>
      </c>
      <c r="ARN3" s="18">
        <v>51284</v>
      </c>
      <c r="ARO3" s="18">
        <v>51291</v>
      </c>
      <c r="ARP3" s="18">
        <v>51298</v>
      </c>
      <c r="ARQ3" s="18">
        <v>51305</v>
      </c>
      <c r="ARR3" s="18">
        <v>51312</v>
      </c>
      <c r="ARS3" s="18">
        <v>51319</v>
      </c>
      <c r="ART3" s="18">
        <v>51326</v>
      </c>
      <c r="ARU3" s="18">
        <v>51333</v>
      </c>
      <c r="ARV3" s="18">
        <v>51340</v>
      </c>
      <c r="ARW3" s="18">
        <v>51347</v>
      </c>
      <c r="ARX3" s="18">
        <v>51354</v>
      </c>
      <c r="ARY3" s="18">
        <v>51361</v>
      </c>
      <c r="ARZ3" s="18">
        <v>51368</v>
      </c>
      <c r="ASA3" s="18">
        <v>51375</v>
      </c>
      <c r="ASB3" s="18">
        <v>51382</v>
      </c>
      <c r="ASC3" s="18">
        <v>51389</v>
      </c>
      <c r="ASD3" s="18">
        <v>51396</v>
      </c>
      <c r="ASE3" s="18">
        <v>51403</v>
      </c>
      <c r="ASF3" s="18">
        <v>51410</v>
      </c>
      <c r="ASG3" s="18">
        <v>51417</v>
      </c>
      <c r="ASH3" s="18">
        <v>51424</v>
      </c>
      <c r="ASI3" s="18">
        <v>51431</v>
      </c>
      <c r="ASJ3" s="18">
        <v>51438</v>
      </c>
      <c r="ASK3" s="18">
        <v>51445</v>
      </c>
      <c r="ASL3" s="18">
        <v>51452</v>
      </c>
      <c r="ASM3" s="18">
        <v>51459</v>
      </c>
      <c r="ASN3" s="18">
        <v>51466</v>
      </c>
      <c r="ASO3" s="18">
        <v>51473</v>
      </c>
      <c r="ASP3" s="18">
        <v>51480</v>
      </c>
      <c r="ASQ3" s="18">
        <v>51487</v>
      </c>
      <c r="ASR3" s="18">
        <v>51494</v>
      </c>
      <c r="ASS3" s="18">
        <v>51501</v>
      </c>
      <c r="AST3" s="18">
        <v>51508</v>
      </c>
      <c r="ASU3" s="18">
        <v>51515</v>
      </c>
      <c r="ASV3" s="18">
        <v>51522</v>
      </c>
      <c r="ASW3" s="18">
        <v>51529</v>
      </c>
      <c r="ASX3" s="18">
        <v>51536</v>
      </c>
      <c r="ASY3" s="18">
        <v>51543</v>
      </c>
      <c r="ASZ3" s="18">
        <v>51550</v>
      </c>
      <c r="ATA3" s="18">
        <v>51557</v>
      </c>
      <c r="ATB3" s="18">
        <v>51564</v>
      </c>
      <c r="ATC3" s="18">
        <v>51571</v>
      </c>
      <c r="ATD3" s="18">
        <v>51578</v>
      </c>
      <c r="ATE3" s="18">
        <v>51585</v>
      </c>
      <c r="ATF3" s="18">
        <v>51592</v>
      </c>
      <c r="ATG3" s="18">
        <v>51599</v>
      </c>
      <c r="ATH3" s="18">
        <v>51606</v>
      </c>
      <c r="ATI3" s="18">
        <v>51613</v>
      </c>
      <c r="ATJ3" s="18">
        <v>51620</v>
      </c>
      <c r="ATK3" s="18">
        <v>51627</v>
      </c>
      <c r="ATL3" s="18">
        <v>51634</v>
      </c>
      <c r="ATM3" s="18">
        <v>51641</v>
      </c>
      <c r="ATN3" s="18">
        <v>51648</v>
      </c>
      <c r="ATO3" s="18">
        <v>51655</v>
      </c>
      <c r="ATP3" s="18">
        <v>51662</v>
      </c>
      <c r="ATQ3" s="18">
        <v>51669</v>
      </c>
      <c r="ATR3" s="18">
        <v>51676</v>
      </c>
      <c r="ATS3" s="18">
        <v>51683</v>
      </c>
      <c r="ATT3" s="18">
        <v>51690</v>
      </c>
      <c r="ATU3" s="18">
        <v>51697</v>
      </c>
      <c r="ATV3" s="18">
        <v>51704</v>
      </c>
      <c r="ATW3" s="18">
        <v>51711</v>
      </c>
      <c r="ATX3" s="18">
        <v>51718</v>
      </c>
      <c r="ATY3" s="18">
        <v>51725</v>
      </c>
      <c r="ATZ3" s="18">
        <v>51732</v>
      </c>
      <c r="AUA3" s="18">
        <v>51739</v>
      </c>
      <c r="AUB3" s="18">
        <v>51746</v>
      </c>
      <c r="AUC3" s="18">
        <v>51753</v>
      </c>
      <c r="AUD3" s="18">
        <v>51760</v>
      </c>
      <c r="AUE3" s="18">
        <v>51767</v>
      </c>
      <c r="AUF3" s="18">
        <v>51774</v>
      </c>
      <c r="AUG3" s="18">
        <v>51781</v>
      </c>
      <c r="AUH3" s="18">
        <v>51788</v>
      </c>
      <c r="AUI3" s="18">
        <v>51795</v>
      </c>
      <c r="AUJ3" s="18">
        <v>51802</v>
      </c>
      <c r="AUK3" s="18">
        <v>51809</v>
      </c>
      <c r="AUL3" s="18">
        <v>51816</v>
      </c>
      <c r="AUM3" s="18">
        <v>51823</v>
      </c>
      <c r="AUN3" s="18">
        <v>51830</v>
      </c>
      <c r="AUO3" s="18">
        <v>51837</v>
      </c>
      <c r="AUP3" s="18">
        <v>51844</v>
      </c>
      <c r="AUQ3" s="18">
        <v>51851</v>
      </c>
      <c r="AUR3" s="18">
        <v>51858</v>
      </c>
      <c r="AUS3" s="18">
        <v>51865</v>
      </c>
      <c r="AUT3" s="18">
        <v>51872</v>
      </c>
      <c r="AUU3" s="18">
        <v>51879</v>
      </c>
      <c r="AUV3" s="18">
        <v>51886</v>
      </c>
      <c r="AUW3" s="18">
        <v>51893</v>
      </c>
      <c r="AUX3" s="18">
        <v>51900</v>
      </c>
      <c r="AUY3" s="18">
        <v>51907</v>
      </c>
      <c r="AUZ3" s="18">
        <v>51914</v>
      </c>
      <c r="AVA3" s="18">
        <v>51921</v>
      </c>
      <c r="AVB3" s="18">
        <v>51928</v>
      </c>
      <c r="AVC3" s="18">
        <v>51935</v>
      </c>
      <c r="AVD3" s="18">
        <v>51942</v>
      </c>
      <c r="AVE3" s="18">
        <v>51949</v>
      </c>
      <c r="AVF3" s="18">
        <v>51956</v>
      </c>
      <c r="AVG3" s="18">
        <v>51963</v>
      </c>
      <c r="AVH3" s="18">
        <v>51970</v>
      </c>
      <c r="AVI3" s="18">
        <v>51977</v>
      </c>
      <c r="AVJ3" s="18">
        <v>51984</v>
      </c>
      <c r="AVK3" s="18">
        <v>51991</v>
      </c>
      <c r="AVL3" s="18">
        <v>51998</v>
      </c>
      <c r="AVM3" s="18">
        <v>52005</v>
      </c>
      <c r="AVN3" s="18">
        <v>52012</v>
      </c>
      <c r="AVO3" s="18">
        <v>52019</v>
      </c>
      <c r="AVP3" s="18">
        <v>52026</v>
      </c>
      <c r="AVQ3" s="18">
        <v>52033</v>
      </c>
      <c r="AVR3" s="18">
        <v>52040</v>
      </c>
      <c r="AVS3" s="18">
        <v>52047</v>
      </c>
      <c r="AVT3" s="18">
        <v>52054</v>
      </c>
      <c r="AVU3" s="18">
        <v>52061</v>
      </c>
      <c r="AVV3" s="18">
        <v>52068</v>
      </c>
      <c r="AVW3" s="18">
        <v>52075</v>
      </c>
      <c r="AVX3" s="18">
        <v>52082</v>
      </c>
      <c r="AVY3" s="18">
        <v>52089</v>
      </c>
      <c r="AVZ3" s="18">
        <v>52096</v>
      </c>
      <c r="AWA3" s="18">
        <v>52103</v>
      </c>
      <c r="AWB3" s="18">
        <v>52110</v>
      </c>
      <c r="AWC3" s="18">
        <v>52117</v>
      </c>
      <c r="AWD3" s="18">
        <v>52124</v>
      </c>
      <c r="AWE3" s="18">
        <v>52131</v>
      </c>
      <c r="AWF3" s="18">
        <v>52138</v>
      </c>
      <c r="AWG3" s="18">
        <v>52145</v>
      </c>
      <c r="AWH3" s="18">
        <v>52152</v>
      </c>
      <c r="AWI3" s="18">
        <v>52159</v>
      </c>
      <c r="AWJ3" s="18">
        <v>52166</v>
      </c>
      <c r="AWK3" s="18">
        <v>52173</v>
      </c>
      <c r="AWL3" s="18">
        <v>52180</v>
      </c>
      <c r="AWM3" s="18">
        <v>52187</v>
      </c>
      <c r="AWN3" s="18">
        <v>52194</v>
      </c>
      <c r="AWO3" s="18">
        <v>52201</v>
      </c>
      <c r="AWP3" s="18">
        <v>52208</v>
      </c>
      <c r="AWQ3" s="18">
        <v>52215</v>
      </c>
      <c r="AWR3" s="18">
        <v>52222</v>
      </c>
      <c r="AWS3" s="18">
        <v>52229</v>
      </c>
      <c r="AWT3" s="18">
        <v>52236</v>
      </c>
      <c r="AWU3" s="18">
        <v>52243</v>
      </c>
      <c r="AWV3" s="18">
        <v>52250</v>
      </c>
      <c r="AWW3" s="18">
        <v>52257</v>
      </c>
      <c r="AWX3" s="18">
        <v>52264</v>
      </c>
      <c r="AWY3" s="18">
        <v>52271</v>
      </c>
      <c r="AWZ3" s="18">
        <v>52278</v>
      </c>
      <c r="AXA3" s="18">
        <v>52285</v>
      </c>
      <c r="AXB3" s="18">
        <v>52292</v>
      </c>
      <c r="AXC3" s="18">
        <v>52299</v>
      </c>
      <c r="AXD3" s="18">
        <v>52306</v>
      </c>
      <c r="AXE3" s="18">
        <v>52313</v>
      </c>
      <c r="AXF3" s="18">
        <v>52320</v>
      </c>
      <c r="AXG3" s="18">
        <v>52327</v>
      </c>
      <c r="AXH3" s="18">
        <v>52334</v>
      </c>
      <c r="AXI3" s="18">
        <v>52341</v>
      </c>
      <c r="AXJ3" s="18">
        <v>52348</v>
      </c>
      <c r="AXK3" s="18">
        <v>52355</v>
      </c>
      <c r="AXL3" s="18">
        <v>52362</v>
      </c>
      <c r="AXM3" s="18">
        <v>52369</v>
      </c>
      <c r="AXN3" s="18">
        <v>52376</v>
      </c>
      <c r="AXO3" s="18">
        <v>52383</v>
      </c>
      <c r="AXP3" s="18">
        <v>52390</v>
      </c>
      <c r="AXQ3" s="18">
        <v>52397</v>
      </c>
      <c r="AXR3" s="18">
        <v>52404</v>
      </c>
      <c r="AXS3" s="18">
        <v>52411</v>
      </c>
      <c r="AXT3" s="18">
        <v>52418</v>
      </c>
      <c r="AXU3" s="18">
        <v>52425</v>
      </c>
      <c r="AXV3" s="18">
        <v>52432</v>
      </c>
      <c r="AXW3" s="18">
        <v>52439</v>
      </c>
      <c r="AXX3" s="18">
        <v>52446</v>
      </c>
      <c r="AXY3" s="18">
        <v>52453</v>
      </c>
      <c r="AXZ3" s="18">
        <v>52460</v>
      </c>
      <c r="AYA3" s="18">
        <v>52467</v>
      </c>
      <c r="AYB3" s="18">
        <v>52474</v>
      </c>
      <c r="AYC3" s="18">
        <v>52481</v>
      </c>
      <c r="AYD3" s="18">
        <v>52488</v>
      </c>
      <c r="AYE3" s="18">
        <v>52495</v>
      </c>
      <c r="AYF3" s="18">
        <v>52502</v>
      </c>
      <c r="AYG3" s="18">
        <v>52509</v>
      </c>
      <c r="AYH3" s="18">
        <v>52516</v>
      </c>
      <c r="AYI3" s="18">
        <v>52523</v>
      </c>
      <c r="AYJ3" s="18">
        <v>52530</v>
      </c>
      <c r="AYK3" s="18">
        <v>52537</v>
      </c>
      <c r="AYL3" s="18">
        <v>52544</v>
      </c>
      <c r="AYM3" s="18">
        <v>52551</v>
      </c>
      <c r="AYN3" s="18">
        <v>52558</v>
      </c>
      <c r="AYO3" s="18">
        <v>52565</v>
      </c>
      <c r="AYP3" s="18">
        <v>52572</v>
      </c>
      <c r="AYQ3" s="18">
        <v>52579</v>
      </c>
      <c r="AYR3" s="18">
        <v>52586</v>
      </c>
      <c r="AYS3" s="18">
        <v>52593</v>
      </c>
      <c r="AYT3" s="18">
        <v>52600</v>
      </c>
      <c r="AYU3" s="18">
        <v>52607</v>
      </c>
      <c r="AYV3" s="18">
        <v>52614</v>
      </c>
      <c r="AYW3" s="18">
        <v>52621</v>
      </c>
      <c r="AYX3" s="18">
        <v>52628</v>
      </c>
      <c r="AYY3" s="18">
        <v>52635</v>
      </c>
      <c r="AYZ3" s="18">
        <v>52642</v>
      </c>
      <c r="AZA3" s="18">
        <v>52649</v>
      </c>
      <c r="AZB3" s="18">
        <v>52656</v>
      </c>
      <c r="AZC3" s="18">
        <v>52663</v>
      </c>
      <c r="AZD3" s="18">
        <v>52670</v>
      </c>
      <c r="AZE3" s="18">
        <v>52677</v>
      </c>
      <c r="AZF3" s="18">
        <v>52684</v>
      </c>
      <c r="AZG3" s="18">
        <v>52691</v>
      </c>
      <c r="AZH3" s="18">
        <v>52698</v>
      </c>
      <c r="AZI3" s="18">
        <v>52705</v>
      </c>
      <c r="AZJ3" s="18">
        <v>52712</v>
      </c>
      <c r="AZK3" s="18">
        <v>52719</v>
      </c>
      <c r="AZL3" s="18">
        <v>52726</v>
      </c>
      <c r="AZM3" s="18">
        <v>52733</v>
      </c>
      <c r="AZN3" s="18">
        <v>52740</v>
      </c>
      <c r="AZO3" s="18">
        <v>52747</v>
      </c>
      <c r="AZP3" s="18">
        <v>52754</v>
      </c>
      <c r="AZQ3" s="18">
        <v>52761</v>
      </c>
      <c r="AZR3" s="18">
        <v>52768</v>
      </c>
      <c r="AZS3" s="18">
        <v>52775</v>
      </c>
      <c r="AZT3" s="18">
        <v>52782</v>
      </c>
      <c r="AZU3" s="18">
        <v>52789</v>
      </c>
      <c r="AZV3" s="18">
        <v>52796</v>
      </c>
      <c r="AZW3" s="18">
        <v>52803</v>
      </c>
      <c r="AZX3" s="18">
        <v>52810</v>
      </c>
      <c r="AZY3" s="18">
        <v>52817</v>
      </c>
      <c r="AZZ3" s="18">
        <v>52824</v>
      </c>
      <c r="BAA3" s="18">
        <v>52831</v>
      </c>
      <c r="BAB3" s="18">
        <v>52838</v>
      </c>
      <c r="BAC3" s="18">
        <v>52845</v>
      </c>
      <c r="BAD3" s="18">
        <v>52852</v>
      </c>
      <c r="BAE3" s="18">
        <v>52859</v>
      </c>
      <c r="BAF3" s="18">
        <v>52866</v>
      </c>
      <c r="BAG3" s="18">
        <v>52873</v>
      </c>
      <c r="BAH3" s="18">
        <v>52880</v>
      </c>
      <c r="BAI3" s="18">
        <v>52887</v>
      </c>
      <c r="BAJ3" s="18">
        <v>52894</v>
      </c>
      <c r="BAK3" s="18">
        <v>52901</v>
      </c>
      <c r="BAL3" s="18">
        <v>52908</v>
      </c>
      <c r="BAM3" s="18">
        <v>52915</v>
      </c>
      <c r="BAN3" s="18">
        <v>52922</v>
      </c>
      <c r="BAO3" s="18">
        <v>52929</v>
      </c>
      <c r="BAP3" s="18">
        <v>52936</v>
      </c>
      <c r="BAQ3" s="18">
        <v>52943</v>
      </c>
      <c r="BAR3" s="18">
        <v>52950</v>
      </c>
      <c r="BAS3" s="18">
        <v>52957</v>
      </c>
      <c r="BAT3" s="18">
        <v>52964</v>
      </c>
      <c r="BAU3" s="18">
        <v>52971</v>
      </c>
      <c r="BAV3" s="18">
        <v>52978</v>
      </c>
      <c r="BAW3" s="18">
        <v>52985</v>
      </c>
      <c r="BAX3" s="18">
        <v>52992</v>
      </c>
      <c r="BAY3" s="18">
        <v>52999</v>
      </c>
      <c r="BAZ3" s="18">
        <v>53006</v>
      </c>
      <c r="BBA3" s="18">
        <v>53013</v>
      </c>
      <c r="BBB3" s="18">
        <v>53020</v>
      </c>
      <c r="BBC3" s="18">
        <v>53027</v>
      </c>
      <c r="BBD3" s="18">
        <v>53034</v>
      </c>
      <c r="BBE3" s="18">
        <v>53041</v>
      </c>
      <c r="BBF3" s="18">
        <v>53048</v>
      </c>
      <c r="BBG3" s="18">
        <v>53055</v>
      </c>
      <c r="BBH3" s="18">
        <v>53062</v>
      </c>
      <c r="BBI3" s="18">
        <v>53069</v>
      </c>
      <c r="BBJ3" s="18">
        <v>53076</v>
      </c>
      <c r="BBK3" s="18">
        <v>53083</v>
      </c>
      <c r="BBL3" s="18">
        <v>53090</v>
      </c>
      <c r="BBM3" s="18">
        <v>53097</v>
      </c>
      <c r="BBN3" s="18">
        <v>53104</v>
      </c>
      <c r="BBO3" s="18">
        <v>53111</v>
      </c>
      <c r="BBP3" s="18">
        <v>53118</v>
      </c>
      <c r="BBQ3" s="18">
        <v>53125</v>
      </c>
      <c r="BBR3" s="18">
        <v>53132</v>
      </c>
      <c r="BBS3" s="18">
        <v>53139</v>
      </c>
      <c r="BBT3" s="18">
        <v>53146</v>
      </c>
      <c r="BBU3" s="18">
        <v>53153</v>
      </c>
      <c r="BBV3" s="18">
        <v>53160</v>
      </c>
      <c r="BBW3" s="18">
        <v>53167</v>
      </c>
      <c r="BBX3" s="18">
        <v>53174</v>
      </c>
      <c r="BBY3" s="18">
        <v>53181</v>
      </c>
      <c r="BBZ3" s="18">
        <v>53188</v>
      </c>
      <c r="BCA3" s="18">
        <v>53195</v>
      </c>
      <c r="BCB3" s="18">
        <v>53202</v>
      </c>
      <c r="BCC3" s="18">
        <v>53209</v>
      </c>
      <c r="BCD3" s="18">
        <v>53216</v>
      </c>
      <c r="BCE3" s="18">
        <v>53223</v>
      </c>
      <c r="BCF3" s="18">
        <v>53230</v>
      </c>
      <c r="BCG3" s="18">
        <v>53237</v>
      </c>
      <c r="BCH3" s="18">
        <v>53244</v>
      </c>
      <c r="BCI3" s="18">
        <v>53251</v>
      </c>
      <c r="BCJ3" s="18">
        <v>53258</v>
      </c>
      <c r="BCK3" s="18">
        <v>53265</v>
      </c>
      <c r="BCL3" s="18">
        <v>53272</v>
      </c>
      <c r="BCM3" s="18">
        <v>53279</v>
      </c>
      <c r="BCN3" s="18">
        <v>53286</v>
      </c>
      <c r="BCO3" s="18">
        <v>53293</v>
      </c>
      <c r="BCP3" s="18">
        <v>53300</v>
      </c>
      <c r="BCQ3" s="18">
        <v>53307</v>
      </c>
      <c r="BCR3" s="18">
        <v>53314</v>
      </c>
      <c r="BCS3" s="18">
        <v>53321</v>
      </c>
      <c r="BCT3" s="18">
        <v>53328</v>
      </c>
      <c r="BCU3" s="18">
        <v>53335</v>
      </c>
      <c r="BCV3" s="18">
        <v>53342</v>
      </c>
      <c r="BCW3" s="18">
        <v>53349</v>
      </c>
      <c r="BCX3" s="18">
        <v>53356</v>
      </c>
      <c r="BCY3" s="18">
        <v>53363</v>
      </c>
      <c r="BCZ3" s="18">
        <v>53370</v>
      </c>
      <c r="BDA3" s="18">
        <v>53377</v>
      </c>
      <c r="BDB3" s="18">
        <v>53384</v>
      </c>
      <c r="BDC3" s="18">
        <v>53391</v>
      </c>
      <c r="BDD3" s="18">
        <v>53398</v>
      </c>
      <c r="BDE3" s="18">
        <v>53405</v>
      </c>
      <c r="BDF3" s="18">
        <v>53412</v>
      </c>
      <c r="BDG3" s="18">
        <v>53419</v>
      </c>
      <c r="BDH3" s="18">
        <v>53426</v>
      </c>
      <c r="BDI3" s="18">
        <v>53433</v>
      </c>
      <c r="BDJ3" s="18">
        <v>53440</v>
      </c>
      <c r="BDK3" s="18">
        <v>53447</v>
      </c>
      <c r="BDL3" s="18">
        <v>53454</v>
      </c>
      <c r="BDM3" s="18">
        <v>53461</v>
      </c>
      <c r="BDN3" s="18">
        <v>53468</v>
      </c>
      <c r="BDO3" s="18">
        <v>53475</v>
      </c>
      <c r="BDP3" s="18">
        <v>53482</v>
      </c>
      <c r="BDQ3" s="18">
        <v>53489</v>
      </c>
      <c r="BDR3" s="18">
        <v>53496</v>
      </c>
      <c r="BDS3" s="18">
        <v>53503</v>
      </c>
      <c r="BDT3" s="18">
        <v>53510</v>
      </c>
      <c r="BDU3" s="18">
        <v>53517</v>
      </c>
      <c r="BDV3" s="18">
        <v>53524</v>
      </c>
      <c r="BDW3" s="18">
        <v>53531</v>
      </c>
      <c r="BDX3" s="18">
        <v>53538</v>
      </c>
      <c r="BDY3" s="18">
        <v>53545</v>
      </c>
      <c r="BDZ3" s="18">
        <v>53552</v>
      </c>
      <c r="BEA3" s="18">
        <v>53559</v>
      </c>
      <c r="BEB3" s="18">
        <v>53566</v>
      </c>
      <c r="BEC3" s="18">
        <v>53573</v>
      </c>
      <c r="BED3" s="18">
        <v>53580</v>
      </c>
      <c r="BEE3" s="18">
        <v>53587</v>
      </c>
      <c r="BEF3" s="18">
        <v>53594</v>
      </c>
      <c r="BEG3" s="18">
        <v>53601</v>
      </c>
      <c r="BEH3" s="18">
        <v>53608</v>
      </c>
      <c r="BEI3" s="18">
        <v>53615</v>
      </c>
      <c r="BEJ3" s="18">
        <v>53622</v>
      </c>
      <c r="BEK3" s="18">
        <v>53629</v>
      </c>
      <c r="BEL3" s="18">
        <v>53636</v>
      </c>
      <c r="BEM3" s="18">
        <v>53643</v>
      </c>
      <c r="BEN3" s="18">
        <v>53650</v>
      </c>
      <c r="BEO3" s="18">
        <v>53657</v>
      </c>
      <c r="BEP3" s="18">
        <v>53664</v>
      </c>
      <c r="BEQ3" s="18">
        <v>53671</v>
      </c>
      <c r="BER3" s="18">
        <v>53678</v>
      </c>
      <c r="BES3" s="18">
        <v>53685</v>
      </c>
      <c r="BET3" s="18">
        <v>53692</v>
      </c>
      <c r="BEU3" s="18">
        <v>53699</v>
      </c>
      <c r="BEV3" s="18">
        <v>53706</v>
      </c>
      <c r="BEW3" s="18">
        <v>53713</v>
      </c>
      <c r="BEX3" s="18">
        <v>53720</v>
      </c>
      <c r="BEY3" s="18">
        <v>53727</v>
      </c>
      <c r="BEZ3" s="18">
        <v>53734</v>
      </c>
      <c r="BFA3" s="18">
        <v>53741</v>
      </c>
      <c r="BFB3" s="18">
        <v>53748</v>
      </c>
      <c r="BFC3" s="18">
        <v>53755</v>
      </c>
      <c r="BFD3" s="18">
        <v>53762</v>
      </c>
      <c r="BFE3" s="18">
        <v>53769</v>
      </c>
      <c r="BFF3" s="18">
        <v>53776</v>
      </c>
      <c r="BFG3" s="18">
        <v>53783</v>
      </c>
      <c r="BFH3" s="18">
        <v>53790</v>
      </c>
      <c r="BFI3" s="18">
        <v>53797</v>
      </c>
      <c r="BFJ3" s="18">
        <v>53804</v>
      </c>
      <c r="BFK3" s="18">
        <v>53811</v>
      </c>
      <c r="BFL3" s="18">
        <v>53818</v>
      </c>
      <c r="BFM3" s="18">
        <v>53825</v>
      </c>
      <c r="BFN3" s="18">
        <v>53832</v>
      </c>
      <c r="BFO3" s="18">
        <v>53839</v>
      </c>
      <c r="BFP3" s="18">
        <v>53846</v>
      </c>
      <c r="BFQ3" s="18">
        <v>53853</v>
      </c>
      <c r="BFR3" s="18">
        <v>53860</v>
      </c>
      <c r="BFS3" s="18">
        <v>53867</v>
      </c>
      <c r="BFT3" s="18">
        <v>53874</v>
      </c>
      <c r="BFU3" s="18">
        <v>53881</v>
      </c>
      <c r="BFV3" s="18">
        <v>53888</v>
      </c>
      <c r="BFW3" s="18">
        <v>53895</v>
      </c>
      <c r="BFX3" s="18">
        <v>53902</v>
      </c>
      <c r="BFY3" s="18">
        <v>53909</v>
      </c>
      <c r="BFZ3" s="18">
        <v>53916</v>
      </c>
      <c r="BGA3" s="18">
        <v>53923</v>
      </c>
      <c r="BGB3" s="18">
        <v>53930</v>
      </c>
      <c r="BGC3" s="18">
        <v>53937</v>
      </c>
      <c r="BGD3" s="18">
        <v>53944</v>
      </c>
      <c r="BGE3" s="18">
        <v>53951</v>
      </c>
      <c r="BGF3" s="18">
        <v>53958</v>
      </c>
      <c r="BGG3" s="18">
        <v>53965</v>
      </c>
      <c r="BGH3" s="18">
        <v>53972</v>
      </c>
      <c r="BGI3" s="18">
        <v>53979</v>
      </c>
      <c r="BGJ3" s="18">
        <v>53986</v>
      </c>
      <c r="BGK3" s="18">
        <v>53993</v>
      </c>
      <c r="BGL3" s="18">
        <v>54000</v>
      </c>
      <c r="BGM3" s="18">
        <v>54007</v>
      </c>
      <c r="BGN3" s="18">
        <v>54014</v>
      </c>
      <c r="BGO3" s="18">
        <v>54021</v>
      </c>
      <c r="BGP3" s="18">
        <v>54028</v>
      </c>
      <c r="BGQ3" s="18">
        <v>54035</v>
      </c>
      <c r="BGR3" s="18">
        <v>54042</v>
      </c>
      <c r="BGS3" s="18">
        <v>54049</v>
      </c>
      <c r="BGT3" s="18">
        <v>54056</v>
      </c>
      <c r="BGU3" s="18">
        <v>54063</v>
      </c>
      <c r="BGV3" s="18">
        <v>54070</v>
      </c>
      <c r="BGW3" s="18">
        <v>54077</v>
      </c>
      <c r="BGX3" s="18">
        <v>54084</v>
      </c>
      <c r="BGY3" s="18">
        <v>54091</v>
      </c>
      <c r="BGZ3" s="18">
        <v>54098</v>
      </c>
      <c r="BHA3" s="18">
        <v>54105</v>
      </c>
      <c r="BHB3" s="18">
        <v>54112</v>
      </c>
      <c r="BHC3" s="18">
        <v>54119</v>
      </c>
      <c r="BHD3" s="18">
        <v>54126</v>
      </c>
      <c r="BHE3" s="18">
        <v>54133</v>
      </c>
      <c r="BHF3" s="18">
        <v>54140</v>
      </c>
      <c r="BHG3" s="18">
        <v>54147</v>
      </c>
      <c r="BHH3" s="18">
        <v>54154</v>
      </c>
      <c r="BHI3" s="18">
        <v>54161</v>
      </c>
      <c r="BHJ3" s="18">
        <v>54168</v>
      </c>
      <c r="BHK3" s="18">
        <v>54175</v>
      </c>
      <c r="BHL3" s="18">
        <v>54182</v>
      </c>
      <c r="BHM3" s="18">
        <v>54189</v>
      </c>
      <c r="BHN3" s="18">
        <v>54196</v>
      </c>
      <c r="BHO3" s="18">
        <v>54203</v>
      </c>
      <c r="BHP3" s="18">
        <v>54210</v>
      </c>
      <c r="BHQ3" s="18">
        <v>54217</v>
      </c>
      <c r="BHR3" s="18">
        <v>54224</v>
      </c>
      <c r="BHS3" s="18">
        <v>54231</v>
      </c>
      <c r="BHT3" s="18">
        <v>54238</v>
      </c>
      <c r="BHU3" s="18">
        <v>54245</v>
      </c>
      <c r="BHV3" s="18">
        <v>54252</v>
      </c>
      <c r="BHW3" s="18">
        <v>54259</v>
      </c>
      <c r="BHX3" s="18">
        <v>54266</v>
      </c>
      <c r="BHY3" s="18">
        <v>54273</v>
      </c>
      <c r="BHZ3" s="18">
        <v>54280</v>
      </c>
      <c r="BIA3" s="18">
        <v>54287</v>
      </c>
      <c r="BIB3" s="18">
        <v>54294</v>
      </c>
      <c r="BIC3" s="18">
        <v>54301</v>
      </c>
      <c r="BID3" s="18">
        <v>54308</v>
      </c>
      <c r="BIE3" s="18">
        <v>54315</v>
      </c>
      <c r="BIF3" s="18">
        <v>54322</v>
      </c>
      <c r="BIG3" s="18">
        <v>54329</v>
      </c>
      <c r="BIH3" s="18">
        <v>54336</v>
      </c>
      <c r="BII3" s="18">
        <v>54343</v>
      </c>
      <c r="BIJ3" s="18">
        <v>54350</v>
      </c>
      <c r="BIK3" s="18">
        <v>54357</v>
      </c>
      <c r="BIL3" s="18">
        <v>54364</v>
      </c>
      <c r="BIM3" s="18">
        <v>54371</v>
      </c>
      <c r="BIN3" s="18">
        <v>54378</v>
      </c>
      <c r="BIO3" s="18">
        <v>54385</v>
      </c>
      <c r="BIP3" s="18">
        <v>54392</v>
      </c>
      <c r="BIQ3" s="18">
        <v>54399</v>
      </c>
      <c r="BIR3" s="18">
        <v>54406</v>
      </c>
      <c r="BIS3" s="18">
        <v>54413</v>
      </c>
      <c r="BIT3" s="18">
        <v>54420</v>
      </c>
      <c r="BIU3" s="18">
        <v>54427</v>
      </c>
      <c r="BIV3" s="18">
        <v>54434</v>
      </c>
      <c r="BIW3" s="18">
        <v>54441</v>
      </c>
      <c r="BIX3" s="18">
        <v>54448</v>
      </c>
      <c r="BIY3" s="18">
        <v>54455</v>
      </c>
      <c r="BIZ3" s="18">
        <v>54462</v>
      </c>
      <c r="BJA3" s="18">
        <v>54469</v>
      </c>
      <c r="BJB3" s="18">
        <v>54476</v>
      </c>
      <c r="BJC3" s="18">
        <v>54483</v>
      </c>
      <c r="BJD3" s="18">
        <v>54490</v>
      </c>
      <c r="BJE3" s="18">
        <v>54497</v>
      </c>
      <c r="BJF3" s="18">
        <v>54504</v>
      </c>
      <c r="BJG3" s="18">
        <v>54511</v>
      </c>
      <c r="BJH3" s="18">
        <v>54518</v>
      </c>
      <c r="BJI3" s="18">
        <v>54525</v>
      </c>
      <c r="BJJ3" s="18">
        <v>54532</v>
      </c>
      <c r="BJK3" s="18">
        <v>54539</v>
      </c>
      <c r="BJL3" s="18">
        <v>54546</v>
      </c>
      <c r="BJM3" s="18">
        <v>54553</v>
      </c>
      <c r="BJN3" s="18">
        <v>54560</v>
      </c>
      <c r="BJO3" s="18">
        <v>54567</v>
      </c>
      <c r="BJP3" s="18">
        <v>54574</v>
      </c>
      <c r="BJQ3" s="18">
        <v>54581</v>
      </c>
      <c r="BJR3" s="18">
        <v>54588</v>
      </c>
      <c r="BJS3" s="18">
        <v>54595</v>
      </c>
      <c r="BJT3" s="18">
        <v>54602</v>
      </c>
      <c r="BJU3" s="18">
        <v>54609</v>
      </c>
      <c r="BJV3" s="18">
        <v>54616</v>
      </c>
      <c r="BJW3" s="18">
        <v>54623</v>
      </c>
      <c r="BJX3" s="18">
        <v>54630</v>
      </c>
      <c r="BJY3" s="18">
        <v>54637</v>
      </c>
      <c r="BJZ3" s="18">
        <v>54644</v>
      </c>
      <c r="BKA3" s="18">
        <v>54651</v>
      </c>
      <c r="BKB3" s="18">
        <v>54658</v>
      </c>
      <c r="BKC3" s="18">
        <v>54665</v>
      </c>
      <c r="BKD3" s="18">
        <v>54672</v>
      </c>
      <c r="BKE3" s="18">
        <v>54679</v>
      </c>
      <c r="BKF3" s="18">
        <v>54686</v>
      </c>
      <c r="BKG3" s="18">
        <v>54693</v>
      </c>
      <c r="BKH3" s="18">
        <v>54700</v>
      </c>
      <c r="BKI3" s="18">
        <v>54707</v>
      </c>
      <c r="BKJ3" s="18">
        <v>54714</v>
      </c>
      <c r="BKK3" s="18">
        <v>54721</v>
      </c>
      <c r="BKL3" s="18">
        <v>54728</v>
      </c>
      <c r="BKM3" s="18">
        <v>54735</v>
      </c>
      <c r="BKN3" s="18">
        <v>54742</v>
      </c>
      <c r="BKO3" s="18">
        <v>54749</v>
      </c>
      <c r="BKP3" s="18">
        <v>54756</v>
      </c>
      <c r="BKQ3" s="18">
        <v>54763</v>
      </c>
      <c r="BKR3" s="18">
        <v>54770</v>
      </c>
      <c r="BKS3" s="18">
        <v>54777</v>
      </c>
      <c r="BKT3" s="18">
        <v>54784</v>
      </c>
      <c r="BKU3" s="18">
        <v>54791</v>
      </c>
      <c r="BKV3" s="18">
        <v>54798</v>
      </c>
      <c r="BKW3" s="18">
        <v>54805</v>
      </c>
      <c r="BKX3" s="18">
        <v>54812</v>
      </c>
      <c r="BKY3" s="18">
        <v>54819</v>
      </c>
      <c r="BKZ3" s="18">
        <v>54826</v>
      </c>
      <c r="BLA3" s="18">
        <v>54833</v>
      </c>
      <c r="BLB3" s="18">
        <v>54840</v>
      </c>
      <c r="BLC3" s="18">
        <v>54847</v>
      </c>
      <c r="BLD3" s="18">
        <v>54854</v>
      </c>
      <c r="BLE3" s="18">
        <v>54861</v>
      </c>
      <c r="BLF3" s="18">
        <v>54868</v>
      </c>
      <c r="BLG3" s="18">
        <v>54875</v>
      </c>
      <c r="BLH3" s="18">
        <v>54882</v>
      </c>
      <c r="BLI3" s="18">
        <v>54889</v>
      </c>
      <c r="BLJ3" s="18">
        <v>54896</v>
      </c>
      <c r="BLK3" s="18">
        <v>54903</v>
      </c>
      <c r="BLL3" s="18">
        <v>54910</v>
      </c>
      <c r="BLM3" s="18">
        <v>54917</v>
      </c>
      <c r="BLN3" s="18">
        <v>54924</v>
      </c>
      <c r="BLO3" s="18">
        <v>54931</v>
      </c>
      <c r="BLP3" s="18">
        <v>54938</v>
      </c>
      <c r="BLQ3" s="18">
        <v>54945</v>
      </c>
      <c r="BLR3" s="18">
        <v>54952</v>
      </c>
      <c r="BLS3" s="18">
        <v>54959</v>
      </c>
      <c r="BLT3" s="18">
        <v>54966</v>
      </c>
      <c r="BLU3" s="18">
        <v>54973</v>
      </c>
      <c r="BLV3" s="18">
        <v>54980</v>
      </c>
      <c r="BLW3" s="18">
        <v>54987</v>
      </c>
      <c r="BLX3" s="18">
        <v>54994</v>
      </c>
      <c r="BLY3" s="18">
        <v>55001</v>
      </c>
      <c r="BLZ3" s="18">
        <v>55008</v>
      </c>
      <c r="BMA3" s="18">
        <v>55015</v>
      </c>
      <c r="BMB3" s="18">
        <v>55022</v>
      </c>
      <c r="BMC3" s="18">
        <v>55029</v>
      </c>
      <c r="BMD3" s="18">
        <v>55036</v>
      </c>
      <c r="BME3" s="18">
        <v>55043</v>
      </c>
      <c r="BMF3" s="18">
        <v>55050</v>
      </c>
      <c r="BMG3" s="18">
        <v>55057</v>
      </c>
      <c r="BMH3" s="18">
        <v>55064</v>
      </c>
      <c r="BMI3" s="18">
        <v>55071</v>
      </c>
      <c r="BMJ3" s="18">
        <v>55078</v>
      </c>
      <c r="BMK3" s="18">
        <v>55085</v>
      </c>
      <c r="BML3" s="18">
        <v>55092</v>
      </c>
      <c r="BMM3" s="18">
        <v>55099</v>
      </c>
      <c r="BMN3" s="18">
        <v>55106</v>
      </c>
      <c r="BMO3" s="18">
        <v>55113</v>
      </c>
      <c r="BMP3" s="18">
        <v>55120</v>
      </c>
      <c r="BMQ3" s="18">
        <v>55127</v>
      </c>
      <c r="BMR3" s="18">
        <v>55134</v>
      </c>
      <c r="BMS3" s="18">
        <v>55141</v>
      </c>
      <c r="BMT3" s="18">
        <v>55148</v>
      </c>
      <c r="BMU3" s="18">
        <v>55155</v>
      </c>
      <c r="BMV3" s="18">
        <v>55162</v>
      </c>
      <c r="BMW3" s="18">
        <v>55169</v>
      </c>
      <c r="BMX3" s="18">
        <v>55176</v>
      </c>
      <c r="BMY3" s="18">
        <v>55183</v>
      </c>
      <c r="BMZ3" s="18">
        <v>55190</v>
      </c>
      <c r="BNA3" s="18">
        <v>55197</v>
      </c>
      <c r="BNB3" s="18">
        <v>55204</v>
      </c>
      <c r="BNC3" s="18">
        <v>55211</v>
      </c>
      <c r="BND3" s="18">
        <v>55218</v>
      </c>
      <c r="BNE3" s="18">
        <v>55225</v>
      </c>
      <c r="BNF3" s="18">
        <v>55232</v>
      </c>
      <c r="BNG3" s="18">
        <v>55239</v>
      </c>
      <c r="BNH3" s="18">
        <v>55246</v>
      </c>
      <c r="BNI3" s="18">
        <v>55253</v>
      </c>
      <c r="BNJ3" s="18">
        <v>55260</v>
      </c>
      <c r="BNK3" s="18">
        <v>55267</v>
      </c>
      <c r="BNL3" s="18">
        <v>55274</v>
      </c>
      <c r="BNM3" s="18">
        <v>55281</v>
      </c>
      <c r="BNN3" s="18">
        <v>55288</v>
      </c>
      <c r="BNO3" s="18">
        <v>55295</v>
      </c>
      <c r="BNP3" s="18">
        <v>55302</v>
      </c>
      <c r="BNQ3" s="18">
        <v>55309</v>
      </c>
      <c r="BNR3" s="18">
        <v>55316</v>
      </c>
      <c r="BNS3" s="18">
        <v>55323</v>
      </c>
      <c r="BNT3" s="18">
        <v>55330</v>
      </c>
      <c r="BNU3" s="18">
        <v>55337</v>
      </c>
      <c r="BNV3" s="18">
        <v>55344</v>
      </c>
      <c r="BNW3" s="18">
        <v>55351</v>
      </c>
      <c r="BNX3" s="18">
        <v>55358</v>
      </c>
      <c r="BNY3" s="18">
        <v>55365</v>
      </c>
      <c r="BNZ3" s="18">
        <v>55372</v>
      </c>
      <c r="BOA3" s="18">
        <v>55379</v>
      </c>
      <c r="BOB3" s="18">
        <v>55386</v>
      </c>
      <c r="BOC3" s="18">
        <v>55393</v>
      </c>
      <c r="BOD3" s="18">
        <v>55400</v>
      </c>
      <c r="BOE3" s="18">
        <v>55407</v>
      </c>
      <c r="BOF3" s="18">
        <v>55414</v>
      </c>
      <c r="BOG3" s="18">
        <v>55421</v>
      </c>
      <c r="BOH3" s="18">
        <v>55428</v>
      </c>
      <c r="BOI3" s="18">
        <v>55435</v>
      </c>
      <c r="BOJ3" s="18">
        <v>55442</v>
      </c>
      <c r="BOK3" s="18">
        <v>55449</v>
      </c>
      <c r="BOL3" s="18">
        <v>55456</v>
      </c>
      <c r="BOM3" s="18">
        <v>55463</v>
      </c>
      <c r="BON3" s="18">
        <v>55470</v>
      </c>
      <c r="BOO3" s="18">
        <v>55477</v>
      </c>
      <c r="BOP3" s="18">
        <v>55484</v>
      </c>
      <c r="BOQ3" s="18">
        <v>55491</v>
      </c>
      <c r="BOR3" s="18">
        <v>55498</v>
      </c>
      <c r="BOS3" s="18">
        <v>55505</v>
      </c>
      <c r="BOT3" s="18">
        <v>55512</v>
      </c>
      <c r="BOU3" s="18">
        <v>55519</v>
      </c>
      <c r="BOV3" s="18">
        <v>55526</v>
      </c>
      <c r="BOW3" s="18">
        <v>55533</v>
      </c>
      <c r="BOX3" s="18">
        <v>55540</v>
      </c>
      <c r="BOY3" s="18">
        <v>55547</v>
      </c>
      <c r="BOZ3" s="18">
        <v>55554</v>
      </c>
      <c r="BPA3" s="18">
        <v>55561</v>
      </c>
      <c r="BPB3" s="18">
        <v>55568</v>
      </c>
      <c r="BPC3" s="18">
        <v>55575</v>
      </c>
      <c r="BPD3" s="18">
        <v>55582</v>
      </c>
      <c r="BPE3" s="18">
        <v>55589</v>
      </c>
      <c r="BPF3" s="18">
        <v>55596</v>
      </c>
      <c r="BPG3" s="18">
        <v>55603</v>
      </c>
      <c r="BPH3" s="18">
        <v>55610</v>
      </c>
      <c r="BPI3" s="18">
        <v>55617</v>
      </c>
      <c r="BPJ3" s="18">
        <v>55624</v>
      </c>
      <c r="BPK3" s="18">
        <v>55631</v>
      </c>
      <c r="BPL3" s="18">
        <v>55638</v>
      </c>
      <c r="BPM3" s="18">
        <v>55645</v>
      </c>
      <c r="BPN3" s="18">
        <v>55652</v>
      </c>
      <c r="BPO3" s="18">
        <v>55659</v>
      </c>
      <c r="BPP3" s="18">
        <v>55666</v>
      </c>
      <c r="BPQ3" s="18">
        <v>55673</v>
      </c>
      <c r="BPR3" s="18">
        <v>55680</v>
      </c>
      <c r="BPS3" s="18">
        <v>55687</v>
      </c>
      <c r="BPT3" s="18">
        <v>55694</v>
      </c>
      <c r="BPU3" s="18">
        <v>55701</v>
      </c>
      <c r="BPV3" s="18">
        <v>55708</v>
      </c>
      <c r="BPW3" s="18">
        <v>55715</v>
      </c>
      <c r="BPX3" s="18">
        <v>55722</v>
      </c>
      <c r="BPY3" s="18">
        <v>55729</v>
      </c>
      <c r="BPZ3" s="18">
        <v>55736</v>
      </c>
      <c r="BQA3" s="18">
        <v>55743</v>
      </c>
      <c r="BQB3" s="18">
        <v>55750</v>
      </c>
      <c r="BQC3" s="18">
        <v>55757</v>
      </c>
      <c r="BQD3" s="18">
        <v>55764</v>
      </c>
      <c r="BQE3" s="18">
        <v>55771</v>
      </c>
      <c r="BQF3" s="18">
        <v>55778</v>
      </c>
      <c r="BQG3" s="18">
        <v>55785</v>
      </c>
      <c r="BQH3" s="18">
        <v>55792</v>
      </c>
      <c r="BQI3" s="18">
        <v>55799</v>
      </c>
      <c r="BQJ3" s="18">
        <v>55806</v>
      </c>
      <c r="BQK3" s="18">
        <v>55813</v>
      </c>
      <c r="BQL3" s="18">
        <v>55820</v>
      </c>
      <c r="BQM3" s="18">
        <v>55827</v>
      </c>
      <c r="BQN3" s="18">
        <v>55834</v>
      </c>
      <c r="BQO3" s="18">
        <v>55841</v>
      </c>
      <c r="BQP3" s="18">
        <v>55848</v>
      </c>
      <c r="BQQ3" s="18">
        <v>55855</v>
      </c>
      <c r="BQR3" s="18">
        <v>55862</v>
      </c>
      <c r="BQS3" s="18">
        <v>55869</v>
      </c>
      <c r="BQT3" s="18">
        <v>55876</v>
      </c>
      <c r="BQU3" s="18">
        <v>55883</v>
      </c>
      <c r="BQV3" s="18">
        <v>55890</v>
      </c>
      <c r="BQW3" s="18">
        <v>55897</v>
      </c>
      <c r="BQX3" s="18">
        <v>55904</v>
      </c>
      <c r="BQY3" s="18">
        <v>55911</v>
      </c>
      <c r="BQZ3" s="18">
        <v>55918</v>
      </c>
      <c r="BRA3" s="18">
        <v>55925</v>
      </c>
      <c r="BRB3" s="18">
        <v>55932</v>
      </c>
      <c r="BRC3" s="18">
        <v>55939</v>
      </c>
      <c r="BRD3" s="18">
        <v>55946</v>
      </c>
      <c r="BRE3" s="18">
        <v>55953</v>
      </c>
      <c r="BRF3" s="18">
        <v>55960</v>
      </c>
      <c r="BRG3" s="18">
        <v>55967</v>
      </c>
      <c r="BRH3" s="18">
        <v>55974</v>
      </c>
      <c r="BRI3" s="18">
        <v>55981</v>
      </c>
      <c r="BRJ3" s="18">
        <v>55988</v>
      </c>
      <c r="BRK3" s="18">
        <v>55995</v>
      </c>
      <c r="BRL3" s="18">
        <v>56002</v>
      </c>
      <c r="BRM3" s="18">
        <v>56009</v>
      </c>
      <c r="BRN3" s="18">
        <v>56016</v>
      </c>
      <c r="BRO3" s="18">
        <v>56023</v>
      </c>
      <c r="BRP3" s="18">
        <v>56030</v>
      </c>
      <c r="BRQ3" s="18">
        <v>56037</v>
      </c>
      <c r="BRR3" s="18">
        <v>56044</v>
      </c>
      <c r="BRS3" s="18">
        <v>56051</v>
      </c>
      <c r="BRT3" s="18">
        <v>56058</v>
      </c>
      <c r="BRU3" s="18">
        <v>56065</v>
      </c>
      <c r="BRV3" s="18">
        <v>56072</v>
      </c>
      <c r="BRW3" s="18">
        <v>56079</v>
      </c>
      <c r="BRX3" s="18">
        <v>56086</v>
      </c>
      <c r="BRY3" s="18">
        <v>56093</v>
      </c>
      <c r="BRZ3" s="18">
        <v>56100</v>
      </c>
      <c r="BSA3" s="18">
        <v>56107</v>
      </c>
      <c r="BSB3" s="18">
        <v>56114</v>
      </c>
      <c r="BSC3" s="18">
        <v>56121</v>
      </c>
      <c r="BSD3" s="18">
        <v>56128</v>
      </c>
      <c r="BSE3" s="18">
        <v>56135</v>
      </c>
      <c r="BSF3" s="18">
        <v>56142</v>
      </c>
      <c r="BSG3" s="18">
        <v>56149</v>
      </c>
      <c r="BSH3" s="18">
        <v>56156</v>
      </c>
      <c r="BSI3" s="18">
        <v>56163</v>
      </c>
      <c r="BSJ3" s="18">
        <v>56170</v>
      </c>
      <c r="BSK3" s="18">
        <v>56177</v>
      </c>
      <c r="BSL3" s="18">
        <v>56184</v>
      </c>
      <c r="BSM3" s="18">
        <v>56191</v>
      </c>
      <c r="BSN3" s="18">
        <v>56198</v>
      </c>
      <c r="BSO3" s="18">
        <v>56205</v>
      </c>
      <c r="BSP3" s="18">
        <v>56212</v>
      </c>
      <c r="BSQ3" s="18">
        <v>56219</v>
      </c>
      <c r="BSR3" s="18">
        <v>56226</v>
      </c>
      <c r="BSS3" s="18">
        <v>56233</v>
      </c>
      <c r="BST3" s="18">
        <v>56240</v>
      </c>
      <c r="BSU3" s="18">
        <v>56247</v>
      </c>
      <c r="BSV3" s="18">
        <v>56254</v>
      </c>
      <c r="BSW3" s="18">
        <v>56261</v>
      </c>
      <c r="BSX3" s="18">
        <v>56268</v>
      </c>
      <c r="BSY3" s="18">
        <v>56275</v>
      </c>
      <c r="BSZ3" s="18">
        <v>56282</v>
      </c>
      <c r="BTA3" s="18">
        <v>56289</v>
      </c>
      <c r="BTB3" s="18">
        <v>56296</v>
      </c>
      <c r="BTC3" s="18">
        <v>56303</v>
      </c>
      <c r="BTD3" s="18">
        <v>56310</v>
      </c>
      <c r="BTE3" s="18">
        <v>56317</v>
      </c>
      <c r="BTF3" s="18">
        <v>56324</v>
      </c>
      <c r="BTG3" s="18">
        <v>56331</v>
      </c>
      <c r="BTH3" s="18">
        <v>56338</v>
      </c>
      <c r="BTI3" s="18">
        <v>56345</v>
      </c>
      <c r="BTJ3" s="18">
        <v>56352</v>
      </c>
      <c r="BTK3" s="18">
        <v>56359</v>
      </c>
      <c r="BTL3" s="18">
        <v>56366</v>
      </c>
      <c r="BTM3" s="18">
        <v>56373</v>
      </c>
      <c r="BTN3" s="18">
        <v>56380</v>
      </c>
      <c r="BTO3" s="18">
        <v>56387</v>
      </c>
      <c r="BTP3" s="18">
        <v>56394</v>
      </c>
      <c r="BTQ3" s="18">
        <v>56401</v>
      </c>
      <c r="BTR3" s="18">
        <v>56408</v>
      </c>
      <c r="BTS3" s="18">
        <v>56415</v>
      </c>
      <c r="BTT3" s="18">
        <v>56422</v>
      </c>
      <c r="BTU3" s="18">
        <v>56429</v>
      </c>
      <c r="BTV3" s="18">
        <v>56436</v>
      </c>
      <c r="BTW3" s="18">
        <v>56443</v>
      </c>
      <c r="BTX3" s="18">
        <v>56450</v>
      </c>
      <c r="BTY3" s="18">
        <v>56457</v>
      </c>
      <c r="BTZ3" s="18">
        <v>56464</v>
      </c>
      <c r="BUA3" s="18">
        <v>56471</v>
      </c>
      <c r="BUB3" s="18">
        <v>56478</v>
      </c>
      <c r="BUC3" s="18">
        <v>56485</v>
      </c>
      <c r="BUD3" s="18">
        <v>56492</v>
      </c>
      <c r="BUE3" s="18">
        <v>56499</v>
      </c>
      <c r="BUF3" s="18">
        <v>56506</v>
      </c>
      <c r="BUG3" s="18">
        <v>56513</v>
      </c>
      <c r="BUH3" s="18">
        <v>56520</v>
      </c>
      <c r="BUI3" s="18">
        <v>56527</v>
      </c>
      <c r="BUJ3" s="18">
        <v>56534</v>
      </c>
      <c r="BUK3" s="18">
        <v>56541</v>
      </c>
      <c r="BUL3" s="18">
        <v>56548</v>
      </c>
      <c r="BUM3" s="18">
        <v>56555</v>
      </c>
      <c r="BUN3" s="18">
        <v>56562</v>
      </c>
      <c r="BUO3" s="18">
        <v>56569</v>
      </c>
      <c r="BUP3" s="18">
        <v>56576</v>
      </c>
      <c r="BUQ3" s="18">
        <v>56583</v>
      </c>
      <c r="BUR3" s="18">
        <v>56590</v>
      </c>
      <c r="BUS3" s="18">
        <v>56597</v>
      </c>
      <c r="BUT3" s="18">
        <v>56604</v>
      </c>
      <c r="BUU3" s="18">
        <v>56611</v>
      </c>
      <c r="BUV3" s="18">
        <v>56618</v>
      </c>
      <c r="BUW3" s="18">
        <v>56625</v>
      </c>
      <c r="BUX3" s="18">
        <v>56632</v>
      </c>
      <c r="BUY3" s="18">
        <v>56639</v>
      </c>
      <c r="BUZ3" s="18">
        <v>56646</v>
      </c>
      <c r="BVA3" s="18">
        <v>56653</v>
      </c>
      <c r="BVB3" s="18">
        <v>56660</v>
      </c>
      <c r="BVC3" s="18">
        <v>56667</v>
      </c>
      <c r="BVD3" s="18">
        <v>56674</v>
      </c>
      <c r="BVE3" s="18">
        <v>56681</v>
      </c>
      <c r="BVF3" s="18">
        <v>56688</v>
      </c>
      <c r="BVG3" s="18">
        <v>56695</v>
      </c>
      <c r="BVH3" s="18">
        <v>56702</v>
      </c>
      <c r="BVI3" s="18">
        <v>56709</v>
      </c>
      <c r="BVJ3" s="18">
        <v>56716</v>
      </c>
      <c r="BVK3" s="18">
        <v>56723</v>
      </c>
      <c r="BVL3" s="18">
        <v>56730</v>
      </c>
      <c r="BVM3" s="18">
        <v>56737</v>
      </c>
      <c r="BVN3" s="18">
        <v>56744</v>
      </c>
      <c r="BVO3" s="18">
        <v>56751</v>
      </c>
      <c r="BVP3" s="18">
        <v>56758</v>
      </c>
      <c r="BVQ3" s="18">
        <v>56765</v>
      </c>
      <c r="BVR3" s="18">
        <v>56772</v>
      </c>
      <c r="BVS3" s="18">
        <v>56779</v>
      </c>
      <c r="BVT3" s="18">
        <v>56786</v>
      </c>
      <c r="BVU3" s="18">
        <v>56793</v>
      </c>
      <c r="BVV3" s="18">
        <v>56800</v>
      </c>
      <c r="BVW3" s="18">
        <v>56807</v>
      </c>
      <c r="BVX3" s="18">
        <v>56814</v>
      </c>
      <c r="BVY3" s="18">
        <v>56821</v>
      </c>
      <c r="BVZ3" s="18">
        <v>56828</v>
      </c>
      <c r="BWA3" s="18">
        <v>56835</v>
      </c>
      <c r="BWB3" s="18">
        <v>56842</v>
      </c>
      <c r="BWC3" s="18">
        <v>56849</v>
      </c>
      <c r="BWD3" s="18">
        <v>56856</v>
      </c>
      <c r="BWE3" s="18">
        <v>56863</v>
      </c>
      <c r="BWF3" s="18">
        <v>56870</v>
      </c>
      <c r="BWG3" s="18">
        <v>56877</v>
      </c>
      <c r="BWH3" s="18">
        <v>56884</v>
      </c>
      <c r="BWI3" s="18">
        <v>56891</v>
      </c>
      <c r="BWJ3" s="18">
        <v>56898</v>
      </c>
      <c r="BWK3" s="18">
        <v>56905</v>
      </c>
      <c r="BWL3" s="18">
        <v>56912</v>
      </c>
      <c r="BWM3" s="18">
        <v>56919</v>
      </c>
      <c r="BWN3" s="18">
        <v>56926</v>
      </c>
      <c r="BWO3" s="18">
        <v>56933</v>
      </c>
      <c r="BWP3" s="18">
        <v>56940</v>
      </c>
      <c r="BWQ3" s="18">
        <v>56947</v>
      </c>
      <c r="BWR3" s="18">
        <v>56954</v>
      </c>
      <c r="BWS3" s="18">
        <v>56961</v>
      </c>
      <c r="BWT3" s="18">
        <v>56968</v>
      </c>
      <c r="BWU3" s="18">
        <v>56975</v>
      </c>
      <c r="BWV3" s="18">
        <v>56982</v>
      </c>
      <c r="BWW3" s="18">
        <v>56989</v>
      </c>
      <c r="BWX3" s="18">
        <v>56996</v>
      </c>
      <c r="BWY3" s="18">
        <v>57003</v>
      </c>
      <c r="BWZ3" s="18">
        <v>57010</v>
      </c>
      <c r="BXA3" s="18">
        <v>57017</v>
      </c>
      <c r="BXB3" s="18">
        <v>57024</v>
      </c>
      <c r="BXC3" s="18">
        <v>57031</v>
      </c>
      <c r="BXD3" s="18">
        <v>57038</v>
      </c>
      <c r="BXE3" s="18">
        <v>57045</v>
      </c>
      <c r="BXF3" s="18">
        <v>57052</v>
      </c>
      <c r="BXG3" s="18">
        <v>57059</v>
      </c>
      <c r="BXH3" s="18">
        <v>57066</v>
      </c>
      <c r="BXI3" s="18">
        <v>57073</v>
      </c>
      <c r="BXJ3" s="18">
        <v>57080</v>
      </c>
      <c r="BXK3" s="18">
        <v>57087</v>
      </c>
      <c r="BXL3" s="18">
        <v>57094</v>
      </c>
      <c r="BXM3" s="18">
        <v>57101</v>
      </c>
      <c r="BXN3" s="18">
        <v>57108</v>
      </c>
      <c r="BXO3" s="18">
        <v>57115</v>
      </c>
      <c r="BXP3" s="18">
        <v>57122</v>
      </c>
      <c r="BXQ3" s="18">
        <v>57129</v>
      </c>
      <c r="BXR3" s="18">
        <v>57136</v>
      </c>
      <c r="BXS3" s="18">
        <v>57143</v>
      </c>
      <c r="BXT3" s="18">
        <v>57150</v>
      </c>
      <c r="BXU3" s="18">
        <v>57157</v>
      </c>
      <c r="BXV3" s="18">
        <v>57164</v>
      </c>
      <c r="BXW3" s="18">
        <v>57171</v>
      </c>
      <c r="BXX3" s="18">
        <v>57178</v>
      </c>
      <c r="BXY3" s="18">
        <v>57185</v>
      </c>
      <c r="BXZ3" s="18">
        <v>57192</v>
      </c>
      <c r="BYA3" s="18">
        <v>57199</v>
      </c>
      <c r="BYB3" s="18">
        <v>57206</v>
      </c>
      <c r="BYC3" s="18">
        <v>57213</v>
      </c>
      <c r="BYD3" s="18">
        <v>57220</v>
      </c>
      <c r="BYE3" s="18">
        <v>57227</v>
      </c>
      <c r="BYF3" s="18">
        <v>57234</v>
      </c>
      <c r="BYG3" s="18">
        <v>57241</v>
      </c>
      <c r="BYH3" s="18">
        <v>57248</v>
      </c>
      <c r="BYI3" s="18">
        <v>57255</v>
      </c>
      <c r="BYJ3" s="18">
        <v>57262</v>
      </c>
      <c r="BYK3" s="18">
        <v>57269</v>
      </c>
      <c r="BYL3" s="18">
        <v>57276</v>
      </c>
      <c r="BYM3" s="18">
        <v>57283</v>
      </c>
      <c r="BYN3" s="18">
        <v>57290</v>
      </c>
      <c r="BYO3" s="18">
        <v>57297</v>
      </c>
      <c r="BYP3" s="18">
        <v>57304</v>
      </c>
      <c r="BYQ3" s="18">
        <v>57311</v>
      </c>
      <c r="BYR3" s="18">
        <v>57318</v>
      </c>
      <c r="BYS3" s="18">
        <v>57325</v>
      </c>
      <c r="BYT3" s="18">
        <v>57332</v>
      </c>
      <c r="BYU3" s="18">
        <v>57339</v>
      </c>
      <c r="BYV3" s="18">
        <v>57346</v>
      </c>
      <c r="BYW3" s="18">
        <v>57353</v>
      </c>
      <c r="BYX3" s="18">
        <v>57360</v>
      </c>
      <c r="BYY3" s="18">
        <v>57367</v>
      </c>
      <c r="BYZ3" s="18">
        <v>57374</v>
      </c>
      <c r="BZA3" s="18">
        <v>57381</v>
      </c>
      <c r="BZB3" s="18">
        <v>57388</v>
      </c>
      <c r="BZC3" s="18">
        <v>57395</v>
      </c>
      <c r="BZD3" s="18">
        <v>57402</v>
      </c>
      <c r="BZE3" s="18">
        <v>57409</v>
      </c>
      <c r="BZF3" s="18">
        <v>57416</v>
      </c>
      <c r="BZG3" s="18">
        <v>57423</v>
      </c>
      <c r="BZH3" s="18">
        <v>57430</v>
      </c>
      <c r="BZI3" s="18">
        <v>57437</v>
      </c>
      <c r="BZJ3" s="18">
        <v>57444</v>
      </c>
      <c r="BZK3" s="18">
        <v>57451</v>
      </c>
      <c r="BZL3" s="18">
        <v>57458</v>
      </c>
      <c r="BZM3" s="18">
        <v>57465</v>
      </c>
      <c r="BZN3" s="18">
        <v>57472</v>
      </c>
      <c r="BZO3" s="18">
        <v>57479</v>
      </c>
      <c r="BZP3" s="18">
        <v>57486</v>
      </c>
      <c r="BZQ3" s="18">
        <v>57493</v>
      </c>
      <c r="BZR3" s="18">
        <v>57500</v>
      </c>
      <c r="BZS3" s="18">
        <v>57507</v>
      </c>
      <c r="BZT3" s="18">
        <v>57514</v>
      </c>
      <c r="BZU3" s="18">
        <v>57521</v>
      </c>
      <c r="BZV3" s="18">
        <v>57528</v>
      </c>
      <c r="BZW3" s="18">
        <v>57535</v>
      </c>
      <c r="BZX3" s="18">
        <v>57542</v>
      </c>
      <c r="BZY3" s="18">
        <v>57549</v>
      </c>
      <c r="BZZ3" s="18">
        <v>57556</v>
      </c>
      <c r="CAA3" s="18">
        <v>57563</v>
      </c>
      <c r="CAB3" s="18">
        <v>57570</v>
      </c>
      <c r="CAC3" s="18">
        <v>57577</v>
      </c>
      <c r="CAD3" s="18">
        <v>57584</v>
      </c>
      <c r="CAE3" s="18">
        <v>57591</v>
      </c>
      <c r="CAF3" s="18">
        <v>57598</v>
      </c>
      <c r="CAG3" s="18">
        <v>57605</v>
      </c>
      <c r="CAH3" s="18">
        <v>57612</v>
      </c>
      <c r="CAI3" s="18">
        <v>57619</v>
      </c>
      <c r="CAJ3" s="18">
        <v>57626</v>
      </c>
      <c r="CAK3" s="18">
        <v>57633</v>
      </c>
      <c r="CAL3" s="18">
        <v>57640</v>
      </c>
      <c r="CAM3" s="18">
        <v>57647</v>
      </c>
      <c r="CAN3" s="18">
        <v>57654</v>
      </c>
      <c r="CAO3" s="18">
        <v>57661</v>
      </c>
      <c r="CAP3" s="18">
        <v>57668</v>
      </c>
      <c r="CAQ3" s="18">
        <v>57675</v>
      </c>
      <c r="CAR3" s="18">
        <v>57682</v>
      </c>
      <c r="CAS3" s="18">
        <v>57689</v>
      </c>
      <c r="CAT3" s="18">
        <v>57696</v>
      </c>
      <c r="CAU3" s="18">
        <v>57703</v>
      </c>
      <c r="CAV3" s="18">
        <v>57710</v>
      </c>
      <c r="CAW3" s="18">
        <v>57717</v>
      </c>
      <c r="CAX3" s="18">
        <v>57724</v>
      </c>
      <c r="CAY3" s="18">
        <v>57731</v>
      </c>
      <c r="CAZ3" s="18">
        <v>57738</v>
      </c>
      <c r="CBA3" s="18">
        <v>57745</v>
      </c>
      <c r="CBB3" s="18">
        <v>57752</v>
      </c>
      <c r="CBC3" s="18">
        <v>57759</v>
      </c>
      <c r="CBD3" s="18">
        <v>57766</v>
      </c>
      <c r="CBE3" s="18">
        <v>57773</v>
      </c>
      <c r="CBF3" s="18">
        <v>57780</v>
      </c>
      <c r="CBG3" s="18">
        <v>57787</v>
      </c>
      <c r="CBH3" s="18">
        <v>57794</v>
      </c>
      <c r="CBI3" s="18">
        <v>57801</v>
      </c>
      <c r="CBJ3" s="18">
        <v>57808</v>
      </c>
      <c r="CBK3" s="18">
        <v>57815</v>
      </c>
      <c r="CBL3" s="18">
        <v>57822</v>
      </c>
      <c r="CBM3" s="18">
        <v>57829</v>
      </c>
      <c r="CBN3" s="18">
        <v>57836</v>
      </c>
      <c r="CBO3" s="18">
        <v>57843</v>
      </c>
      <c r="CBP3" s="18">
        <v>57850</v>
      </c>
      <c r="CBQ3" s="18">
        <v>57857</v>
      </c>
      <c r="CBR3" s="18">
        <v>57864</v>
      </c>
      <c r="CBS3" s="18">
        <v>57871</v>
      </c>
      <c r="CBT3" s="18">
        <v>57878</v>
      </c>
      <c r="CBU3" s="18">
        <v>57885</v>
      </c>
      <c r="CBV3" s="18">
        <v>57892</v>
      </c>
      <c r="CBW3" s="18">
        <v>57899</v>
      </c>
      <c r="CBX3" s="18">
        <v>57906</v>
      </c>
      <c r="CBY3" s="18">
        <v>57913</v>
      </c>
      <c r="CBZ3" s="18">
        <v>57920</v>
      </c>
      <c r="CCA3" s="18">
        <v>57927</v>
      </c>
      <c r="CCB3" s="18">
        <v>57934</v>
      </c>
      <c r="CCC3" s="18">
        <v>57941</v>
      </c>
      <c r="CCD3" s="18">
        <v>57948</v>
      </c>
      <c r="CCE3" s="18">
        <v>57955</v>
      </c>
      <c r="CCF3" s="18">
        <v>57962</v>
      </c>
      <c r="CCG3" s="18">
        <v>57969</v>
      </c>
      <c r="CCH3" s="18">
        <v>57976</v>
      </c>
      <c r="CCI3" s="18">
        <v>57983</v>
      </c>
      <c r="CCJ3" s="18">
        <v>57990</v>
      </c>
      <c r="CCK3" s="18">
        <v>57997</v>
      </c>
      <c r="CCL3" s="18">
        <v>58004</v>
      </c>
      <c r="CCM3" s="18">
        <v>58011</v>
      </c>
      <c r="CCN3" s="18">
        <v>58018</v>
      </c>
      <c r="CCO3" s="18">
        <v>58025</v>
      </c>
      <c r="CCP3" s="18">
        <v>58032</v>
      </c>
      <c r="CCQ3" s="18">
        <v>58039</v>
      </c>
      <c r="CCR3" s="18">
        <v>58046</v>
      </c>
      <c r="CCS3" s="18">
        <v>58053</v>
      </c>
      <c r="CCT3" s="18">
        <v>58060</v>
      </c>
      <c r="CCU3" s="18">
        <v>58067</v>
      </c>
      <c r="CCV3" s="18">
        <v>58074</v>
      </c>
      <c r="CCW3" s="18">
        <v>58081</v>
      </c>
      <c r="CCX3" s="18">
        <v>58088</v>
      </c>
      <c r="CCY3" s="18">
        <v>58095</v>
      </c>
      <c r="CCZ3" s="18">
        <v>58102</v>
      </c>
      <c r="CDA3" s="18">
        <v>58109</v>
      </c>
      <c r="CDB3" s="18">
        <v>58116</v>
      </c>
      <c r="CDC3" s="18">
        <v>58123</v>
      </c>
      <c r="CDD3" s="18">
        <v>58130</v>
      </c>
      <c r="CDE3" s="18">
        <v>58137</v>
      </c>
      <c r="CDF3" s="18">
        <v>58144</v>
      </c>
      <c r="CDG3" s="18">
        <v>58151</v>
      </c>
      <c r="CDH3" s="18">
        <v>58158</v>
      </c>
      <c r="CDI3" s="18">
        <v>58165</v>
      </c>
      <c r="CDJ3" s="18">
        <v>58172</v>
      </c>
      <c r="CDK3" s="18">
        <v>58179</v>
      </c>
      <c r="CDL3" s="18">
        <v>58186</v>
      </c>
      <c r="CDM3" s="18">
        <v>58193</v>
      </c>
      <c r="CDN3" s="18">
        <v>58200</v>
      </c>
      <c r="CDO3" s="18">
        <v>58207</v>
      </c>
      <c r="CDP3" s="18">
        <v>58214</v>
      </c>
      <c r="CDQ3" s="18">
        <v>58221</v>
      </c>
      <c r="CDR3" s="18">
        <v>58228</v>
      </c>
      <c r="CDS3" s="18">
        <v>58235</v>
      </c>
      <c r="CDT3" s="18">
        <v>58242</v>
      </c>
      <c r="CDU3" s="18">
        <v>58249</v>
      </c>
      <c r="CDV3" s="18">
        <v>58256</v>
      </c>
      <c r="CDW3" s="18">
        <v>58263</v>
      </c>
      <c r="CDX3" s="18">
        <v>58270</v>
      </c>
      <c r="CDY3" s="18">
        <v>58277</v>
      </c>
      <c r="CDZ3" s="18">
        <v>58284</v>
      </c>
      <c r="CEA3" s="18">
        <v>58291</v>
      </c>
      <c r="CEB3" s="18">
        <v>58298</v>
      </c>
      <c r="CEC3" s="18">
        <v>58305</v>
      </c>
      <c r="CED3" s="18">
        <v>58312</v>
      </c>
      <c r="CEE3" s="18">
        <v>58319</v>
      </c>
      <c r="CEF3" s="18">
        <v>58326</v>
      </c>
      <c r="CEG3" s="18">
        <v>58333</v>
      </c>
      <c r="CEH3" s="18">
        <v>58340</v>
      </c>
      <c r="CEI3" s="18">
        <v>58347</v>
      </c>
      <c r="CEJ3" s="18">
        <v>58354</v>
      </c>
      <c r="CEK3" s="18">
        <v>58361</v>
      </c>
      <c r="CEL3" s="18">
        <v>58368</v>
      </c>
      <c r="CEM3" s="18">
        <v>58375</v>
      </c>
      <c r="CEN3" s="18">
        <v>58382</v>
      </c>
      <c r="CEO3" s="18">
        <v>58389</v>
      </c>
      <c r="CEP3" s="18">
        <v>58396</v>
      </c>
      <c r="CEQ3" s="18">
        <v>58403</v>
      </c>
      <c r="CER3" s="18">
        <v>58410</v>
      </c>
      <c r="CES3" s="18">
        <v>58417</v>
      </c>
      <c r="CET3" s="18">
        <v>58424</v>
      </c>
      <c r="CEU3" s="18">
        <v>58431</v>
      </c>
      <c r="CEV3" s="18">
        <v>58438</v>
      </c>
      <c r="CEW3" s="18">
        <v>58445</v>
      </c>
      <c r="CEX3" s="18">
        <v>58452</v>
      </c>
      <c r="CEY3" s="18">
        <v>58459</v>
      </c>
      <c r="CEZ3" s="18">
        <v>58466</v>
      </c>
      <c r="CFA3" s="18">
        <v>58473</v>
      </c>
      <c r="CFB3" s="18">
        <v>58480</v>
      </c>
      <c r="CFC3" s="18">
        <v>58487</v>
      </c>
      <c r="CFD3" s="18">
        <v>58494</v>
      </c>
      <c r="CFE3" s="18">
        <v>58501</v>
      </c>
      <c r="CFF3" s="18">
        <v>58508</v>
      </c>
      <c r="CFG3" s="18">
        <v>58515</v>
      </c>
      <c r="CFH3" s="18">
        <v>58522</v>
      </c>
      <c r="CFI3" s="18">
        <v>58529</v>
      </c>
      <c r="CFJ3" s="18">
        <v>58536</v>
      </c>
      <c r="CFK3" s="18">
        <v>58543</v>
      </c>
      <c r="CFL3" s="18">
        <v>58550</v>
      </c>
      <c r="CFM3" s="18">
        <v>58557</v>
      </c>
      <c r="CFN3" s="18">
        <v>58564</v>
      </c>
      <c r="CFO3" s="18">
        <v>58571</v>
      </c>
      <c r="CFP3" s="18">
        <v>58578</v>
      </c>
      <c r="CFQ3" s="18">
        <v>58585</v>
      </c>
      <c r="CFR3" s="18">
        <v>58592</v>
      </c>
      <c r="CFS3" s="18">
        <v>58599</v>
      </c>
      <c r="CFT3" s="18">
        <v>58606</v>
      </c>
      <c r="CFU3" s="18">
        <v>58613</v>
      </c>
      <c r="CFV3" s="18">
        <v>58620</v>
      </c>
      <c r="CFW3" s="18">
        <v>58627</v>
      </c>
      <c r="CFX3" s="18">
        <v>58634</v>
      </c>
      <c r="CFY3" s="18">
        <v>58641</v>
      </c>
      <c r="CFZ3" s="18">
        <v>58648</v>
      </c>
      <c r="CGA3" s="18">
        <v>58655</v>
      </c>
      <c r="CGB3" s="18">
        <v>58662</v>
      </c>
      <c r="CGC3" s="18">
        <v>58669</v>
      </c>
      <c r="CGD3" s="18">
        <v>58676</v>
      </c>
      <c r="CGE3" s="18">
        <v>58683</v>
      </c>
      <c r="CGF3" s="18">
        <v>58690</v>
      </c>
      <c r="CGG3" s="18">
        <v>58697</v>
      </c>
      <c r="CGH3" s="18">
        <v>58704</v>
      </c>
      <c r="CGI3" s="18">
        <v>58711</v>
      </c>
      <c r="CGJ3" s="18">
        <v>58718</v>
      </c>
      <c r="CGK3" s="18">
        <v>58725</v>
      </c>
      <c r="CGL3" s="18">
        <v>58732</v>
      </c>
      <c r="CGM3" s="18">
        <v>58739</v>
      </c>
      <c r="CGN3" s="18">
        <v>58746</v>
      </c>
      <c r="CGO3" s="18">
        <v>58753</v>
      </c>
      <c r="CGP3" s="18">
        <v>58760</v>
      </c>
      <c r="CGQ3" s="18">
        <v>58767</v>
      </c>
      <c r="CGR3" s="18">
        <v>58774</v>
      </c>
      <c r="CGS3" s="18">
        <v>58781</v>
      </c>
      <c r="CGT3" s="18">
        <v>58788</v>
      </c>
      <c r="CGU3" s="18">
        <v>58795</v>
      </c>
      <c r="CGV3" s="18">
        <v>58802</v>
      </c>
      <c r="CGW3" s="18">
        <v>58809</v>
      </c>
      <c r="CGX3" s="18">
        <v>58816</v>
      </c>
      <c r="CGY3" s="18">
        <v>58823</v>
      </c>
      <c r="CGZ3" s="18">
        <v>58830</v>
      </c>
      <c r="CHA3" s="18">
        <v>58837</v>
      </c>
      <c r="CHB3" s="18">
        <v>58844</v>
      </c>
      <c r="CHC3" s="18">
        <v>58851</v>
      </c>
      <c r="CHD3" s="18">
        <v>58858</v>
      </c>
      <c r="CHE3" s="18">
        <v>58865</v>
      </c>
      <c r="CHF3" s="18">
        <v>58872</v>
      </c>
      <c r="CHG3" s="18">
        <v>58879</v>
      </c>
      <c r="CHH3" s="18">
        <v>58886</v>
      </c>
      <c r="CHI3" s="18">
        <v>58893</v>
      </c>
      <c r="CHJ3" s="18">
        <v>58900</v>
      </c>
      <c r="CHK3" s="18">
        <v>58907</v>
      </c>
      <c r="CHL3" s="18">
        <v>58914</v>
      </c>
      <c r="CHM3" s="18">
        <v>58921</v>
      </c>
      <c r="CHN3" s="18">
        <v>58928</v>
      </c>
      <c r="CHO3" s="18">
        <v>58935</v>
      </c>
      <c r="CHP3" s="18">
        <v>58942</v>
      </c>
      <c r="CHQ3" s="18">
        <v>58949</v>
      </c>
      <c r="CHR3" s="18">
        <v>58956</v>
      </c>
      <c r="CHS3" s="18">
        <v>58963</v>
      </c>
      <c r="CHT3" s="18">
        <v>58970</v>
      </c>
      <c r="CHU3" s="18">
        <v>58977</v>
      </c>
      <c r="CHV3" s="18">
        <v>58984</v>
      </c>
      <c r="CHW3" s="18">
        <v>58991</v>
      </c>
      <c r="CHX3" s="18">
        <v>58998</v>
      </c>
      <c r="CHY3" s="18">
        <v>59005</v>
      </c>
      <c r="CHZ3" s="18">
        <v>59012</v>
      </c>
      <c r="CIA3" s="18">
        <v>59019</v>
      </c>
      <c r="CIB3" s="18">
        <v>59026</v>
      </c>
      <c r="CIC3" s="18">
        <v>59033</v>
      </c>
      <c r="CID3" s="18">
        <v>59040</v>
      </c>
      <c r="CIE3" s="18">
        <v>59047</v>
      </c>
      <c r="CIF3" s="18">
        <v>59054</v>
      </c>
      <c r="CIG3" s="18">
        <v>59061</v>
      </c>
      <c r="CIH3" s="18">
        <v>59068</v>
      </c>
      <c r="CII3" s="18">
        <v>59075</v>
      </c>
      <c r="CIJ3" s="18">
        <v>59082</v>
      </c>
      <c r="CIK3" s="18">
        <v>59089</v>
      </c>
      <c r="CIL3" s="18">
        <v>59096</v>
      </c>
      <c r="CIM3" s="18">
        <v>59103</v>
      </c>
      <c r="CIN3" s="18">
        <v>59110</v>
      </c>
      <c r="CIO3" s="18">
        <v>59117</v>
      </c>
      <c r="CIP3" s="18">
        <v>59124</v>
      </c>
      <c r="CIQ3" s="18">
        <v>59131</v>
      </c>
      <c r="CIR3" s="18">
        <v>59138</v>
      </c>
      <c r="CIS3" s="18">
        <v>59145</v>
      </c>
      <c r="CIT3" s="18">
        <v>59152</v>
      </c>
      <c r="CIU3" s="18">
        <v>59159</v>
      </c>
      <c r="CIV3" s="18">
        <v>59166</v>
      </c>
      <c r="CIW3" s="18">
        <v>59173</v>
      </c>
      <c r="CIX3" s="18">
        <v>59180</v>
      </c>
      <c r="CIY3" s="18">
        <v>59187</v>
      </c>
      <c r="CIZ3" s="18">
        <v>59194</v>
      </c>
      <c r="CJA3" s="18">
        <v>59201</v>
      </c>
      <c r="CJB3" s="18">
        <v>59208</v>
      </c>
      <c r="CJC3" s="18">
        <v>59215</v>
      </c>
      <c r="CJD3" s="18">
        <v>59222</v>
      </c>
      <c r="CJE3" s="18">
        <v>59229</v>
      </c>
      <c r="CJF3" s="18">
        <v>59236</v>
      </c>
      <c r="CJG3" s="18">
        <v>59243</v>
      </c>
      <c r="CJH3" s="18">
        <v>59250</v>
      </c>
      <c r="CJI3" s="18">
        <v>59257</v>
      </c>
      <c r="CJJ3" s="18">
        <v>59264</v>
      </c>
      <c r="CJK3" s="18">
        <v>59271</v>
      </c>
      <c r="CJL3" s="18">
        <v>59278</v>
      </c>
      <c r="CJM3" s="18">
        <v>59285</v>
      </c>
      <c r="CJN3" s="18">
        <v>59292</v>
      </c>
      <c r="CJO3" s="18">
        <v>59299</v>
      </c>
      <c r="CJP3" s="18">
        <v>59306</v>
      </c>
      <c r="CJQ3" s="18">
        <v>59313</v>
      </c>
      <c r="CJR3" s="18">
        <v>59320</v>
      </c>
      <c r="CJS3" s="18">
        <v>59327</v>
      </c>
      <c r="CJT3" s="18">
        <v>59334</v>
      </c>
      <c r="CJU3" s="18">
        <v>59341</v>
      </c>
      <c r="CJV3" s="18">
        <v>59348</v>
      </c>
      <c r="CJW3" s="18">
        <v>59355</v>
      </c>
      <c r="CJX3" s="18">
        <v>59362</v>
      </c>
      <c r="CJY3" s="18">
        <v>59369</v>
      </c>
      <c r="CJZ3" s="18">
        <v>59376</v>
      </c>
      <c r="CKA3" s="18">
        <v>59383</v>
      </c>
      <c r="CKB3" s="18">
        <v>59390</v>
      </c>
      <c r="CKC3" s="18">
        <v>59397</v>
      </c>
      <c r="CKD3" s="18">
        <v>59404</v>
      </c>
      <c r="CKE3" s="18">
        <v>59411</v>
      </c>
      <c r="CKF3" s="18">
        <v>59418</v>
      </c>
      <c r="CKG3" s="18">
        <v>59425</v>
      </c>
      <c r="CKH3" s="18">
        <v>59432</v>
      </c>
      <c r="CKI3" s="18">
        <v>59439</v>
      </c>
      <c r="CKJ3" s="18">
        <v>59446</v>
      </c>
      <c r="CKK3" s="18">
        <v>59453</v>
      </c>
      <c r="CKL3" s="18">
        <v>59460</v>
      </c>
      <c r="CKM3" s="18">
        <v>59467</v>
      </c>
      <c r="CKN3" s="18">
        <v>59474</v>
      </c>
      <c r="CKO3" s="18">
        <v>59481</v>
      </c>
      <c r="CKP3" s="18">
        <v>59488</v>
      </c>
      <c r="CKQ3" s="18">
        <v>59495</v>
      </c>
      <c r="CKR3" s="18">
        <v>59502</v>
      </c>
      <c r="CKS3" s="18">
        <v>59509</v>
      </c>
      <c r="CKT3" s="18">
        <v>59516</v>
      </c>
      <c r="CKU3" s="18">
        <v>59523</v>
      </c>
      <c r="CKV3" s="18">
        <v>59530</v>
      </c>
      <c r="CKW3" s="18">
        <v>59537</v>
      </c>
      <c r="CKX3" s="18">
        <v>59544</v>
      </c>
      <c r="CKY3" s="18">
        <v>59551</v>
      </c>
      <c r="CKZ3" s="18">
        <v>59558</v>
      </c>
      <c r="CLA3" s="18">
        <v>59565</v>
      </c>
      <c r="CLB3" s="18">
        <v>59572</v>
      </c>
      <c r="CLC3" s="18">
        <v>59579</v>
      </c>
      <c r="CLD3" s="18">
        <v>59586</v>
      </c>
      <c r="CLE3" s="18">
        <v>59593</v>
      </c>
      <c r="CLF3" s="18">
        <v>59600</v>
      </c>
      <c r="CLG3" s="18">
        <v>59607</v>
      </c>
      <c r="CLH3" s="18">
        <v>59614</v>
      </c>
      <c r="CLI3" s="18">
        <v>59621</v>
      </c>
      <c r="CLJ3" s="18">
        <v>59628</v>
      </c>
      <c r="CLK3" s="18">
        <v>59635</v>
      </c>
      <c r="CLL3" s="18">
        <v>59642</v>
      </c>
      <c r="CLM3" s="18">
        <v>59649</v>
      </c>
      <c r="CLN3" s="18">
        <v>59656</v>
      </c>
      <c r="CLO3" s="18">
        <v>59663</v>
      </c>
      <c r="CLP3" s="18">
        <v>59670</v>
      </c>
      <c r="CLQ3" s="18">
        <v>59677</v>
      </c>
      <c r="CLR3" s="18">
        <v>59684</v>
      </c>
      <c r="CLS3" s="18">
        <v>59691</v>
      </c>
      <c r="CLT3" s="18">
        <v>59698</v>
      </c>
      <c r="CLU3" s="18">
        <v>59705</v>
      </c>
      <c r="CLV3" s="18">
        <v>59712</v>
      </c>
      <c r="CLW3" s="18">
        <v>59719</v>
      </c>
      <c r="CLX3" s="18">
        <v>59726</v>
      </c>
      <c r="CLY3" s="18">
        <v>59733</v>
      </c>
      <c r="CLZ3" s="18">
        <v>59740</v>
      </c>
      <c r="CMA3" s="18">
        <v>59747</v>
      </c>
      <c r="CMB3" s="18">
        <v>59754</v>
      </c>
      <c r="CMC3" s="18">
        <v>59761</v>
      </c>
      <c r="CMD3" s="18">
        <v>59768</v>
      </c>
      <c r="CME3" s="18">
        <v>59775</v>
      </c>
      <c r="CMF3" s="18">
        <v>59782</v>
      </c>
      <c r="CMG3" s="18">
        <v>59789</v>
      </c>
      <c r="CMH3" s="18">
        <v>59796</v>
      </c>
      <c r="CMI3" s="18">
        <v>59803</v>
      </c>
      <c r="CMJ3" s="18">
        <v>59810</v>
      </c>
      <c r="CMK3" s="18">
        <v>59817</v>
      </c>
      <c r="CML3" s="18">
        <v>59824</v>
      </c>
      <c r="CMM3" s="18">
        <v>59831</v>
      </c>
      <c r="CMN3" s="18">
        <v>59838</v>
      </c>
      <c r="CMO3" s="18">
        <v>59845</v>
      </c>
      <c r="CMP3" s="18">
        <v>59852</v>
      </c>
      <c r="CMQ3" s="18">
        <v>59859</v>
      </c>
      <c r="CMR3" s="18">
        <v>59866</v>
      </c>
      <c r="CMS3" s="18">
        <v>59873</v>
      </c>
      <c r="CMT3" s="18">
        <v>59880</v>
      </c>
      <c r="CMU3" s="18">
        <v>59887</v>
      </c>
      <c r="CMV3" s="18">
        <v>59894</v>
      </c>
      <c r="CMW3" s="18">
        <v>59901</v>
      </c>
      <c r="CMX3" s="18">
        <v>59908</v>
      </c>
      <c r="CMY3" s="18">
        <v>59915</v>
      </c>
      <c r="CMZ3" s="18">
        <v>59922</v>
      </c>
      <c r="CNA3" s="18">
        <v>59929</v>
      </c>
      <c r="CNB3" s="18">
        <v>59936</v>
      </c>
      <c r="CNC3" s="18">
        <v>59943</v>
      </c>
      <c r="CND3" s="18">
        <v>59950</v>
      </c>
      <c r="CNE3" s="18">
        <v>59957</v>
      </c>
      <c r="CNF3" s="18">
        <v>59964</v>
      </c>
      <c r="CNG3" s="18">
        <v>59971</v>
      </c>
      <c r="CNH3" s="18">
        <v>59978</v>
      </c>
      <c r="CNI3" s="18">
        <v>59985</v>
      </c>
      <c r="CNJ3" s="18">
        <v>59992</v>
      </c>
      <c r="CNK3" s="18">
        <v>59999</v>
      </c>
      <c r="CNL3" s="18">
        <v>60006</v>
      </c>
      <c r="CNM3" s="18">
        <v>60013</v>
      </c>
      <c r="CNN3" s="18">
        <v>60020</v>
      </c>
      <c r="CNO3" s="18">
        <v>60027</v>
      </c>
      <c r="CNP3" s="18">
        <v>60034</v>
      </c>
      <c r="CNQ3" s="18">
        <v>60041</v>
      </c>
      <c r="CNR3" s="18">
        <v>60048</v>
      </c>
      <c r="CNS3" s="18">
        <v>60055</v>
      </c>
      <c r="CNT3" s="18">
        <v>60062</v>
      </c>
      <c r="CNU3" s="18">
        <v>60069</v>
      </c>
      <c r="CNV3" s="18">
        <v>60076</v>
      </c>
      <c r="CNW3" s="18">
        <v>60083</v>
      </c>
      <c r="CNX3" s="18">
        <v>60090</v>
      </c>
      <c r="CNY3" s="18">
        <v>60097</v>
      </c>
      <c r="CNZ3" s="18">
        <v>60104</v>
      </c>
      <c r="COA3" s="18">
        <v>60111</v>
      </c>
      <c r="COB3" s="18">
        <v>60118</v>
      </c>
      <c r="COC3" s="18">
        <v>60125</v>
      </c>
      <c r="COD3" s="18">
        <v>60132</v>
      </c>
      <c r="COE3" s="18">
        <v>60139</v>
      </c>
      <c r="COF3" s="18">
        <v>60146</v>
      </c>
      <c r="COG3" s="18">
        <v>60153</v>
      </c>
      <c r="COH3" s="18">
        <v>60160</v>
      </c>
      <c r="COI3" s="18">
        <v>60167</v>
      </c>
      <c r="COJ3" s="18">
        <v>60174</v>
      </c>
      <c r="COK3" s="18">
        <v>60181</v>
      </c>
      <c r="COL3" s="18">
        <v>60188</v>
      </c>
      <c r="COM3" s="18">
        <v>60195</v>
      </c>
      <c r="CON3" s="18">
        <v>60202</v>
      </c>
      <c r="COO3" s="18">
        <v>60209</v>
      </c>
      <c r="COP3" s="18">
        <v>60216</v>
      </c>
      <c r="COQ3" s="18">
        <v>60223</v>
      </c>
      <c r="COR3" s="18">
        <v>60230</v>
      </c>
      <c r="COS3" s="18">
        <v>60237</v>
      </c>
      <c r="COT3" s="18">
        <v>60244</v>
      </c>
      <c r="COU3" s="18">
        <v>60251</v>
      </c>
      <c r="COV3" s="18">
        <v>60258</v>
      </c>
      <c r="COW3" s="18">
        <v>60265</v>
      </c>
      <c r="COX3" s="18">
        <v>60272</v>
      </c>
      <c r="COY3" s="18">
        <v>60279</v>
      </c>
      <c r="COZ3" s="18">
        <v>60286</v>
      </c>
      <c r="CPA3" s="18">
        <v>60293</v>
      </c>
      <c r="CPB3" s="18">
        <v>60300</v>
      </c>
      <c r="CPC3" s="18">
        <v>60307</v>
      </c>
      <c r="CPD3" s="18">
        <v>60314</v>
      </c>
      <c r="CPE3" s="18">
        <v>60321</v>
      </c>
      <c r="CPF3" s="18">
        <v>60328</v>
      </c>
      <c r="CPG3" s="18">
        <v>60335</v>
      </c>
      <c r="CPH3" s="18">
        <v>60342</v>
      </c>
      <c r="CPI3" s="18">
        <v>60349</v>
      </c>
      <c r="CPJ3" s="18">
        <v>60356</v>
      </c>
      <c r="CPK3" s="18">
        <v>60363</v>
      </c>
      <c r="CPL3" s="18">
        <v>60370</v>
      </c>
      <c r="CPM3" s="18">
        <v>60377</v>
      </c>
      <c r="CPN3" s="18">
        <v>60384</v>
      </c>
      <c r="CPO3" s="18">
        <v>60391</v>
      </c>
      <c r="CPP3" s="18">
        <v>60398</v>
      </c>
      <c r="CPQ3" s="18">
        <v>60405</v>
      </c>
      <c r="CPR3" s="18">
        <v>60412</v>
      </c>
      <c r="CPS3" s="18">
        <v>60419</v>
      </c>
      <c r="CPT3" s="18">
        <v>60426</v>
      </c>
      <c r="CPU3" s="18">
        <v>60433</v>
      </c>
      <c r="CPV3" s="18">
        <v>60440</v>
      </c>
      <c r="CPW3" s="18">
        <v>60447</v>
      </c>
      <c r="CPX3" s="18">
        <v>60454</v>
      </c>
      <c r="CPY3" s="18">
        <v>60461</v>
      </c>
      <c r="CPZ3" s="18">
        <v>60468</v>
      </c>
      <c r="CQA3" s="18">
        <v>60475</v>
      </c>
      <c r="CQB3" s="18">
        <v>60482</v>
      </c>
      <c r="CQC3" s="18">
        <v>60489</v>
      </c>
      <c r="CQD3" s="18">
        <v>60496</v>
      </c>
      <c r="CQE3" s="18">
        <v>60503</v>
      </c>
      <c r="CQF3" s="18">
        <v>60510</v>
      </c>
      <c r="CQG3" s="18">
        <v>60517</v>
      </c>
      <c r="CQH3" s="18">
        <v>60524</v>
      </c>
      <c r="CQI3" s="18">
        <v>60531</v>
      </c>
      <c r="CQJ3" s="18">
        <v>60538</v>
      </c>
      <c r="CQK3" s="18">
        <v>60545</v>
      </c>
      <c r="CQL3" s="18">
        <v>60552</v>
      </c>
      <c r="CQM3" s="18">
        <v>60559</v>
      </c>
      <c r="CQN3" s="18">
        <v>60566</v>
      </c>
      <c r="CQO3" s="18">
        <v>60573</v>
      </c>
      <c r="CQP3" s="18">
        <v>60580</v>
      </c>
      <c r="CQQ3" s="18">
        <v>60587</v>
      </c>
      <c r="CQR3" s="18">
        <v>60594</v>
      </c>
      <c r="CQS3" s="18">
        <v>60601</v>
      </c>
      <c r="CQT3" s="18">
        <v>60608</v>
      </c>
      <c r="CQU3" s="18">
        <v>60615</v>
      </c>
      <c r="CQV3" s="18">
        <v>60622</v>
      </c>
      <c r="CQW3" s="18">
        <v>60629</v>
      </c>
      <c r="CQX3" s="18">
        <v>60636</v>
      </c>
      <c r="CQY3" s="18">
        <v>60643</v>
      </c>
      <c r="CQZ3" s="18">
        <v>60650</v>
      </c>
      <c r="CRA3" s="18">
        <v>60657</v>
      </c>
      <c r="CRB3" s="18">
        <v>60664</v>
      </c>
      <c r="CRC3" s="18">
        <v>60671</v>
      </c>
      <c r="CRD3" s="18">
        <v>60678</v>
      </c>
      <c r="CRE3" s="18">
        <v>60685</v>
      </c>
      <c r="CRF3" s="18">
        <v>60692</v>
      </c>
      <c r="CRG3" s="18">
        <v>60699</v>
      </c>
      <c r="CRH3" s="18">
        <v>60706</v>
      </c>
      <c r="CRI3" s="18">
        <v>60713</v>
      </c>
      <c r="CRJ3" s="18">
        <v>60720</v>
      </c>
      <c r="CRK3" s="18">
        <v>60727</v>
      </c>
      <c r="CRL3" s="18">
        <v>60734</v>
      </c>
      <c r="CRM3" s="18">
        <v>60741</v>
      </c>
      <c r="CRN3" s="18">
        <v>60748</v>
      </c>
      <c r="CRO3" s="18">
        <v>60755</v>
      </c>
      <c r="CRP3" s="18">
        <v>60762</v>
      </c>
      <c r="CRQ3" s="18">
        <v>60769</v>
      </c>
      <c r="CRR3" s="18">
        <v>60776</v>
      </c>
      <c r="CRS3" s="18">
        <v>60783</v>
      </c>
      <c r="CRT3" s="18">
        <v>60790</v>
      </c>
      <c r="CRU3" s="18">
        <v>60797</v>
      </c>
      <c r="CRV3" s="18">
        <v>60804</v>
      </c>
      <c r="CRW3" s="18">
        <v>60811</v>
      </c>
      <c r="CRX3" s="18">
        <v>60818</v>
      </c>
      <c r="CRY3" s="18">
        <v>60825</v>
      </c>
      <c r="CRZ3" s="18">
        <v>60832</v>
      </c>
      <c r="CSA3" s="18">
        <v>60839</v>
      </c>
      <c r="CSB3" s="18">
        <v>60846</v>
      </c>
      <c r="CSC3" s="18">
        <v>60853</v>
      </c>
      <c r="CSD3" s="18">
        <v>60860</v>
      </c>
      <c r="CSE3" s="18">
        <v>60867</v>
      </c>
      <c r="CSF3" s="18">
        <v>60874</v>
      </c>
      <c r="CSG3" s="18">
        <v>60881</v>
      </c>
      <c r="CSH3" s="18">
        <v>60888</v>
      </c>
      <c r="CSI3" s="18">
        <v>60895</v>
      </c>
      <c r="CSJ3" s="18">
        <v>60902</v>
      </c>
      <c r="CSK3" s="18">
        <v>60909</v>
      </c>
      <c r="CSL3" s="18">
        <v>60916</v>
      </c>
      <c r="CSM3" s="18">
        <v>60923</v>
      </c>
      <c r="CSN3" s="18">
        <v>60930</v>
      </c>
      <c r="CSO3" s="18">
        <v>60937</v>
      </c>
      <c r="CSP3" s="18">
        <v>60944</v>
      </c>
      <c r="CSQ3" s="18">
        <v>60951</v>
      </c>
      <c r="CSR3" s="18">
        <v>60958</v>
      </c>
      <c r="CSS3" s="18">
        <v>60965</v>
      </c>
      <c r="CST3" s="18">
        <v>60972</v>
      </c>
      <c r="CSU3" s="18">
        <v>60979</v>
      </c>
      <c r="CSV3" s="18">
        <v>60986</v>
      </c>
      <c r="CSW3" s="18">
        <v>60993</v>
      </c>
      <c r="CSX3" s="18">
        <v>61000</v>
      </c>
      <c r="CSY3" s="18">
        <v>61007</v>
      </c>
      <c r="CSZ3" s="18">
        <v>61014</v>
      </c>
      <c r="CTA3" s="18">
        <v>61021</v>
      </c>
      <c r="CTB3" s="18">
        <v>61028</v>
      </c>
      <c r="CTC3" s="18">
        <v>61035</v>
      </c>
      <c r="CTD3" s="18">
        <v>61042</v>
      </c>
      <c r="CTE3" s="18">
        <v>61049</v>
      </c>
      <c r="CTF3" s="18">
        <v>61056</v>
      </c>
      <c r="CTG3" s="18">
        <v>61063</v>
      </c>
      <c r="CTH3" s="18">
        <v>61070</v>
      </c>
      <c r="CTI3" s="18">
        <v>61077</v>
      </c>
      <c r="CTJ3" s="18">
        <v>61084</v>
      </c>
      <c r="CTK3" s="18">
        <v>61091</v>
      </c>
      <c r="CTL3" s="18">
        <v>61098</v>
      </c>
      <c r="CTM3" s="18">
        <v>61105</v>
      </c>
      <c r="CTN3" s="18">
        <v>61112</v>
      </c>
      <c r="CTO3" s="18">
        <v>61119</v>
      </c>
      <c r="CTP3" s="18">
        <v>61126</v>
      </c>
      <c r="CTQ3" s="18">
        <v>61133</v>
      </c>
      <c r="CTR3" s="18">
        <v>61140</v>
      </c>
      <c r="CTS3" s="18">
        <v>61147</v>
      </c>
      <c r="CTT3" s="18">
        <v>61154</v>
      </c>
      <c r="CTU3" s="18">
        <v>61161</v>
      </c>
      <c r="CTV3" s="18">
        <v>61168</v>
      </c>
      <c r="CTW3" s="18">
        <v>61175</v>
      </c>
      <c r="CTX3" s="18">
        <v>61182</v>
      </c>
      <c r="CTY3" s="18">
        <v>61189</v>
      </c>
      <c r="CTZ3" s="18">
        <v>61196</v>
      </c>
      <c r="CUA3" s="18">
        <v>61203</v>
      </c>
      <c r="CUB3" s="18">
        <v>61210</v>
      </c>
      <c r="CUC3" s="18">
        <v>61217</v>
      </c>
      <c r="CUD3" s="18">
        <v>61224</v>
      </c>
      <c r="CUE3" s="18">
        <v>61231</v>
      </c>
      <c r="CUF3" s="18">
        <v>61238</v>
      </c>
      <c r="CUG3" s="18">
        <v>61245</v>
      </c>
      <c r="CUH3" s="18">
        <v>61252</v>
      </c>
      <c r="CUI3" s="18">
        <v>61259</v>
      </c>
      <c r="CUJ3" s="18">
        <v>61266</v>
      </c>
      <c r="CUK3" s="18">
        <v>61273</v>
      </c>
      <c r="CUL3" s="18">
        <v>61280</v>
      </c>
      <c r="CUM3" s="18">
        <v>61287</v>
      </c>
      <c r="CUN3" s="18">
        <v>61294</v>
      </c>
      <c r="CUO3" s="18">
        <v>61301</v>
      </c>
      <c r="CUP3" s="18">
        <v>61308</v>
      </c>
      <c r="CUQ3" s="18">
        <v>61315</v>
      </c>
      <c r="CUR3" s="18">
        <v>61322</v>
      </c>
      <c r="CUS3" s="18">
        <v>61329</v>
      </c>
      <c r="CUT3" s="18">
        <v>61336</v>
      </c>
      <c r="CUU3" s="18">
        <v>61343</v>
      </c>
      <c r="CUV3" s="18">
        <v>61350</v>
      </c>
      <c r="CUW3" s="18">
        <v>61357</v>
      </c>
      <c r="CUX3" s="18">
        <v>61364</v>
      </c>
      <c r="CUY3" s="18">
        <v>61371</v>
      </c>
      <c r="CUZ3" s="18">
        <v>61378</v>
      </c>
      <c r="CVA3" s="18">
        <v>61385</v>
      </c>
      <c r="CVB3" s="18">
        <v>61392</v>
      </c>
      <c r="CVC3" s="18">
        <v>61399</v>
      </c>
      <c r="CVD3" s="18">
        <v>61406</v>
      </c>
      <c r="CVE3" s="18">
        <v>61413</v>
      </c>
      <c r="CVF3" s="18">
        <v>61420</v>
      </c>
      <c r="CVG3" s="18">
        <v>61427</v>
      </c>
      <c r="CVH3" s="18">
        <v>61434</v>
      </c>
      <c r="CVI3" s="18">
        <v>61441</v>
      </c>
      <c r="CVJ3" s="18">
        <v>61448</v>
      </c>
      <c r="CVK3" s="18">
        <v>61455</v>
      </c>
      <c r="CVL3" s="18">
        <v>61462</v>
      </c>
      <c r="CVM3" s="18">
        <v>61469</v>
      </c>
      <c r="CVN3" s="18">
        <v>61476</v>
      </c>
      <c r="CVO3" s="18">
        <v>61483</v>
      </c>
      <c r="CVP3" s="18">
        <v>61490</v>
      </c>
      <c r="CVQ3" s="18">
        <v>61497</v>
      </c>
      <c r="CVR3" s="18">
        <v>61504</v>
      </c>
      <c r="CVS3" s="18">
        <v>61511</v>
      </c>
      <c r="CVT3" s="18">
        <v>61518</v>
      </c>
      <c r="CVU3" s="18">
        <v>61525</v>
      </c>
      <c r="CVV3" s="18">
        <v>61532</v>
      </c>
      <c r="CVW3" s="18">
        <v>61539</v>
      </c>
      <c r="CVX3" s="18">
        <v>61546</v>
      </c>
      <c r="CVY3" s="18">
        <v>61553</v>
      </c>
      <c r="CVZ3" s="18">
        <v>61560</v>
      </c>
      <c r="CWA3" s="18">
        <v>61567</v>
      </c>
      <c r="CWB3" s="18">
        <v>61574</v>
      </c>
      <c r="CWC3" s="18">
        <v>61581</v>
      </c>
      <c r="CWD3" s="18">
        <v>61588</v>
      </c>
      <c r="CWE3" s="18">
        <v>61595</v>
      </c>
      <c r="CWF3" s="18">
        <v>61602</v>
      </c>
      <c r="CWG3" s="18">
        <v>61609</v>
      </c>
      <c r="CWH3" s="18">
        <v>61616</v>
      </c>
      <c r="CWI3" s="18">
        <v>61623</v>
      </c>
      <c r="CWJ3" s="18">
        <v>61630</v>
      </c>
      <c r="CWK3" s="18">
        <v>61637</v>
      </c>
      <c r="CWL3" s="18">
        <v>61644</v>
      </c>
      <c r="CWM3" s="18">
        <v>61651</v>
      </c>
      <c r="CWN3" s="18">
        <v>61658</v>
      </c>
      <c r="CWO3" s="18">
        <v>61665</v>
      </c>
      <c r="CWP3" s="18">
        <v>61672</v>
      </c>
      <c r="CWQ3" s="18">
        <v>61679</v>
      </c>
      <c r="CWR3" s="18">
        <v>61686</v>
      </c>
      <c r="CWS3" s="18">
        <v>61693</v>
      </c>
      <c r="CWT3" s="18">
        <v>61700</v>
      </c>
      <c r="CWU3" s="18">
        <v>61707</v>
      </c>
      <c r="CWV3" s="18">
        <v>61714</v>
      </c>
      <c r="CWW3" s="18">
        <v>61721</v>
      </c>
      <c r="CWX3" s="18">
        <v>61728</v>
      </c>
      <c r="CWY3" s="18">
        <v>61735</v>
      </c>
      <c r="CWZ3" s="18">
        <v>61742</v>
      </c>
      <c r="CXA3" s="18">
        <v>61749</v>
      </c>
      <c r="CXB3" s="18">
        <v>61756</v>
      </c>
      <c r="CXC3" s="18">
        <v>61763</v>
      </c>
      <c r="CXD3" s="18">
        <v>61770</v>
      </c>
      <c r="CXE3" s="18">
        <v>61777</v>
      </c>
      <c r="CXF3" s="18">
        <v>61784</v>
      </c>
      <c r="CXG3" s="18">
        <v>61791</v>
      </c>
      <c r="CXH3" s="18">
        <v>61798</v>
      </c>
      <c r="CXI3" s="18">
        <v>61805</v>
      </c>
      <c r="CXJ3" s="18">
        <v>61812</v>
      </c>
      <c r="CXK3" s="18">
        <v>61819</v>
      </c>
      <c r="CXL3" s="18">
        <v>61826</v>
      </c>
      <c r="CXM3" s="18">
        <v>61833</v>
      </c>
      <c r="CXN3" s="18">
        <v>61840</v>
      </c>
      <c r="CXO3" s="18">
        <v>61847</v>
      </c>
      <c r="CXP3" s="18">
        <v>61854</v>
      </c>
      <c r="CXQ3" s="18">
        <v>61861</v>
      </c>
      <c r="CXR3" s="18">
        <v>61868</v>
      </c>
      <c r="CXS3" s="18">
        <v>61875</v>
      </c>
      <c r="CXT3" s="18">
        <v>61882</v>
      </c>
      <c r="CXU3" s="18">
        <v>61889</v>
      </c>
      <c r="CXV3" s="18">
        <v>61896</v>
      </c>
      <c r="CXW3" s="18">
        <v>61903</v>
      </c>
      <c r="CXX3" s="18">
        <v>61910</v>
      </c>
      <c r="CXY3" s="18">
        <v>61917</v>
      </c>
      <c r="CXZ3" s="18">
        <v>61924</v>
      </c>
      <c r="CYA3" s="18">
        <v>61931</v>
      </c>
      <c r="CYB3" s="18">
        <v>61938</v>
      </c>
      <c r="CYC3" s="18">
        <v>61945</v>
      </c>
      <c r="CYD3" s="18">
        <v>61952</v>
      </c>
      <c r="CYE3" s="18">
        <v>61959</v>
      </c>
      <c r="CYF3" s="18">
        <v>61966</v>
      </c>
      <c r="CYG3" s="18">
        <v>61973</v>
      </c>
      <c r="CYH3" s="18">
        <v>61980</v>
      </c>
      <c r="CYI3" s="18">
        <v>61987</v>
      </c>
      <c r="CYJ3" s="18">
        <v>61994</v>
      </c>
      <c r="CYK3" s="18">
        <v>62001</v>
      </c>
      <c r="CYL3" s="18">
        <v>62008</v>
      </c>
      <c r="CYM3" s="18">
        <v>62015</v>
      </c>
      <c r="CYN3" s="18">
        <v>62022</v>
      </c>
      <c r="CYO3" s="18">
        <v>62029</v>
      </c>
      <c r="CYP3" s="18">
        <v>62036</v>
      </c>
      <c r="CYQ3" s="18">
        <v>62043</v>
      </c>
      <c r="CYR3" s="18">
        <v>62050</v>
      </c>
      <c r="CYS3" s="18">
        <v>62057</v>
      </c>
      <c r="CYT3" s="18">
        <v>62064</v>
      </c>
      <c r="CYU3" s="18">
        <v>62071</v>
      </c>
      <c r="CYV3" s="18">
        <v>62078</v>
      </c>
      <c r="CYW3" s="18">
        <v>62085</v>
      </c>
      <c r="CYX3" s="18">
        <v>62092</v>
      </c>
      <c r="CYY3" s="18">
        <v>62099</v>
      </c>
      <c r="CYZ3" s="18">
        <v>62106</v>
      </c>
      <c r="CZA3" s="18">
        <v>62113</v>
      </c>
      <c r="CZB3" s="18">
        <v>62120</v>
      </c>
      <c r="CZC3" s="18">
        <v>62127</v>
      </c>
      <c r="CZD3" s="18">
        <v>62134</v>
      </c>
      <c r="CZE3" s="18">
        <v>62141</v>
      </c>
      <c r="CZF3" s="18">
        <v>62148</v>
      </c>
      <c r="CZG3" s="18">
        <v>62155</v>
      </c>
      <c r="CZH3" s="18">
        <v>62162</v>
      </c>
      <c r="CZI3" s="18">
        <v>62169</v>
      </c>
      <c r="CZJ3" s="18">
        <v>62176</v>
      </c>
      <c r="CZK3" s="18">
        <v>62183</v>
      </c>
      <c r="CZL3" s="18">
        <v>62190</v>
      </c>
      <c r="CZM3" s="18">
        <v>62197</v>
      </c>
      <c r="CZN3" s="18">
        <v>62204</v>
      </c>
      <c r="CZO3" s="18">
        <v>62211</v>
      </c>
      <c r="CZP3" s="18">
        <v>62218</v>
      </c>
      <c r="CZQ3" s="18">
        <v>62225</v>
      </c>
      <c r="CZR3" s="18">
        <v>62232</v>
      </c>
      <c r="CZS3" s="18">
        <v>62239</v>
      </c>
      <c r="CZT3" s="18">
        <v>62246</v>
      </c>
      <c r="CZU3" s="18">
        <v>62253</v>
      </c>
      <c r="CZV3" s="18">
        <v>62260</v>
      </c>
      <c r="CZW3" s="18">
        <v>62267</v>
      </c>
      <c r="CZX3" s="18">
        <v>62274</v>
      </c>
      <c r="CZY3" s="18">
        <v>62281</v>
      </c>
      <c r="CZZ3" s="18">
        <v>62288</v>
      </c>
      <c r="DAA3" s="18">
        <v>62295</v>
      </c>
      <c r="DAB3" s="18">
        <v>62302</v>
      </c>
      <c r="DAC3" s="18">
        <v>62309</v>
      </c>
      <c r="DAD3" s="18">
        <v>62316</v>
      </c>
      <c r="DAE3" s="18">
        <v>62323</v>
      </c>
      <c r="DAF3" s="18">
        <v>62330</v>
      </c>
      <c r="DAG3" s="18">
        <v>62337</v>
      </c>
      <c r="DAH3" s="18">
        <v>62344</v>
      </c>
      <c r="DAI3" s="18">
        <v>62351</v>
      </c>
      <c r="DAJ3" s="18">
        <v>62358</v>
      </c>
      <c r="DAK3" s="18">
        <v>62365</v>
      </c>
      <c r="DAL3" s="18">
        <v>62372</v>
      </c>
      <c r="DAM3" s="18">
        <v>62379</v>
      </c>
      <c r="DAN3" s="18">
        <v>62386</v>
      </c>
      <c r="DAO3" s="18">
        <v>62393</v>
      </c>
      <c r="DAP3" s="18">
        <v>62400</v>
      </c>
      <c r="DAQ3" s="18">
        <v>62407</v>
      </c>
      <c r="DAR3" s="18">
        <v>62414</v>
      </c>
      <c r="DAS3" s="18">
        <v>62421</v>
      </c>
      <c r="DAT3" s="18">
        <v>62428</v>
      </c>
      <c r="DAU3" s="18">
        <v>62435</v>
      </c>
      <c r="DAV3" s="18">
        <v>62442</v>
      </c>
      <c r="DAW3" s="18">
        <v>62449</v>
      </c>
      <c r="DAX3" s="18">
        <v>62456</v>
      </c>
      <c r="DAY3" s="18">
        <v>62463</v>
      </c>
      <c r="DAZ3" s="18">
        <v>62470</v>
      </c>
      <c r="DBA3" s="18">
        <v>62477</v>
      </c>
      <c r="DBB3" s="18">
        <v>62484</v>
      </c>
      <c r="DBC3" s="18">
        <v>62491</v>
      </c>
      <c r="DBD3" s="18">
        <v>62498</v>
      </c>
      <c r="DBE3" s="18">
        <v>62505</v>
      </c>
      <c r="DBF3" s="18">
        <v>62512</v>
      </c>
      <c r="DBG3" s="18">
        <v>62519</v>
      </c>
      <c r="DBH3" s="18">
        <v>62526</v>
      </c>
      <c r="DBI3" s="18">
        <v>62533</v>
      </c>
      <c r="DBJ3" s="18">
        <v>62540</v>
      </c>
      <c r="DBK3" s="18">
        <v>62547</v>
      </c>
      <c r="DBL3" s="18">
        <v>62554</v>
      </c>
      <c r="DBM3" s="18">
        <v>62561</v>
      </c>
      <c r="DBN3" s="18">
        <v>62568</v>
      </c>
      <c r="DBO3" s="18">
        <v>62575</v>
      </c>
      <c r="DBP3" s="18">
        <v>62582</v>
      </c>
      <c r="DBQ3" s="18">
        <v>62589</v>
      </c>
      <c r="DBR3" s="18">
        <v>62596</v>
      </c>
      <c r="DBS3" s="18">
        <v>62603</v>
      </c>
      <c r="DBT3" s="18">
        <v>62610</v>
      </c>
      <c r="DBU3" s="18">
        <v>62617</v>
      </c>
      <c r="DBV3" s="18">
        <v>62624</v>
      </c>
      <c r="DBW3" s="18">
        <v>62631</v>
      </c>
      <c r="DBX3" s="18">
        <v>62638</v>
      </c>
      <c r="DBY3" s="18">
        <v>62645</v>
      </c>
      <c r="DBZ3" s="18">
        <v>62652</v>
      </c>
      <c r="DCA3" s="18">
        <v>62659</v>
      </c>
      <c r="DCB3" s="18">
        <v>62666</v>
      </c>
      <c r="DCC3" s="18">
        <v>62673</v>
      </c>
      <c r="DCD3" s="18">
        <v>62680</v>
      </c>
      <c r="DCE3" s="18">
        <v>62687</v>
      </c>
      <c r="DCF3" s="18">
        <v>62694</v>
      </c>
      <c r="DCG3" s="18">
        <v>62701</v>
      </c>
      <c r="DCH3" s="18">
        <v>62708</v>
      </c>
      <c r="DCI3" s="18">
        <v>62715</v>
      </c>
      <c r="DCJ3" s="18">
        <v>62722</v>
      </c>
      <c r="DCK3" s="18">
        <v>62729</v>
      </c>
      <c r="DCL3" s="18">
        <v>62736</v>
      </c>
      <c r="DCM3" s="18">
        <v>62743</v>
      </c>
      <c r="DCN3" s="18">
        <v>62750</v>
      </c>
      <c r="DCO3" s="18">
        <v>62757</v>
      </c>
      <c r="DCP3" s="18">
        <v>62764</v>
      </c>
      <c r="DCQ3" s="18">
        <v>62771</v>
      </c>
      <c r="DCR3" s="18">
        <v>62778</v>
      </c>
      <c r="DCS3" s="18">
        <v>62785</v>
      </c>
      <c r="DCT3" s="18">
        <v>62792</v>
      </c>
      <c r="DCU3" s="18">
        <v>62799</v>
      </c>
      <c r="DCV3" s="18">
        <v>62806</v>
      </c>
      <c r="DCW3" s="18">
        <v>62813</v>
      </c>
      <c r="DCX3" s="18">
        <v>62820</v>
      </c>
      <c r="DCY3" s="18">
        <v>62827</v>
      </c>
      <c r="DCZ3" s="18">
        <v>62834</v>
      </c>
      <c r="DDA3" s="18">
        <v>62841</v>
      </c>
      <c r="DDB3" s="18">
        <v>62848</v>
      </c>
      <c r="DDC3" s="18">
        <v>62855</v>
      </c>
      <c r="DDD3" s="18">
        <v>62862</v>
      </c>
      <c r="DDE3" s="18">
        <v>62869</v>
      </c>
      <c r="DDF3" s="18">
        <v>62876</v>
      </c>
      <c r="DDG3" s="18">
        <v>62883</v>
      </c>
      <c r="DDH3" s="18">
        <v>62890</v>
      </c>
      <c r="DDI3" s="18">
        <v>62897</v>
      </c>
      <c r="DDJ3" s="18">
        <v>62904</v>
      </c>
      <c r="DDK3" s="18">
        <v>62911</v>
      </c>
      <c r="DDL3" s="18">
        <v>62918</v>
      </c>
      <c r="DDM3" s="18">
        <v>62925</v>
      </c>
      <c r="DDN3" s="18">
        <v>62932</v>
      </c>
      <c r="DDO3" s="18">
        <v>62939</v>
      </c>
      <c r="DDP3" s="18">
        <v>62946</v>
      </c>
      <c r="DDQ3" s="18">
        <v>62953</v>
      </c>
      <c r="DDR3" s="18">
        <v>62960</v>
      </c>
      <c r="DDS3" s="18">
        <v>62967</v>
      </c>
      <c r="DDT3" s="18">
        <v>62974</v>
      </c>
      <c r="DDU3" s="18">
        <v>62981</v>
      </c>
      <c r="DDV3" s="18">
        <v>62988</v>
      </c>
      <c r="DDW3" s="18">
        <v>62995</v>
      </c>
      <c r="DDX3" s="18">
        <v>63002</v>
      </c>
      <c r="DDY3" s="18">
        <v>63009</v>
      </c>
      <c r="DDZ3" s="18">
        <v>63016</v>
      </c>
      <c r="DEA3" s="18">
        <v>63023</v>
      </c>
      <c r="DEB3" s="18">
        <v>63030</v>
      </c>
      <c r="DEC3" s="18">
        <v>63037</v>
      </c>
      <c r="DED3" s="18">
        <v>63044</v>
      </c>
      <c r="DEE3" s="18">
        <v>63051</v>
      </c>
      <c r="DEF3" s="18">
        <v>63058</v>
      </c>
      <c r="DEG3" s="18">
        <v>63065</v>
      </c>
      <c r="DEH3" s="18">
        <v>63072</v>
      </c>
      <c r="DEI3" s="18">
        <v>63079</v>
      </c>
      <c r="DEJ3" s="18">
        <v>63086</v>
      </c>
      <c r="DEK3" s="18">
        <v>63093</v>
      </c>
      <c r="DEL3" s="18">
        <v>63100</v>
      </c>
      <c r="DEM3" s="18">
        <v>63107</v>
      </c>
      <c r="DEN3" s="18">
        <v>63114</v>
      </c>
      <c r="DEO3" s="18">
        <v>63121</v>
      </c>
      <c r="DEP3" s="18">
        <v>63128</v>
      </c>
      <c r="DEQ3" s="18">
        <v>63135</v>
      </c>
      <c r="DER3" s="18">
        <v>63142</v>
      </c>
      <c r="DES3" s="18">
        <v>63149</v>
      </c>
      <c r="DET3" s="18">
        <v>63156</v>
      </c>
      <c r="DEU3" s="18">
        <v>63163</v>
      </c>
      <c r="DEV3" s="18">
        <v>63170</v>
      </c>
      <c r="DEW3" s="18">
        <v>63177</v>
      </c>
      <c r="DEX3" s="18">
        <v>63184</v>
      </c>
      <c r="DEY3" s="18">
        <v>63191</v>
      </c>
      <c r="DEZ3" s="18">
        <v>63198</v>
      </c>
      <c r="DFA3" s="18">
        <v>63205</v>
      </c>
      <c r="DFB3" s="18">
        <v>63212</v>
      </c>
      <c r="DFC3" s="18">
        <v>63219</v>
      </c>
      <c r="DFD3" s="18">
        <v>63226</v>
      </c>
      <c r="DFE3" s="18">
        <v>63233</v>
      </c>
      <c r="DFF3" s="18">
        <v>63240</v>
      </c>
      <c r="DFG3" s="18">
        <v>63247</v>
      </c>
      <c r="DFH3" s="18">
        <v>63254</v>
      </c>
      <c r="DFI3" s="18">
        <v>63261</v>
      </c>
      <c r="DFJ3" s="18">
        <v>63268</v>
      </c>
      <c r="DFK3" s="18">
        <v>63275</v>
      </c>
      <c r="DFL3" s="18">
        <v>63282</v>
      </c>
      <c r="DFM3" s="18">
        <v>63289</v>
      </c>
      <c r="DFN3" s="18">
        <v>63296</v>
      </c>
      <c r="DFO3" s="18">
        <v>63303</v>
      </c>
      <c r="DFP3" s="18">
        <v>63310</v>
      </c>
      <c r="DFQ3" s="18">
        <v>63317</v>
      </c>
      <c r="DFR3" s="18">
        <v>63324</v>
      </c>
      <c r="DFS3" s="18">
        <v>63331</v>
      </c>
      <c r="DFT3" s="18">
        <v>63338</v>
      </c>
      <c r="DFU3" s="18">
        <v>63345</v>
      </c>
      <c r="DFV3" s="18">
        <v>63352</v>
      </c>
      <c r="DFW3" s="18">
        <v>63359</v>
      </c>
      <c r="DFX3" s="18">
        <v>63366</v>
      </c>
      <c r="DFY3" s="18">
        <v>63373</v>
      </c>
      <c r="DFZ3" s="18">
        <v>63380</v>
      </c>
      <c r="DGA3" s="18">
        <v>63387</v>
      </c>
      <c r="DGB3" s="18">
        <v>63394</v>
      </c>
      <c r="DGC3" s="18">
        <v>63401</v>
      </c>
      <c r="DGD3" s="18">
        <v>63408</v>
      </c>
      <c r="DGE3" s="18">
        <v>63415</v>
      </c>
      <c r="DGF3" s="18">
        <v>63422</v>
      </c>
      <c r="DGG3" s="18">
        <v>63429</v>
      </c>
      <c r="DGH3" s="18">
        <v>63436</v>
      </c>
      <c r="DGI3" s="18">
        <v>63443</v>
      </c>
      <c r="DGJ3" s="18">
        <v>63450</v>
      </c>
      <c r="DGK3" s="18">
        <v>63457</v>
      </c>
      <c r="DGL3" s="18">
        <v>63464</v>
      </c>
      <c r="DGM3" s="18">
        <v>63471</v>
      </c>
      <c r="DGN3" s="18">
        <v>63478</v>
      </c>
      <c r="DGO3" s="18">
        <v>63485</v>
      </c>
      <c r="DGP3" s="18">
        <v>63492</v>
      </c>
      <c r="DGQ3" s="18">
        <v>63499</v>
      </c>
      <c r="DGR3" s="18">
        <v>63506</v>
      </c>
      <c r="DGS3" s="18">
        <v>63513</v>
      </c>
      <c r="DGT3" s="18">
        <v>63520</v>
      </c>
      <c r="DGU3" s="18">
        <v>63527</v>
      </c>
      <c r="DGV3" s="18">
        <v>63534</v>
      </c>
      <c r="DGW3" s="18">
        <v>63541</v>
      </c>
      <c r="DGX3" s="18">
        <v>63548</v>
      </c>
      <c r="DGY3" s="18">
        <v>63555</v>
      </c>
      <c r="DGZ3" s="18">
        <v>63562</v>
      </c>
      <c r="DHA3" s="18">
        <v>63569</v>
      </c>
      <c r="DHB3" s="18">
        <v>63576</v>
      </c>
      <c r="DHC3" s="18">
        <v>63583</v>
      </c>
      <c r="DHD3" s="18">
        <v>63590</v>
      </c>
      <c r="DHE3" s="18">
        <v>63597</v>
      </c>
      <c r="DHF3" s="18">
        <v>63604</v>
      </c>
      <c r="DHG3" s="18">
        <v>63611</v>
      </c>
      <c r="DHH3" s="18">
        <v>63618</v>
      </c>
      <c r="DHI3" s="18">
        <v>63625</v>
      </c>
      <c r="DHJ3" s="18">
        <v>63632</v>
      </c>
      <c r="DHK3" s="18">
        <v>63639</v>
      </c>
      <c r="DHL3" s="18">
        <v>63646</v>
      </c>
      <c r="DHM3" s="18">
        <v>63653</v>
      </c>
      <c r="DHN3" s="18">
        <v>63660</v>
      </c>
      <c r="DHO3" s="18">
        <v>63667</v>
      </c>
      <c r="DHP3" s="18">
        <v>63674</v>
      </c>
      <c r="DHQ3" s="18">
        <v>63681</v>
      </c>
      <c r="DHR3" s="18">
        <v>63688</v>
      </c>
      <c r="DHS3" s="18">
        <v>63695</v>
      </c>
      <c r="DHT3" s="18">
        <v>63702</v>
      </c>
      <c r="DHU3" s="18">
        <v>63709</v>
      </c>
      <c r="DHV3" s="18">
        <v>63716</v>
      </c>
      <c r="DHW3" s="18">
        <v>63723</v>
      </c>
      <c r="DHX3" s="18">
        <v>63730</v>
      </c>
      <c r="DHY3" s="18">
        <v>63737</v>
      </c>
      <c r="DHZ3" s="18">
        <v>63744</v>
      </c>
      <c r="DIA3" s="18">
        <v>63751</v>
      </c>
      <c r="DIB3" s="18">
        <v>63758</v>
      </c>
      <c r="DIC3" s="18">
        <v>63765</v>
      </c>
      <c r="DID3" s="18">
        <v>63772</v>
      </c>
      <c r="DIE3" s="18">
        <v>63779</v>
      </c>
      <c r="DIF3" s="18">
        <v>63786</v>
      </c>
      <c r="DIG3" s="18">
        <v>63793</v>
      </c>
      <c r="DIH3" s="18">
        <v>63800</v>
      </c>
      <c r="DII3" s="18">
        <v>63807</v>
      </c>
      <c r="DIJ3" s="18">
        <v>63814</v>
      </c>
      <c r="DIK3" s="18">
        <v>63821</v>
      </c>
      <c r="DIL3" s="18">
        <v>63828</v>
      </c>
      <c r="DIM3" s="18">
        <v>63835</v>
      </c>
      <c r="DIN3" s="18">
        <v>63842</v>
      </c>
      <c r="DIO3" s="18">
        <v>63849</v>
      </c>
      <c r="DIP3" s="18">
        <v>63856</v>
      </c>
      <c r="DIQ3" s="18">
        <v>63863</v>
      </c>
      <c r="DIR3" s="18">
        <v>63870</v>
      </c>
      <c r="DIS3" s="18">
        <v>63877</v>
      </c>
      <c r="DIT3" s="18">
        <v>63884</v>
      </c>
      <c r="DIU3" s="18">
        <v>63891</v>
      </c>
      <c r="DIV3" s="18">
        <v>63898</v>
      </c>
      <c r="DIW3" s="18">
        <v>63905</v>
      </c>
      <c r="DIX3" s="18">
        <v>63912</v>
      </c>
      <c r="DIY3" s="18">
        <v>63919</v>
      </c>
      <c r="DIZ3" s="18">
        <v>63926</v>
      </c>
      <c r="DJA3" s="18">
        <v>63933</v>
      </c>
      <c r="DJB3" s="18">
        <v>63940</v>
      </c>
      <c r="DJC3" s="18">
        <v>63947</v>
      </c>
      <c r="DJD3" s="18">
        <v>63954</v>
      </c>
      <c r="DJE3" s="18">
        <v>63961</v>
      </c>
      <c r="DJF3" s="18">
        <v>63968</v>
      </c>
      <c r="DJG3" s="18">
        <v>63975</v>
      </c>
      <c r="DJH3" s="18">
        <v>63982</v>
      </c>
      <c r="DJI3" s="18">
        <v>63989</v>
      </c>
      <c r="DJJ3" s="18">
        <v>63996</v>
      </c>
      <c r="DJK3" s="18">
        <v>64003</v>
      </c>
      <c r="DJL3" s="18">
        <v>64010</v>
      </c>
      <c r="DJM3" s="18">
        <v>64017</v>
      </c>
      <c r="DJN3" s="18">
        <v>64024</v>
      </c>
      <c r="DJO3" s="18">
        <v>64031</v>
      </c>
      <c r="DJP3" s="18">
        <v>64038</v>
      </c>
      <c r="DJQ3" s="18">
        <v>64045</v>
      </c>
      <c r="DJR3" s="18">
        <v>64052</v>
      </c>
      <c r="DJS3" s="18">
        <v>64059</v>
      </c>
      <c r="DJT3" s="18">
        <v>64066</v>
      </c>
      <c r="DJU3" s="18">
        <v>64073</v>
      </c>
      <c r="DJV3" s="18">
        <v>64080</v>
      </c>
      <c r="DJW3" s="18">
        <v>64087</v>
      </c>
      <c r="DJX3" s="18">
        <v>64094</v>
      </c>
      <c r="DJY3" s="18">
        <v>64101</v>
      </c>
      <c r="DJZ3" s="18">
        <v>64108</v>
      </c>
      <c r="DKA3" s="18">
        <v>64115</v>
      </c>
      <c r="DKB3" s="18">
        <v>64122</v>
      </c>
      <c r="DKC3" s="18">
        <v>64129</v>
      </c>
      <c r="DKD3" s="18">
        <v>64136</v>
      </c>
      <c r="DKE3" s="18">
        <v>64143</v>
      </c>
      <c r="DKF3" s="18">
        <v>64150</v>
      </c>
      <c r="DKG3" s="18">
        <v>64157</v>
      </c>
      <c r="DKH3" s="18">
        <v>64164</v>
      </c>
      <c r="DKI3" s="18">
        <v>64171</v>
      </c>
      <c r="DKJ3" s="18">
        <v>64178</v>
      </c>
      <c r="DKK3" s="18">
        <v>64185</v>
      </c>
      <c r="DKL3" s="18">
        <v>64192</v>
      </c>
      <c r="DKM3" s="18">
        <v>64199</v>
      </c>
      <c r="DKN3" s="18">
        <v>64206</v>
      </c>
      <c r="DKO3" s="18">
        <v>64213</v>
      </c>
      <c r="DKP3" s="18">
        <v>64220</v>
      </c>
      <c r="DKQ3" s="18">
        <v>64227</v>
      </c>
      <c r="DKR3" s="18">
        <v>64234</v>
      </c>
      <c r="DKS3" s="18">
        <v>64241</v>
      </c>
      <c r="DKT3" s="18">
        <v>64248</v>
      </c>
      <c r="DKU3" s="18">
        <v>64255</v>
      </c>
      <c r="DKV3" s="18">
        <v>64262</v>
      </c>
      <c r="DKW3" s="18">
        <v>64269</v>
      </c>
      <c r="DKX3" s="18">
        <v>64276</v>
      </c>
      <c r="DKY3" s="18">
        <v>64283</v>
      </c>
      <c r="DKZ3" s="18">
        <v>64290</v>
      </c>
      <c r="DLA3" s="18">
        <v>64297</v>
      </c>
      <c r="DLB3" s="18">
        <v>64304</v>
      </c>
      <c r="DLC3" s="18">
        <v>64311</v>
      </c>
      <c r="DLD3" s="18">
        <v>64318</v>
      </c>
      <c r="DLE3" s="18">
        <v>64325</v>
      </c>
      <c r="DLF3" s="18">
        <v>64332</v>
      </c>
      <c r="DLG3" s="18">
        <v>64339</v>
      </c>
      <c r="DLH3" s="18">
        <v>64346</v>
      </c>
      <c r="DLI3" s="18">
        <v>64353</v>
      </c>
      <c r="DLJ3" s="18">
        <v>64360</v>
      </c>
      <c r="DLK3" s="18">
        <v>64367</v>
      </c>
      <c r="DLL3" s="18">
        <v>64374</v>
      </c>
      <c r="DLM3" s="18">
        <v>64381</v>
      </c>
      <c r="DLN3" s="18">
        <v>64388</v>
      </c>
      <c r="DLO3" s="18">
        <v>64395</v>
      </c>
      <c r="DLP3" s="18">
        <v>64402</v>
      </c>
      <c r="DLQ3" s="18">
        <v>64409</v>
      </c>
      <c r="DLR3" s="18">
        <v>64416</v>
      </c>
      <c r="DLS3" s="18">
        <v>64423</v>
      </c>
      <c r="DLT3" s="18">
        <v>64430</v>
      </c>
      <c r="DLU3" s="18">
        <v>64437</v>
      </c>
      <c r="DLV3" s="18">
        <v>64444</v>
      </c>
      <c r="DLW3" s="18">
        <v>64451</v>
      </c>
      <c r="DLX3" s="18">
        <v>64458</v>
      </c>
      <c r="DLY3" s="18">
        <v>64465</v>
      </c>
      <c r="DLZ3" s="18">
        <v>64472</v>
      </c>
      <c r="DMA3" s="18">
        <v>64479</v>
      </c>
      <c r="DMB3" s="18">
        <v>64486</v>
      </c>
      <c r="DMC3" s="18">
        <v>64493</v>
      </c>
      <c r="DMD3" s="18">
        <v>64500</v>
      </c>
      <c r="DME3" s="18">
        <v>64507</v>
      </c>
      <c r="DMF3" s="18">
        <v>64514</v>
      </c>
      <c r="DMG3" s="18">
        <v>64521</v>
      </c>
      <c r="DMH3" s="18">
        <v>64528</v>
      </c>
      <c r="DMI3" s="18">
        <v>64535</v>
      </c>
      <c r="DMJ3" s="18">
        <v>64542</v>
      </c>
      <c r="DMK3" s="18">
        <v>64549</v>
      </c>
      <c r="DML3" s="18">
        <v>64556</v>
      </c>
      <c r="DMM3" s="18">
        <v>64563</v>
      </c>
      <c r="DMN3" s="18">
        <v>64570</v>
      </c>
      <c r="DMO3" s="18">
        <v>64577</v>
      </c>
      <c r="DMP3" s="18">
        <v>64584</v>
      </c>
      <c r="DMQ3" s="18">
        <v>64591</v>
      </c>
      <c r="DMR3" s="18">
        <v>64598</v>
      </c>
      <c r="DMS3" s="18">
        <v>64605</v>
      </c>
      <c r="DMT3" s="18">
        <v>64612</v>
      </c>
      <c r="DMU3" s="18">
        <v>64619</v>
      </c>
      <c r="DMV3" s="18">
        <v>64626</v>
      </c>
      <c r="DMW3" s="18">
        <v>64633</v>
      </c>
      <c r="DMX3" s="18">
        <v>64640</v>
      </c>
      <c r="DMY3" s="18">
        <v>64647</v>
      </c>
      <c r="DMZ3" s="18">
        <v>64654</v>
      </c>
      <c r="DNA3" s="18">
        <v>64661</v>
      </c>
      <c r="DNB3" s="18">
        <v>64668</v>
      </c>
      <c r="DNC3" s="18">
        <v>64675</v>
      </c>
      <c r="DND3" s="18">
        <v>64682</v>
      </c>
      <c r="DNE3" s="18">
        <v>64689</v>
      </c>
      <c r="DNF3" s="18">
        <v>64696</v>
      </c>
      <c r="DNG3" s="18">
        <v>64703</v>
      </c>
      <c r="DNH3" s="18">
        <v>64710</v>
      </c>
      <c r="DNI3" s="18">
        <v>64717</v>
      </c>
      <c r="DNJ3" s="18">
        <v>64724</v>
      </c>
      <c r="DNK3" s="18">
        <v>64731</v>
      </c>
      <c r="DNL3" s="18">
        <v>64738</v>
      </c>
      <c r="DNM3" s="18">
        <v>64745</v>
      </c>
      <c r="DNN3" s="18">
        <v>64752</v>
      </c>
      <c r="DNO3" s="18">
        <v>64759</v>
      </c>
      <c r="DNP3" s="18">
        <v>64766</v>
      </c>
      <c r="DNQ3" s="18">
        <v>64773</v>
      </c>
      <c r="DNR3" s="18">
        <v>64780</v>
      </c>
      <c r="DNS3" s="18">
        <v>64787</v>
      </c>
      <c r="DNT3" s="18">
        <v>64794</v>
      </c>
      <c r="DNU3" s="18">
        <v>64801</v>
      </c>
      <c r="DNV3" s="18">
        <v>64808</v>
      </c>
      <c r="DNW3" s="18">
        <v>64815</v>
      </c>
      <c r="DNX3" s="18">
        <v>64822</v>
      </c>
      <c r="DNY3" s="18">
        <v>64829</v>
      </c>
      <c r="DNZ3" s="18">
        <v>64836</v>
      </c>
      <c r="DOA3" s="18">
        <v>64843</v>
      </c>
      <c r="DOB3" s="18">
        <v>64850</v>
      </c>
      <c r="DOC3" s="18">
        <v>64857</v>
      </c>
      <c r="DOD3" s="18">
        <v>64864</v>
      </c>
      <c r="DOE3" s="18">
        <v>64871</v>
      </c>
      <c r="DOF3" s="18">
        <v>64878</v>
      </c>
      <c r="DOG3" s="18">
        <v>64885</v>
      </c>
      <c r="DOH3" s="18">
        <v>64892</v>
      </c>
      <c r="DOI3" s="18">
        <v>64899</v>
      </c>
      <c r="DOJ3" s="18">
        <v>64906</v>
      </c>
      <c r="DOK3" s="18">
        <v>64913</v>
      </c>
      <c r="DOL3" s="18">
        <v>64920</v>
      </c>
      <c r="DOM3" s="18">
        <v>64927</v>
      </c>
      <c r="DON3" s="18">
        <v>64934</v>
      </c>
      <c r="DOO3" s="18">
        <v>64941</v>
      </c>
      <c r="DOP3" s="18">
        <v>64948</v>
      </c>
      <c r="DOQ3" s="18">
        <v>64955</v>
      </c>
      <c r="DOR3" s="18">
        <v>64962</v>
      </c>
      <c r="DOS3" s="18">
        <v>64969</v>
      </c>
      <c r="DOT3" s="18">
        <v>64976</v>
      </c>
      <c r="DOU3" s="18">
        <v>64983</v>
      </c>
      <c r="DOV3" s="18">
        <v>64990</v>
      </c>
      <c r="DOW3" s="18">
        <v>64997</v>
      </c>
      <c r="DOX3" s="18">
        <v>65004</v>
      </c>
      <c r="DOY3" s="18">
        <v>65011</v>
      </c>
      <c r="DOZ3" s="18">
        <v>65018</v>
      </c>
      <c r="DPA3" s="18">
        <v>65025</v>
      </c>
      <c r="DPB3" s="18">
        <v>65032</v>
      </c>
      <c r="DPC3" s="18">
        <v>65039</v>
      </c>
      <c r="DPD3" s="18">
        <v>65046</v>
      </c>
      <c r="DPE3" s="18">
        <v>65053</v>
      </c>
      <c r="DPF3" s="18">
        <v>65060</v>
      </c>
      <c r="DPG3" s="18">
        <v>65067</v>
      </c>
      <c r="DPH3" s="18">
        <v>65074</v>
      </c>
      <c r="DPI3" s="18">
        <v>65081</v>
      </c>
      <c r="DPJ3" s="18">
        <v>65088</v>
      </c>
      <c r="DPK3" s="18">
        <v>65095</v>
      </c>
      <c r="DPL3" s="18">
        <v>65102</v>
      </c>
      <c r="DPM3" s="18">
        <v>65109</v>
      </c>
      <c r="DPN3" s="18">
        <v>65116</v>
      </c>
      <c r="DPO3" s="18">
        <v>65123</v>
      </c>
      <c r="DPP3" s="18">
        <v>65130</v>
      </c>
      <c r="DPQ3" s="18">
        <v>65137</v>
      </c>
      <c r="DPR3" s="18">
        <v>65144</v>
      </c>
      <c r="DPS3" s="18">
        <v>65151</v>
      </c>
      <c r="DPT3" s="18">
        <v>65158</v>
      </c>
      <c r="DPU3" s="18">
        <v>65165</v>
      </c>
      <c r="DPV3" s="18">
        <v>65172</v>
      </c>
      <c r="DPW3" s="18">
        <v>65179</v>
      </c>
      <c r="DPX3" s="18">
        <v>65186</v>
      </c>
      <c r="DPY3" s="18">
        <v>65193</v>
      </c>
      <c r="DPZ3" s="18">
        <v>65200</v>
      </c>
      <c r="DQA3" s="18">
        <v>65207</v>
      </c>
      <c r="DQB3" s="18">
        <v>65214</v>
      </c>
      <c r="DQC3" s="18">
        <v>65221</v>
      </c>
      <c r="DQD3" s="18">
        <v>65228</v>
      </c>
      <c r="DQE3" s="18">
        <v>65235</v>
      </c>
      <c r="DQF3" s="18">
        <v>65242</v>
      </c>
      <c r="DQG3" s="18">
        <v>65249</v>
      </c>
      <c r="DQH3" s="18">
        <v>65256</v>
      </c>
      <c r="DQI3" s="18">
        <v>65263</v>
      </c>
      <c r="DQJ3" s="18">
        <v>65270</v>
      </c>
      <c r="DQK3" s="18">
        <v>65277</v>
      </c>
      <c r="DQL3" s="18">
        <v>65284</v>
      </c>
      <c r="DQM3" s="18">
        <v>65291</v>
      </c>
      <c r="DQN3" s="18">
        <v>65298</v>
      </c>
      <c r="DQO3" s="18">
        <v>65305</v>
      </c>
      <c r="DQP3" s="18">
        <v>65312</v>
      </c>
      <c r="DQQ3" s="18">
        <v>65319</v>
      </c>
      <c r="DQR3" s="18">
        <v>65326</v>
      </c>
      <c r="DQS3" s="18">
        <v>65333</v>
      </c>
      <c r="DQT3" s="18">
        <v>65340</v>
      </c>
      <c r="DQU3" s="18">
        <v>65347</v>
      </c>
      <c r="DQV3" s="18">
        <v>65354</v>
      </c>
      <c r="DQW3" s="18">
        <v>65361</v>
      </c>
      <c r="DQX3" s="18">
        <v>65368</v>
      </c>
      <c r="DQY3" s="18">
        <v>65375</v>
      </c>
      <c r="DQZ3" s="18">
        <v>65382</v>
      </c>
      <c r="DRA3" s="18">
        <v>65389</v>
      </c>
      <c r="DRB3" s="18">
        <v>65396</v>
      </c>
      <c r="DRC3" s="18">
        <v>65403</v>
      </c>
      <c r="DRD3" s="18">
        <v>65410</v>
      </c>
      <c r="DRE3" s="18">
        <v>65417</v>
      </c>
      <c r="DRF3" s="18">
        <v>65424</v>
      </c>
      <c r="DRG3" s="18">
        <v>65431</v>
      </c>
      <c r="DRH3" s="18">
        <v>65438</v>
      </c>
      <c r="DRI3" s="18">
        <v>65445</v>
      </c>
      <c r="DRJ3" s="18">
        <v>65452</v>
      </c>
      <c r="DRK3" s="18">
        <v>65459</v>
      </c>
      <c r="DRL3" s="18">
        <v>65466</v>
      </c>
      <c r="DRM3" s="18">
        <v>65473</v>
      </c>
      <c r="DRN3" s="18">
        <v>65480</v>
      </c>
      <c r="DRO3" s="18">
        <v>65487</v>
      </c>
      <c r="DRP3" s="18">
        <v>65494</v>
      </c>
      <c r="DRQ3" s="18">
        <v>65501</v>
      </c>
      <c r="DRR3" s="18">
        <v>65508</v>
      </c>
      <c r="DRS3" s="18">
        <v>65515</v>
      </c>
      <c r="DRT3" s="18">
        <v>65522</v>
      </c>
      <c r="DRU3" s="18">
        <v>65529</v>
      </c>
      <c r="DRV3" s="18">
        <v>65536</v>
      </c>
      <c r="DRW3" s="18">
        <v>65543</v>
      </c>
      <c r="DRX3" s="18">
        <v>65550</v>
      </c>
      <c r="DRY3" s="18">
        <v>65557</v>
      </c>
      <c r="DRZ3" s="18">
        <v>65564</v>
      </c>
      <c r="DSA3" s="18">
        <v>65571</v>
      </c>
      <c r="DSB3" s="18">
        <v>65578</v>
      </c>
      <c r="DSC3" s="18">
        <v>65585</v>
      </c>
      <c r="DSD3" s="18">
        <v>65592</v>
      </c>
      <c r="DSE3" s="18">
        <v>65599</v>
      </c>
      <c r="DSF3" s="18">
        <v>65606</v>
      </c>
      <c r="DSG3" s="18">
        <v>65613</v>
      </c>
      <c r="DSH3" s="18">
        <v>65620</v>
      </c>
      <c r="DSI3" s="18">
        <v>65627</v>
      </c>
      <c r="DSJ3" s="18">
        <v>65634</v>
      </c>
      <c r="DSK3" s="18">
        <v>65641</v>
      </c>
      <c r="DSL3" s="18">
        <v>65648</v>
      </c>
      <c r="DSM3" s="18">
        <v>65655</v>
      </c>
      <c r="DSN3" s="18">
        <v>65662</v>
      </c>
      <c r="DSO3" s="18">
        <v>65669</v>
      </c>
      <c r="DSP3" s="18">
        <v>65676</v>
      </c>
      <c r="DSQ3" s="18">
        <v>65683</v>
      </c>
      <c r="DSR3" s="18">
        <v>65690</v>
      </c>
      <c r="DSS3" s="18">
        <v>65697</v>
      </c>
      <c r="DST3" s="18">
        <v>65704</v>
      </c>
      <c r="DSU3" s="18">
        <v>65711</v>
      </c>
      <c r="DSV3" s="18">
        <v>65718</v>
      </c>
      <c r="DSW3" s="18">
        <v>65725</v>
      </c>
      <c r="DSX3" s="18">
        <v>65732</v>
      </c>
      <c r="DSY3" s="18">
        <v>65739</v>
      </c>
      <c r="DSZ3" s="18">
        <v>65746</v>
      </c>
      <c r="DTA3" s="18">
        <v>65753</v>
      </c>
      <c r="DTB3" s="18">
        <v>65760</v>
      </c>
      <c r="DTC3" s="18">
        <v>65767</v>
      </c>
      <c r="DTD3" s="18">
        <v>65774</v>
      </c>
      <c r="DTE3" s="18">
        <v>65781</v>
      </c>
      <c r="DTF3" s="18">
        <v>65788</v>
      </c>
      <c r="DTG3" s="18">
        <v>65795</v>
      </c>
      <c r="DTH3" s="18">
        <v>65802</v>
      </c>
      <c r="DTI3" s="18">
        <v>65809</v>
      </c>
      <c r="DTJ3" s="18">
        <v>65816</v>
      </c>
      <c r="DTK3" s="18">
        <v>65823</v>
      </c>
      <c r="DTL3" s="18">
        <v>65830</v>
      </c>
      <c r="DTM3" s="18">
        <v>65837</v>
      </c>
      <c r="DTN3" s="18">
        <v>65844</v>
      </c>
      <c r="DTO3" s="18">
        <v>65851</v>
      </c>
      <c r="DTP3" s="18">
        <v>65858</v>
      </c>
      <c r="DTQ3" s="18">
        <v>65865</v>
      </c>
      <c r="DTR3" s="18">
        <v>65872</v>
      </c>
      <c r="DTS3" s="18">
        <v>65879</v>
      </c>
      <c r="DTT3" s="18">
        <v>65886</v>
      </c>
      <c r="DTU3" s="18">
        <v>65893</v>
      </c>
      <c r="DTV3" s="18">
        <v>65900</v>
      </c>
      <c r="DTW3" s="18">
        <v>65907</v>
      </c>
      <c r="DTX3" s="18">
        <v>65914</v>
      </c>
      <c r="DTY3" s="18">
        <v>65921</v>
      </c>
      <c r="DTZ3" s="18">
        <v>65928</v>
      </c>
      <c r="DUA3" s="18">
        <v>65935</v>
      </c>
      <c r="DUB3" s="18">
        <v>65942</v>
      </c>
      <c r="DUC3" s="18">
        <v>65949</v>
      </c>
      <c r="DUD3" s="18">
        <v>65956</v>
      </c>
      <c r="DUE3" s="18">
        <v>65963</v>
      </c>
      <c r="DUF3" s="18">
        <v>65970</v>
      </c>
      <c r="DUG3" s="18">
        <v>65977</v>
      </c>
      <c r="DUH3" s="18">
        <v>65984</v>
      </c>
      <c r="DUI3" s="18">
        <v>65991</v>
      </c>
      <c r="DUJ3" s="18">
        <v>65998</v>
      </c>
      <c r="DUK3" s="18">
        <v>66005</v>
      </c>
      <c r="DUL3" s="18">
        <v>66012</v>
      </c>
      <c r="DUM3" s="18">
        <v>66019</v>
      </c>
      <c r="DUN3" s="18">
        <v>66026</v>
      </c>
      <c r="DUO3" s="18">
        <v>66033</v>
      </c>
      <c r="DUP3" s="18">
        <v>66040</v>
      </c>
      <c r="DUQ3" s="18">
        <v>66047</v>
      </c>
      <c r="DUR3" s="18">
        <v>66054</v>
      </c>
      <c r="DUS3" s="18">
        <v>66061</v>
      </c>
      <c r="DUT3" s="18">
        <v>66068</v>
      </c>
      <c r="DUU3" s="18">
        <v>66075</v>
      </c>
      <c r="DUV3" s="18">
        <v>66082</v>
      </c>
      <c r="DUW3" s="18">
        <v>66089</v>
      </c>
      <c r="DUX3" s="18">
        <v>66096</v>
      </c>
      <c r="DUY3" s="18">
        <v>66103</v>
      </c>
      <c r="DUZ3" s="18">
        <v>66110</v>
      </c>
      <c r="DVA3" s="18">
        <v>66117</v>
      </c>
      <c r="DVB3" s="18">
        <v>66124</v>
      </c>
      <c r="DVC3" s="18">
        <v>66131</v>
      </c>
      <c r="DVD3" s="18">
        <v>66138</v>
      </c>
      <c r="DVE3" s="18">
        <v>66145</v>
      </c>
      <c r="DVF3" s="18">
        <v>66152</v>
      </c>
      <c r="DVG3" s="18">
        <v>66159</v>
      </c>
      <c r="DVH3" s="18">
        <v>66166</v>
      </c>
      <c r="DVI3" s="18">
        <v>66173</v>
      </c>
      <c r="DVJ3" s="18">
        <v>66180</v>
      </c>
      <c r="DVK3" s="18">
        <v>66187</v>
      </c>
      <c r="DVL3" s="18">
        <v>66194</v>
      </c>
      <c r="DVM3" s="18">
        <v>66201</v>
      </c>
      <c r="DVN3" s="18">
        <v>66208</v>
      </c>
      <c r="DVO3" s="18">
        <v>66215</v>
      </c>
      <c r="DVP3" s="18">
        <v>66222</v>
      </c>
      <c r="DVQ3" s="18">
        <v>66229</v>
      </c>
      <c r="DVR3" s="18">
        <v>66236</v>
      </c>
      <c r="DVS3" s="18">
        <v>66243</v>
      </c>
      <c r="DVT3" s="18">
        <v>66250</v>
      </c>
      <c r="DVU3" s="18">
        <v>66257</v>
      </c>
      <c r="DVV3" s="18">
        <v>66264</v>
      </c>
      <c r="DVW3" s="18">
        <v>66271</v>
      </c>
      <c r="DVX3" s="18">
        <v>66278</v>
      </c>
      <c r="DVY3" s="18">
        <v>66285</v>
      </c>
      <c r="DVZ3" s="18">
        <v>66292</v>
      </c>
      <c r="DWA3" s="18">
        <v>66299</v>
      </c>
      <c r="DWB3" s="18">
        <v>66306</v>
      </c>
      <c r="DWC3" s="18">
        <v>66313</v>
      </c>
      <c r="DWD3" s="18">
        <v>66320</v>
      </c>
      <c r="DWE3" s="18">
        <v>66327</v>
      </c>
      <c r="DWF3" s="18">
        <v>66334</v>
      </c>
      <c r="DWG3" s="18">
        <v>66341</v>
      </c>
      <c r="DWH3" s="18">
        <v>66348</v>
      </c>
      <c r="DWI3" s="18">
        <v>66355</v>
      </c>
      <c r="DWJ3" s="18">
        <v>66362</v>
      </c>
      <c r="DWK3" s="18">
        <v>66369</v>
      </c>
      <c r="DWL3" s="18">
        <v>66376</v>
      </c>
      <c r="DWM3" s="18">
        <v>66383</v>
      </c>
      <c r="DWN3" s="18">
        <v>66390</v>
      </c>
      <c r="DWO3" s="18">
        <v>66397</v>
      </c>
      <c r="DWP3" s="18">
        <v>66404</v>
      </c>
      <c r="DWQ3" s="18">
        <v>66411</v>
      </c>
      <c r="DWR3" s="18">
        <v>66418</v>
      </c>
      <c r="DWS3" s="18">
        <v>66425</v>
      </c>
      <c r="DWT3" s="18">
        <v>66432</v>
      </c>
      <c r="DWU3" s="18">
        <v>66439</v>
      </c>
      <c r="DWV3" s="18">
        <v>66446</v>
      </c>
      <c r="DWW3" s="18">
        <v>66453</v>
      </c>
      <c r="DWX3" s="18">
        <v>66460</v>
      </c>
      <c r="DWY3" s="18">
        <v>66467</v>
      </c>
      <c r="DWZ3" s="18">
        <v>66474</v>
      </c>
      <c r="DXA3" s="18">
        <v>66481</v>
      </c>
      <c r="DXB3" s="18">
        <v>66488</v>
      </c>
      <c r="DXC3" s="18">
        <v>66495</v>
      </c>
      <c r="DXD3" s="18">
        <v>66502</v>
      </c>
      <c r="DXE3" s="18">
        <v>66509</v>
      </c>
      <c r="DXF3" s="18">
        <v>66516</v>
      </c>
      <c r="DXG3" s="18">
        <v>66523</v>
      </c>
      <c r="DXH3" s="18">
        <v>66530</v>
      </c>
      <c r="DXI3" s="18">
        <v>66537</v>
      </c>
      <c r="DXJ3" s="18">
        <v>66544</v>
      </c>
      <c r="DXK3" s="18">
        <v>66551</v>
      </c>
      <c r="DXL3" s="18">
        <v>66558</v>
      </c>
      <c r="DXM3" s="18">
        <v>66565</v>
      </c>
      <c r="DXN3" s="18">
        <v>66572</v>
      </c>
      <c r="DXO3" s="18">
        <v>66579</v>
      </c>
      <c r="DXP3" s="18">
        <v>66586</v>
      </c>
      <c r="DXQ3" s="18">
        <v>66593</v>
      </c>
      <c r="DXR3" s="18">
        <v>66600</v>
      </c>
      <c r="DXS3" s="18">
        <v>66607</v>
      </c>
      <c r="DXT3" s="18">
        <v>66614</v>
      </c>
      <c r="DXU3" s="18">
        <v>66621</v>
      </c>
      <c r="DXV3" s="18">
        <v>66628</v>
      </c>
      <c r="DXW3" s="18">
        <v>66635</v>
      </c>
      <c r="DXX3" s="18">
        <v>66642</v>
      </c>
      <c r="DXY3" s="18">
        <v>66649</v>
      </c>
      <c r="DXZ3" s="18">
        <v>66656</v>
      </c>
      <c r="DYA3" s="18">
        <v>66663</v>
      </c>
      <c r="DYB3" s="18">
        <v>66670</v>
      </c>
      <c r="DYC3" s="18">
        <v>66677</v>
      </c>
      <c r="DYD3" s="18">
        <v>66684</v>
      </c>
      <c r="DYE3" s="18">
        <v>66691</v>
      </c>
      <c r="DYF3" s="18">
        <v>66698</v>
      </c>
      <c r="DYG3" s="18">
        <v>66705</v>
      </c>
      <c r="DYH3" s="18">
        <v>66712</v>
      </c>
      <c r="DYI3" s="18">
        <v>66719</v>
      </c>
      <c r="DYJ3" s="18">
        <v>66726</v>
      </c>
      <c r="DYK3" s="18">
        <v>66733</v>
      </c>
      <c r="DYL3" s="18">
        <v>66740</v>
      </c>
      <c r="DYM3" s="18">
        <v>66747</v>
      </c>
      <c r="DYN3" s="18">
        <v>66754</v>
      </c>
      <c r="DYO3" s="18">
        <v>66761</v>
      </c>
      <c r="DYP3" s="18">
        <v>66768</v>
      </c>
      <c r="DYQ3" s="18">
        <v>66775</v>
      </c>
      <c r="DYR3" s="18">
        <v>66782</v>
      </c>
      <c r="DYS3" s="18">
        <v>66789</v>
      </c>
      <c r="DYT3" s="18">
        <v>66796</v>
      </c>
      <c r="DYU3" s="18">
        <v>66803</v>
      </c>
      <c r="DYV3" s="18">
        <v>66810</v>
      </c>
      <c r="DYW3" s="18">
        <v>66817</v>
      </c>
      <c r="DYX3" s="18">
        <v>66824</v>
      </c>
      <c r="DYY3" s="18">
        <v>66831</v>
      </c>
      <c r="DYZ3" s="18">
        <v>66838</v>
      </c>
      <c r="DZA3" s="18">
        <v>66845</v>
      </c>
      <c r="DZB3" s="18">
        <v>66852</v>
      </c>
      <c r="DZC3" s="18">
        <v>66859</v>
      </c>
      <c r="DZD3" s="18">
        <v>66866</v>
      </c>
      <c r="DZE3" s="18">
        <v>66873</v>
      </c>
      <c r="DZF3" s="18">
        <v>66880</v>
      </c>
      <c r="DZG3" s="18">
        <v>66887</v>
      </c>
      <c r="DZH3" s="18">
        <v>66894</v>
      </c>
      <c r="DZI3" s="18">
        <v>66901</v>
      </c>
      <c r="DZJ3" s="18">
        <v>66908</v>
      </c>
      <c r="DZK3" s="18">
        <v>66915</v>
      </c>
      <c r="DZL3" s="18">
        <v>66922</v>
      </c>
      <c r="DZM3" s="18">
        <v>66929</v>
      </c>
      <c r="DZN3" s="18">
        <v>66936</v>
      </c>
      <c r="DZO3" s="18">
        <v>66943</v>
      </c>
      <c r="DZP3" s="18">
        <v>66950</v>
      </c>
      <c r="DZQ3" s="18">
        <v>66957</v>
      </c>
      <c r="DZR3" s="18">
        <v>66964</v>
      </c>
      <c r="DZS3" s="18">
        <v>66971</v>
      </c>
      <c r="DZT3" s="18">
        <v>66978</v>
      </c>
      <c r="DZU3" s="18">
        <v>66985</v>
      </c>
      <c r="DZV3" s="18">
        <v>66992</v>
      </c>
      <c r="DZW3" s="18">
        <v>66999</v>
      </c>
      <c r="DZX3" s="18">
        <v>67006</v>
      </c>
      <c r="DZY3" s="18">
        <v>67013</v>
      </c>
      <c r="DZZ3" s="18">
        <v>67020</v>
      </c>
      <c r="EAA3" s="18">
        <v>67027</v>
      </c>
      <c r="EAB3" s="18">
        <v>67034</v>
      </c>
      <c r="EAC3" s="18">
        <v>67041</v>
      </c>
      <c r="EAD3" s="18">
        <v>67048</v>
      </c>
      <c r="EAE3" s="18">
        <v>67055</v>
      </c>
      <c r="EAF3" s="18">
        <v>67062</v>
      </c>
      <c r="EAG3" s="18">
        <v>67069</v>
      </c>
      <c r="EAH3" s="18">
        <v>67076</v>
      </c>
      <c r="EAI3" s="18">
        <v>67083</v>
      </c>
      <c r="EAJ3" s="18">
        <v>67090</v>
      </c>
      <c r="EAK3" s="18">
        <v>67097</v>
      </c>
      <c r="EAL3" s="18">
        <v>67104</v>
      </c>
      <c r="EAM3" s="18">
        <v>67111</v>
      </c>
      <c r="EAN3" s="18">
        <v>67118</v>
      </c>
      <c r="EAO3" s="18">
        <v>67125</v>
      </c>
      <c r="EAP3" s="18">
        <v>67132</v>
      </c>
      <c r="EAQ3" s="18">
        <v>67139</v>
      </c>
      <c r="EAR3" s="18">
        <v>67146</v>
      </c>
      <c r="EAS3" s="18">
        <v>67153</v>
      </c>
      <c r="EAT3" s="18">
        <v>67160</v>
      </c>
      <c r="EAU3" s="18">
        <v>67167</v>
      </c>
      <c r="EAV3" s="18">
        <v>67174</v>
      </c>
      <c r="EAW3" s="18">
        <v>67181</v>
      </c>
      <c r="EAX3" s="18">
        <v>67188</v>
      </c>
      <c r="EAY3" s="18">
        <v>67195</v>
      </c>
      <c r="EAZ3" s="18">
        <v>67202</v>
      </c>
      <c r="EBA3" s="18">
        <v>67209</v>
      </c>
      <c r="EBB3" s="18">
        <v>67216</v>
      </c>
      <c r="EBC3" s="18">
        <v>67223</v>
      </c>
      <c r="EBD3" s="18">
        <v>67230</v>
      </c>
      <c r="EBE3" s="18">
        <v>67237</v>
      </c>
      <c r="EBF3" s="18">
        <v>67244</v>
      </c>
      <c r="EBG3" s="18">
        <v>67251</v>
      </c>
      <c r="EBH3" s="18">
        <v>67258</v>
      </c>
      <c r="EBI3" s="18">
        <v>67265</v>
      </c>
      <c r="EBJ3" s="18">
        <v>67272</v>
      </c>
      <c r="EBK3" s="18">
        <v>67279</v>
      </c>
      <c r="EBL3" s="18">
        <v>67286</v>
      </c>
      <c r="EBM3" s="18">
        <v>67293</v>
      </c>
      <c r="EBN3" s="18">
        <v>67300</v>
      </c>
      <c r="EBO3" s="18">
        <v>67307</v>
      </c>
      <c r="EBP3" s="18">
        <v>67314</v>
      </c>
      <c r="EBQ3" s="18">
        <v>67321</v>
      </c>
      <c r="EBR3" s="18">
        <v>67328</v>
      </c>
      <c r="EBS3" s="18">
        <v>67335</v>
      </c>
      <c r="EBT3" s="18">
        <v>67342</v>
      </c>
      <c r="EBU3" s="18">
        <v>67349</v>
      </c>
      <c r="EBV3" s="18">
        <v>67356</v>
      </c>
      <c r="EBW3" s="18">
        <v>67363</v>
      </c>
      <c r="EBX3" s="18">
        <v>67370</v>
      </c>
      <c r="EBY3" s="18">
        <v>67377</v>
      </c>
      <c r="EBZ3" s="18">
        <v>67384</v>
      </c>
      <c r="ECA3" s="18">
        <v>67391</v>
      </c>
      <c r="ECB3" s="18">
        <v>67398</v>
      </c>
      <c r="ECC3" s="18">
        <v>67405</v>
      </c>
      <c r="ECD3" s="18">
        <v>67412</v>
      </c>
      <c r="ECE3" s="18">
        <v>67419</v>
      </c>
      <c r="ECF3" s="18">
        <v>67426</v>
      </c>
      <c r="ECG3" s="18">
        <v>67433</v>
      </c>
      <c r="ECH3" s="18">
        <v>67440</v>
      </c>
      <c r="ECI3" s="18">
        <v>67447</v>
      </c>
      <c r="ECJ3" s="18">
        <v>67454</v>
      </c>
      <c r="ECK3" s="18">
        <v>67461</v>
      </c>
      <c r="ECL3" s="18">
        <v>67468</v>
      </c>
      <c r="ECM3" s="18">
        <v>67475</v>
      </c>
      <c r="ECN3" s="18">
        <v>67482</v>
      </c>
      <c r="ECO3" s="18">
        <v>67489</v>
      </c>
      <c r="ECP3" s="18">
        <v>67496</v>
      </c>
      <c r="ECQ3" s="18">
        <v>67503</v>
      </c>
      <c r="ECR3" s="18">
        <v>67510</v>
      </c>
      <c r="ECS3" s="18">
        <v>67517</v>
      </c>
      <c r="ECT3" s="18">
        <v>67524</v>
      </c>
      <c r="ECU3" s="18">
        <v>67531</v>
      </c>
      <c r="ECV3" s="18">
        <v>67538</v>
      </c>
      <c r="ECW3" s="18">
        <v>67545</v>
      </c>
      <c r="ECX3" s="18">
        <v>67552</v>
      </c>
      <c r="ECY3" s="18">
        <v>67559</v>
      </c>
      <c r="ECZ3" s="18">
        <v>67566</v>
      </c>
      <c r="EDA3" s="18">
        <v>67573</v>
      </c>
      <c r="EDB3" s="18">
        <v>67580</v>
      </c>
      <c r="EDC3" s="18">
        <v>67587</v>
      </c>
      <c r="EDD3" s="18">
        <v>67594</v>
      </c>
      <c r="EDE3" s="18">
        <v>67601</v>
      </c>
      <c r="EDF3" s="18">
        <v>67608</v>
      </c>
      <c r="EDG3" s="18">
        <v>67615</v>
      </c>
      <c r="EDH3" s="18">
        <v>67622</v>
      </c>
      <c r="EDI3" s="18">
        <v>67629</v>
      </c>
      <c r="EDJ3" s="18">
        <v>67636</v>
      </c>
      <c r="EDK3" s="18">
        <v>67643</v>
      </c>
      <c r="EDL3" s="18">
        <v>67650</v>
      </c>
      <c r="EDM3" s="18">
        <v>67657</v>
      </c>
      <c r="EDN3" s="18">
        <v>67664</v>
      </c>
      <c r="EDO3" s="18">
        <v>67671</v>
      </c>
      <c r="EDP3" s="18">
        <v>67678</v>
      </c>
      <c r="EDQ3" s="18">
        <v>67685</v>
      </c>
      <c r="EDR3" s="18">
        <v>67692</v>
      </c>
      <c r="EDS3" s="18">
        <v>67699</v>
      </c>
      <c r="EDT3" s="18">
        <v>67706</v>
      </c>
      <c r="EDU3" s="18">
        <v>67713</v>
      </c>
      <c r="EDV3" s="18">
        <v>67720</v>
      </c>
      <c r="EDW3" s="18">
        <v>67727</v>
      </c>
      <c r="EDX3" s="18">
        <v>67734</v>
      </c>
      <c r="EDY3" s="18">
        <v>67741</v>
      </c>
      <c r="EDZ3" s="18">
        <v>67748</v>
      </c>
      <c r="EEA3" s="18">
        <v>67755</v>
      </c>
      <c r="EEB3" s="18">
        <v>67762</v>
      </c>
      <c r="EEC3" s="18">
        <v>67769</v>
      </c>
      <c r="EED3" s="18">
        <v>67776</v>
      </c>
      <c r="EEE3" s="18">
        <v>67783</v>
      </c>
      <c r="EEF3" s="18">
        <v>67790</v>
      </c>
      <c r="EEG3" s="18">
        <v>67797</v>
      </c>
      <c r="EEH3" s="18">
        <v>67804</v>
      </c>
      <c r="EEI3" s="18">
        <v>67811</v>
      </c>
      <c r="EEJ3" s="18">
        <v>67818</v>
      </c>
      <c r="EEK3" s="18">
        <v>67825</v>
      </c>
      <c r="EEL3" s="18">
        <v>67832</v>
      </c>
      <c r="EEM3" s="18">
        <v>67839</v>
      </c>
      <c r="EEN3" s="18">
        <v>67846</v>
      </c>
      <c r="EEO3" s="18">
        <v>67853</v>
      </c>
      <c r="EEP3" s="18">
        <v>67860</v>
      </c>
      <c r="EEQ3" s="18">
        <v>67867</v>
      </c>
      <c r="EER3" s="18">
        <v>67874</v>
      </c>
      <c r="EES3" s="18">
        <v>67881</v>
      </c>
      <c r="EET3" s="18">
        <v>67888</v>
      </c>
      <c r="EEU3" s="18">
        <v>67895</v>
      </c>
      <c r="EEV3" s="18">
        <v>67902</v>
      </c>
      <c r="EEW3" s="18">
        <v>67909</v>
      </c>
      <c r="EEX3" s="18">
        <v>67916</v>
      </c>
      <c r="EEY3" s="18">
        <v>67923</v>
      </c>
      <c r="EEZ3" s="18">
        <v>67930</v>
      </c>
      <c r="EFA3" s="18">
        <v>67937</v>
      </c>
      <c r="EFB3" s="18">
        <v>67944</v>
      </c>
      <c r="EFC3" s="18">
        <v>67951</v>
      </c>
      <c r="EFD3" s="18">
        <v>67958</v>
      </c>
      <c r="EFE3" s="18">
        <v>67965</v>
      </c>
      <c r="EFF3" s="18">
        <v>67972</v>
      </c>
      <c r="EFG3" s="18">
        <v>67979</v>
      </c>
      <c r="EFH3" s="18">
        <v>67986</v>
      </c>
      <c r="EFI3" s="18">
        <v>67993</v>
      </c>
      <c r="EFJ3" s="18">
        <v>68000</v>
      </c>
      <c r="EFK3" s="18">
        <v>68007</v>
      </c>
      <c r="EFL3" s="18">
        <v>68014</v>
      </c>
      <c r="EFM3" s="18">
        <v>68021</v>
      </c>
      <c r="EFN3" s="18">
        <v>68028</v>
      </c>
      <c r="EFO3" s="18">
        <v>68035</v>
      </c>
      <c r="EFP3" s="18">
        <v>68042</v>
      </c>
      <c r="EFQ3" s="18">
        <v>68049</v>
      </c>
      <c r="EFR3" s="18">
        <v>68056</v>
      </c>
      <c r="EFS3" s="18">
        <v>68063</v>
      </c>
      <c r="EFT3" s="18">
        <v>68070</v>
      </c>
      <c r="EFU3" s="18">
        <v>68077</v>
      </c>
      <c r="EFV3" s="18">
        <v>68084</v>
      </c>
      <c r="EFW3" s="18">
        <v>68091</v>
      </c>
      <c r="EFX3" s="18">
        <v>68098</v>
      </c>
      <c r="EFY3" s="18">
        <v>68105</v>
      </c>
      <c r="EFZ3" s="18">
        <v>68112</v>
      </c>
      <c r="EGA3" s="18">
        <v>68119</v>
      </c>
      <c r="EGB3" s="18">
        <v>68126</v>
      </c>
      <c r="EGC3" s="18">
        <v>68133</v>
      </c>
      <c r="EGD3" s="18">
        <v>68140</v>
      </c>
      <c r="EGE3" s="18">
        <v>68147</v>
      </c>
      <c r="EGF3" s="18">
        <v>68154</v>
      </c>
      <c r="EGG3" s="18">
        <v>68161</v>
      </c>
      <c r="EGH3" s="18">
        <v>68168</v>
      </c>
      <c r="EGI3" s="18">
        <v>68175</v>
      </c>
      <c r="EGJ3" s="18">
        <v>68182</v>
      </c>
      <c r="EGK3" s="18">
        <v>68189</v>
      </c>
      <c r="EGL3" s="18">
        <v>68196</v>
      </c>
      <c r="EGM3" s="18">
        <v>68203</v>
      </c>
      <c r="EGN3" s="18">
        <v>68210</v>
      </c>
      <c r="EGO3" s="18">
        <v>68217</v>
      </c>
      <c r="EGP3" s="18">
        <v>68224</v>
      </c>
      <c r="EGQ3" s="18">
        <v>68231</v>
      </c>
      <c r="EGR3" s="18">
        <v>68238</v>
      </c>
      <c r="EGS3" s="18">
        <v>68245</v>
      </c>
      <c r="EGT3" s="18">
        <v>68252</v>
      </c>
      <c r="EGU3" s="18">
        <v>68259</v>
      </c>
      <c r="EGV3" s="18">
        <v>68266</v>
      </c>
      <c r="EGW3" s="18">
        <v>68273</v>
      </c>
      <c r="EGX3" s="18">
        <v>68280</v>
      </c>
      <c r="EGY3" s="18">
        <v>68287</v>
      </c>
      <c r="EGZ3" s="18">
        <v>68294</v>
      </c>
      <c r="EHA3" s="18">
        <v>68301</v>
      </c>
      <c r="EHB3" s="18">
        <v>68308</v>
      </c>
      <c r="EHC3" s="18">
        <v>68315</v>
      </c>
      <c r="EHD3" s="18">
        <v>68322</v>
      </c>
      <c r="EHE3" s="18">
        <v>68329</v>
      </c>
      <c r="EHF3" s="18">
        <v>68336</v>
      </c>
      <c r="EHG3" s="18">
        <v>68343</v>
      </c>
      <c r="EHH3" s="18">
        <v>68350</v>
      </c>
      <c r="EHI3" s="18">
        <v>68357</v>
      </c>
      <c r="EHJ3" s="18">
        <v>68364</v>
      </c>
      <c r="EHK3" s="18">
        <v>68371</v>
      </c>
      <c r="EHL3" s="18">
        <v>68378</v>
      </c>
      <c r="EHM3" s="18">
        <v>68385</v>
      </c>
      <c r="EHN3" s="18">
        <v>68392</v>
      </c>
      <c r="EHO3" s="18">
        <v>68399</v>
      </c>
      <c r="EHP3" s="18">
        <v>68406</v>
      </c>
      <c r="EHQ3" s="18">
        <v>68413</v>
      </c>
      <c r="EHR3" s="18">
        <v>68420</v>
      </c>
      <c r="EHS3" s="18">
        <v>68427</v>
      </c>
      <c r="EHT3" s="18">
        <v>68434</v>
      </c>
      <c r="EHU3" s="18">
        <v>68441</v>
      </c>
      <c r="EHV3" s="18">
        <v>68448</v>
      </c>
      <c r="EHW3" s="18">
        <v>68455</v>
      </c>
      <c r="EHX3" s="18">
        <v>68462</v>
      </c>
      <c r="EHY3" s="18">
        <v>68469</v>
      </c>
      <c r="EHZ3" s="18">
        <v>68476</v>
      </c>
      <c r="EIA3" s="18">
        <v>68483</v>
      </c>
      <c r="EIB3" s="18">
        <v>68490</v>
      </c>
      <c r="EIC3" s="18">
        <v>68497</v>
      </c>
      <c r="EID3" s="18">
        <v>68504</v>
      </c>
      <c r="EIE3" s="18">
        <v>68511</v>
      </c>
      <c r="EIF3" s="18">
        <v>68518</v>
      </c>
      <c r="EIG3" s="18">
        <v>68525</v>
      </c>
      <c r="EIH3" s="18">
        <v>68532</v>
      </c>
      <c r="EII3" s="18">
        <v>68539</v>
      </c>
      <c r="EIJ3" s="18">
        <v>68546</v>
      </c>
      <c r="EIK3" s="18">
        <v>68553</v>
      </c>
      <c r="EIL3" s="18">
        <v>68560</v>
      </c>
      <c r="EIM3" s="18">
        <v>68567</v>
      </c>
      <c r="EIN3" s="18">
        <v>68574</v>
      </c>
      <c r="EIO3" s="18">
        <v>68581</v>
      </c>
      <c r="EIP3" s="18">
        <v>68588</v>
      </c>
      <c r="EIQ3" s="18">
        <v>68595</v>
      </c>
      <c r="EIR3" s="18">
        <v>68602</v>
      </c>
      <c r="EIS3" s="18">
        <v>68609</v>
      </c>
      <c r="EIT3" s="18">
        <v>68616</v>
      </c>
      <c r="EIU3" s="18">
        <v>68623</v>
      </c>
      <c r="EIV3" s="18">
        <v>68630</v>
      </c>
      <c r="EIW3" s="18">
        <v>68637</v>
      </c>
      <c r="EIX3" s="18">
        <v>68644</v>
      </c>
      <c r="EIY3" s="18">
        <v>68651</v>
      </c>
      <c r="EIZ3" s="18">
        <v>68658</v>
      </c>
      <c r="EJA3" s="18">
        <v>68665</v>
      </c>
      <c r="EJB3" s="18">
        <v>68672</v>
      </c>
      <c r="EJC3" s="18">
        <v>68679</v>
      </c>
      <c r="EJD3" s="18">
        <v>68686</v>
      </c>
      <c r="EJE3" s="18">
        <v>68693</v>
      </c>
      <c r="EJF3" s="18">
        <v>68700</v>
      </c>
      <c r="EJG3" s="18">
        <v>68707</v>
      </c>
      <c r="EJH3" s="18">
        <v>68714</v>
      </c>
      <c r="EJI3" s="18">
        <v>68721</v>
      </c>
      <c r="EJJ3" s="18">
        <v>68728</v>
      </c>
      <c r="EJK3" s="18">
        <v>68735</v>
      </c>
      <c r="EJL3" s="18">
        <v>68742</v>
      </c>
      <c r="EJM3" s="18">
        <v>68749</v>
      </c>
      <c r="EJN3" s="18">
        <v>68756</v>
      </c>
      <c r="EJO3" s="18">
        <v>68763</v>
      </c>
      <c r="EJP3" s="18">
        <v>68770</v>
      </c>
      <c r="EJQ3" s="18">
        <v>68777</v>
      </c>
      <c r="EJR3" s="18">
        <v>68784</v>
      </c>
      <c r="EJS3" s="18">
        <v>68791</v>
      </c>
      <c r="EJT3" s="18">
        <v>68798</v>
      </c>
      <c r="EJU3" s="18">
        <v>68805</v>
      </c>
      <c r="EJV3" s="18">
        <v>68812</v>
      </c>
      <c r="EJW3" s="18">
        <v>68819</v>
      </c>
      <c r="EJX3" s="18">
        <v>68826</v>
      </c>
      <c r="EJY3" s="18">
        <v>68833</v>
      </c>
      <c r="EJZ3" s="18">
        <v>68840</v>
      </c>
      <c r="EKA3" s="18">
        <v>68847</v>
      </c>
      <c r="EKB3" s="18">
        <v>68854</v>
      </c>
      <c r="EKC3" s="18">
        <v>68861</v>
      </c>
      <c r="EKD3" s="18">
        <v>68868</v>
      </c>
      <c r="EKE3" s="18">
        <v>68875</v>
      </c>
      <c r="EKF3" s="18">
        <v>68882</v>
      </c>
      <c r="EKG3" s="18">
        <v>68889</v>
      </c>
      <c r="EKH3" s="18">
        <v>68896</v>
      </c>
      <c r="EKI3" s="18">
        <v>68903</v>
      </c>
      <c r="EKJ3" s="18">
        <v>68910</v>
      </c>
      <c r="EKK3" s="18">
        <v>68917</v>
      </c>
      <c r="EKL3" s="18">
        <v>68924</v>
      </c>
      <c r="EKM3" s="18">
        <v>68931</v>
      </c>
      <c r="EKN3" s="18">
        <v>68938</v>
      </c>
      <c r="EKO3" s="18">
        <v>68945</v>
      </c>
      <c r="EKP3" s="18">
        <v>68952</v>
      </c>
      <c r="EKQ3" s="18">
        <v>68959</v>
      </c>
      <c r="EKR3" s="18">
        <v>68966</v>
      </c>
      <c r="EKS3" s="18">
        <v>68973</v>
      </c>
      <c r="EKT3" s="18">
        <v>68980</v>
      </c>
      <c r="EKU3" s="18">
        <v>68987</v>
      </c>
      <c r="EKV3" s="18">
        <v>68994</v>
      </c>
      <c r="EKW3" s="18">
        <v>69001</v>
      </c>
      <c r="EKX3" s="18">
        <v>69008</v>
      </c>
      <c r="EKY3" s="18">
        <v>69015</v>
      </c>
      <c r="EKZ3" s="18">
        <v>69022</v>
      </c>
      <c r="ELA3" s="18">
        <v>69029</v>
      </c>
      <c r="ELB3" s="18">
        <v>69036</v>
      </c>
      <c r="ELC3" s="18">
        <v>69043</v>
      </c>
      <c r="ELD3" s="18">
        <v>69050</v>
      </c>
      <c r="ELE3" s="18">
        <v>69057</v>
      </c>
      <c r="ELF3" s="18">
        <v>69064</v>
      </c>
      <c r="ELG3" s="18">
        <v>69071</v>
      </c>
      <c r="ELH3" s="18">
        <v>69078</v>
      </c>
      <c r="ELI3" s="18">
        <v>69085</v>
      </c>
      <c r="ELJ3" s="18">
        <v>69092</v>
      </c>
      <c r="ELK3" s="18">
        <v>69099</v>
      </c>
      <c r="ELL3" s="18">
        <v>69106</v>
      </c>
      <c r="ELM3" s="18">
        <v>69113</v>
      </c>
      <c r="ELN3" s="18">
        <v>69120</v>
      </c>
      <c r="ELO3" s="18">
        <v>69127</v>
      </c>
      <c r="ELP3" s="18">
        <v>69134</v>
      </c>
      <c r="ELQ3" s="18">
        <v>69141</v>
      </c>
      <c r="ELR3" s="18">
        <v>69148</v>
      </c>
      <c r="ELS3" s="18">
        <v>69155</v>
      </c>
      <c r="ELT3" s="18">
        <v>69162</v>
      </c>
      <c r="ELU3" s="18">
        <v>69169</v>
      </c>
      <c r="ELV3" s="18">
        <v>69176</v>
      </c>
      <c r="ELW3" s="18">
        <v>69183</v>
      </c>
      <c r="ELX3" s="18">
        <v>69190</v>
      </c>
      <c r="ELY3" s="18">
        <v>69197</v>
      </c>
      <c r="ELZ3" s="18">
        <v>69204</v>
      </c>
      <c r="EMA3" s="18">
        <v>69211</v>
      </c>
      <c r="EMB3" s="18">
        <v>69218</v>
      </c>
      <c r="EMC3" s="18">
        <v>69225</v>
      </c>
      <c r="EMD3" s="18">
        <v>69232</v>
      </c>
      <c r="EME3" s="18">
        <v>69239</v>
      </c>
      <c r="EMF3" s="18">
        <v>69246</v>
      </c>
      <c r="EMG3" s="18">
        <v>69253</v>
      </c>
      <c r="EMH3" s="18">
        <v>69260</v>
      </c>
      <c r="EMI3" s="18">
        <v>69267</v>
      </c>
      <c r="EMJ3" s="18">
        <v>69274</v>
      </c>
      <c r="EMK3" s="18">
        <v>69281</v>
      </c>
      <c r="EML3" s="18">
        <v>69288</v>
      </c>
      <c r="EMM3" s="18">
        <v>69295</v>
      </c>
      <c r="EMN3" s="18">
        <v>69302</v>
      </c>
      <c r="EMO3" s="18">
        <v>69309</v>
      </c>
      <c r="EMP3" s="18">
        <v>69316</v>
      </c>
      <c r="EMQ3" s="18">
        <v>69323</v>
      </c>
      <c r="EMR3" s="18">
        <v>69330</v>
      </c>
      <c r="EMS3" s="18">
        <v>69337</v>
      </c>
      <c r="EMT3" s="18">
        <v>69344</v>
      </c>
      <c r="EMU3" s="18">
        <v>69351</v>
      </c>
      <c r="EMV3" s="18">
        <v>69358</v>
      </c>
      <c r="EMW3" s="18">
        <v>69365</v>
      </c>
      <c r="EMX3" s="18">
        <v>69372</v>
      </c>
      <c r="EMY3" s="18">
        <v>69379</v>
      </c>
      <c r="EMZ3" s="18">
        <v>69386</v>
      </c>
      <c r="ENA3" s="18">
        <v>69393</v>
      </c>
      <c r="ENB3" s="18">
        <v>69400</v>
      </c>
      <c r="ENC3" s="18">
        <v>69407</v>
      </c>
      <c r="END3" s="18">
        <v>69414</v>
      </c>
      <c r="ENE3" s="18">
        <v>69421</v>
      </c>
      <c r="ENF3" s="18">
        <v>69428</v>
      </c>
      <c r="ENG3" s="18">
        <v>69435</v>
      </c>
      <c r="ENH3" s="18">
        <v>69442</v>
      </c>
      <c r="ENI3" s="18">
        <v>69449</v>
      </c>
      <c r="ENJ3" s="18">
        <v>69456</v>
      </c>
      <c r="ENK3" s="18">
        <v>69463</v>
      </c>
      <c r="ENL3" s="18">
        <v>69470</v>
      </c>
      <c r="ENM3" s="18">
        <v>69477</v>
      </c>
      <c r="ENN3" s="18">
        <v>69484</v>
      </c>
      <c r="ENO3" s="18">
        <v>69491</v>
      </c>
      <c r="ENP3" s="18">
        <v>69498</v>
      </c>
      <c r="ENQ3" s="18">
        <v>69505</v>
      </c>
      <c r="ENR3" s="18">
        <v>69512</v>
      </c>
      <c r="ENS3" s="18">
        <v>69519</v>
      </c>
      <c r="ENT3" s="18">
        <v>69526</v>
      </c>
      <c r="ENU3" s="18">
        <v>69533</v>
      </c>
      <c r="ENV3" s="18">
        <v>69540</v>
      </c>
      <c r="ENW3" s="18">
        <v>69547</v>
      </c>
      <c r="ENX3" s="18">
        <v>69554</v>
      </c>
      <c r="ENY3" s="18">
        <v>69561</v>
      </c>
      <c r="ENZ3" s="18">
        <v>69568</v>
      </c>
      <c r="EOA3" s="18">
        <v>69575</v>
      </c>
      <c r="EOB3" s="18">
        <v>69582</v>
      </c>
      <c r="EOC3" s="18">
        <v>69589</v>
      </c>
      <c r="EOD3" s="18">
        <v>69596</v>
      </c>
      <c r="EOE3" s="18">
        <v>69603</v>
      </c>
      <c r="EOF3" s="18">
        <v>69610</v>
      </c>
      <c r="EOG3" s="18">
        <v>69617</v>
      </c>
      <c r="EOH3" s="18">
        <v>69624</v>
      </c>
      <c r="EOI3" s="18">
        <v>69631</v>
      </c>
      <c r="EOJ3" s="18">
        <v>69638</v>
      </c>
      <c r="EOK3" s="18">
        <v>69645</v>
      </c>
      <c r="EOL3" s="18">
        <v>69652</v>
      </c>
      <c r="EOM3" s="18">
        <v>69659</v>
      </c>
      <c r="EON3" s="18">
        <v>69666</v>
      </c>
      <c r="EOO3" s="18">
        <v>69673</v>
      </c>
      <c r="EOP3" s="18">
        <v>69680</v>
      </c>
      <c r="EOQ3" s="18">
        <v>69687</v>
      </c>
      <c r="EOR3" s="18">
        <v>69694</v>
      </c>
      <c r="EOS3" s="18">
        <v>69701</v>
      </c>
      <c r="EOT3" s="18">
        <v>69708</v>
      </c>
      <c r="EOU3" s="18">
        <v>69715</v>
      </c>
      <c r="EOV3" s="18">
        <v>69722</v>
      </c>
      <c r="EOW3" s="18">
        <v>69729</v>
      </c>
      <c r="EOX3" s="18">
        <v>69736</v>
      </c>
      <c r="EOY3" s="18">
        <v>69743</v>
      </c>
      <c r="EOZ3" s="18">
        <v>69750</v>
      </c>
      <c r="EPA3" s="18">
        <v>69757</v>
      </c>
      <c r="EPB3" s="18">
        <v>69764</v>
      </c>
      <c r="EPC3" s="18">
        <v>69771</v>
      </c>
      <c r="EPD3" s="18">
        <v>69778</v>
      </c>
      <c r="EPE3" s="18">
        <v>69785</v>
      </c>
      <c r="EPF3" s="18">
        <v>69792</v>
      </c>
      <c r="EPG3" s="18">
        <v>69799</v>
      </c>
      <c r="EPH3" s="18">
        <v>69806</v>
      </c>
      <c r="EPI3" s="18">
        <v>69813</v>
      </c>
      <c r="EPJ3" s="18">
        <v>69820</v>
      </c>
      <c r="EPK3" s="18">
        <v>69827</v>
      </c>
      <c r="EPL3" s="18">
        <v>69834</v>
      </c>
      <c r="EPM3" s="18">
        <v>69841</v>
      </c>
      <c r="EPN3" s="18">
        <v>69848</v>
      </c>
      <c r="EPO3" s="18">
        <v>69855</v>
      </c>
      <c r="EPP3" s="18">
        <v>69862</v>
      </c>
      <c r="EPQ3" s="18">
        <v>69869</v>
      </c>
      <c r="EPR3" s="18">
        <v>69876</v>
      </c>
      <c r="EPS3" s="18">
        <v>69883</v>
      </c>
      <c r="EPT3" s="18">
        <v>69890</v>
      </c>
      <c r="EPU3" s="18">
        <v>69897</v>
      </c>
      <c r="EPV3" s="18">
        <v>69904</v>
      </c>
      <c r="EPW3" s="18">
        <v>69911</v>
      </c>
      <c r="EPX3" s="18">
        <v>69918</v>
      </c>
      <c r="EPY3" s="18">
        <v>69925</v>
      </c>
      <c r="EPZ3" s="18">
        <v>69932</v>
      </c>
      <c r="EQA3" s="18">
        <v>69939</v>
      </c>
      <c r="EQB3" s="18">
        <v>69946</v>
      </c>
      <c r="EQC3" s="18">
        <v>69953</v>
      </c>
      <c r="EQD3" s="18">
        <v>69960</v>
      </c>
      <c r="EQE3" s="18">
        <v>69967</v>
      </c>
      <c r="EQF3" s="18">
        <v>69974</v>
      </c>
      <c r="EQG3" s="18">
        <v>69981</v>
      </c>
      <c r="EQH3" s="18">
        <v>69988</v>
      </c>
      <c r="EQI3" s="18">
        <v>69995</v>
      </c>
      <c r="EQJ3" s="18">
        <v>70002</v>
      </c>
      <c r="EQK3" s="18">
        <v>70009</v>
      </c>
      <c r="EQL3" s="18">
        <v>70016</v>
      </c>
      <c r="EQM3" s="18">
        <v>70023</v>
      </c>
      <c r="EQN3" s="18">
        <v>70030</v>
      </c>
      <c r="EQO3" s="18">
        <v>70037</v>
      </c>
      <c r="EQP3" s="18">
        <v>70044</v>
      </c>
      <c r="EQQ3" s="18">
        <v>70051</v>
      </c>
      <c r="EQR3" s="18">
        <v>70058</v>
      </c>
      <c r="EQS3" s="18">
        <v>70065</v>
      </c>
      <c r="EQT3" s="18">
        <v>70072</v>
      </c>
      <c r="EQU3" s="18">
        <v>70079</v>
      </c>
      <c r="EQV3" s="18">
        <v>70086</v>
      </c>
      <c r="EQW3" s="18">
        <v>70093</v>
      </c>
      <c r="EQX3" s="18">
        <v>70100</v>
      </c>
      <c r="EQY3" s="18">
        <v>70107</v>
      </c>
      <c r="EQZ3" s="18">
        <v>70114</v>
      </c>
      <c r="ERA3" s="18">
        <v>70121</v>
      </c>
      <c r="ERB3" s="18">
        <v>70128</v>
      </c>
      <c r="ERC3" s="18">
        <v>70135</v>
      </c>
      <c r="ERD3" s="18">
        <v>70142</v>
      </c>
      <c r="ERE3" s="18">
        <v>70149</v>
      </c>
      <c r="ERF3" s="18">
        <v>70156</v>
      </c>
      <c r="ERG3" s="18">
        <v>70163</v>
      </c>
      <c r="ERH3" s="18">
        <v>70170</v>
      </c>
      <c r="ERI3" s="18">
        <v>70177</v>
      </c>
      <c r="ERJ3" s="18">
        <v>70184</v>
      </c>
      <c r="ERK3" s="18">
        <v>70191</v>
      </c>
      <c r="ERL3" s="18">
        <v>70198</v>
      </c>
      <c r="ERM3" s="18">
        <v>70205</v>
      </c>
      <c r="ERN3" s="18">
        <v>70212</v>
      </c>
      <c r="ERO3" s="18">
        <v>70219</v>
      </c>
      <c r="ERP3" s="18">
        <v>70226</v>
      </c>
      <c r="ERQ3" s="18">
        <v>70233</v>
      </c>
      <c r="ERR3" s="18">
        <v>70240</v>
      </c>
      <c r="ERS3" s="18">
        <v>70247</v>
      </c>
      <c r="ERT3" s="18">
        <v>70254</v>
      </c>
      <c r="ERU3" s="18">
        <v>70261</v>
      </c>
      <c r="ERV3" s="18">
        <v>70268</v>
      </c>
      <c r="ERW3" s="18">
        <v>70275</v>
      </c>
      <c r="ERX3" s="18">
        <v>70282</v>
      </c>
      <c r="ERY3" s="18">
        <v>70289</v>
      </c>
      <c r="ERZ3" s="18">
        <v>70296</v>
      </c>
      <c r="ESA3" s="18">
        <v>70303</v>
      </c>
      <c r="ESB3" s="18">
        <v>70310</v>
      </c>
      <c r="ESC3" s="18">
        <v>70317</v>
      </c>
      <c r="ESD3" s="18">
        <v>70324</v>
      </c>
      <c r="ESE3" s="18">
        <v>70331</v>
      </c>
      <c r="ESF3" s="18">
        <v>70338</v>
      </c>
      <c r="ESG3" s="18">
        <v>70345</v>
      </c>
      <c r="ESH3" s="18">
        <v>70352</v>
      </c>
      <c r="ESI3" s="18">
        <v>70359</v>
      </c>
      <c r="ESJ3" s="18">
        <v>70366</v>
      </c>
      <c r="ESK3" s="18">
        <v>70373</v>
      </c>
      <c r="ESL3" s="18">
        <v>70380</v>
      </c>
      <c r="ESM3" s="18">
        <v>70387</v>
      </c>
      <c r="ESN3" s="18">
        <v>70394</v>
      </c>
      <c r="ESO3" s="18">
        <v>70401</v>
      </c>
      <c r="ESP3" s="18">
        <v>70408</v>
      </c>
      <c r="ESQ3" s="18">
        <v>70415</v>
      </c>
      <c r="ESR3" s="18">
        <v>70422</v>
      </c>
      <c r="ESS3" s="18">
        <v>70429</v>
      </c>
      <c r="EST3" s="18">
        <v>70436</v>
      </c>
      <c r="ESU3" s="18">
        <v>70443</v>
      </c>
      <c r="ESV3" s="18">
        <v>70450</v>
      </c>
      <c r="ESW3" s="18">
        <v>70457</v>
      </c>
      <c r="ESX3" s="18">
        <v>70464</v>
      </c>
      <c r="ESY3" s="18">
        <v>70471</v>
      </c>
      <c r="ESZ3" s="18">
        <v>70478</v>
      </c>
      <c r="ETA3" s="18">
        <v>70485</v>
      </c>
      <c r="ETB3" s="18">
        <v>70492</v>
      </c>
      <c r="ETC3" s="18">
        <v>70499</v>
      </c>
      <c r="ETD3" s="18">
        <v>70506</v>
      </c>
      <c r="ETE3" s="18">
        <v>70513</v>
      </c>
      <c r="ETF3" s="18">
        <v>70520</v>
      </c>
      <c r="ETG3" s="18">
        <v>70527</v>
      </c>
      <c r="ETH3" s="18">
        <v>70534</v>
      </c>
      <c r="ETI3" s="18">
        <v>70541</v>
      </c>
      <c r="ETJ3" s="18">
        <v>70548</v>
      </c>
      <c r="ETK3" s="18">
        <v>70555</v>
      </c>
      <c r="ETL3" s="18">
        <v>70562</v>
      </c>
      <c r="ETM3" s="18">
        <v>70569</v>
      </c>
      <c r="ETN3" s="18">
        <v>70576</v>
      </c>
      <c r="ETO3" s="18">
        <v>70583</v>
      </c>
      <c r="ETP3" s="18">
        <v>70590</v>
      </c>
      <c r="ETQ3" s="18">
        <v>70597</v>
      </c>
      <c r="ETR3" s="18">
        <v>70604</v>
      </c>
      <c r="ETS3" s="18">
        <v>70611</v>
      </c>
      <c r="ETT3" s="18">
        <v>70618</v>
      </c>
      <c r="ETU3" s="18">
        <v>70625</v>
      </c>
      <c r="ETV3" s="18">
        <v>70632</v>
      </c>
      <c r="ETW3" s="18">
        <v>70639</v>
      </c>
      <c r="ETX3" s="18">
        <v>70646</v>
      </c>
      <c r="ETY3" s="18">
        <v>70653</v>
      </c>
      <c r="ETZ3" s="18">
        <v>70660</v>
      </c>
      <c r="EUA3" s="18">
        <v>70667</v>
      </c>
      <c r="EUB3" s="18">
        <v>70674</v>
      </c>
      <c r="EUC3" s="18">
        <v>70681</v>
      </c>
      <c r="EUD3" s="18">
        <v>70688</v>
      </c>
      <c r="EUE3" s="18">
        <v>70695</v>
      </c>
      <c r="EUF3" s="18">
        <v>70702</v>
      </c>
      <c r="EUG3" s="18">
        <v>70709</v>
      </c>
      <c r="EUH3" s="18">
        <v>70716</v>
      </c>
      <c r="EUI3" s="18">
        <v>70723</v>
      </c>
      <c r="EUJ3" s="18">
        <v>70730</v>
      </c>
      <c r="EUK3" s="18">
        <v>70737</v>
      </c>
      <c r="EUL3" s="18">
        <v>70744</v>
      </c>
      <c r="EUM3" s="18">
        <v>70751</v>
      </c>
      <c r="EUN3" s="18">
        <v>70758</v>
      </c>
      <c r="EUO3" s="18">
        <v>70765</v>
      </c>
      <c r="EUP3" s="18">
        <v>70772</v>
      </c>
      <c r="EUQ3" s="18">
        <v>70779</v>
      </c>
      <c r="EUR3" s="18">
        <v>70786</v>
      </c>
      <c r="EUS3" s="18">
        <v>70793</v>
      </c>
      <c r="EUT3" s="18">
        <v>70800</v>
      </c>
      <c r="EUU3" s="18">
        <v>70807</v>
      </c>
      <c r="EUV3" s="18">
        <v>70814</v>
      </c>
      <c r="EUW3" s="18">
        <v>70821</v>
      </c>
      <c r="EUX3" s="18">
        <v>70828</v>
      </c>
      <c r="EUY3" s="18">
        <v>70835</v>
      </c>
      <c r="EUZ3" s="18">
        <v>70842</v>
      </c>
      <c r="EVA3" s="18">
        <v>70849</v>
      </c>
      <c r="EVB3" s="18">
        <v>70856</v>
      </c>
      <c r="EVC3" s="18">
        <v>70863</v>
      </c>
      <c r="EVD3" s="18">
        <v>70870</v>
      </c>
      <c r="EVE3" s="18">
        <v>70877</v>
      </c>
      <c r="EVF3" s="18">
        <v>70884</v>
      </c>
      <c r="EVG3" s="18">
        <v>70891</v>
      </c>
      <c r="EVH3" s="18">
        <v>70898</v>
      </c>
      <c r="EVI3" s="18">
        <v>70905</v>
      </c>
      <c r="EVJ3" s="18">
        <v>70912</v>
      </c>
      <c r="EVK3" s="18">
        <v>70919</v>
      </c>
      <c r="EVL3" s="18">
        <v>70926</v>
      </c>
      <c r="EVM3" s="18">
        <v>70933</v>
      </c>
      <c r="EVN3" s="18">
        <v>70940</v>
      </c>
      <c r="EVO3" s="18">
        <v>70947</v>
      </c>
      <c r="EVP3" s="18">
        <v>70954</v>
      </c>
      <c r="EVQ3" s="18">
        <v>70961</v>
      </c>
      <c r="EVR3" s="18">
        <v>70968</v>
      </c>
      <c r="EVS3" s="18">
        <v>70975</v>
      </c>
      <c r="EVT3" s="18">
        <v>70982</v>
      </c>
      <c r="EVU3" s="18">
        <v>70989</v>
      </c>
      <c r="EVV3" s="18">
        <v>70996</v>
      </c>
      <c r="EVW3" s="18">
        <v>71003</v>
      </c>
      <c r="EVX3" s="18">
        <v>71010</v>
      </c>
      <c r="EVY3" s="18">
        <v>71017</v>
      </c>
      <c r="EVZ3" s="18">
        <v>71024</v>
      </c>
      <c r="EWA3" s="18">
        <v>71031</v>
      </c>
      <c r="EWB3" s="18">
        <v>71038</v>
      </c>
      <c r="EWC3" s="18">
        <v>71045</v>
      </c>
      <c r="EWD3" s="18">
        <v>71052</v>
      </c>
      <c r="EWE3" s="18">
        <v>71059</v>
      </c>
      <c r="EWF3" s="18">
        <v>71066</v>
      </c>
      <c r="EWG3" s="18">
        <v>71073</v>
      </c>
      <c r="EWH3" s="18">
        <v>71080</v>
      </c>
      <c r="EWI3" s="18">
        <v>71087</v>
      </c>
      <c r="EWJ3" s="18">
        <v>71094</v>
      </c>
      <c r="EWK3" s="18">
        <v>71101</v>
      </c>
      <c r="EWL3" s="18">
        <v>71108</v>
      </c>
      <c r="EWM3" s="18">
        <v>71115</v>
      </c>
      <c r="EWN3" s="18">
        <v>71122</v>
      </c>
      <c r="EWO3" s="18">
        <v>71129</v>
      </c>
      <c r="EWP3" s="18">
        <v>71136</v>
      </c>
      <c r="EWQ3" s="18">
        <v>71143</v>
      </c>
      <c r="EWR3" s="18">
        <v>71150</v>
      </c>
      <c r="EWS3" s="18">
        <v>71157</v>
      </c>
      <c r="EWT3" s="18">
        <v>71164</v>
      </c>
      <c r="EWU3" s="18">
        <v>71171</v>
      </c>
      <c r="EWV3" s="18">
        <v>71178</v>
      </c>
      <c r="EWW3" s="18">
        <v>71185</v>
      </c>
      <c r="EWX3" s="18">
        <v>71192</v>
      </c>
      <c r="EWY3" s="18">
        <v>71199</v>
      </c>
      <c r="EWZ3" s="18">
        <v>71206</v>
      </c>
      <c r="EXA3" s="18">
        <v>71213</v>
      </c>
      <c r="EXB3" s="18">
        <v>71220</v>
      </c>
      <c r="EXC3" s="18">
        <v>71227</v>
      </c>
      <c r="EXD3" s="18">
        <v>71234</v>
      </c>
      <c r="EXE3" s="18">
        <v>71241</v>
      </c>
      <c r="EXF3" s="18">
        <v>71248</v>
      </c>
      <c r="EXG3" s="18">
        <v>71255</v>
      </c>
      <c r="EXH3" s="18">
        <v>71262</v>
      </c>
      <c r="EXI3" s="18">
        <v>71269</v>
      </c>
      <c r="EXJ3" s="18">
        <v>71276</v>
      </c>
      <c r="EXK3" s="18">
        <v>71283</v>
      </c>
      <c r="EXL3" s="18">
        <v>71290</v>
      </c>
      <c r="EXM3" s="18">
        <v>71297</v>
      </c>
      <c r="EXN3" s="18">
        <v>71304</v>
      </c>
      <c r="EXO3" s="18">
        <v>71311</v>
      </c>
      <c r="EXP3" s="18">
        <v>71318</v>
      </c>
      <c r="EXQ3" s="18">
        <v>71325</v>
      </c>
      <c r="EXR3" s="18">
        <v>71332</v>
      </c>
      <c r="EXS3" s="18">
        <v>71339</v>
      </c>
      <c r="EXT3" s="18">
        <v>71346</v>
      </c>
      <c r="EXU3" s="18">
        <v>71353</v>
      </c>
      <c r="EXV3" s="18">
        <v>71360</v>
      </c>
      <c r="EXW3" s="18">
        <v>71367</v>
      </c>
      <c r="EXX3" s="18">
        <v>71374</v>
      </c>
      <c r="EXY3" s="18">
        <v>71381</v>
      </c>
      <c r="EXZ3" s="18">
        <v>71388</v>
      </c>
      <c r="EYA3" s="18">
        <v>71395</v>
      </c>
      <c r="EYB3" s="18">
        <v>71402</v>
      </c>
      <c r="EYC3" s="18">
        <v>71409</v>
      </c>
      <c r="EYD3" s="18">
        <v>71416</v>
      </c>
      <c r="EYE3" s="18">
        <v>71423</v>
      </c>
      <c r="EYF3" s="18">
        <v>71430</v>
      </c>
      <c r="EYG3" s="18">
        <v>71437</v>
      </c>
      <c r="EYH3" s="18">
        <v>71444</v>
      </c>
      <c r="EYI3" s="18">
        <v>71451</v>
      </c>
      <c r="EYJ3" s="18">
        <v>71458</v>
      </c>
      <c r="EYK3" s="18">
        <v>71465</v>
      </c>
      <c r="EYL3" s="18">
        <v>71472</v>
      </c>
      <c r="EYM3" s="18">
        <v>71479</v>
      </c>
      <c r="EYN3" s="18">
        <v>71486</v>
      </c>
      <c r="EYO3" s="18">
        <v>71493</v>
      </c>
      <c r="EYP3" s="18">
        <v>71500</v>
      </c>
      <c r="EYQ3" s="18">
        <v>71507</v>
      </c>
      <c r="EYR3" s="18">
        <v>71514</v>
      </c>
      <c r="EYS3" s="18">
        <v>71521</v>
      </c>
      <c r="EYT3" s="18">
        <v>71528</v>
      </c>
      <c r="EYU3" s="18">
        <v>71535</v>
      </c>
      <c r="EYV3" s="18">
        <v>71542</v>
      </c>
      <c r="EYW3" s="18">
        <v>71549</v>
      </c>
      <c r="EYX3" s="18">
        <v>71556</v>
      </c>
      <c r="EYY3" s="18">
        <v>71563</v>
      </c>
      <c r="EYZ3" s="18">
        <v>71570</v>
      </c>
      <c r="EZA3" s="18">
        <v>71577</v>
      </c>
      <c r="EZB3" s="18">
        <v>71584</v>
      </c>
      <c r="EZC3" s="18">
        <v>71591</v>
      </c>
      <c r="EZD3" s="18">
        <v>71598</v>
      </c>
      <c r="EZE3" s="18">
        <v>71605</v>
      </c>
      <c r="EZF3" s="18">
        <v>71612</v>
      </c>
      <c r="EZG3" s="18">
        <v>71619</v>
      </c>
      <c r="EZH3" s="18">
        <v>71626</v>
      </c>
      <c r="EZI3" s="18">
        <v>71633</v>
      </c>
      <c r="EZJ3" s="18">
        <v>71640</v>
      </c>
      <c r="EZK3" s="18">
        <v>71647</v>
      </c>
      <c r="EZL3" s="18">
        <v>71654</v>
      </c>
      <c r="EZM3" s="18">
        <v>71661</v>
      </c>
      <c r="EZN3" s="18">
        <v>71668</v>
      </c>
      <c r="EZO3" s="18">
        <v>71675</v>
      </c>
      <c r="EZP3" s="18">
        <v>71682</v>
      </c>
      <c r="EZQ3" s="18">
        <v>71689</v>
      </c>
      <c r="EZR3" s="18">
        <v>71696</v>
      </c>
      <c r="EZS3" s="18">
        <v>71703</v>
      </c>
      <c r="EZT3" s="18">
        <v>71710</v>
      </c>
      <c r="EZU3" s="18">
        <v>71717</v>
      </c>
      <c r="EZV3" s="18">
        <v>71724</v>
      </c>
      <c r="EZW3" s="18">
        <v>71731</v>
      </c>
      <c r="EZX3" s="18">
        <v>71738</v>
      </c>
      <c r="EZY3" s="18">
        <v>71745</v>
      </c>
      <c r="EZZ3" s="18">
        <v>71752</v>
      </c>
      <c r="FAA3" s="18">
        <v>71759</v>
      </c>
      <c r="FAB3" s="18">
        <v>71766</v>
      </c>
      <c r="FAC3" s="18">
        <v>71773</v>
      </c>
      <c r="FAD3" s="18">
        <v>71780</v>
      </c>
      <c r="FAE3" s="18">
        <v>71787</v>
      </c>
      <c r="FAF3" s="18">
        <v>71794</v>
      </c>
      <c r="FAG3" s="18">
        <v>71801</v>
      </c>
      <c r="FAH3" s="18">
        <v>71808</v>
      </c>
      <c r="FAI3" s="18">
        <v>71815</v>
      </c>
      <c r="FAJ3" s="18">
        <v>71822</v>
      </c>
      <c r="FAK3" s="18">
        <v>71829</v>
      </c>
      <c r="FAL3" s="18">
        <v>71836</v>
      </c>
      <c r="FAM3" s="18">
        <v>71843</v>
      </c>
      <c r="FAN3" s="18">
        <v>71850</v>
      </c>
      <c r="FAO3" s="18">
        <v>71857</v>
      </c>
      <c r="FAP3" s="18">
        <v>71864</v>
      </c>
      <c r="FAQ3" s="18">
        <v>71871</v>
      </c>
      <c r="FAR3" s="18">
        <v>71878</v>
      </c>
      <c r="FAS3" s="18">
        <v>71885</v>
      </c>
      <c r="FAT3" s="18">
        <v>71892</v>
      </c>
      <c r="FAU3" s="18">
        <v>71899</v>
      </c>
      <c r="FAV3" s="18">
        <v>71906</v>
      </c>
      <c r="FAW3" s="18">
        <v>71913</v>
      </c>
      <c r="FAX3" s="18">
        <v>71920</v>
      </c>
      <c r="FAY3" s="18">
        <v>71927</v>
      </c>
      <c r="FAZ3" s="18">
        <v>71934</v>
      </c>
      <c r="FBA3" s="18">
        <v>71941</v>
      </c>
      <c r="FBB3" s="18">
        <v>71948</v>
      </c>
      <c r="FBC3" s="18">
        <v>71955</v>
      </c>
      <c r="FBD3" s="18">
        <v>71962</v>
      </c>
      <c r="FBE3" s="18">
        <v>71969</v>
      </c>
      <c r="FBF3" s="18">
        <v>71976</v>
      </c>
      <c r="FBG3" s="18">
        <v>71983</v>
      </c>
      <c r="FBH3" s="18">
        <v>71990</v>
      </c>
      <c r="FBI3" s="18">
        <v>71997</v>
      </c>
      <c r="FBJ3" s="18">
        <v>72004</v>
      </c>
      <c r="FBK3" s="18">
        <v>72011</v>
      </c>
      <c r="FBL3" s="18">
        <v>72018</v>
      </c>
      <c r="FBM3" s="18">
        <v>72025</v>
      </c>
      <c r="FBN3" s="18">
        <v>72032</v>
      </c>
      <c r="FBO3" s="18">
        <v>72039</v>
      </c>
      <c r="FBP3" s="18">
        <v>72046</v>
      </c>
      <c r="FBQ3" s="18">
        <v>72053</v>
      </c>
      <c r="FBR3" s="18">
        <v>72060</v>
      </c>
      <c r="FBS3" s="18">
        <v>72067</v>
      </c>
      <c r="FBT3" s="18">
        <v>72074</v>
      </c>
      <c r="FBU3" s="18">
        <v>72081</v>
      </c>
      <c r="FBV3" s="18">
        <v>72088</v>
      </c>
      <c r="FBW3" s="18">
        <v>72095</v>
      </c>
      <c r="FBX3" s="18">
        <v>72102</v>
      </c>
      <c r="FBY3" s="18">
        <v>72109</v>
      </c>
      <c r="FBZ3" s="18">
        <v>72116</v>
      </c>
      <c r="FCA3" s="18">
        <v>72123</v>
      </c>
      <c r="FCB3" s="18">
        <v>72130</v>
      </c>
      <c r="FCC3" s="18">
        <v>72137</v>
      </c>
      <c r="FCD3" s="18">
        <v>72144</v>
      </c>
      <c r="FCE3" s="18">
        <v>72151</v>
      </c>
      <c r="FCF3" s="18">
        <v>72158</v>
      </c>
      <c r="FCG3" s="18">
        <v>72165</v>
      </c>
      <c r="FCH3" s="18">
        <v>72172</v>
      </c>
      <c r="FCI3" s="18">
        <v>72179</v>
      </c>
      <c r="FCJ3" s="18">
        <v>72186</v>
      </c>
      <c r="FCK3" s="18">
        <v>72193</v>
      </c>
      <c r="FCL3" s="18">
        <v>72200</v>
      </c>
      <c r="FCM3" s="18">
        <v>72207</v>
      </c>
      <c r="FCN3" s="18">
        <v>72214</v>
      </c>
      <c r="FCO3" s="18">
        <v>72221</v>
      </c>
      <c r="FCP3" s="18">
        <v>72228</v>
      </c>
      <c r="FCQ3" s="18">
        <v>72235</v>
      </c>
      <c r="FCR3" s="18">
        <v>72242</v>
      </c>
      <c r="FCS3" s="18">
        <v>72249</v>
      </c>
      <c r="FCT3" s="18">
        <v>72256</v>
      </c>
      <c r="FCU3" s="18">
        <v>72263</v>
      </c>
      <c r="FCV3" s="18">
        <v>72270</v>
      </c>
      <c r="FCW3" s="18">
        <v>72277</v>
      </c>
      <c r="FCX3" s="18">
        <v>72284</v>
      </c>
      <c r="FCY3" s="18">
        <v>72291</v>
      </c>
      <c r="FCZ3" s="18">
        <v>72298</v>
      </c>
      <c r="FDA3" s="18">
        <v>72305</v>
      </c>
      <c r="FDB3" s="18">
        <v>72312</v>
      </c>
      <c r="FDC3" s="18">
        <v>72319</v>
      </c>
      <c r="FDD3" s="18">
        <v>72326</v>
      </c>
      <c r="FDE3" s="18">
        <v>72333</v>
      </c>
      <c r="FDF3" s="18">
        <v>72340</v>
      </c>
      <c r="FDG3" s="18">
        <v>72347</v>
      </c>
      <c r="FDH3" s="18">
        <v>72354</v>
      </c>
      <c r="FDI3" s="18">
        <v>72361</v>
      </c>
      <c r="FDJ3" s="18">
        <v>72368</v>
      </c>
      <c r="FDK3" s="18">
        <v>72375</v>
      </c>
      <c r="FDL3" s="18">
        <v>72382</v>
      </c>
      <c r="FDM3" s="18">
        <v>72389</v>
      </c>
      <c r="FDN3" s="18">
        <v>72396</v>
      </c>
      <c r="FDO3" s="18">
        <v>72403</v>
      </c>
      <c r="FDP3" s="18">
        <v>72410</v>
      </c>
      <c r="FDQ3" s="18">
        <v>72417</v>
      </c>
      <c r="FDR3" s="18">
        <v>72424</v>
      </c>
      <c r="FDS3" s="18">
        <v>72431</v>
      </c>
      <c r="FDT3" s="18">
        <v>72438</v>
      </c>
      <c r="FDU3" s="18">
        <v>72445</v>
      </c>
      <c r="FDV3" s="18">
        <v>72452</v>
      </c>
      <c r="FDW3" s="18">
        <v>72459</v>
      </c>
      <c r="FDX3" s="18">
        <v>72466</v>
      </c>
      <c r="FDY3" s="18">
        <v>72473</v>
      </c>
      <c r="FDZ3" s="18">
        <v>72480</v>
      </c>
      <c r="FEA3" s="18">
        <v>72487</v>
      </c>
      <c r="FEB3" s="18">
        <v>72494</v>
      </c>
      <c r="FEC3" s="18">
        <v>72501</v>
      </c>
      <c r="FED3" s="18">
        <v>72508</v>
      </c>
      <c r="FEE3" s="18">
        <v>72515</v>
      </c>
      <c r="FEF3" s="18">
        <v>72522</v>
      </c>
      <c r="FEG3" s="18">
        <v>72529</v>
      </c>
      <c r="FEH3" s="18">
        <v>72536</v>
      </c>
      <c r="FEI3" s="18">
        <v>72543</v>
      </c>
      <c r="FEJ3" s="18">
        <v>72550</v>
      </c>
      <c r="FEK3" s="18">
        <v>72557</v>
      </c>
      <c r="FEL3" s="18">
        <v>72564</v>
      </c>
      <c r="FEM3" s="18">
        <v>72571</v>
      </c>
      <c r="FEN3" s="18">
        <v>72578</v>
      </c>
      <c r="FEO3" s="18">
        <v>72585</v>
      </c>
      <c r="FEP3" s="18">
        <v>72592</v>
      </c>
      <c r="FEQ3" s="18">
        <v>72599</v>
      </c>
      <c r="FER3" s="18">
        <v>72606</v>
      </c>
      <c r="FES3" s="18">
        <v>72613</v>
      </c>
      <c r="FET3" s="18">
        <v>72620</v>
      </c>
      <c r="FEU3" s="18">
        <v>72627</v>
      </c>
      <c r="FEV3" s="18">
        <v>72634</v>
      </c>
      <c r="FEW3" s="18">
        <v>72641</v>
      </c>
      <c r="FEX3" s="18">
        <v>72648</v>
      </c>
      <c r="FEY3" s="18">
        <v>72655</v>
      </c>
      <c r="FEZ3" s="18">
        <v>72662</v>
      </c>
      <c r="FFA3" s="18">
        <v>72669</v>
      </c>
      <c r="FFB3" s="18">
        <v>72676</v>
      </c>
      <c r="FFC3" s="18">
        <v>72683</v>
      </c>
      <c r="FFD3" s="18">
        <v>72690</v>
      </c>
      <c r="FFE3" s="18">
        <v>72697</v>
      </c>
      <c r="FFF3" s="18">
        <v>72704</v>
      </c>
      <c r="FFG3" s="18">
        <v>72711</v>
      </c>
      <c r="FFH3" s="18">
        <v>72718</v>
      </c>
      <c r="FFI3" s="18">
        <v>72725</v>
      </c>
      <c r="FFJ3" s="18">
        <v>72732</v>
      </c>
      <c r="FFK3" s="18">
        <v>72739</v>
      </c>
      <c r="FFL3" s="18">
        <v>72746</v>
      </c>
      <c r="FFM3" s="18">
        <v>72753</v>
      </c>
      <c r="FFN3" s="18">
        <v>72760</v>
      </c>
      <c r="FFO3" s="18">
        <v>72767</v>
      </c>
      <c r="FFP3" s="18">
        <v>72774</v>
      </c>
      <c r="FFQ3" s="18">
        <v>72781</v>
      </c>
      <c r="FFR3" s="18">
        <v>72788</v>
      </c>
      <c r="FFS3" s="18">
        <v>72795</v>
      </c>
      <c r="FFT3" s="18">
        <v>72802</v>
      </c>
      <c r="FFU3" s="18">
        <v>72809</v>
      </c>
      <c r="FFV3" s="18">
        <v>72816</v>
      </c>
      <c r="FFW3" s="18">
        <v>72823</v>
      </c>
      <c r="FFX3" s="18">
        <v>72830</v>
      </c>
      <c r="FFY3" s="18">
        <v>72837</v>
      </c>
      <c r="FFZ3" s="18">
        <v>72844</v>
      </c>
      <c r="FGA3" s="18">
        <v>72851</v>
      </c>
      <c r="FGB3" s="18">
        <v>72858</v>
      </c>
      <c r="FGC3" s="18">
        <v>72865</v>
      </c>
      <c r="FGD3" s="18">
        <v>72872</v>
      </c>
      <c r="FGE3" s="18">
        <v>72879</v>
      </c>
      <c r="FGF3" s="18">
        <v>72886</v>
      </c>
      <c r="FGG3" s="18">
        <v>72893</v>
      </c>
      <c r="FGH3" s="18">
        <v>72900</v>
      </c>
      <c r="FGI3" s="18">
        <v>72907</v>
      </c>
      <c r="FGJ3" s="18">
        <v>72914</v>
      </c>
      <c r="FGK3" s="18">
        <v>72921</v>
      </c>
      <c r="FGL3" s="18">
        <v>72928</v>
      </c>
      <c r="FGM3" s="18">
        <v>72935</v>
      </c>
      <c r="FGN3" s="18">
        <v>72942</v>
      </c>
      <c r="FGO3" s="18">
        <v>72949</v>
      </c>
      <c r="FGP3" s="18">
        <v>72956</v>
      </c>
      <c r="FGQ3" s="18">
        <v>72963</v>
      </c>
      <c r="FGR3" s="18">
        <v>72970</v>
      </c>
      <c r="FGS3" s="18">
        <v>72977</v>
      </c>
      <c r="FGT3" s="18">
        <v>72984</v>
      </c>
      <c r="FGU3" s="18">
        <v>72991</v>
      </c>
      <c r="FGV3" s="18">
        <v>72998</v>
      </c>
      <c r="FGW3" s="18">
        <v>73005</v>
      </c>
      <c r="FGX3" s="18">
        <v>73012</v>
      </c>
      <c r="FGY3" s="18">
        <v>73019</v>
      </c>
      <c r="FGZ3" s="18">
        <v>73026</v>
      </c>
      <c r="FHA3" s="18">
        <v>73033</v>
      </c>
      <c r="FHB3" s="18">
        <v>73040</v>
      </c>
      <c r="FHC3" s="18">
        <v>73047</v>
      </c>
      <c r="FHD3" s="18">
        <v>73054</v>
      </c>
      <c r="FHE3" s="18">
        <v>73061</v>
      </c>
      <c r="FHF3" s="18">
        <v>73068</v>
      </c>
      <c r="FHG3" s="18">
        <v>73075</v>
      </c>
      <c r="FHH3" s="18">
        <v>73082</v>
      </c>
      <c r="FHI3" s="18">
        <v>73089</v>
      </c>
      <c r="FHJ3" s="18">
        <v>73096</v>
      </c>
      <c r="FHK3" s="18">
        <v>73103</v>
      </c>
      <c r="FHL3" s="18">
        <v>73110</v>
      </c>
      <c r="FHM3" s="18">
        <v>73117</v>
      </c>
      <c r="FHN3" s="18">
        <v>73124</v>
      </c>
      <c r="FHO3" s="18">
        <v>73131</v>
      </c>
      <c r="FHP3" s="18">
        <v>73138</v>
      </c>
      <c r="FHQ3" s="18">
        <v>73145</v>
      </c>
      <c r="FHR3" s="18">
        <v>73152</v>
      </c>
      <c r="FHS3" s="18">
        <v>73159</v>
      </c>
      <c r="FHT3" s="18">
        <v>73166</v>
      </c>
      <c r="FHU3" s="18">
        <v>73173</v>
      </c>
      <c r="FHV3" s="18">
        <v>73180</v>
      </c>
      <c r="FHW3" s="18">
        <v>73187</v>
      </c>
      <c r="FHX3" s="18">
        <v>73194</v>
      </c>
      <c r="FHY3" s="18">
        <v>73201</v>
      </c>
      <c r="FHZ3" s="18">
        <v>73208</v>
      </c>
      <c r="FIA3" s="18">
        <v>73215</v>
      </c>
      <c r="FIB3" s="18">
        <v>73222</v>
      </c>
      <c r="FIC3" s="18">
        <v>73229</v>
      </c>
      <c r="FID3" s="18">
        <v>73236</v>
      </c>
      <c r="FIE3" s="18">
        <v>73243</v>
      </c>
      <c r="FIF3" s="18">
        <v>73250</v>
      </c>
      <c r="FIG3" s="18">
        <v>73257</v>
      </c>
      <c r="FIH3" s="18">
        <v>73264</v>
      </c>
      <c r="FII3" s="18">
        <v>73271</v>
      </c>
      <c r="FIJ3" s="18">
        <v>73278</v>
      </c>
      <c r="FIK3" s="18">
        <v>73285</v>
      </c>
      <c r="FIL3" s="18">
        <v>73292</v>
      </c>
      <c r="FIM3" s="18">
        <v>73299</v>
      </c>
      <c r="FIN3" s="18">
        <v>73306</v>
      </c>
      <c r="FIO3" s="18">
        <v>73313</v>
      </c>
      <c r="FIP3" s="18">
        <v>73320</v>
      </c>
      <c r="FIQ3" s="18">
        <v>73327</v>
      </c>
      <c r="FIR3" s="18">
        <v>73334</v>
      </c>
      <c r="FIS3" s="18">
        <v>73341</v>
      </c>
      <c r="FIT3" s="18">
        <v>73348</v>
      </c>
      <c r="FIU3" s="18">
        <v>73355</v>
      </c>
      <c r="FIV3" s="18">
        <v>73362</v>
      </c>
      <c r="FIW3" s="18">
        <v>73369</v>
      </c>
      <c r="FIX3" s="18">
        <v>73376</v>
      </c>
      <c r="FIY3" s="18">
        <v>73383</v>
      </c>
      <c r="FIZ3" s="18">
        <v>73390</v>
      </c>
      <c r="FJA3" s="18">
        <v>73397</v>
      </c>
      <c r="FJB3" s="18">
        <v>73404</v>
      </c>
      <c r="FJC3" s="18">
        <v>73411</v>
      </c>
      <c r="FJD3" s="18">
        <v>73418</v>
      </c>
      <c r="FJE3" s="18">
        <v>73425</v>
      </c>
      <c r="FJF3" s="18">
        <v>73432</v>
      </c>
      <c r="FJG3" s="18">
        <v>73439</v>
      </c>
      <c r="FJH3" s="18">
        <v>73446</v>
      </c>
      <c r="FJI3" s="18">
        <v>73453</v>
      </c>
      <c r="FJJ3" s="18">
        <v>73460</v>
      </c>
      <c r="FJK3" s="18">
        <v>73467</v>
      </c>
      <c r="FJL3" s="18">
        <v>73474</v>
      </c>
      <c r="FJM3" s="18">
        <v>73481</v>
      </c>
      <c r="FJN3" s="18">
        <v>73488</v>
      </c>
      <c r="FJO3" s="18">
        <v>73495</v>
      </c>
      <c r="FJP3" s="18">
        <v>73502</v>
      </c>
      <c r="FJQ3" s="18">
        <v>73509</v>
      </c>
      <c r="FJR3" s="18">
        <v>73516</v>
      </c>
      <c r="FJS3" s="18">
        <v>73523</v>
      </c>
      <c r="FJT3" s="18">
        <v>73530</v>
      </c>
      <c r="FJU3" s="18">
        <v>73537</v>
      </c>
      <c r="FJV3" s="18">
        <v>73544</v>
      </c>
      <c r="FJW3" s="18">
        <v>73551</v>
      </c>
      <c r="FJX3" s="18">
        <v>73558</v>
      </c>
      <c r="FJY3" s="18">
        <v>73565</v>
      </c>
      <c r="FJZ3" s="18">
        <v>73572</v>
      </c>
      <c r="FKA3" s="18">
        <v>73579</v>
      </c>
      <c r="FKB3" s="18">
        <v>73586</v>
      </c>
      <c r="FKC3" s="18">
        <v>73593</v>
      </c>
      <c r="FKD3" s="18">
        <v>73600</v>
      </c>
      <c r="FKE3" s="18">
        <v>73607</v>
      </c>
      <c r="FKF3" s="18">
        <v>73614</v>
      </c>
      <c r="FKG3" s="18">
        <v>73621</v>
      </c>
      <c r="FKH3" s="18">
        <v>73628</v>
      </c>
      <c r="FKI3" s="18">
        <v>73635</v>
      </c>
      <c r="FKJ3" s="18">
        <v>73642</v>
      </c>
      <c r="FKK3" s="18">
        <v>73649</v>
      </c>
      <c r="FKL3" s="18">
        <v>73656</v>
      </c>
      <c r="FKM3" s="18">
        <v>73663</v>
      </c>
      <c r="FKN3" s="18">
        <v>73670</v>
      </c>
      <c r="FKO3" s="18">
        <v>73677</v>
      </c>
      <c r="FKP3" s="18">
        <v>73684</v>
      </c>
      <c r="FKQ3" s="18">
        <v>73691</v>
      </c>
      <c r="FKR3" s="18">
        <v>73698</v>
      </c>
      <c r="FKS3" s="18">
        <v>73705</v>
      </c>
      <c r="FKT3" s="18">
        <v>73712</v>
      </c>
      <c r="FKU3" s="18">
        <v>73719</v>
      </c>
      <c r="FKV3" s="18">
        <v>73726</v>
      </c>
      <c r="FKW3" s="18">
        <v>73733</v>
      </c>
      <c r="FKX3" s="18">
        <v>73740</v>
      </c>
      <c r="FKY3" s="18">
        <v>73747</v>
      </c>
      <c r="FKZ3" s="18">
        <v>73754</v>
      </c>
      <c r="FLA3" s="18">
        <v>73761</v>
      </c>
      <c r="FLB3" s="18">
        <v>73768</v>
      </c>
      <c r="FLC3" s="18">
        <v>73775</v>
      </c>
      <c r="FLD3" s="18">
        <v>73782</v>
      </c>
      <c r="FLE3" s="18">
        <v>73789</v>
      </c>
      <c r="FLF3" s="18">
        <v>73796</v>
      </c>
      <c r="FLG3" s="18">
        <v>73803</v>
      </c>
      <c r="FLH3" s="18">
        <v>73810</v>
      </c>
      <c r="FLI3" s="18">
        <v>73817</v>
      </c>
      <c r="FLJ3" s="18">
        <v>73824</v>
      </c>
      <c r="FLK3" s="18">
        <v>73831</v>
      </c>
      <c r="FLL3" s="18">
        <v>73838</v>
      </c>
      <c r="FLM3" s="18">
        <v>73845</v>
      </c>
      <c r="FLN3" s="18">
        <v>73852</v>
      </c>
      <c r="FLO3" s="18">
        <v>73859</v>
      </c>
      <c r="FLP3" s="18">
        <v>73866</v>
      </c>
      <c r="FLQ3" s="18">
        <v>73873</v>
      </c>
      <c r="FLR3" s="18">
        <v>73880</v>
      </c>
      <c r="FLS3" s="18">
        <v>73887</v>
      </c>
      <c r="FLT3" s="18">
        <v>73894</v>
      </c>
      <c r="FLU3" s="18">
        <v>73901</v>
      </c>
      <c r="FLV3" s="18">
        <v>73908</v>
      </c>
      <c r="FLW3" s="18">
        <v>73915</v>
      </c>
      <c r="FLX3" s="18">
        <v>73922</v>
      </c>
      <c r="FLY3" s="18">
        <v>73929</v>
      </c>
      <c r="FLZ3" s="18">
        <v>73936</v>
      </c>
      <c r="FMA3" s="18">
        <v>73943</v>
      </c>
      <c r="FMB3" s="18">
        <v>73950</v>
      </c>
      <c r="FMC3" s="18">
        <v>73957</v>
      </c>
      <c r="FMD3" s="18">
        <v>73964</v>
      </c>
      <c r="FME3" s="18">
        <v>73971</v>
      </c>
      <c r="FMF3" s="18">
        <v>73978</v>
      </c>
      <c r="FMG3" s="18">
        <v>73985</v>
      </c>
      <c r="FMH3" s="18">
        <v>73992</v>
      </c>
      <c r="FMI3" s="18">
        <v>73999</v>
      </c>
      <c r="FMJ3" s="18">
        <v>74006</v>
      </c>
      <c r="FMK3" s="18">
        <v>74013</v>
      </c>
      <c r="FML3" s="18">
        <v>74020</v>
      </c>
      <c r="FMM3" s="18">
        <v>74027</v>
      </c>
      <c r="FMN3" s="18">
        <v>74034</v>
      </c>
      <c r="FMO3" s="18">
        <v>74041</v>
      </c>
      <c r="FMP3" s="18">
        <v>74048</v>
      </c>
      <c r="FMQ3" s="18">
        <v>74055</v>
      </c>
      <c r="FMR3" s="18">
        <v>74062</v>
      </c>
      <c r="FMS3" s="18">
        <v>74069</v>
      </c>
      <c r="FMT3" s="18">
        <v>74076</v>
      </c>
      <c r="FMU3" s="18">
        <v>74083</v>
      </c>
      <c r="FMV3" s="18">
        <v>74090</v>
      </c>
      <c r="FMW3" s="18">
        <v>74097</v>
      </c>
      <c r="FMX3" s="18">
        <v>74104</v>
      </c>
      <c r="FMY3" s="18">
        <v>74111</v>
      </c>
      <c r="FMZ3" s="18">
        <v>74118</v>
      </c>
      <c r="FNA3" s="18">
        <v>74125</v>
      </c>
      <c r="FNB3" s="18">
        <v>74132</v>
      </c>
      <c r="FNC3" s="18">
        <v>74139</v>
      </c>
      <c r="FND3" s="18">
        <v>74146</v>
      </c>
      <c r="FNE3" s="18">
        <v>74153</v>
      </c>
      <c r="FNF3" s="18">
        <v>74160</v>
      </c>
      <c r="FNG3" s="18">
        <v>74167</v>
      </c>
      <c r="FNH3" s="18">
        <v>74174</v>
      </c>
      <c r="FNI3" s="18">
        <v>74181</v>
      </c>
      <c r="FNJ3" s="18">
        <v>74188</v>
      </c>
      <c r="FNK3" s="18">
        <v>74195</v>
      </c>
      <c r="FNL3" s="18">
        <v>74202</v>
      </c>
      <c r="FNM3" s="18">
        <v>74209</v>
      </c>
      <c r="FNN3" s="18">
        <v>74216</v>
      </c>
      <c r="FNO3" s="18">
        <v>74223</v>
      </c>
      <c r="FNP3" s="18">
        <v>74230</v>
      </c>
      <c r="FNQ3" s="18">
        <v>74237</v>
      </c>
      <c r="FNR3" s="18">
        <v>74244</v>
      </c>
      <c r="FNS3" s="18">
        <v>74251</v>
      </c>
      <c r="FNT3" s="18">
        <v>74258</v>
      </c>
      <c r="FNU3" s="18">
        <v>74265</v>
      </c>
      <c r="FNV3" s="18">
        <v>74272</v>
      </c>
      <c r="FNW3" s="18">
        <v>74279</v>
      </c>
      <c r="FNX3" s="18">
        <v>74286</v>
      </c>
      <c r="FNY3" s="18">
        <v>74293</v>
      </c>
      <c r="FNZ3" s="18">
        <v>74300</v>
      </c>
      <c r="FOA3" s="18">
        <v>74307</v>
      </c>
      <c r="FOB3" s="18">
        <v>74314</v>
      </c>
      <c r="FOC3" s="18">
        <v>74321</v>
      </c>
      <c r="FOD3" s="18">
        <v>74328</v>
      </c>
      <c r="FOE3" s="18">
        <v>74335</v>
      </c>
      <c r="FOF3" s="18">
        <v>74342</v>
      </c>
      <c r="FOG3" s="18">
        <v>74349</v>
      </c>
      <c r="FOH3" s="18">
        <v>74356</v>
      </c>
      <c r="FOI3" s="18">
        <v>74363</v>
      </c>
      <c r="FOJ3" s="18">
        <v>74370</v>
      </c>
      <c r="FOK3" s="18">
        <v>74377</v>
      </c>
      <c r="FOL3" s="18">
        <v>74384</v>
      </c>
      <c r="FOM3" s="18">
        <v>74391</v>
      </c>
      <c r="FON3" s="18">
        <v>74398</v>
      </c>
      <c r="FOO3" s="18">
        <v>74405</v>
      </c>
      <c r="FOP3" s="18">
        <v>74412</v>
      </c>
      <c r="FOQ3" s="18">
        <v>74419</v>
      </c>
      <c r="FOR3" s="18">
        <v>74426</v>
      </c>
      <c r="FOS3" s="18">
        <v>74433</v>
      </c>
      <c r="FOT3" s="18">
        <v>74440</v>
      </c>
      <c r="FOU3" s="18">
        <v>74447</v>
      </c>
      <c r="FOV3" s="18">
        <v>74454</v>
      </c>
      <c r="FOW3" s="18">
        <v>74461</v>
      </c>
      <c r="FOX3" s="18">
        <v>74468</v>
      </c>
      <c r="FOY3" s="18">
        <v>74475</v>
      </c>
      <c r="FOZ3" s="18">
        <v>74482</v>
      </c>
      <c r="FPA3" s="18">
        <v>74489</v>
      </c>
      <c r="FPB3" s="18">
        <v>74496</v>
      </c>
      <c r="FPC3" s="18">
        <v>74503</v>
      </c>
      <c r="FPD3" s="18">
        <v>74510</v>
      </c>
      <c r="FPE3" s="18">
        <v>74517</v>
      </c>
      <c r="FPF3" s="18">
        <v>74524</v>
      </c>
      <c r="FPG3" s="18">
        <v>74531</v>
      </c>
      <c r="FPH3" s="18">
        <v>74538</v>
      </c>
      <c r="FPI3" s="18">
        <v>74545</v>
      </c>
      <c r="FPJ3" s="18">
        <v>74552</v>
      </c>
      <c r="FPK3" s="18">
        <v>74559</v>
      </c>
      <c r="FPL3" s="18">
        <v>74566</v>
      </c>
      <c r="FPM3" s="18">
        <v>74573</v>
      </c>
      <c r="FPN3" s="18">
        <v>74580</v>
      </c>
      <c r="FPO3" s="18">
        <v>74587</v>
      </c>
      <c r="FPP3" s="18">
        <v>74594</v>
      </c>
      <c r="FPQ3" s="18">
        <v>74601</v>
      </c>
      <c r="FPR3" s="18">
        <v>74608</v>
      </c>
      <c r="FPS3" s="18">
        <v>74615</v>
      </c>
      <c r="FPT3" s="18">
        <v>74622</v>
      </c>
      <c r="FPU3" s="18">
        <v>74629</v>
      </c>
      <c r="FPV3" s="18">
        <v>74636</v>
      </c>
      <c r="FPW3" s="18">
        <v>74643</v>
      </c>
      <c r="FPX3" s="18">
        <v>74650</v>
      </c>
      <c r="FPY3" s="18">
        <v>74657</v>
      </c>
      <c r="FPZ3" s="18">
        <v>74664</v>
      </c>
      <c r="FQA3" s="18">
        <v>74671</v>
      </c>
      <c r="FQB3" s="18">
        <v>74678</v>
      </c>
      <c r="FQC3" s="18">
        <v>74685</v>
      </c>
      <c r="FQD3" s="18">
        <v>74692</v>
      </c>
      <c r="FQE3" s="18">
        <v>74699</v>
      </c>
      <c r="FQF3" s="18">
        <v>74706</v>
      </c>
      <c r="FQG3" s="18">
        <v>74713</v>
      </c>
      <c r="FQH3" s="18">
        <v>74720</v>
      </c>
      <c r="FQI3" s="18">
        <v>74727</v>
      </c>
      <c r="FQJ3" s="18">
        <v>74734</v>
      </c>
      <c r="FQK3" s="18">
        <v>74741</v>
      </c>
      <c r="FQL3" s="18">
        <v>74748</v>
      </c>
      <c r="FQM3" s="18">
        <v>74755</v>
      </c>
      <c r="FQN3" s="18">
        <v>74762</v>
      </c>
      <c r="FQO3" s="18">
        <v>74769</v>
      </c>
      <c r="FQP3" s="18">
        <v>74776</v>
      </c>
      <c r="FQQ3" s="18">
        <v>74783</v>
      </c>
      <c r="FQR3" s="18">
        <v>74790</v>
      </c>
      <c r="FQS3" s="18">
        <v>74797</v>
      </c>
      <c r="FQT3" s="18">
        <v>74804</v>
      </c>
      <c r="FQU3" s="18">
        <v>74811</v>
      </c>
      <c r="FQV3" s="18">
        <v>74818</v>
      </c>
      <c r="FQW3" s="18">
        <v>74825</v>
      </c>
      <c r="FQX3" s="18">
        <v>74832</v>
      </c>
      <c r="FQY3" s="18">
        <v>74839</v>
      </c>
      <c r="FQZ3" s="18">
        <v>74846</v>
      </c>
      <c r="FRA3" s="18">
        <v>74853</v>
      </c>
      <c r="FRB3" s="18">
        <v>74860</v>
      </c>
      <c r="FRC3" s="18">
        <v>74867</v>
      </c>
      <c r="FRD3" s="18">
        <v>74874</v>
      </c>
      <c r="FRE3" s="18">
        <v>74881</v>
      </c>
      <c r="FRF3" s="18">
        <v>74888</v>
      </c>
      <c r="FRG3" s="18">
        <v>74895</v>
      </c>
      <c r="FRH3" s="18">
        <v>74902</v>
      </c>
      <c r="FRI3" s="18">
        <v>74909</v>
      </c>
      <c r="FRJ3" s="18">
        <v>74916</v>
      </c>
      <c r="FRK3" s="18">
        <v>74923</v>
      </c>
      <c r="FRL3" s="18">
        <v>74930</v>
      </c>
      <c r="FRM3" s="18">
        <v>74937</v>
      </c>
      <c r="FRN3" s="18">
        <v>74944</v>
      </c>
      <c r="FRO3" s="18">
        <v>74951</v>
      </c>
      <c r="FRP3" s="18">
        <v>74958</v>
      </c>
      <c r="FRQ3" s="18">
        <v>74965</v>
      </c>
      <c r="FRR3" s="18">
        <v>74972</v>
      </c>
      <c r="FRS3" s="18">
        <v>74979</v>
      </c>
      <c r="FRT3" s="18">
        <v>74986</v>
      </c>
      <c r="FRU3" s="18">
        <v>74993</v>
      </c>
      <c r="FRV3" s="18">
        <v>75000</v>
      </c>
      <c r="FRW3" s="18">
        <v>75007</v>
      </c>
      <c r="FRX3" s="18">
        <v>75014</v>
      </c>
      <c r="FRY3" s="18">
        <v>75021</v>
      </c>
      <c r="FRZ3" s="18">
        <v>75028</v>
      </c>
      <c r="FSA3" s="18">
        <v>75035</v>
      </c>
      <c r="FSB3" s="18">
        <v>75042</v>
      </c>
      <c r="FSC3" s="18">
        <v>75049</v>
      </c>
      <c r="FSD3" s="18">
        <v>75056</v>
      </c>
      <c r="FSE3" s="18">
        <v>75063</v>
      </c>
      <c r="FSF3" s="18">
        <v>75070</v>
      </c>
      <c r="FSG3" s="18">
        <v>75077</v>
      </c>
      <c r="FSH3" s="18">
        <v>75084</v>
      </c>
      <c r="FSI3" s="18">
        <v>75091</v>
      </c>
      <c r="FSJ3" s="18">
        <v>75098</v>
      </c>
      <c r="FSK3" s="18">
        <v>75105</v>
      </c>
      <c r="FSL3" s="18">
        <v>75112</v>
      </c>
      <c r="FSM3" s="18">
        <v>75119</v>
      </c>
      <c r="FSN3" s="18">
        <v>75126</v>
      </c>
      <c r="FSO3" s="18">
        <v>75133</v>
      </c>
      <c r="FSP3" s="18">
        <v>75140</v>
      </c>
      <c r="FSQ3" s="18">
        <v>75147</v>
      </c>
      <c r="FSR3" s="18">
        <v>75154</v>
      </c>
      <c r="FSS3" s="18">
        <v>75161</v>
      </c>
      <c r="FST3" s="18">
        <v>75168</v>
      </c>
      <c r="FSU3" s="18">
        <v>75175</v>
      </c>
      <c r="FSV3" s="18">
        <v>75182</v>
      </c>
      <c r="FSW3" s="18">
        <v>75189</v>
      </c>
      <c r="FSX3" s="18">
        <v>75196</v>
      </c>
      <c r="FSY3" s="18">
        <v>75203</v>
      </c>
      <c r="FSZ3" s="18">
        <v>75210</v>
      </c>
      <c r="FTA3" s="18">
        <v>75217</v>
      </c>
      <c r="FTB3" s="18">
        <v>75224</v>
      </c>
      <c r="FTC3" s="18">
        <v>75231</v>
      </c>
      <c r="FTD3" s="18">
        <v>75238</v>
      </c>
      <c r="FTE3" s="18">
        <v>75245</v>
      </c>
      <c r="FTF3" s="18">
        <v>75252</v>
      </c>
      <c r="FTG3" s="18">
        <v>75259</v>
      </c>
      <c r="FTH3" s="18">
        <v>75266</v>
      </c>
      <c r="FTI3" s="18">
        <v>75273</v>
      </c>
      <c r="FTJ3" s="18">
        <v>75280</v>
      </c>
      <c r="FTK3" s="18">
        <v>75287</v>
      </c>
      <c r="FTL3" s="18">
        <v>75294</v>
      </c>
      <c r="FTM3" s="18">
        <v>75301</v>
      </c>
      <c r="FTN3" s="18">
        <v>75308</v>
      </c>
      <c r="FTO3" s="18">
        <v>75315</v>
      </c>
      <c r="FTP3" s="18">
        <v>75322</v>
      </c>
      <c r="FTQ3" s="18">
        <v>75329</v>
      </c>
      <c r="FTR3" s="18">
        <v>75336</v>
      </c>
      <c r="FTS3" s="18">
        <v>75343</v>
      </c>
      <c r="FTT3" s="18">
        <v>75350</v>
      </c>
      <c r="FTU3" s="18">
        <v>75357</v>
      </c>
      <c r="FTV3" s="18">
        <v>75364</v>
      </c>
      <c r="FTW3" s="18">
        <v>75371</v>
      </c>
      <c r="FTX3" s="18">
        <v>75378</v>
      </c>
      <c r="FTY3" s="18">
        <v>75385</v>
      </c>
      <c r="FTZ3" s="18">
        <v>75392</v>
      </c>
      <c r="FUA3" s="18">
        <v>75399</v>
      </c>
      <c r="FUB3" s="18">
        <v>75406</v>
      </c>
      <c r="FUC3" s="18">
        <v>75413</v>
      </c>
      <c r="FUD3" s="18">
        <v>75420</v>
      </c>
      <c r="FUE3" s="18">
        <v>75427</v>
      </c>
      <c r="FUF3" s="18">
        <v>75434</v>
      </c>
      <c r="FUG3" s="18">
        <v>75441</v>
      </c>
      <c r="FUH3" s="18">
        <v>75448</v>
      </c>
      <c r="FUI3" s="18">
        <v>75455</v>
      </c>
      <c r="FUJ3" s="18">
        <v>75462</v>
      </c>
      <c r="FUK3" s="18">
        <v>75469</v>
      </c>
      <c r="FUL3" s="18">
        <v>75476</v>
      </c>
      <c r="FUM3" s="18">
        <v>75483</v>
      </c>
      <c r="FUN3" s="18">
        <v>75490</v>
      </c>
      <c r="FUO3" s="18">
        <v>75497</v>
      </c>
      <c r="FUP3" s="18">
        <v>75504</v>
      </c>
      <c r="FUQ3" s="18">
        <v>75511</v>
      </c>
      <c r="FUR3" s="18">
        <v>75518</v>
      </c>
      <c r="FUS3" s="18">
        <v>75525</v>
      </c>
      <c r="FUT3" s="18">
        <v>75532</v>
      </c>
      <c r="FUU3" s="18">
        <v>75539</v>
      </c>
      <c r="FUV3" s="18">
        <v>75546</v>
      </c>
      <c r="FUW3" s="18">
        <v>75553</v>
      </c>
      <c r="FUX3" s="18">
        <v>75560</v>
      </c>
      <c r="FUY3" s="18">
        <v>75567</v>
      </c>
      <c r="FUZ3" s="18">
        <v>75574</v>
      </c>
      <c r="FVA3" s="18">
        <v>75581</v>
      </c>
      <c r="FVB3" s="18">
        <v>75588</v>
      </c>
      <c r="FVC3" s="18">
        <v>75595</v>
      </c>
      <c r="FVD3" s="18">
        <v>75602</v>
      </c>
      <c r="FVE3" s="18">
        <v>75609</v>
      </c>
      <c r="FVF3" s="18">
        <v>75616</v>
      </c>
      <c r="FVG3" s="18">
        <v>75623</v>
      </c>
      <c r="FVH3" s="18">
        <v>75630</v>
      </c>
      <c r="FVI3" s="18">
        <v>75637</v>
      </c>
      <c r="FVJ3" s="18">
        <v>75644</v>
      </c>
      <c r="FVK3" s="18">
        <v>75651</v>
      </c>
      <c r="FVL3" s="18">
        <v>75658</v>
      </c>
      <c r="FVM3" s="18">
        <v>75665</v>
      </c>
      <c r="FVN3" s="18">
        <v>75672</v>
      </c>
      <c r="FVO3" s="18">
        <v>75679</v>
      </c>
      <c r="FVP3" s="18">
        <v>75686</v>
      </c>
      <c r="FVQ3" s="18">
        <v>75693</v>
      </c>
      <c r="FVR3" s="18">
        <v>75700</v>
      </c>
      <c r="FVS3" s="18">
        <v>75707</v>
      </c>
      <c r="FVT3" s="18">
        <v>75714</v>
      </c>
      <c r="FVU3" s="18">
        <v>75721</v>
      </c>
      <c r="FVV3" s="18">
        <v>75728</v>
      </c>
      <c r="FVW3" s="18">
        <v>75735</v>
      </c>
      <c r="FVX3" s="18">
        <v>75742</v>
      </c>
      <c r="FVY3" s="18">
        <v>75749</v>
      </c>
      <c r="FVZ3" s="18">
        <v>75756</v>
      </c>
      <c r="FWA3" s="18">
        <v>75763</v>
      </c>
      <c r="FWB3" s="18">
        <v>75770</v>
      </c>
      <c r="FWC3" s="18">
        <v>75777</v>
      </c>
      <c r="FWD3" s="18">
        <v>75784</v>
      </c>
      <c r="FWE3" s="18">
        <v>75791</v>
      </c>
      <c r="FWF3" s="18">
        <v>75798</v>
      </c>
      <c r="FWG3" s="18">
        <v>75805</v>
      </c>
      <c r="FWH3" s="18">
        <v>75812</v>
      </c>
      <c r="FWI3" s="18">
        <v>75819</v>
      </c>
      <c r="FWJ3" s="18">
        <v>75826</v>
      </c>
      <c r="FWK3" s="18">
        <v>75833</v>
      </c>
      <c r="FWL3" s="18">
        <v>75840</v>
      </c>
      <c r="FWM3" s="18">
        <v>75847</v>
      </c>
      <c r="FWN3" s="18">
        <v>75854</v>
      </c>
      <c r="FWO3" s="18">
        <v>75861</v>
      </c>
      <c r="FWP3" s="18">
        <v>75868</v>
      </c>
      <c r="FWQ3" s="18">
        <v>75875</v>
      </c>
      <c r="FWR3" s="18">
        <v>75882</v>
      </c>
      <c r="FWS3" s="18">
        <v>75889</v>
      </c>
      <c r="FWT3" s="18">
        <v>75896</v>
      </c>
      <c r="FWU3" s="18">
        <v>75903</v>
      </c>
      <c r="FWV3" s="18">
        <v>75910</v>
      </c>
      <c r="FWW3" s="18">
        <v>75917</v>
      </c>
      <c r="FWX3" s="18">
        <v>75924</v>
      </c>
      <c r="FWY3" s="18">
        <v>75931</v>
      </c>
      <c r="FWZ3" s="18">
        <v>75938</v>
      </c>
      <c r="FXA3" s="18">
        <v>75945</v>
      </c>
      <c r="FXB3" s="18">
        <v>75952</v>
      </c>
      <c r="FXC3" s="18">
        <v>75959</v>
      </c>
      <c r="FXD3" s="18">
        <v>75966</v>
      </c>
      <c r="FXE3" s="18">
        <v>75973</v>
      </c>
      <c r="FXF3" s="18">
        <v>75980</v>
      </c>
      <c r="FXG3" s="18">
        <v>75987</v>
      </c>
      <c r="FXH3" s="18">
        <v>75994</v>
      </c>
      <c r="FXI3" s="18">
        <v>76001</v>
      </c>
      <c r="FXJ3" s="18">
        <v>76008</v>
      </c>
      <c r="FXK3" s="18">
        <v>76015</v>
      </c>
      <c r="FXL3" s="18">
        <v>76022</v>
      </c>
      <c r="FXM3" s="18">
        <v>76029</v>
      </c>
      <c r="FXN3" s="18">
        <v>76036</v>
      </c>
      <c r="FXO3" s="18">
        <v>76043</v>
      </c>
      <c r="FXP3" s="18">
        <v>76050</v>
      </c>
      <c r="FXQ3" s="18">
        <v>76057</v>
      </c>
      <c r="FXR3" s="18">
        <v>76064</v>
      </c>
      <c r="FXS3" s="18">
        <v>76071</v>
      </c>
      <c r="FXT3" s="18">
        <v>76078</v>
      </c>
      <c r="FXU3" s="18">
        <v>76085</v>
      </c>
      <c r="FXV3" s="18">
        <v>76092</v>
      </c>
      <c r="FXW3" s="18">
        <v>76099</v>
      </c>
      <c r="FXX3" s="18">
        <v>76106</v>
      </c>
      <c r="FXY3" s="18">
        <v>76113</v>
      </c>
      <c r="FXZ3" s="18">
        <v>76120</v>
      </c>
      <c r="FYA3" s="18">
        <v>76127</v>
      </c>
      <c r="FYB3" s="18">
        <v>76134</v>
      </c>
      <c r="FYC3" s="18">
        <v>76141</v>
      </c>
      <c r="FYD3" s="18">
        <v>76148</v>
      </c>
      <c r="FYE3" s="18">
        <v>76155</v>
      </c>
      <c r="FYF3" s="18">
        <v>76162</v>
      </c>
      <c r="FYG3" s="18">
        <v>76169</v>
      </c>
      <c r="FYH3" s="18">
        <v>76176</v>
      </c>
      <c r="FYI3" s="18">
        <v>76183</v>
      </c>
      <c r="FYJ3" s="18">
        <v>76190</v>
      </c>
      <c r="FYK3" s="18">
        <v>76197</v>
      </c>
      <c r="FYL3" s="18">
        <v>76204</v>
      </c>
      <c r="FYM3" s="18">
        <v>76211</v>
      </c>
      <c r="FYN3" s="18">
        <v>76218</v>
      </c>
      <c r="FYO3" s="18">
        <v>76225</v>
      </c>
      <c r="FYP3" s="18">
        <v>76232</v>
      </c>
      <c r="FYQ3" s="18">
        <v>76239</v>
      </c>
      <c r="FYR3" s="18">
        <v>76246</v>
      </c>
      <c r="FYS3" s="18">
        <v>76253</v>
      </c>
      <c r="FYT3" s="18">
        <v>76260</v>
      </c>
      <c r="FYU3" s="18">
        <v>76267</v>
      </c>
      <c r="FYV3" s="18">
        <v>76274</v>
      </c>
      <c r="FYW3" s="18">
        <v>76281</v>
      </c>
      <c r="FYX3" s="18">
        <v>76288</v>
      </c>
      <c r="FYY3" s="18">
        <v>76295</v>
      </c>
      <c r="FYZ3" s="18">
        <v>76302</v>
      </c>
      <c r="FZA3" s="18">
        <v>76309</v>
      </c>
      <c r="FZB3" s="18">
        <v>76316</v>
      </c>
      <c r="FZC3" s="18">
        <v>76323</v>
      </c>
      <c r="FZD3" s="18">
        <v>76330</v>
      </c>
      <c r="FZE3" s="18">
        <v>76337</v>
      </c>
      <c r="FZF3" s="18">
        <v>76344</v>
      </c>
      <c r="FZG3" s="18">
        <v>76351</v>
      </c>
      <c r="FZH3" s="18">
        <v>76358</v>
      </c>
      <c r="FZI3" s="18">
        <v>76365</v>
      </c>
      <c r="FZJ3" s="18">
        <v>76372</v>
      </c>
      <c r="FZK3" s="18">
        <v>76379</v>
      </c>
      <c r="FZL3" s="18">
        <v>76386</v>
      </c>
      <c r="FZM3" s="18">
        <v>76393</v>
      </c>
      <c r="FZN3" s="18">
        <v>76400</v>
      </c>
      <c r="FZO3" s="18">
        <v>76407</v>
      </c>
      <c r="FZP3" s="18">
        <v>76414</v>
      </c>
      <c r="FZQ3" s="18">
        <v>76421</v>
      </c>
      <c r="FZR3" s="18">
        <v>76428</v>
      </c>
      <c r="FZS3" s="18">
        <v>76435</v>
      </c>
      <c r="FZT3" s="18">
        <v>76442</v>
      </c>
      <c r="FZU3" s="18">
        <v>76449</v>
      </c>
      <c r="FZV3" s="18">
        <v>76456</v>
      </c>
      <c r="FZW3" s="18">
        <v>76463</v>
      </c>
      <c r="FZX3" s="18">
        <v>76470</v>
      </c>
      <c r="FZY3" s="18">
        <v>76477</v>
      </c>
      <c r="FZZ3" s="18">
        <v>76484</v>
      </c>
      <c r="GAA3" s="18">
        <v>76491</v>
      </c>
      <c r="GAB3" s="18">
        <v>76498</v>
      </c>
      <c r="GAC3" s="18">
        <v>76505</v>
      </c>
      <c r="GAD3" s="18">
        <v>76512</v>
      </c>
      <c r="GAE3" s="18">
        <v>76519</v>
      </c>
      <c r="GAF3" s="18">
        <v>76526</v>
      </c>
      <c r="GAG3" s="18">
        <v>76533</v>
      </c>
      <c r="GAH3" s="18">
        <v>76540</v>
      </c>
      <c r="GAI3" s="18">
        <v>76547</v>
      </c>
      <c r="GAJ3" s="18">
        <v>76554</v>
      </c>
      <c r="GAK3" s="18">
        <v>76561</v>
      </c>
      <c r="GAL3" s="18">
        <v>76568</v>
      </c>
      <c r="GAM3" s="18">
        <v>76575</v>
      </c>
      <c r="GAN3" s="18">
        <v>76582</v>
      </c>
      <c r="GAO3" s="18">
        <v>76589</v>
      </c>
      <c r="GAP3" s="18">
        <v>76596</v>
      </c>
      <c r="GAQ3" s="18">
        <v>76603</v>
      </c>
      <c r="GAR3" s="18">
        <v>76610</v>
      </c>
      <c r="GAS3" s="18">
        <v>76617</v>
      </c>
      <c r="GAT3" s="18">
        <v>76624</v>
      </c>
      <c r="GAU3" s="18">
        <v>76631</v>
      </c>
      <c r="GAV3" s="18">
        <v>76638</v>
      </c>
      <c r="GAW3" s="18">
        <v>76645</v>
      </c>
      <c r="GAX3" s="18">
        <v>76652</v>
      </c>
      <c r="GAY3" s="18">
        <v>76659</v>
      </c>
      <c r="GAZ3" s="18">
        <v>76666</v>
      </c>
      <c r="GBA3" s="18">
        <v>76673</v>
      </c>
      <c r="GBB3" s="18">
        <v>76680</v>
      </c>
      <c r="GBC3" s="18">
        <v>76687</v>
      </c>
      <c r="GBD3" s="18">
        <v>76694</v>
      </c>
      <c r="GBE3" s="18">
        <v>76701</v>
      </c>
      <c r="GBF3" s="18">
        <v>76708</v>
      </c>
      <c r="GBG3" s="18">
        <v>76715</v>
      </c>
      <c r="GBH3" s="18">
        <v>76722</v>
      </c>
      <c r="GBI3" s="18">
        <v>76729</v>
      </c>
      <c r="GBJ3" s="18">
        <v>76736</v>
      </c>
      <c r="GBK3" s="18">
        <v>76743</v>
      </c>
      <c r="GBL3" s="18">
        <v>76750</v>
      </c>
      <c r="GBM3" s="18">
        <v>76757</v>
      </c>
      <c r="GBN3" s="18">
        <v>76764</v>
      </c>
      <c r="GBO3" s="18">
        <v>76771</v>
      </c>
      <c r="GBP3" s="18">
        <v>76778</v>
      </c>
      <c r="GBQ3" s="18">
        <v>76785</v>
      </c>
      <c r="GBR3" s="18">
        <v>76792</v>
      </c>
      <c r="GBS3" s="18">
        <v>76799</v>
      </c>
      <c r="GBT3" s="18">
        <v>76806</v>
      </c>
      <c r="GBU3" s="18">
        <v>76813</v>
      </c>
      <c r="GBV3" s="18">
        <v>76820</v>
      </c>
      <c r="GBW3" s="18">
        <v>76827</v>
      </c>
      <c r="GBX3" s="18">
        <v>76834</v>
      </c>
      <c r="GBY3" s="18">
        <v>76841</v>
      </c>
      <c r="GBZ3" s="18">
        <v>76848</v>
      </c>
      <c r="GCA3" s="18">
        <v>76855</v>
      </c>
      <c r="GCB3" s="18">
        <v>76862</v>
      </c>
      <c r="GCC3" s="18">
        <v>76869</v>
      </c>
      <c r="GCD3" s="18">
        <v>76876</v>
      </c>
      <c r="GCE3" s="18">
        <v>76883</v>
      </c>
      <c r="GCF3" s="18">
        <v>76890</v>
      </c>
      <c r="GCG3" s="18">
        <v>76897</v>
      </c>
      <c r="GCH3" s="18">
        <v>76904</v>
      </c>
      <c r="GCI3" s="18">
        <v>76911</v>
      </c>
      <c r="GCJ3" s="18">
        <v>76918</v>
      </c>
      <c r="GCK3" s="18">
        <v>76925</v>
      </c>
      <c r="GCL3" s="18">
        <v>76932</v>
      </c>
      <c r="GCM3" s="18">
        <v>76939</v>
      </c>
      <c r="GCN3" s="18">
        <v>76946</v>
      </c>
      <c r="GCO3" s="18">
        <v>76953</v>
      </c>
      <c r="GCP3" s="18">
        <v>76960</v>
      </c>
      <c r="GCQ3" s="18">
        <v>76967</v>
      </c>
      <c r="GCR3" s="18">
        <v>76974</v>
      </c>
      <c r="GCS3" s="18">
        <v>76981</v>
      </c>
      <c r="GCT3" s="18">
        <v>76988</v>
      </c>
      <c r="GCU3" s="18">
        <v>76995</v>
      </c>
      <c r="GCV3" s="18">
        <v>77002</v>
      </c>
      <c r="GCW3" s="18">
        <v>77009</v>
      </c>
      <c r="GCX3" s="18">
        <v>77016</v>
      </c>
      <c r="GCY3" s="18">
        <v>77023</v>
      </c>
      <c r="GCZ3" s="18">
        <v>77030</v>
      </c>
      <c r="GDA3" s="18">
        <v>77037</v>
      </c>
      <c r="GDB3" s="18">
        <v>77044</v>
      </c>
      <c r="GDC3" s="18">
        <v>77051</v>
      </c>
      <c r="GDD3" s="18">
        <v>77058</v>
      </c>
      <c r="GDE3" s="18">
        <v>77065</v>
      </c>
      <c r="GDF3" s="18">
        <v>77072</v>
      </c>
      <c r="GDG3" s="18">
        <v>77079</v>
      </c>
      <c r="GDH3" s="18">
        <v>77086</v>
      </c>
      <c r="GDI3" s="18">
        <v>77093</v>
      </c>
      <c r="GDJ3" s="18">
        <v>77100</v>
      </c>
      <c r="GDK3" s="18">
        <v>77107</v>
      </c>
      <c r="GDL3" s="18">
        <v>77114</v>
      </c>
      <c r="GDM3" s="18">
        <v>77121</v>
      </c>
      <c r="GDN3" s="18">
        <v>77128</v>
      </c>
      <c r="GDO3" s="18">
        <v>77135</v>
      </c>
      <c r="GDP3" s="18">
        <v>77142</v>
      </c>
      <c r="GDQ3" s="18">
        <v>77149</v>
      </c>
      <c r="GDR3" s="18">
        <v>77156</v>
      </c>
      <c r="GDS3" s="18">
        <v>77163</v>
      </c>
      <c r="GDT3" s="18">
        <v>77170</v>
      </c>
      <c r="GDU3" s="18">
        <v>77177</v>
      </c>
      <c r="GDV3" s="18">
        <v>77184</v>
      </c>
      <c r="GDW3" s="18">
        <v>77191</v>
      </c>
      <c r="GDX3" s="18">
        <v>77198</v>
      </c>
      <c r="GDY3" s="18">
        <v>77205</v>
      </c>
      <c r="GDZ3" s="18">
        <v>77212</v>
      </c>
      <c r="GEA3" s="18">
        <v>77219</v>
      </c>
      <c r="GEB3" s="18">
        <v>77226</v>
      </c>
      <c r="GEC3" s="18">
        <v>77233</v>
      </c>
      <c r="GED3" s="18">
        <v>77240</v>
      </c>
      <c r="GEE3" s="18">
        <v>77247</v>
      </c>
      <c r="GEF3" s="18">
        <v>77254</v>
      </c>
      <c r="GEG3" s="18">
        <v>77261</v>
      </c>
      <c r="GEH3" s="18">
        <v>77268</v>
      </c>
      <c r="GEI3" s="18">
        <v>77275</v>
      </c>
      <c r="GEJ3" s="18">
        <v>77282</v>
      </c>
      <c r="GEK3" s="18">
        <v>77289</v>
      </c>
      <c r="GEL3" s="18">
        <v>77296</v>
      </c>
      <c r="GEM3" s="18">
        <v>77303</v>
      </c>
      <c r="GEN3" s="18">
        <v>77310</v>
      </c>
      <c r="GEO3" s="18">
        <v>77317</v>
      </c>
      <c r="GEP3" s="18">
        <v>77324</v>
      </c>
      <c r="GEQ3" s="18">
        <v>77331</v>
      </c>
      <c r="GER3" s="18">
        <v>77338</v>
      </c>
      <c r="GES3" s="18">
        <v>77345</v>
      </c>
      <c r="GET3" s="18">
        <v>77352</v>
      </c>
      <c r="GEU3" s="18">
        <v>77359</v>
      </c>
      <c r="GEV3" s="18">
        <v>77366</v>
      </c>
      <c r="GEW3" s="18">
        <v>77373</v>
      </c>
      <c r="GEX3" s="18">
        <v>77380</v>
      </c>
      <c r="GEY3" s="18">
        <v>77387</v>
      </c>
      <c r="GEZ3" s="18">
        <v>77394</v>
      </c>
      <c r="GFA3" s="18">
        <v>77401</v>
      </c>
      <c r="GFB3" s="18">
        <v>77408</v>
      </c>
      <c r="GFC3" s="18">
        <v>77415</v>
      </c>
      <c r="GFD3" s="18">
        <v>77422</v>
      </c>
      <c r="GFE3" s="18">
        <v>77429</v>
      </c>
      <c r="GFF3" s="18">
        <v>77436</v>
      </c>
      <c r="GFG3" s="18">
        <v>77443</v>
      </c>
      <c r="GFH3" s="18">
        <v>77450</v>
      </c>
      <c r="GFI3" s="18">
        <v>77457</v>
      </c>
      <c r="GFJ3" s="18">
        <v>77464</v>
      </c>
      <c r="GFK3" s="18">
        <v>77471</v>
      </c>
      <c r="GFL3" s="18">
        <v>77478</v>
      </c>
      <c r="GFM3" s="18">
        <v>77485</v>
      </c>
      <c r="GFN3" s="18">
        <v>77492</v>
      </c>
      <c r="GFO3" s="18">
        <v>77499</v>
      </c>
      <c r="GFP3" s="18">
        <v>77506</v>
      </c>
      <c r="GFQ3" s="18">
        <v>77513</v>
      </c>
      <c r="GFR3" s="18">
        <v>77520</v>
      </c>
      <c r="GFS3" s="18">
        <v>77527</v>
      </c>
      <c r="GFT3" s="18">
        <v>77534</v>
      </c>
      <c r="GFU3" s="18">
        <v>77541</v>
      </c>
      <c r="GFV3" s="18">
        <v>77548</v>
      </c>
      <c r="GFW3" s="18">
        <v>77555</v>
      </c>
      <c r="GFX3" s="18">
        <v>77562</v>
      </c>
      <c r="GFY3" s="18">
        <v>77569</v>
      </c>
      <c r="GFZ3" s="18">
        <v>77576</v>
      </c>
      <c r="GGA3" s="18">
        <v>77583</v>
      </c>
      <c r="GGB3" s="18">
        <v>77590</v>
      </c>
      <c r="GGC3" s="18">
        <v>77597</v>
      </c>
      <c r="GGD3" s="18">
        <v>77604</v>
      </c>
      <c r="GGE3" s="18">
        <v>77611</v>
      </c>
      <c r="GGF3" s="18">
        <v>77618</v>
      </c>
      <c r="GGG3" s="18">
        <v>77625</v>
      </c>
      <c r="GGH3" s="18">
        <v>77632</v>
      </c>
      <c r="GGI3" s="18">
        <v>77639</v>
      </c>
      <c r="GGJ3" s="18">
        <v>77646</v>
      </c>
      <c r="GGK3" s="18">
        <v>77653</v>
      </c>
      <c r="GGL3" s="18">
        <v>77660</v>
      </c>
      <c r="GGM3" s="18">
        <v>77667</v>
      </c>
      <c r="GGN3" s="18">
        <v>77674</v>
      </c>
      <c r="GGO3" s="18">
        <v>77681</v>
      </c>
      <c r="GGP3" s="18">
        <v>77688</v>
      </c>
      <c r="GGQ3" s="18">
        <v>77695</v>
      </c>
      <c r="GGR3" s="18">
        <v>77702</v>
      </c>
      <c r="GGS3" s="18">
        <v>77709</v>
      </c>
      <c r="GGT3" s="18">
        <v>77716</v>
      </c>
      <c r="GGU3" s="18">
        <v>77723</v>
      </c>
      <c r="GGV3" s="18">
        <v>77730</v>
      </c>
      <c r="GGW3" s="18">
        <v>77737</v>
      </c>
      <c r="GGX3" s="18">
        <v>77744</v>
      </c>
      <c r="GGY3" s="18">
        <v>77751</v>
      </c>
      <c r="GGZ3" s="18">
        <v>77758</v>
      </c>
      <c r="GHA3" s="18">
        <v>77765</v>
      </c>
      <c r="GHB3" s="18">
        <v>77772</v>
      </c>
      <c r="GHC3" s="18">
        <v>77779</v>
      </c>
      <c r="GHD3" s="18">
        <v>77786</v>
      </c>
      <c r="GHE3" s="18">
        <v>77793</v>
      </c>
      <c r="GHF3" s="18">
        <v>77800</v>
      </c>
      <c r="GHG3" s="18">
        <v>77807</v>
      </c>
      <c r="GHH3" s="18">
        <v>77814</v>
      </c>
      <c r="GHI3" s="18">
        <v>77821</v>
      </c>
      <c r="GHJ3" s="18">
        <v>77828</v>
      </c>
      <c r="GHK3" s="18">
        <v>77835</v>
      </c>
      <c r="GHL3" s="18">
        <v>77842</v>
      </c>
      <c r="GHM3" s="18">
        <v>77849</v>
      </c>
      <c r="GHN3" s="18">
        <v>77856</v>
      </c>
      <c r="GHO3" s="18">
        <v>77863</v>
      </c>
      <c r="GHP3" s="18">
        <v>77870</v>
      </c>
      <c r="GHQ3" s="18">
        <v>77877</v>
      </c>
      <c r="GHR3" s="18">
        <v>77884</v>
      </c>
      <c r="GHS3" s="18">
        <v>77891</v>
      </c>
      <c r="GHT3" s="18">
        <v>77898</v>
      </c>
      <c r="GHU3" s="18">
        <v>77905</v>
      </c>
      <c r="GHV3" s="18">
        <v>77912</v>
      </c>
      <c r="GHW3" s="18">
        <v>77919</v>
      </c>
      <c r="GHX3" s="18">
        <v>77926</v>
      </c>
      <c r="GHY3" s="18">
        <v>77933</v>
      </c>
      <c r="GHZ3" s="18">
        <v>77940</v>
      </c>
      <c r="GIA3" s="18">
        <v>77947</v>
      </c>
      <c r="GIB3" s="18">
        <v>77954</v>
      </c>
      <c r="GIC3" s="18">
        <v>77961</v>
      </c>
      <c r="GID3" s="18">
        <v>77968</v>
      </c>
      <c r="GIE3" s="18">
        <v>77975</v>
      </c>
      <c r="GIF3" s="18">
        <v>77982</v>
      </c>
      <c r="GIG3" s="18">
        <v>77989</v>
      </c>
      <c r="GIH3" s="18">
        <v>77996</v>
      </c>
      <c r="GII3" s="18">
        <v>78003</v>
      </c>
      <c r="GIJ3" s="18">
        <v>78010</v>
      </c>
      <c r="GIK3" s="18">
        <v>78017</v>
      </c>
      <c r="GIL3" s="18">
        <v>78024</v>
      </c>
      <c r="GIM3" s="18">
        <v>78031</v>
      </c>
      <c r="GIN3" s="18">
        <v>78038</v>
      </c>
      <c r="GIO3" s="18">
        <v>78045</v>
      </c>
      <c r="GIP3" s="18">
        <v>78052</v>
      </c>
      <c r="GIQ3" s="18">
        <v>78059</v>
      </c>
      <c r="GIR3" s="18">
        <v>78066</v>
      </c>
      <c r="GIS3" s="18">
        <v>78073</v>
      </c>
      <c r="GIT3" s="18">
        <v>78080</v>
      </c>
      <c r="GIU3" s="18">
        <v>78087</v>
      </c>
      <c r="GIV3" s="18">
        <v>78094</v>
      </c>
      <c r="GIW3" s="18">
        <v>78101</v>
      </c>
      <c r="GIX3" s="18">
        <v>78108</v>
      </c>
      <c r="GIY3" s="18">
        <v>78115</v>
      </c>
      <c r="GIZ3" s="18">
        <v>78122</v>
      </c>
      <c r="GJA3" s="18">
        <v>78129</v>
      </c>
      <c r="GJB3" s="18">
        <v>78136</v>
      </c>
      <c r="GJC3" s="18">
        <v>78143</v>
      </c>
      <c r="GJD3" s="18">
        <v>78150</v>
      </c>
      <c r="GJE3" s="18">
        <v>78157</v>
      </c>
      <c r="GJF3" s="18">
        <v>78164</v>
      </c>
      <c r="GJG3" s="18">
        <v>78171</v>
      </c>
      <c r="GJH3" s="18">
        <v>78178</v>
      </c>
      <c r="GJI3" s="18">
        <v>78185</v>
      </c>
      <c r="GJJ3" s="18">
        <v>78192</v>
      </c>
      <c r="GJK3" s="18">
        <v>78199</v>
      </c>
      <c r="GJL3" s="18">
        <v>78206</v>
      </c>
      <c r="GJM3" s="18">
        <v>78213</v>
      </c>
      <c r="GJN3" s="18">
        <v>78220</v>
      </c>
      <c r="GJO3" s="18">
        <v>78227</v>
      </c>
      <c r="GJP3" s="18">
        <v>78234</v>
      </c>
      <c r="GJQ3" s="18">
        <v>78241</v>
      </c>
      <c r="GJR3" s="18">
        <v>78248</v>
      </c>
      <c r="GJS3" s="18">
        <v>78255</v>
      </c>
      <c r="GJT3" s="18">
        <v>78262</v>
      </c>
      <c r="GJU3" s="18">
        <v>78269</v>
      </c>
      <c r="GJV3" s="18">
        <v>78276</v>
      </c>
      <c r="GJW3" s="18">
        <v>78283</v>
      </c>
      <c r="GJX3" s="18">
        <v>78290</v>
      </c>
      <c r="GJY3" s="18">
        <v>78297</v>
      </c>
      <c r="GJZ3" s="18">
        <v>78304</v>
      </c>
      <c r="GKA3" s="18">
        <v>78311</v>
      </c>
      <c r="GKB3" s="18">
        <v>78318</v>
      </c>
      <c r="GKC3" s="18">
        <v>78325</v>
      </c>
      <c r="GKD3" s="18">
        <v>78332</v>
      </c>
      <c r="GKE3" s="18">
        <v>78339</v>
      </c>
      <c r="GKF3" s="18">
        <v>78346</v>
      </c>
      <c r="GKG3" s="18">
        <v>78353</v>
      </c>
      <c r="GKH3" s="18">
        <v>78360</v>
      </c>
      <c r="GKI3" s="18">
        <v>78367</v>
      </c>
      <c r="GKJ3" s="18">
        <v>78374</v>
      </c>
      <c r="GKK3" s="18">
        <v>78381</v>
      </c>
      <c r="GKL3" s="18">
        <v>78388</v>
      </c>
      <c r="GKM3" s="18">
        <v>78395</v>
      </c>
      <c r="GKN3" s="18">
        <v>78402</v>
      </c>
      <c r="GKO3" s="18">
        <v>78409</v>
      </c>
      <c r="GKP3" s="18">
        <v>78416</v>
      </c>
      <c r="GKQ3" s="18">
        <v>78423</v>
      </c>
      <c r="GKR3" s="18">
        <v>78430</v>
      </c>
      <c r="GKS3" s="18">
        <v>78437</v>
      </c>
      <c r="GKT3" s="18">
        <v>78444</v>
      </c>
      <c r="GKU3" s="18">
        <v>78451</v>
      </c>
      <c r="GKV3" s="18">
        <v>78458</v>
      </c>
      <c r="GKW3" s="18">
        <v>78465</v>
      </c>
      <c r="GKX3" s="18">
        <v>78472</v>
      </c>
      <c r="GKY3" s="18">
        <v>78479</v>
      </c>
      <c r="GKZ3" s="18">
        <v>78486</v>
      </c>
      <c r="GLA3" s="18">
        <v>78493</v>
      </c>
      <c r="GLB3" s="18">
        <v>78500</v>
      </c>
      <c r="GLC3" s="18">
        <v>78507</v>
      </c>
      <c r="GLD3" s="18">
        <v>78514</v>
      </c>
      <c r="GLE3" s="18">
        <v>78521</v>
      </c>
      <c r="GLF3" s="18">
        <v>78528</v>
      </c>
      <c r="GLG3" s="18">
        <v>78535</v>
      </c>
      <c r="GLH3" s="18">
        <v>78542</v>
      </c>
      <c r="GLI3" s="18">
        <v>78549</v>
      </c>
      <c r="GLJ3" s="18">
        <v>78556</v>
      </c>
      <c r="GLK3" s="18">
        <v>78563</v>
      </c>
      <c r="GLL3" s="18">
        <v>78570</v>
      </c>
      <c r="GLM3" s="18">
        <v>78577</v>
      </c>
      <c r="GLN3" s="18">
        <v>78584</v>
      </c>
      <c r="GLO3" s="18">
        <v>78591</v>
      </c>
      <c r="GLP3" s="18">
        <v>78598</v>
      </c>
      <c r="GLQ3" s="18">
        <v>78605</v>
      </c>
      <c r="GLR3" s="18">
        <v>78612</v>
      </c>
      <c r="GLS3" s="18">
        <v>78619</v>
      </c>
      <c r="GLT3" s="18">
        <v>78626</v>
      </c>
      <c r="GLU3" s="18">
        <v>78633</v>
      </c>
      <c r="GLV3" s="18">
        <v>78640</v>
      </c>
      <c r="GLW3" s="18">
        <v>78647</v>
      </c>
      <c r="GLX3" s="18">
        <v>78654</v>
      </c>
      <c r="GLY3" s="18">
        <v>78661</v>
      </c>
      <c r="GLZ3" s="18">
        <v>78668</v>
      </c>
      <c r="GMA3" s="18">
        <v>78675</v>
      </c>
      <c r="GMB3" s="18">
        <v>78682</v>
      </c>
      <c r="GMC3" s="18">
        <v>78689</v>
      </c>
      <c r="GMD3" s="18">
        <v>78696</v>
      </c>
      <c r="GME3" s="18">
        <v>78703</v>
      </c>
      <c r="GMF3" s="18">
        <v>78710</v>
      </c>
      <c r="GMG3" s="18">
        <v>78717</v>
      </c>
      <c r="GMH3" s="18">
        <v>78724</v>
      </c>
      <c r="GMI3" s="18">
        <v>78731</v>
      </c>
      <c r="GMJ3" s="18">
        <v>78738</v>
      </c>
      <c r="GMK3" s="18">
        <v>78745</v>
      </c>
      <c r="GML3" s="18">
        <v>78752</v>
      </c>
      <c r="GMM3" s="18">
        <v>78759</v>
      </c>
      <c r="GMN3" s="18">
        <v>78766</v>
      </c>
      <c r="GMO3" s="18">
        <v>78773</v>
      </c>
      <c r="GMP3" s="18">
        <v>78780</v>
      </c>
      <c r="GMQ3" s="18">
        <v>78787</v>
      </c>
      <c r="GMR3" s="18">
        <v>78794</v>
      </c>
      <c r="GMS3" s="18">
        <v>78801</v>
      </c>
      <c r="GMT3" s="18">
        <v>78808</v>
      </c>
      <c r="GMU3" s="18">
        <v>78815</v>
      </c>
      <c r="GMV3" s="18">
        <v>78822</v>
      </c>
      <c r="GMW3" s="18">
        <v>78829</v>
      </c>
      <c r="GMX3" s="18">
        <v>78836</v>
      </c>
      <c r="GMY3" s="18">
        <v>78843</v>
      </c>
      <c r="GMZ3" s="18">
        <v>78850</v>
      </c>
      <c r="GNA3" s="18">
        <v>78857</v>
      </c>
      <c r="GNB3" s="18">
        <v>78864</v>
      </c>
      <c r="GNC3" s="18">
        <v>78871</v>
      </c>
      <c r="GND3" s="18">
        <v>78878</v>
      </c>
      <c r="GNE3" s="18">
        <v>78885</v>
      </c>
      <c r="GNF3" s="18">
        <v>78892</v>
      </c>
      <c r="GNG3" s="18">
        <v>78899</v>
      </c>
      <c r="GNH3" s="18">
        <v>78906</v>
      </c>
      <c r="GNI3" s="18">
        <v>78913</v>
      </c>
      <c r="GNJ3" s="18">
        <v>78920</v>
      </c>
      <c r="GNK3" s="18">
        <v>78927</v>
      </c>
      <c r="GNL3" s="18">
        <v>78934</v>
      </c>
      <c r="GNM3" s="18">
        <v>78941</v>
      </c>
      <c r="GNN3" s="18">
        <v>78948</v>
      </c>
      <c r="GNO3" s="18">
        <v>78955</v>
      </c>
      <c r="GNP3" s="18">
        <v>78962</v>
      </c>
      <c r="GNQ3" s="18">
        <v>78969</v>
      </c>
      <c r="GNR3" s="18">
        <v>78976</v>
      </c>
      <c r="GNS3" s="18">
        <v>78983</v>
      </c>
      <c r="GNT3" s="18">
        <v>78990</v>
      </c>
      <c r="GNU3" s="18">
        <v>78997</v>
      </c>
      <c r="GNV3" s="18">
        <v>79004</v>
      </c>
      <c r="GNW3" s="18">
        <v>79011</v>
      </c>
      <c r="GNX3" s="18">
        <v>79018</v>
      </c>
      <c r="GNY3" s="18">
        <v>79025</v>
      </c>
      <c r="GNZ3" s="18">
        <v>79032</v>
      </c>
      <c r="GOA3" s="18">
        <v>79039</v>
      </c>
      <c r="GOB3" s="18">
        <v>79046</v>
      </c>
      <c r="GOC3" s="18">
        <v>79053</v>
      </c>
      <c r="GOD3" s="18">
        <v>79060</v>
      </c>
      <c r="GOE3" s="18">
        <v>79067</v>
      </c>
      <c r="GOF3" s="18">
        <v>79074</v>
      </c>
      <c r="GOG3" s="18">
        <v>79081</v>
      </c>
      <c r="GOH3" s="18">
        <v>79088</v>
      </c>
      <c r="GOI3" s="18">
        <v>79095</v>
      </c>
      <c r="GOJ3" s="18">
        <v>79102</v>
      </c>
      <c r="GOK3" s="18">
        <v>79109</v>
      </c>
      <c r="GOL3" s="18">
        <v>79116</v>
      </c>
      <c r="GOM3" s="18">
        <v>79123</v>
      </c>
      <c r="GON3" s="18">
        <v>79130</v>
      </c>
      <c r="GOO3" s="18">
        <v>79137</v>
      </c>
      <c r="GOP3" s="18">
        <v>79144</v>
      </c>
      <c r="GOQ3" s="18">
        <v>79151</v>
      </c>
      <c r="GOR3" s="18">
        <v>79158</v>
      </c>
      <c r="GOS3" s="18">
        <v>79165</v>
      </c>
      <c r="GOT3" s="18">
        <v>79172</v>
      </c>
      <c r="GOU3" s="18">
        <v>79179</v>
      </c>
      <c r="GOV3" s="18">
        <v>79186</v>
      </c>
      <c r="GOW3" s="18">
        <v>79193</v>
      </c>
      <c r="GOX3" s="18">
        <v>79200</v>
      </c>
      <c r="GOY3" s="18">
        <v>79207</v>
      </c>
      <c r="GOZ3" s="18">
        <v>79214</v>
      </c>
      <c r="GPA3" s="18">
        <v>79221</v>
      </c>
      <c r="GPB3" s="18">
        <v>79228</v>
      </c>
      <c r="GPC3" s="18">
        <v>79235</v>
      </c>
      <c r="GPD3" s="18">
        <v>79242</v>
      </c>
      <c r="GPE3" s="18">
        <v>79249</v>
      </c>
      <c r="GPF3" s="18">
        <v>79256</v>
      </c>
      <c r="GPG3" s="18">
        <v>79263</v>
      </c>
      <c r="GPH3" s="18">
        <v>79270</v>
      </c>
      <c r="GPI3" s="18">
        <v>79277</v>
      </c>
      <c r="GPJ3" s="18">
        <v>79284</v>
      </c>
      <c r="GPK3" s="18">
        <v>79291</v>
      </c>
      <c r="GPL3" s="18">
        <v>79298</v>
      </c>
      <c r="GPM3" s="18">
        <v>79305</v>
      </c>
      <c r="GPN3" s="18">
        <v>79312</v>
      </c>
      <c r="GPO3" s="18">
        <v>79319</v>
      </c>
      <c r="GPP3" s="18">
        <v>79326</v>
      </c>
      <c r="GPQ3" s="18">
        <v>79333</v>
      </c>
      <c r="GPR3" s="18">
        <v>79340</v>
      </c>
      <c r="GPS3" s="18">
        <v>79347</v>
      </c>
      <c r="GPT3" s="18">
        <v>79354</v>
      </c>
      <c r="GPU3" s="18">
        <v>79361</v>
      </c>
      <c r="GPV3" s="18">
        <v>79368</v>
      </c>
      <c r="GPW3" s="18">
        <v>79375</v>
      </c>
      <c r="GPX3" s="18">
        <v>79382</v>
      </c>
      <c r="GPY3" s="18">
        <v>79389</v>
      </c>
      <c r="GPZ3" s="18">
        <v>79396</v>
      </c>
      <c r="GQA3" s="18">
        <v>79403</v>
      </c>
      <c r="GQB3" s="18">
        <v>79410</v>
      </c>
      <c r="GQC3" s="18">
        <v>79417</v>
      </c>
      <c r="GQD3" s="18">
        <v>79424</v>
      </c>
      <c r="GQE3" s="18">
        <v>79431</v>
      </c>
      <c r="GQF3" s="18">
        <v>79438</v>
      </c>
      <c r="GQG3" s="18">
        <v>79445</v>
      </c>
      <c r="GQH3" s="18">
        <v>79452</v>
      </c>
      <c r="GQI3" s="18">
        <v>79459</v>
      </c>
      <c r="GQJ3" s="18">
        <v>79466</v>
      </c>
      <c r="GQK3" s="18">
        <v>79473</v>
      </c>
      <c r="GQL3" s="18">
        <v>79480</v>
      </c>
      <c r="GQM3" s="18">
        <v>79487</v>
      </c>
      <c r="GQN3" s="18">
        <v>79494</v>
      </c>
      <c r="GQO3" s="18">
        <v>79501</v>
      </c>
      <c r="GQP3" s="18">
        <v>79508</v>
      </c>
      <c r="GQQ3" s="18">
        <v>79515</v>
      </c>
      <c r="GQR3" s="18">
        <v>79522</v>
      </c>
      <c r="GQS3" s="18">
        <v>79529</v>
      </c>
      <c r="GQT3" s="18">
        <v>79536</v>
      </c>
      <c r="GQU3" s="18">
        <v>79543</v>
      </c>
      <c r="GQV3" s="18">
        <v>79550</v>
      </c>
      <c r="GQW3" s="18">
        <v>79557</v>
      </c>
      <c r="GQX3" s="18">
        <v>79564</v>
      </c>
      <c r="GQY3" s="18">
        <v>79571</v>
      </c>
      <c r="GQZ3" s="18">
        <v>79578</v>
      </c>
      <c r="GRA3" s="18">
        <v>79585</v>
      </c>
      <c r="GRB3" s="18">
        <v>79592</v>
      </c>
      <c r="GRC3" s="18">
        <v>79599</v>
      </c>
      <c r="GRD3" s="18">
        <v>79606</v>
      </c>
      <c r="GRE3" s="18">
        <v>79613</v>
      </c>
      <c r="GRF3" s="18">
        <v>79620</v>
      </c>
      <c r="GRG3" s="18">
        <v>79627</v>
      </c>
      <c r="GRH3" s="18">
        <v>79634</v>
      </c>
      <c r="GRI3" s="18">
        <v>79641</v>
      </c>
      <c r="GRJ3" s="18">
        <v>79648</v>
      </c>
      <c r="GRK3" s="18">
        <v>79655</v>
      </c>
      <c r="GRL3" s="18">
        <v>79662</v>
      </c>
      <c r="GRM3" s="18">
        <v>79669</v>
      </c>
      <c r="GRN3" s="18">
        <v>79676</v>
      </c>
      <c r="GRO3" s="18">
        <v>79683</v>
      </c>
      <c r="GRP3" s="18">
        <v>79690</v>
      </c>
      <c r="GRQ3" s="18">
        <v>79697</v>
      </c>
      <c r="GRR3" s="18">
        <v>79704</v>
      </c>
      <c r="GRS3" s="18">
        <v>79711</v>
      </c>
      <c r="GRT3" s="18">
        <v>79718</v>
      </c>
      <c r="GRU3" s="18">
        <v>79725</v>
      </c>
      <c r="GRV3" s="18">
        <v>79732</v>
      </c>
      <c r="GRW3" s="18">
        <v>79739</v>
      </c>
      <c r="GRX3" s="18">
        <v>79746</v>
      </c>
      <c r="GRY3" s="18">
        <v>79753</v>
      </c>
      <c r="GRZ3" s="18">
        <v>79760</v>
      </c>
      <c r="GSA3" s="18">
        <v>79767</v>
      </c>
      <c r="GSB3" s="18">
        <v>79774</v>
      </c>
      <c r="GSC3" s="18">
        <v>79781</v>
      </c>
      <c r="GSD3" s="18">
        <v>79788</v>
      </c>
      <c r="GSE3" s="18">
        <v>79795</v>
      </c>
      <c r="GSF3" s="18">
        <v>79802</v>
      </c>
      <c r="GSG3" s="18">
        <v>79809</v>
      </c>
      <c r="GSH3" s="18">
        <v>79816</v>
      </c>
      <c r="GSI3" s="18">
        <v>79823</v>
      </c>
      <c r="GSJ3" s="18">
        <v>79830</v>
      </c>
      <c r="GSK3" s="18">
        <v>79837</v>
      </c>
      <c r="GSL3" s="18">
        <v>79844</v>
      </c>
      <c r="GSM3" s="18">
        <v>79851</v>
      </c>
      <c r="GSN3" s="18">
        <v>79858</v>
      </c>
      <c r="GSO3" s="18">
        <v>79865</v>
      </c>
      <c r="GSP3" s="18">
        <v>79872</v>
      </c>
      <c r="GSQ3" s="18">
        <v>79879</v>
      </c>
      <c r="GSR3" s="18">
        <v>79886</v>
      </c>
      <c r="GSS3" s="18">
        <v>79893</v>
      </c>
      <c r="GST3" s="18">
        <v>79900</v>
      </c>
      <c r="GSU3" s="18">
        <v>79907</v>
      </c>
      <c r="GSV3" s="18">
        <v>79914</v>
      </c>
      <c r="GSW3" s="18">
        <v>79921</v>
      </c>
      <c r="GSX3" s="18">
        <v>79928</v>
      </c>
      <c r="GSY3" s="18">
        <v>79935</v>
      </c>
      <c r="GSZ3" s="18">
        <v>79942</v>
      </c>
      <c r="GTA3" s="18">
        <v>79949</v>
      </c>
      <c r="GTB3" s="18">
        <v>79956</v>
      </c>
      <c r="GTC3" s="18">
        <v>79963</v>
      </c>
      <c r="GTD3" s="18">
        <v>79970</v>
      </c>
      <c r="GTE3" s="18">
        <v>79977</v>
      </c>
      <c r="GTF3" s="18">
        <v>79984</v>
      </c>
      <c r="GTG3" s="18">
        <v>79991</v>
      </c>
      <c r="GTH3" s="18">
        <v>79998</v>
      </c>
      <c r="GTI3" s="18">
        <v>80005</v>
      </c>
      <c r="GTJ3" s="18">
        <v>80012</v>
      </c>
      <c r="GTK3" s="18">
        <v>80019</v>
      </c>
      <c r="GTL3" s="18">
        <v>80026</v>
      </c>
      <c r="GTM3" s="18">
        <v>80033</v>
      </c>
      <c r="GTN3" s="18">
        <v>80040</v>
      </c>
      <c r="GTO3" s="18">
        <v>80047</v>
      </c>
      <c r="GTP3" s="18">
        <v>80054</v>
      </c>
      <c r="GTQ3" s="18">
        <v>80061</v>
      </c>
      <c r="GTR3" s="18">
        <v>80068</v>
      </c>
      <c r="GTS3" s="18">
        <v>80075</v>
      </c>
      <c r="GTT3" s="18">
        <v>80082</v>
      </c>
      <c r="GTU3" s="18">
        <v>80089</v>
      </c>
      <c r="GTV3" s="18">
        <v>80096</v>
      </c>
      <c r="GTW3" s="18">
        <v>80103</v>
      </c>
      <c r="GTX3" s="18">
        <v>80110</v>
      </c>
      <c r="GTY3" s="18">
        <v>80117</v>
      </c>
      <c r="GTZ3" s="18">
        <v>80124</v>
      </c>
      <c r="GUA3" s="18">
        <v>80131</v>
      </c>
      <c r="GUB3" s="18">
        <v>80138</v>
      </c>
      <c r="GUC3" s="18">
        <v>80145</v>
      </c>
      <c r="GUD3" s="18">
        <v>80152</v>
      </c>
      <c r="GUE3" s="18">
        <v>80159</v>
      </c>
      <c r="GUF3" s="18">
        <v>80166</v>
      </c>
      <c r="GUG3" s="18">
        <v>80173</v>
      </c>
      <c r="GUH3" s="18">
        <v>80180</v>
      </c>
      <c r="GUI3" s="18">
        <v>80187</v>
      </c>
      <c r="GUJ3" s="18">
        <v>80194</v>
      </c>
      <c r="GUK3" s="18">
        <v>80201</v>
      </c>
      <c r="GUL3" s="18">
        <v>80208</v>
      </c>
      <c r="GUM3" s="18">
        <v>80215</v>
      </c>
      <c r="GUN3" s="18">
        <v>80222</v>
      </c>
      <c r="GUO3" s="18">
        <v>80229</v>
      </c>
      <c r="GUP3" s="18">
        <v>80236</v>
      </c>
      <c r="GUQ3" s="18">
        <v>80243</v>
      </c>
      <c r="GUR3" s="18">
        <v>80250</v>
      </c>
      <c r="GUS3" s="18">
        <v>80257</v>
      </c>
      <c r="GUT3" s="18">
        <v>80264</v>
      </c>
      <c r="GUU3" s="18">
        <v>80271</v>
      </c>
      <c r="GUV3" s="18">
        <v>80278</v>
      </c>
      <c r="GUW3" s="18">
        <v>80285</v>
      </c>
      <c r="GUX3" s="18">
        <v>80292</v>
      </c>
      <c r="GUY3" s="18">
        <v>80299</v>
      </c>
      <c r="GUZ3" s="18">
        <v>80306</v>
      </c>
      <c r="GVA3" s="18">
        <v>80313</v>
      </c>
      <c r="GVB3" s="18">
        <v>80320</v>
      </c>
      <c r="GVC3" s="18">
        <v>80327</v>
      </c>
      <c r="GVD3" s="18">
        <v>80334</v>
      </c>
      <c r="GVE3" s="18">
        <v>80341</v>
      </c>
      <c r="GVF3" s="18">
        <v>80348</v>
      </c>
      <c r="GVG3" s="18">
        <v>80355</v>
      </c>
      <c r="GVH3" s="18">
        <v>80362</v>
      </c>
      <c r="GVI3" s="18">
        <v>80369</v>
      </c>
      <c r="GVJ3" s="18">
        <v>80376</v>
      </c>
      <c r="GVK3" s="18">
        <v>80383</v>
      </c>
      <c r="GVL3" s="18">
        <v>80390</v>
      </c>
      <c r="GVM3" s="18">
        <v>80397</v>
      </c>
      <c r="GVN3" s="18">
        <v>80404</v>
      </c>
      <c r="GVO3" s="18">
        <v>80411</v>
      </c>
      <c r="GVP3" s="18">
        <v>80418</v>
      </c>
      <c r="GVQ3" s="18">
        <v>80425</v>
      </c>
      <c r="GVR3" s="18">
        <v>80432</v>
      </c>
      <c r="GVS3" s="18">
        <v>80439</v>
      </c>
      <c r="GVT3" s="18">
        <v>80446</v>
      </c>
      <c r="GVU3" s="18">
        <v>80453</v>
      </c>
      <c r="GVV3" s="18">
        <v>80460</v>
      </c>
      <c r="GVW3" s="18">
        <v>80467</v>
      </c>
      <c r="GVX3" s="18">
        <v>80474</v>
      </c>
      <c r="GVY3" s="18">
        <v>80481</v>
      </c>
      <c r="GVZ3" s="18">
        <v>80488</v>
      </c>
      <c r="GWA3" s="18">
        <v>80495</v>
      </c>
      <c r="GWB3" s="18">
        <v>80502</v>
      </c>
      <c r="GWC3" s="18">
        <v>80509</v>
      </c>
      <c r="GWD3" s="18">
        <v>80516</v>
      </c>
      <c r="GWE3" s="18">
        <v>80523</v>
      </c>
      <c r="GWF3" s="18">
        <v>80530</v>
      </c>
      <c r="GWG3" s="18">
        <v>80537</v>
      </c>
      <c r="GWH3" s="18">
        <v>80544</v>
      </c>
      <c r="GWI3" s="18">
        <v>80551</v>
      </c>
      <c r="GWJ3" s="18">
        <v>80558</v>
      </c>
      <c r="GWK3" s="18">
        <v>80565</v>
      </c>
      <c r="GWL3" s="18">
        <v>80572</v>
      </c>
      <c r="GWM3" s="18">
        <v>80579</v>
      </c>
      <c r="GWN3" s="18">
        <v>80586</v>
      </c>
      <c r="GWO3" s="18">
        <v>80593</v>
      </c>
      <c r="GWP3" s="18">
        <v>80600</v>
      </c>
      <c r="GWQ3" s="18">
        <v>80607</v>
      </c>
      <c r="GWR3" s="18">
        <v>80614</v>
      </c>
      <c r="GWS3" s="18">
        <v>80621</v>
      </c>
      <c r="GWT3" s="18">
        <v>80628</v>
      </c>
      <c r="GWU3" s="18">
        <v>80635</v>
      </c>
      <c r="GWV3" s="18">
        <v>80642</v>
      </c>
      <c r="GWW3" s="18">
        <v>80649</v>
      </c>
      <c r="GWX3" s="18">
        <v>80656</v>
      </c>
      <c r="GWY3" s="18">
        <v>80663</v>
      </c>
      <c r="GWZ3" s="18">
        <v>80670</v>
      </c>
      <c r="GXA3" s="18">
        <v>80677</v>
      </c>
      <c r="GXB3" s="18">
        <v>80684</v>
      </c>
      <c r="GXC3" s="18">
        <v>80691</v>
      </c>
      <c r="GXD3" s="18">
        <v>80698</v>
      </c>
      <c r="GXE3" s="18">
        <v>80705</v>
      </c>
      <c r="GXF3" s="18">
        <v>80712</v>
      </c>
      <c r="GXG3" s="18">
        <v>80719</v>
      </c>
      <c r="GXH3" s="18">
        <v>80726</v>
      </c>
      <c r="GXI3" s="18">
        <v>80733</v>
      </c>
      <c r="GXJ3" s="18">
        <v>80740</v>
      </c>
      <c r="GXK3" s="18">
        <v>80747</v>
      </c>
      <c r="GXL3" s="18">
        <v>80754</v>
      </c>
      <c r="GXM3" s="18">
        <v>80761</v>
      </c>
      <c r="GXN3" s="18">
        <v>80768</v>
      </c>
      <c r="GXO3" s="18">
        <v>80775</v>
      </c>
      <c r="GXP3" s="18">
        <v>80782</v>
      </c>
      <c r="GXQ3" s="18">
        <v>80789</v>
      </c>
      <c r="GXR3" s="18">
        <v>80796</v>
      </c>
      <c r="GXS3" s="18">
        <v>80803</v>
      </c>
      <c r="GXT3" s="18">
        <v>80810</v>
      </c>
      <c r="GXU3" s="18">
        <v>80817</v>
      </c>
      <c r="GXV3" s="18">
        <v>80824</v>
      </c>
      <c r="GXW3" s="18">
        <v>80831</v>
      </c>
      <c r="GXX3" s="18">
        <v>80838</v>
      </c>
      <c r="GXY3" s="18">
        <v>80845</v>
      </c>
      <c r="GXZ3" s="18">
        <v>80852</v>
      </c>
      <c r="GYA3" s="18">
        <v>80859</v>
      </c>
      <c r="GYB3" s="18">
        <v>80866</v>
      </c>
      <c r="GYC3" s="18">
        <v>80873</v>
      </c>
      <c r="GYD3" s="18">
        <v>80880</v>
      </c>
      <c r="GYE3" s="18">
        <v>80887</v>
      </c>
      <c r="GYF3" s="18">
        <v>80894</v>
      </c>
      <c r="GYG3" s="18">
        <v>80901</v>
      </c>
      <c r="GYH3" s="18">
        <v>80908</v>
      </c>
      <c r="GYI3" s="18">
        <v>80915</v>
      </c>
      <c r="GYJ3" s="18">
        <v>80922</v>
      </c>
      <c r="GYK3" s="18">
        <v>80929</v>
      </c>
      <c r="GYL3" s="18">
        <v>80936</v>
      </c>
      <c r="GYM3" s="18">
        <v>80943</v>
      </c>
      <c r="GYN3" s="18">
        <v>80950</v>
      </c>
      <c r="GYO3" s="18">
        <v>80957</v>
      </c>
      <c r="GYP3" s="18">
        <v>80964</v>
      </c>
      <c r="GYQ3" s="18">
        <v>80971</v>
      </c>
      <c r="GYR3" s="18">
        <v>80978</v>
      </c>
      <c r="GYS3" s="18">
        <v>80985</v>
      </c>
      <c r="GYT3" s="18">
        <v>80992</v>
      </c>
      <c r="GYU3" s="18">
        <v>80999</v>
      </c>
      <c r="GYV3" s="18">
        <v>81006</v>
      </c>
      <c r="GYW3" s="18">
        <v>81013</v>
      </c>
      <c r="GYX3" s="18">
        <v>81020</v>
      </c>
      <c r="GYY3" s="18">
        <v>81027</v>
      </c>
      <c r="GYZ3" s="18">
        <v>81034</v>
      </c>
      <c r="GZA3" s="18">
        <v>81041</v>
      </c>
      <c r="GZB3" s="18">
        <v>81048</v>
      </c>
      <c r="GZC3" s="18">
        <v>81055</v>
      </c>
      <c r="GZD3" s="18">
        <v>81062</v>
      </c>
      <c r="GZE3" s="18">
        <v>81069</v>
      </c>
      <c r="GZF3" s="18">
        <v>81076</v>
      </c>
      <c r="GZG3" s="18">
        <v>81083</v>
      </c>
      <c r="GZH3" s="18">
        <v>81090</v>
      </c>
      <c r="GZI3" s="18">
        <v>81097</v>
      </c>
      <c r="GZJ3" s="18">
        <v>81104</v>
      </c>
      <c r="GZK3" s="18">
        <v>81111</v>
      </c>
      <c r="GZL3" s="18">
        <v>81118</v>
      </c>
      <c r="GZM3" s="18">
        <v>81125</v>
      </c>
      <c r="GZN3" s="18">
        <v>81132</v>
      </c>
      <c r="GZO3" s="18">
        <v>81139</v>
      </c>
      <c r="GZP3" s="18">
        <v>81146</v>
      </c>
      <c r="GZQ3" s="18">
        <v>81153</v>
      </c>
      <c r="GZR3" s="18">
        <v>81160</v>
      </c>
      <c r="GZS3" s="18">
        <v>81167</v>
      </c>
      <c r="GZT3" s="18">
        <v>81174</v>
      </c>
      <c r="GZU3" s="18">
        <v>81181</v>
      </c>
      <c r="GZV3" s="18">
        <v>81188</v>
      </c>
      <c r="GZW3" s="18">
        <v>81195</v>
      </c>
      <c r="GZX3" s="18">
        <v>81202</v>
      </c>
      <c r="GZY3" s="18">
        <v>81209</v>
      </c>
      <c r="GZZ3" s="18">
        <v>81216</v>
      </c>
      <c r="HAA3" s="18">
        <v>81223</v>
      </c>
      <c r="HAB3" s="18">
        <v>81230</v>
      </c>
      <c r="HAC3" s="18">
        <v>81237</v>
      </c>
      <c r="HAD3" s="18">
        <v>81244</v>
      </c>
      <c r="HAE3" s="18">
        <v>81251</v>
      </c>
      <c r="HAF3" s="18">
        <v>81258</v>
      </c>
      <c r="HAG3" s="18">
        <v>81265</v>
      </c>
      <c r="HAH3" s="18">
        <v>81272</v>
      </c>
      <c r="HAI3" s="18">
        <v>81279</v>
      </c>
      <c r="HAJ3" s="18">
        <v>81286</v>
      </c>
      <c r="HAK3" s="18">
        <v>81293</v>
      </c>
      <c r="HAL3" s="18">
        <v>81300</v>
      </c>
      <c r="HAM3" s="18">
        <v>81307</v>
      </c>
      <c r="HAN3" s="18">
        <v>81314</v>
      </c>
      <c r="HAO3" s="18">
        <v>81321</v>
      </c>
      <c r="HAP3" s="18">
        <v>81328</v>
      </c>
      <c r="HAQ3" s="18">
        <v>81335</v>
      </c>
      <c r="HAR3" s="18">
        <v>81342</v>
      </c>
      <c r="HAS3" s="18">
        <v>81349</v>
      </c>
      <c r="HAT3" s="18">
        <v>81356</v>
      </c>
      <c r="HAU3" s="18">
        <v>81363</v>
      </c>
      <c r="HAV3" s="18">
        <v>81370</v>
      </c>
      <c r="HAW3" s="18">
        <v>81377</v>
      </c>
      <c r="HAX3" s="18">
        <v>81384</v>
      </c>
      <c r="HAY3" s="18">
        <v>81391</v>
      </c>
      <c r="HAZ3" s="18">
        <v>81398</v>
      </c>
      <c r="HBA3" s="18">
        <v>81405</v>
      </c>
      <c r="HBB3" s="18">
        <v>81412</v>
      </c>
      <c r="HBC3" s="18">
        <v>81419</v>
      </c>
      <c r="HBD3" s="18">
        <v>81426</v>
      </c>
      <c r="HBE3" s="18">
        <v>81433</v>
      </c>
      <c r="HBF3" s="18">
        <v>81440</v>
      </c>
      <c r="HBG3" s="18">
        <v>81447</v>
      </c>
      <c r="HBH3" s="18">
        <v>81454</v>
      </c>
      <c r="HBI3" s="18">
        <v>81461</v>
      </c>
      <c r="HBJ3" s="18">
        <v>81468</v>
      </c>
      <c r="HBK3" s="18">
        <v>81475</v>
      </c>
      <c r="HBL3" s="18">
        <v>81482</v>
      </c>
      <c r="HBM3" s="18">
        <v>81489</v>
      </c>
      <c r="HBN3" s="18">
        <v>81496</v>
      </c>
      <c r="HBO3" s="18">
        <v>81503</v>
      </c>
      <c r="HBP3" s="18">
        <v>81510</v>
      </c>
      <c r="HBQ3" s="18">
        <v>81517</v>
      </c>
      <c r="HBR3" s="18">
        <v>81524</v>
      </c>
      <c r="HBS3" s="18">
        <v>81531</v>
      </c>
      <c r="HBT3" s="18">
        <v>81538</v>
      </c>
      <c r="HBU3" s="18">
        <v>81545</v>
      </c>
      <c r="HBV3" s="18">
        <v>81552</v>
      </c>
      <c r="HBW3" s="18">
        <v>81559</v>
      </c>
      <c r="HBX3" s="18">
        <v>81566</v>
      </c>
      <c r="HBY3" s="18">
        <v>81573</v>
      </c>
      <c r="HBZ3" s="18">
        <v>81580</v>
      </c>
      <c r="HCA3" s="18">
        <v>81587</v>
      </c>
      <c r="HCB3" s="18">
        <v>81594</v>
      </c>
      <c r="HCC3" s="18">
        <v>81601</v>
      </c>
      <c r="HCD3" s="18">
        <v>81608</v>
      </c>
      <c r="HCE3" s="18">
        <v>81615</v>
      </c>
      <c r="HCF3" s="18">
        <v>81622</v>
      </c>
      <c r="HCG3" s="18">
        <v>81629</v>
      </c>
      <c r="HCH3" s="18">
        <v>81636</v>
      </c>
      <c r="HCI3" s="18">
        <v>81643</v>
      </c>
      <c r="HCJ3" s="18">
        <v>81650</v>
      </c>
      <c r="HCK3" s="18">
        <v>81657</v>
      </c>
      <c r="HCL3" s="18">
        <v>81664</v>
      </c>
      <c r="HCM3" s="18">
        <v>81671</v>
      </c>
      <c r="HCN3" s="18">
        <v>81678</v>
      </c>
      <c r="HCO3" s="18">
        <v>81685</v>
      </c>
      <c r="HCP3" s="18">
        <v>81692</v>
      </c>
      <c r="HCQ3" s="18">
        <v>81699</v>
      </c>
      <c r="HCR3" s="18">
        <v>81706</v>
      </c>
      <c r="HCS3" s="18">
        <v>81713</v>
      </c>
      <c r="HCT3" s="18">
        <v>81720</v>
      </c>
      <c r="HCU3" s="18">
        <v>81727</v>
      </c>
      <c r="HCV3" s="18">
        <v>81734</v>
      </c>
      <c r="HCW3" s="18">
        <v>81741</v>
      </c>
      <c r="HCX3" s="18">
        <v>81748</v>
      </c>
      <c r="HCY3" s="18">
        <v>81755</v>
      </c>
      <c r="HCZ3" s="18">
        <v>81762</v>
      </c>
      <c r="HDA3" s="18">
        <v>81769</v>
      </c>
      <c r="HDB3" s="18">
        <v>81776</v>
      </c>
      <c r="HDC3" s="18">
        <v>81783</v>
      </c>
      <c r="HDD3" s="18">
        <v>81790</v>
      </c>
      <c r="HDE3" s="18">
        <v>81797</v>
      </c>
      <c r="HDF3" s="18">
        <v>81804</v>
      </c>
      <c r="HDG3" s="18">
        <v>81811</v>
      </c>
      <c r="HDH3" s="18">
        <v>81818</v>
      </c>
      <c r="HDI3" s="18">
        <v>81825</v>
      </c>
      <c r="HDJ3" s="18">
        <v>81832</v>
      </c>
      <c r="HDK3" s="18">
        <v>81839</v>
      </c>
      <c r="HDL3" s="18">
        <v>81846</v>
      </c>
      <c r="HDM3" s="18">
        <v>81853</v>
      </c>
      <c r="HDN3" s="18">
        <v>81860</v>
      </c>
      <c r="HDO3" s="18">
        <v>81867</v>
      </c>
      <c r="HDP3" s="18">
        <v>81874</v>
      </c>
      <c r="HDQ3" s="18">
        <v>81881</v>
      </c>
      <c r="HDR3" s="18">
        <v>81888</v>
      </c>
      <c r="HDS3" s="18">
        <v>81895</v>
      </c>
      <c r="HDT3" s="18">
        <v>81902</v>
      </c>
      <c r="HDU3" s="18">
        <v>81909</v>
      </c>
      <c r="HDV3" s="18">
        <v>81916</v>
      </c>
      <c r="HDW3" s="18">
        <v>81923</v>
      </c>
      <c r="HDX3" s="18">
        <v>81930</v>
      </c>
      <c r="HDY3" s="18">
        <v>81937</v>
      </c>
      <c r="HDZ3" s="18">
        <v>81944</v>
      </c>
      <c r="HEA3" s="18">
        <v>81951</v>
      </c>
      <c r="HEB3" s="18">
        <v>81958</v>
      </c>
      <c r="HEC3" s="18">
        <v>81965</v>
      </c>
      <c r="HED3" s="18">
        <v>81972</v>
      </c>
      <c r="HEE3" s="18">
        <v>81979</v>
      </c>
      <c r="HEF3" s="18">
        <v>81986</v>
      </c>
      <c r="HEG3" s="18">
        <v>81993</v>
      </c>
      <c r="HEH3" s="18">
        <v>82000</v>
      </c>
      <c r="HEI3" s="18">
        <v>82007</v>
      </c>
      <c r="HEJ3" s="18">
        <v>82014</v>
      </c>
      <c r="HEK3" s="18">
        <v>82021</v>
      </c>
      <c r="HEL3" s="18">
        <v>82028</v>
      </c>
      <c r="HEM3" s="18">
        <v>82035</v>
      </c>
      <c r="HEN3" s="18">
        <v>82042</v>
      </c>
      <c r="HEO3" s="18">
        <v>82049</v>
      </c>
      <c r="HEP3" s="18">
        <v>82056</v>
      </c>
      <c r="HEQ3" s="18">
        <v>82063</v>
      </c>
      <c r="HER3" s="18">
        <v>82070</v>
      </c>
      <c r="HES3" s="18">
        <v>82077</v>
      </c>
      <c r="HET3" s="18">
        <v>82084</v>
      </c>
      <c r="HEU3" s="18">
        <v>82091</v>
      </c>
      <c r="HEV3" s="18">
        <v>82098</v>
      </c>
      <c r="HEW3" s="18">
        <v>82105</v>
      </c>
      <c r="HEX3" s="18">
        <v>82112</v>
      </c>
      <c r="HEY3" s="18">
        <v>82119</v>
      </c>
      <c r="HEZ3" s="18">
        <v>82126</v>
      </c>
      <c r="HFA3" s="18">
        <v>82133</v>
      </c>
      <c r="HFB3" s="18">
        <v>82140</v>
      </c>
      <c r="HFC3" s="18">
        <v>82147</v>
      </c>
      <c r="HFD3" s="18">
        <v>82154</v>
      </c>
      <c r="HFE3" s="18">
        <v>82161</v>
      </c>
      <c r="HFF3" s="18">
        <v>82168</v>
      </c>
      <c r="HFG3" s="18">
        <v>82175</v>
      </c>
      <c r="HFH3" s="18">
        <v>82182</v>
      </c>
      <c r="HFI3" s="18">
        <v>82189</v>
      </c>
      <c r="HFJ3" s="18">
        <v>82196</v>
      </c>
      <c r="HFK3" s="18">
        <v>82203</v>
      </c>
      <c r="HFL3" s="18">
        <v>82210</v>
      </c>
      <c r="HFM3" s="18">
        <v>82217</v>
      </c>
      <c r="HFN3" s="18">
        <v>82224</v>
      </c>
      <c r="HFO3" s="18">
        <v>82231</v>
      </c>
      <c r="HFP3" s="18">
        <v>82238</v>
      </c>
      <c r="HFQ3" s="18">
        <v>82245</v>
      </c>
      <c r="HFR3" s="18">
        <v>82252</v>
      </c>
      <c r="HFS3" s="18">
        <v>82259</v>
      </c>
      <c r="HFT3" s="18">
        <v>82266</v>
      </c>
      <c r="HFU3" s="18">
        <v>82273</v>
      </c>
      <c r="HFV3" s="18">
        <v>82280</v>
      </c>
      <c r="HFW3" s="18">
        <v>82287</v>
      </c>
      <c r="HFX3" s="18">
        <v>82294</v>
      </c>
      <c r="HFY3" s="18">
        <v>82301</v>
      </c>
      <c r="HFZ3" s="18">
        <v>82308</v>
      </c>
      <c r="HGA3" s="18">
        <v>82315</v>
      </c>
      <c r="HGB3" s="18">
        <v>82322</v>
      </c>
      <c r="HGC3" s="18">
        <v>82329</v>
      </c>
      <c r="HGD3" s="18">
        <v>82336</v>
      </c>
      <c r="HGE3" s="18">
        <v>82343</v>
      </c>
      <c r="HGF3" s="18">
        <v>82350</v>
      </c>
      <c r="HGG3" s="18">
        <v>82357</v>
      </c>
      <c r="HGH3" s="18">
        <v>82364</v>
      </c>
      <c r="HGI3" s="18">
        <v>82371</v>
      </c>
      <c r="HGJ3" s="18">
        <v>82378</v>
      </c>
      <c r="HGK3" s="18">
        <v>82385</v>
      </c>
      <c r="HGL3" s="18">
        <v>82392</v>
      </c>
      <c r="HGM3" s="18">
        <v>82399</v>
      </c>
      <c r="HGN3" s="18">
        <v>82406</v>
      </c>
      <c r="HGO3" s="18">
        <v>82413</v>
      </c>
      <c r="HGP3" s="18">
        <v>82420</v>
      </c>
      <c r="HGQ3" s="18">
        <v>82427</v>
      </c>
      <c r="HGR3" s="18">
        <v>82434</v>
      </c>
      <c r="HGS3" s="18">
        <v>82441</v>
      </c>
      <c r="HGT3" s="18">
        <v>82448</v>
      </c>
      <c r="HGU3" s="18">
        <v>82455</v>
      </c>
      <c r="HGV3" s="18">
        <v>82462</v>
      </c>
      <c r="HGW3" s="18">
        <v>82469</v>
      </c>
      <c r="HGX3" s="18">
        <v>82476</v>
      </c>
      <c r="HGY3" s="18">
        <v>82483</v>
      </c>
      <c r="HGZ3" s="18">
        <v>82490</v>
      </c>
      <c r="HHA3" s="18">
        <v>82497</v>
      </c>
      <c r="HHB3" s="18">
        <v>82504</v>
      </c>
      <c r="HHC3" s="18">
        <v>82511</v>
      </c>
      <c r="HHD3" s="18">
        <v>82518</v>
      </c>
      <c r="HHE3" s="18">
        <v>82525</v>
      </c>
      <c r="HHF3" s="18">
        <v>82532</v>
      </c>
      <c r="HHG3" s="18">
        <v>82539</v>
      </c>
      <c r="HHH3" s="18">
        <v>82546</v>
      </c>
      <c r="HHI3" s="18">
        <v>82553</v>
      </c>
      <c r="HHJ3" s="18">
        <v>82560</v>
      </c>
      <c r="HHK3" s="18">
        <v>82567</v>
      </c>
      <c r="HHL3" s="18">
        <v>82574</v>
      </c>
      <c r="HHM3" s="18">
        <v>82581</v>
      </c>
      <c r="HHN3" s="18">
        <v>82588</v>
      </c>
      <c r="HHO3" s="18">
        <v>82595</v>
      </c>
      <c r="HHP3" s="18">
        <v>82602</v>
      </c>
      <c r="HHQ3" s="18">
        <v>82609</v>
      </c>
      <c r="HHR3" s="18">
        <v>82616</v>
      </c>
      <c r="HHS3" s="18">
        <v>82623</v>
      </c>
      <c r="HHT3" s="18">
        <v>82630</v>
      </c>
      <c r="HHU3" s="18">
        <v>82637</v>
      </c>
      <c r="HHV3" s="18">
        <v>82644</v>
      </c>
      <c r="HHW3" s="18">
        <v>82651</v>
      </c>
      <c r="HHX3" s="18">
        <v>82658</v>
      </c>
      <c r="HHY3" s="18">
        <v>82665</v>
      </c>
      <c r="HHZ3" s="18">
        <v>82672</v>
      </c>
      <c r="HIA3" s="18">
        <v>82679</v>
      </c>
      <c r="HIB3" s="18">
        <v>82686</v>
      </c>
      <c r="HIC3" s="18">
        <v>82693</v>
      </c>
      <c r="HID3" s="18">
        <v>82700</v>
      </c>
      <c r="HIE3" s="18">
        <v>82707</v>
      </c>
      <c r="HIF3" s="18">
        <v>82714</v>
      </c>
      <c r="HIG3" s="18">
        <v>82721</v>
      </c>
      <c r="HIH3" s="18">
        <v>82728</v>
      </c>
      <c r="HII3" s="18">
        <v>82735</v>
      </c>
      <c r="HIJ3" s="18">
        <v>82742</v>
      </c>
      <c r="HIK3" s="18">
        <v>82749</v>
      </c>
      <c r="HIL3" s="18">
        <v>82756</v>
      </c>
      <c r="HIM3" s="18">
        <v>82763</v>
      </c>
      <c r="HIN3" s="18">
        <v>82770</v>
      </c>
      <c r="HIO3" s="18">
        <v>82777</v>
      </c>
      <c r="HIP3" s="18">
        <v>82784</v>
      </c>
      <c r="HIQ3" s="18">
        <v>82791</v>
      </c>
      <c r="HIR3" s="18">
        <v>82798</v>
      </c>
      <c r="HIS3" s="18">
        <v>82805</v>
      </c>
      <c r="HIT3" s="18">
        <v>82812</v>
      </c>
      <c r="HIU3" s="18">
        <v>82819</v>
      </c>
      <c r="HIV3" s="18">
        <v>82826</v>
      </c>
      <c r="HIW3" s="18">
        <v>82833</v>
      </c>
      <c r="HIX3" s="18">
        <v>82840</v>
      </c>
      <c r="HIY3" s="18">
        <v>82847</v>
      </c>
      <c r="HIZ3" s="18">
        <v>82854</v>
      </c>
      <c r="HJA3" s="18">
        <v>82861</v>
      </c>
      <c r="HJB3" s="18">
        <v>82868</v>
      </c>
      <c r="HJC3" s="18">
        <v>82875</v>
      </c>
      <c r="HJD3" s="18">
        <v>82882</v>
      </c>
      <c r="HJE3" s="18">
        <v>82889</v>
      </c>
      <c r="HJF3" s="18">
        <v>82896</v>
      </c>
      <c r="HJG3" s="18">
        <v>82903</v>
      </c>
      <c r="HJH3" s="18">
        <v>82910</v>
      </c>
      <c r="HJI3" s="18">
        <v>82917</v>
      </c>
      <c r="HJJ3" s="18">
        <v>82924</v>
      </c>
      <c r="HJK3" s="18">
        <v>82931</v>
      </c>
      <c r="HJL3" s="18">
        <v>82938</v>
      </c>
      <c r="HJM3" s="18">
        <v>82945</v>
      </c>
      <c r="HJN3" s="18">
        <v>82952</v>
      </c>
      <c r="HJO3" s="18">
        <v>82959</v>
      </c>
      <c r="HJP3" s="18">
        <v>82966</v>
      </c>
      <c r="HJQ3" s="18">
        <v>82973</v>
      </c>
      <c r="HJR3" s="18">
        <v>82980</v>
      </c>
      <c r="HJS3" s="18">
        <v>82987</v>
      </c>
      <c r="HJT3" s="18">
        <v>82994</v>
      </c>
      <c r="HJU3" s="18">
        <v>83001</v>
      </c>
      <c r="HJV3" s="18">
        <v>83008</v>
      </c>
      <c r="HJW3" s="18">
        <v>83015</v>
      </c>
      <c r="HJX3" s="18">
        <v>83022</v>
      </c>
      <c r="HJY3" s="18">
        <v>83029</v>
      </c>
      <c r="HJZ3" s="18">
        <v>83036</v>
      </c>
      <c r="HKA3" s="18">
        <v>83043</v>
      </c>
      <c r="HKB3" s="18">
        <v>83050</v>
      </c>
      <c r="HKC3" s="18">
        <v>83057</v>
      </c>
      <c r="HKD3" s="18">
        <v>83064</v>
      </c>
      <c r="HKE3" s="18">
        <v>83071</v>
      </c>
      <c r="HKF3" s="18">
        <v>83078</v>
      </c>
      <c r="HKG3" s="18">
        <v>83085</v>
      </c>
      <c r="HKH3" s="18">
        <v>83092</v>
      </c>
      <c r="HKI3" s="18">
        <v>83099</v>
      </c>
      <c r="HKJ3" s="18">
        <v>83106</v>
      </c>
      <c r="HKK3" s="18">
        <v>83113</v>
      </c>
      <c r="HKL3" s="18">
        <v>83120</v>
      </c>
      <c r="HKM3" s="18">
        <v>83127</v>
      </c>
      <c r="HKN3" s="18">
        <v>83134</v>
      </c>
      <c r="HKO3" s="18">
        <v>83141</v>
      </c>
      <c r="HKP3" s="18">
        <v>83148</v>
      </c>
      <c r="HKQ3" s="18">
        <v>83155</v>
      </c>
      <c r="HKR3" s="18">
        <v>83162</v>
      </c>
      <c r="HKS3" s="18">
        <v>83169</v>
      </c>
      <c r="HKT3" s="18">
        <v>83176</v>
      </c>
      <c r="HKU3" s="18">
        <v>83183</v>
      </c>
      <c r="HKV3" s="18">
        <v>83190</v>
      </c>
      <c r="HKW3" s="18">
        <v>83197</v>
      </c>
      <c r="HKX3" s="18">
        <v>83204</v>
      </c>
      <c r="HKY3" s="18">
        <v>83211</v>
      </c>
      <c r="HKZ3" s="18">
        <v>83218</v>
      </c>
      <c r="HLA3" s="18">
        <v>83225</v>
      </c>
      <c r="HLB3" s="18">
        <v>83232</v>
      </c>
      <c r="HLC3" s="18">
        <v>83239</v>
      </c>
      <c r="HLD3" s="18">
        <v>83246</v>
      </c>
      <c r="HLE3" s="18">
        <v>83253</v>
      </c>
      <c r="HLF3" s="18">
        <v>83260</v>
      </c>
      <c r="HLG3" s="18">
        <v>83267</v>
      </c>
      <c r="HLH3" s="18">
        <v>83274</v>
      </c>
      <c r="HLI3" s="18">
        <v>83281</v>
      </c>
      <c r="HLJ3" s="18">
        <v>83288</v>
      </c>
      <c r="HLK3" s="18">
        <v>83295</v>
      </c>
      <c r="HLL3" s="18">
        <v>83302</v>
      </c>
      <c r="HLM3" s="18">
        <v>83309</v>
      </c>
      <c r="HLN3" s="18">
        <v>83316</v>
      </c>
      <c r="HLO3" s="18">
        <v>83323</v>
      </c>
      <c r="HLP3" s="18">
        <v>83330</v>
      </c>
      <c r="HLQ3" s="18">
        <v>83337</v>
      </c>
      <c r="HLR3" s="18">
        <v>83344</v>
      </c>
      <c r="HLS3" s="18">
        <v>83351</v>
      </c>
      <c r="HLT3" s="18">
        <v>83358</v>
      </c>
      <c r="HLU3" s="18">
        <v>83365</v>
      </c>
      <c r="HLV3" s="18">
        <v>83372</v>
      </c>
      <c r="HLW3" s="18">
        <v>83379</v>
      </c>
      <c r="HLX3" s="18">
        <v>83386</v>
      </c>
      <c r="HLY3" s="18">
        <v>83393</v>
      </c>
      <c r="HLZ3" s="18">
        <v>83400</v>
      </c>
      <c r="HMA3" s="18">
        <v>83407</v>
      </c>
      <c r="HMB3" s="18">
        <v>83414</v>
      </c>
      <c r="HMC3" s="18">
        <v>83421</v>
      </c>
      <c r="HMD3" s="18">
        <v>83428</v>
      </c>
      <c r="HME3" s="18">
        <v>83435</v>
      </c>
      <c r="HMF3" s="18">
        <v>83442</v>
      </c>
      <c r="HMG3" s="18">
        <v>83449</v>
      </c>
      <c r="HMH3" s="18">
        <v>83456</v>
      </c>
      <c r="HMI3" s="18">
        <v>83463</v>
      </c>
      <c r="HMJ3" s="18">
        <v>83470</v>
      </c>
      <c r="HMK3" s="18">
        <v>83477</v>
      </c>
      <c r="HML3" s="18">
        <v>83484</v>
      </c>
      <c r="HMM3" s="18">
        <v>83491</v>
      </c>
      <c r="HMN3" s="18">
        <v>83498</v>
      </c>
      <c r="HMO3" s="18">
        <v>83505</v>
      </c>
      <c r="HMP3" s="18">
        <v>83512</v>
      </c>
      <c r="HMQ3" s="18">
        <v>83519</v>
      </c>
      <c r="HMR3" s="18">
        <v>83526</v>
      </c>
      <c r="HMS3" s="18">
        <v>83533</v>
      </c>
      <c r="HMT3" s="18">
        <v>83540</v>
      </c>
      <c r="HMU3" s="18">
        <v>83547</v>
      </c>
      <c r="HMV3" s="18">
        <v>83554</v>
      </c>
      <c r="HMW3" s="18">
        <v>83561</v>
      </c>
      <c r="HMX3" s="18">
        <v>83568</v>
      </c>
      <c r="HMY3" s="18">
        <v>83575</v>
      </c>
      <c r="HMZ3" s="18">
        <v>83582</v>
      </c>
      <c r="HNA3" s="18">
        <v>83589</v>
      </c>
      <c r="HNB3" s="18">
        <v>83596</v>
      </c>
      <c r="HNC3" s="18">
        <v>83603</v>
      </c>
      <c r="HND3" s="18">
        <v>83610</v>
      </c>
      <c r="HNE3" s="18">
        <v>83617</v>
      </c>
      <c r="HNF3" s="18">
        <v>83624</v>
      </c>
      <c r="HNG3" s="18">
        <v>83631</v>
      </c>
      <c r="HNH3" s="18">
        <v>83638</v>
      </c>
      <c r="HNI3" s="18">
        <v>83645</v>
      </c>
      <c r="HNJ3" s="18">
        <v>83652</v>
      </c>
      <c r="HNK3" s="18">
        <v>83659</v>
      </c>
      <c r="HNL3" s="18">
        <v>83666</v>
      </c>
      <c r="HNM3" s="18">
        <v>83673</v>
      </c>
      <c r="HNN3" s="18">
        <v>83680</v>
      </c>
      <c r="HNO3" s="18">
        <v>83687</v>
      </c>
      <c r="HNP3" s="18">
        <v>83694</v>
      </c>
      <c r="HNQ3" s="18">
        <v>83701</v>
      </c>
      <c r="HNR3" s="18">
        <v>83708</v>
      </c>
      <c r="HNS3" s="18">
        <v>83715</v>
      </c>
      <c r="HNT3" s="18">
        <v>83722</v>
      </c>
      <c r="HNU3" s="18">
        <v>83729</v>
      </c>
      <c r="HNV3" s="18">
        <v>83736</v>
      </c>
      <c r="HNW3" s="18">
        <v>83743</v>
      </c>
      <c r="HNX3" s="18">
        <v>83750</v>
      </c>
      <c r="HNY3" s="18">
        <v>83757</v>
      </c>
      <c r="HNZ3" s="18">
        <v>83764</v>
      </c>
      <c r="HOA3" s="18">
        <v>83771</v>
      </c>
      <c r="HOB3" s="18">
        <v>83778</v>
      </c>
      <c r="HOC3" s="18">
        <v>83785</v>
      </c>
      <c r="HOD3" s="18">
        <v>83792</v>
      </c>
      <c r="HOE3" s="18">
        <v>83799</v>
      </c>
      <c r="HOF3" s="18">
        <v>83806</v>
      </c>
      <c r="HOG3" s="18">
        <v>83813</v>
      </c>
      <c r="HOH3" s="18">
        <v>83820</v>
      </c>
      <c r="HOI3" s="18">
        <v>83827</v>
      </c>
      <c r="HOJ3" s="18">
        <v>83834</v>
      </c>
      <c r="HOK3" s="18">
        <v>83841</v>
      </c>
      <c r="HOL3" s="18">
        <v>83848</v>
      </c>
      <c r="HOM3" s="18">
        <v>83855</v>
      </c>
      <c r="HON3" s="18">
        <v>83862</v>
      </c>
      <c r="HOO3" s="18">
        <v>83869</v>
      </c>
      <c r="HOP3" s="18">
        <v>83876</v>
      </c>
      <c r="HOQ3" s="18">
        <v>83883</v>
      </c>
      <c r="HOR3" s="18">
        <v>83890</v>
      </c>
      <c r="HOS3" s="18">
        <v>83897</v>
      </c>
      <c r="HOT3" s="18">
        <v>83904</v>
      </c>
      <c r="HOU3" s="18">
        <v>83911</v>
      </c>
      <c r="HOV3" s="18">
        <v>83918</v>
      </c>
      <c r="HOW3" s="18">
        <v>83925</v>
      </c>
      <c r="HOX3" s="18">
        <v>83932</v>
      </c>
      <c r="HOY3" s="18">
        <v>83939</v>
      </c>
      <c r="HOZ3" s="18">
        <v>83946</v>
      </c>
      <c r="HPA3" s="18">
        <v>83953</v>
      </c>
      <c r="HPB3" s="18">
        <v>83960</v>
      </c>
      <c r="HPC3" s="18">
        <v>83967</v>
      </c>
      <c r="HPD3" s="18">
        <v>83974</v>
      </c>
      <c r="HPE3" s="18">
        <v>83981</v>
      </c>
      <c r="HPF3" s="18">
        <v>83988</v>
      </c>
      <c r="HPG3" s="18">
        <v>83995</v>
      </c>
      <c r="HPH3" s="18">
        <v>84002</v>
      </c>
      <c r="HPI3" s="18">
        <v>84009</v>
      </c>
      <c r="HPJ3" s="18">
        <v>84016</v>
      </c>
      <c r="HPK3" s="18">
        <v>84023</v>
      </c>
      <c r="HPL3" s="18">
        <v>84030</v>
      </c>
      <c r="HPM3" s="18">
        <v>84037</v>
      </c>
      <c r="HPN3" s="18">
        <v>84044</v>
      </c>
      <c r="HPO3" s="18">
        <v>84051</v>
      </c>
      <c r="HPP3" s="18">
        <v>84058</v>
      </c>
      <c r="HPQ3" s="18">
        <v>84065</v>
      </c>
      <c r="HPR3" s="18">
        <v>84072</v>
      </c>
      <c r="HPS3" s="18">
        <v>84079</v>
      </c>
      <c r="HPT3" s="18">
        <v>84086</v>
      </c>
      <c r="HPU3" s="18">
        <v>84093</v>
      </c>
      <c r="HPV3" s="18">
        <v>84100</v>
      </c>
      <c r="HPW3" s="18">
        <v>84107</v>
      </c>
      <c r="HPX3" s="18">
        <v>84114</v>
      </c>
      <c r="HPY3" s="18">
        <v>84121</v>
      </c>
      <c r="HPZ3" s="18">
        <v>84128</v>
      </c>
      <c r="HQA3" s="18">
        <v>84135</v>
      </c>
      <c r="HQB3" s="18">
        <v>84142</v>
      </c>
      <c r="HQC3" s="18">
        <v>84149</v>
      </c>
      <c r="HQD3" s="18">
        <v>84156</v>
      </c>
      <c r="HQE3" s="18">
        <v>84163</v>
      </c>
      <c r="HQF3" s="18">
        <v>84170</v>
      </c>
      <c r="HQG3" s="18">
        <v>84177</v>
      </c>
      <c r="HQH3" s="18">
        <v>84184</v>
      </c>
      <c r="HQI3" s="18">
        <v>84191</v>
      </c>
      <c r="HQJ3" s="18">
        <v>84198</v>
      </c>
      <c r="HQK3" s="18">
        <v>84205</v>
      </c>
      <c r="HQL3" s="18">
        <v>84212</v>
      </c>
      <c r="HQM3" s="18">
        <v>84219</v>
      </c>
      <c r="HQN3" s="18">
        <v>84226</v>
      </c>
      <c r="HQO3" s="18">
        <v>84233</v>
      </c>
      <c r="HQP3" s="18">
        <v>84240</v>
      </c>
      <c r="HQQ3" s="18">
        <v>84247</v>
      </c>
      <c r="HQR3" s="18">
        <v>84254</v>
      </c>
      <c r="HQS3" s="18">
        <v>84261</v>
      </c>
      <c r="HQT3" s="18">
        <v>84268</v>
      </c>
      <c r="HQU3" s="18">
        <v>84275</v>
      </c>
      <c r="HQV3" s="18">
        <v>84282</v>
      </c>
      <c r="HQW3" s="18">
        <v>84289</v>
      </c>
      <c r="HQX3" s="18">
        <v>84296</v>
      </c>
      <c r="HQY3" s="18">
        <v>84303</v>
      </c>
      <c r="HQZ3" s="18">
        <v>84310</v>
      </c>
      <c r="HRA3" s="18">
        <v>84317</v>
      </c>
      <c r="HRB3" s="18">
        <v>84324</v>
      </c>
      <c r="HRC3" s="18">
        <v>84331</v>
      </c>
      <c r="HRD3" s="18">
        <v>84338</v>
      </c>
      <c r="HRE3" s="18">
        <v>84345</v>
      </c>
      <c r="HRF3" s="18">
        <v>84352</v>
      </c>
      <c r="HRG3" s="18">
        <v>84359</v>
      </c>
      <c r="HRH3" s="18">
        <v>84366</v>
      </c>
      <c r="HRI3" s="18">
        <v>84373</v>
      </c>
      <c r="HRJ3" s="18">
        <v>84380</v>
      </c>
      <c r="HRK3" s="18">
        <v>84387</v>
      </c>
      <c r="HRL3" s="18">
        <v>84394</v>
      </c>
      <c r="HRM3" s="18">
        <v>84401</v>
      </c>
      <c r="HRN3" s="18">
        <v>84408</v>
      </c>
      <c r="HRO3" s="18">
        <v>84415</v>
      </c>
      <c r="HRP3" s="18">
        <v>84422</v>
      </c>
      <c r="HRQ3" s="18">
        <v>84429</v>
      </c>
      <c r="HRR3" s="18">
        <v>84436</v>
      </c>
      <c r="HRS3" s="18">
        <v>84443</v>
      </c>
      <c r="HRT3" s="18">
        <v>84450</v>
      </c>
      <c r="HRU3" s="18">
        <v>84457</v>
      </c>
      <c r="HRV3" s="18">
        <v>84464</v>
      </c>
      <c r="HRW3" s="18">
        <v>84471</v>
      </c>
      <c r="HRX3" s="18">
        <v>84478</v>
      </c>
      <c r="HRY3" s="18">
        <v>84485</v>
      </c>
      <c r="HRZ3" s="18">
        <v>84492</v>
      </c>
      <c r="HSA3" s="18">
        <v>84499</v>
      </c>
      <c r="HSB3" s="18">
        <v>84506</v>
      </c>
      <c r="HSC3" s="18">
        <v>84513</v>
      </c>
      <c r="HSD3" s="18">
        <v>84520</v>
      </c>
      <c r="HSE3" s="18">
        <v>84527</v>
      </c>
      <c r="HSF3" s="18">
        <v>84534</v>
      </c>
      <c r="HSG3" s="18">
        <v>84541</v>
      </c>
      <c r="HSH3" s="18">
        <v>84548</v>
      </c>
      <c r="HSI3" s="18">
        <v>84555</v>
      </c>
      <c r="HSJ3" s="18">
        <v>84562</v>
      </c>
      <c r="HSK3" s="18">
        <v>84569</v>
      </c>
      <c r="HSL3" s="18">
        <v>84576</v>
      </c>
      <c r="HSM3" s="18">
        <v>84583</v>
      </c>
      <c r="HSN3" s="18">
        <v>84590</v>
      </c>
      <c r="HSO3" s="18">
        <v>84597</v>
      </c>
      <c r="HSP3" s="18">
        <v>84604</v>
      </c>
      <c r="HSQ3" s="18">
        <v>84611</v>
      </c>
      <c r="HSR3" s="18">
        <v>84618</v>
      </c>
      <c r="HSS3" s="18">
        <v>84625</v>
      </c>
      <c r="HST3" s="18">
        <v>84632</v>
      </c>
      <c r="HSU3" s="18">
        <v>84639</v>
      </c>
      <c r="HSV3" s="18">
        <v>84646</v>
      </c>
      <c r="HSW3" s="18">
        <v>84653</v>
      </c>
      <c r="HSX3" s="18">
        <v>84660</v>
      </c>
      <c r="HSY3" s="18">
        <v>84667</v>
      </c>
      <c r="HSZ3" s="18">
        <v>84674</v>
      </c>
      <c r="HTA3" s="18">
        <v>84681</v>
      </c>
      <c r="HTB3" s="18">
        <v>84688</v>
      </c>
      <c r="HTC3" s="18">
        <v>84695</v>
      </c>
      <c r="HTD3" s="18">
        <v>84702</v>
      </c>
      <c r="HTE3" s="18">
        <v>84709</v>
      </c>
      <c r="HTF3" s="18">
        <v>84716</v>
      </c>
      <c r="HTG3" s="18">
        <v>84723</v>
      </c>
      <c r="HTH3" s="18">
        <v>84730</v>
      </c>
      <c r="HTI3" s="18">
        <v>84737</v>
      </c>
      <c r="HTJ3" s="18">
        <v>84744</v>
      </c>
      <c r="HTK3" s="18">
        <v>84751</v>
      </c>
      <c r="HTL3" s="18">
        <v>84758</v>
      </c>
      <c r="HTM3" s="18">
        <v>84765</v>
      </c>
      <c r="HTN3" s="18">
        <v>84772</v>
      </c>
      <c r="HTO3" s="18">
        <v>84779</v>
      </c>
      <c r="HTP3" s="18">
        <v>84786</v>
      </c>
      <c r="HTQ3" s="18">
        <v>84793</v>
      </c>
      <c r="HTR3" s="18">
        <v>84800</v>
      </c>
      <c r="HTS3" s="18">
        <v>84807</v>
      </c>
      <c r="HTT3" s="18">
        <v>84814</v>
      </c>
      <c r="HTU3" s="18">
        <v>84821</v>
      </c>
      <c r="HTV3" s="18">
        <v>84828</v>
      </c>
      <c r="HTW3" s="18">
        <v>84835</v>
      </c>
      <c r="HTX3" s="18">
        <v>84842</v>
      </c>
      <c r="HTY3" s="18">
        <v>84849</v>
      </c>
      <c r="HTZ3" s="18">
        <v>84856</v>
      </c>
      <c r="HUA3" s="18">
        <v>84863</v>
      </c>
      <c r="HUB3" s="18">
        <v>84870</v>
      </c>
      <c r="HUC3" s="18">
        <v>84877</v>
      </c>
      <c r="HUD3" s="18">
        <v>84884</v>
      </c>
      <c r="HUE3" s="18">
        <v>84891</v>
      </c>
      <c r="HUF3" s="18">
        <v>84898</v>
      </c>
      <c r="HUG3" s="18">
        <v>84905</v>
      </c>
      <c r="HUH3" s="18">
        <v>84912</v>
      </c>
      <c r="HUI3" s="18">
        <v>84919</v>
      </c>
      <c r="HUJ3" s="18">
        <v>84926</v>
      </c>
      <c r="HUK3" s="18">
        <v>84933</v>
      </c>
      <c r="HUL3" s="18">
        <v>84940</v>
      </c>
      <c r="HUM3" s="18">
        <v>84947</v>
      </c>
      <c r="HUN3" s="18">
        <v>84954</v>
      </c>
      <c r="HUO3" s="18">
        <v>84961</v>
      </c>
      <c r="HUP3" s="18">
        <v>84968</v>
      </c>
      <c r="HUQ3" s="18">
        <v>84975</v>
      </c>
      <c r="HUR3" s="18">
        <v>84982</v>
      </c>
      <c r="HUS3" s="18">
        <v>84989</v>
      </c>
      <c r="HUT3" s="18">
        <v>84996</v>
      </c>
      <c r="HUU3" s="18">
        <v>85003</v>
      </c>
      <c r="HUV3" s="18">
        <v>85010</v>
      </c>
      <c r="HUW3" s="18">
        <v>85017</v>
      </c>
      <c r="HUX3" s="18">
        <v>85024</v>
      </c>
      <c r="HUY3" s="18">
        <v>85031</v>
      </c>
      <c r="HUZ3" s="18">
        <v>85038</v>
      </c>
      <c r="HVA3" s="18">
        <v>85045</v>
      </c>
      <c r="HVB3" s="18">
        <v>85052</v>
      </c>
      <c r="HVC3" s="18">
        <v>85059</v>
      </c>
      <c r="HVD3" s="18">
        <v>85066</v>
      </c>
      <c r="HVE3" s="18">
        <v>85073</v>
      </c>
      <c r="HVF3" s="18">
        <v>85080</v>
      </c>
      <c r="HVG3" s="18">
        <v>85087</v>
      </c>
      <c r="HVH3" s="18">
        <v>85094</v>
      </c>
      <c r="HVI3" s="18">
        <v>85101</v>
      </c>
      <c r="HVJ3" s="18">
        <v>85108</v>
      </c>
      <c r="HVK3" s="18">
        <v>85115</v>
      </c>
      <c r="HVL3" s="18">
        <v>85122</v>
      </c>
      <c r="HVM3" s="18">
        <v>85129</v>
      </c>
      <c r="HVN3" s="18">
        <v>85136</v>
      </c>
      <c r="HVO3" s="18">
        <v>85143</v>
      </c>
      <c r="HVP3" s="18">
        <v>85150</v>
      </c>
      <c r="HVQ3" s="18">
        <v>85157</v>
      </c>
      <c r="HVR3" s="18">
        <v>85164</v>
      </c>
      <c r="HVS3" s="18">
        <v>85171</v>
      </c>
      <c r="HVT3" s="18">
        <v>85178</v>
      </c>
      <c r="HVU3" s="18">
        <v>85185</v>
      </c>
      <c r="HVV3" s="18">
        <v>85192</v>
      </c>
      <c r="HVW3" s="18">
        <v>85199</v>
      </c>
      <c r="HVX3" s="18">
        <v>85206</v>
      </c>
      <c r="HVY3" s="18">
        <v>85213</v>
      </c>
      <c r="HVZ3" s="18">
        <v>85220</v>
      </c>
      <c r="HWA3" s="18">
        <v>85227</v>
      </c>
      <c r="HWB3" s="18">
        <v>85234</v>
      </c>
      <c r="HWC3" s="18">
        <v>85241</v>
      </c>
      <c r="HWD3" s="18">
        <v>85248</v>
      </c>
      <c r="HWE3" s="18">
        <v>85255</v>
      </c>
      <c r="HWF3" s="18">
        <v>85262</v>
      </c>
      <c r="HWG3" s="18">
        <v>85269</v>
      </c>
      <c r="HWH3" s="18">
        <v>85276</v>
      </c>
      <c r="HWI3" s="18">
        <v>85283</v>
      </c>
      <c r="HWJ3" s="18">
        <v>85290</v>
      </c>
      <c r="HWK3" s="18">
        <v>85297</v>
      </c>
      <c r="HWL3" s="18">
        <v>85304</v>
      </c>
      <c r="HWM3" s="18">
        <v>85311</v>
      </c>
      <c r="HWN3" s="18">
        <v>85318</v>
      </c>
      <c r="HWO3" s="18">
        <v>85325</v>
      </c>
      <c r="HWP3" s="18">
        <v>85332</v>
      </c>
      <c r="HWQ3" s="18">
        <v>85339</v>
      </c>
      <c r="HWR3" s="18">
        <v>85346</v>
      </c>
      <c r="HWS3" s="18">
        <v>85353</v>
      </c>
      <c r="HWT3" s="18">
        <v>85360</v>
      </c>
      <c r="HWU3" s="18">
        <v>85367</v>
      </c>
      <c r="HWV3" s="18">
        <v>85374</v>
      </c>
      <c r="HWW3" s="18">
        <v>85381</v>
      </c>
      <c r="HWX3" s="18">
        <v>85388</v>
      </c>
      <c r="HWY3" s="18">
        <v>85395</v>
      </c>
      <c r="HWZ3" s="18">
        <v>85402</v>
      </c>
      <c r="HXA3" s="18">
        <v>85409</v>
      </c>
      <c r="HXB3" s="18">
        <v>85416</v>
      </c>
      <c r="HXC3" s="18">
        <v>85423</v>
      </c>
      <c r="HXD3" s="18">
        <v>85430</v>
      </c>
      <c r="HXE3" s="18">
        <v>85437</v>
      </c>
      <c r="HXF3" s="18">
        <v>85444</v>
      </c>
      <c r="HXG3" s="18">
        <v>85451</v>
      </c>
      <c r="HXH3" s="18">
        <v>85458</v>
      </c>
      <c r="HXI3" s="18">
        <v>85465</v>
      </c>
      <c r="HXJ3" s="18">
        <v>85472</v>
      </c>
      <c r="HXK3" s="18">
        <v>85479</v>
      </c>
      <c r="HXL3" s="18">
        <v>85486</v>
      </c>
      <c r="HXM3" s="18">
        <v>85493</v>
      </c>
      <c r="HXN3" s="18">
        <v>85500</v>
      </c>
      <c r="HXO3" s="18">
        <v>85507</v>
      </c>
      <c r="HXP3" s="18">
        <v>85514</v>
      </c>
      <c r="HXQ3" s="18">
        <v>85521</v>
      </c>
      <c r="HXR3" s="18">
        <v>85528</v>
      </c>
      <c r="HXS3" s="18">
        <v>85535</v>
      </c>
      <c r="HXT3" s="18">
        <v>85542</v>
      </c>
      <c r="HXU3" s="18">
        <v>85549</v>
      </c>
      <c r="HXV3" s="18">
        <v>85556</v>
      </c>
      <c r="HXW3" s="18">
        <v>85563</v>
      </c>
      <c r="HXX3" s="18">
        <v>85570</v>
      </c>
      <c r="HXY3" s="18">
        <v>85577</v>
      </c>
      <c r="HXZ3" s="18">
        <v>85584</v>
      </c>
      <c r="HYA3" s="18">
        <v>85591</v>
      </c>
      <c r="HYB3" s="18">
        <v>85598</v>
      </c>
      <c r="HYC3" s="18">
        <v>85605</v>
      </c>
      <c r="HYD3" s="18">
        <v>85612</v>
      </c>
      <c r="HYE3" s="18">
        <v>85619</v>
      </c>
      <c r="HYF3" s="18">
        <v>85626</v>
      </c>
      <c r="HYG3" s="18">
        <v>85633</v>
      </c>
      <c r="HYH3" s="18">
        <v>85640</v>
      </c>
      <c r="HYI3" s="18">
        <v>85647</v>
      </c>
      <c r="HYJ3" s="18">
        <v>85654</v>
      </c>
      <c r="HYK3" s="18">
        <v>85661</v>
      </c>
      <c r="HYL3" s="18">
        <v>85668</v>
      </c>
      <c r="HYM3" s="18">
        <v>85675</v>
      </c>
      <c r="HYN3" s="18">
        <v>85682</v>
      </c>
      <c r="HYO3" s="18">
        <v>85689</v>
      </c>
      <c r="HYP3" s="18">
        <v>85696</v>
      </c>
      <c r="HYQ3" s="18">
        <v>85703</v>
      </c>
      <c r="HYR3" s="18">
        <v>85710</v>
      </c>
      <c r="HYS3" s="18">
        <v>85717</v>
      </c>
      <c r="HYT3" s="18">
        <v>85724</v>
      </c>
      <c r="HYU3" s="18">
        <v>85731</v>
      </c>
      <c r="HYV3" s="18">
        <v>85738</v>
      </c>
      <c r="HYW3" s="18">
        <v>85745</v>
      </c>
      <c r="HYX3" s="18">
        <v>85752</v>
      </c>
      <c r="HYY3" s="18">
        <v>85759</v>
      </c>
      <c r="HYZ3" s="18">
        <v>85766</v>
      </c>
      <c r="HZA3" s="18">
        <v>85773</v>
      </c>
      <c r="HZB3" s="18">
        <v>85780</v>
      </c>
      <c r="HZC3" s="18">
        <v>85787</v>
      </c>
      <c r="HZD3" s="18">
        <v>85794</v>
      </c>
      <c r="HZE3" s="18">
        <v>85801</v>
      </c>
      <c r="HZF3" s="18">
        <v>85808</v>
      </c>
      <c r="HZG3" s="18">
        <v>85815</v>
      </c>
      <c r="HZH3" s="18">
        <v>85822</v>
      </c>
      <c r="HZI3" s="18">
        <v>85829</v>
      </c>
      <c r="HZJ3" s="18">
        <v>85836</v>
      </c>
      <c r="HZK3" s="18">
        <v>85843</v>
      </c>
      <c r="HZL3" s="18">
        <v>85850</v>
      </c>
      <c r="HZM3" s="18">
        <v>85857</v>
      </c>
      <c r="HZN3" s="18">
        <v>85864</v>
      </c>
      <c r="HZO3" s="18">
        <v>85871</v>
      </c>
      <c r="HZP3" s="18">
        <v>85878</v>
      </c>
      <c r="HZQ3" s="18">
        <v>85885</v>
      </c>
      <c r="HZR3" s="18">
        <v>85892</v>
      </c>
      <c r="HZS3" s="18">
        <v>85899</v>
      </c>
      <c r="HZT3" s="18">
        <v>85906</v>
      </c>
      <c r="HZU3" s="18">
        <v>85913</v>
      </c>
      <c r="HZV3" s="18">
        <v>85920</v>
      </c>
      <c r="HZW3" s="18">
        <v>85927</v>
      </c>
      <c r="HZX3" s="18">
        <v>85934</v>
      </c>
      <c r="HZY3" s="18">
        <v>85941</v>
      </c>
      <c r="HZZ3" s="18">
        <v>85948</v>
      </c>
      <c r="IAA3" s="18">
        <v>85955</v>
      </c>
      <c r="IAB3" s="18">
        <v>85962</v>
      </c>
      <c r="IAC3" s="18">
        <v>85969</v>
      </c>
      <c r="IAD3" s="18">
        <v>85976</v>
      </c>
      <c r="IAE3" s="18">
        <v>85983</v>
      </c>
      <c r="IAF3" s="18">
        <v>85990</v>
      </c>
      <c r="IAG3" s="18">
        <v>85997</v>
      </c>
      <c r="IAH3" s="18">
        <v>86004</v>
      </c>
      <c r="IAI3" s="18">
        <v>86011</v>
      </c>
      <c r="IAJ3" s="18">
        <v>86018</v>
      </c>
      <c r="IAK3" s="18">
        <v>86025</v>
      </c>
      <c r="IAL3" s="18">
        <v>86032</v>
      </c>
      <c r="IAM3" s="18">
        <v>86039</v>
      </c>
      <c r="IAN3" s="18">
        <v>86046</v>
      </c>
      <c r="IAO3" s="18">
        <v>86053</v>
      </c>
      <c r="IAP3" s="18">
        <v>86060</v>
      </c>
      <c r="IAQ3" s="18">
        <v>86067</v>
      </c>
      <c r="IAR3" s="18">
        <v>86074</v>
      </c>
      <c r="IAS3" s="18">
        <v>86081</v>
      </c>
      <c r="IAT3" s="18">
        <v>86088</v>
      </c>
      <c r="IAU3" s="18">
        <v>86095</v>
      </c>
      <c r="IAV3" s="18">
        <v>86102</v>
      </c>
      <c r="IAW3" s="18">
        <v>86109</v>
      </c>
      <c r="IAX3" s="18">
        <v>86116</v>
      </c>
      <c r="IAY3" s="18">
        <v>86123</v>
      </c>
      <c r="IAZ3" s="18">
        <v>86130</v>
      </c>
      <c r="IBA3" s="18">
        <v>86137</v>
      </c>
      <c r="IBB3" s="18">
        <v>86144</v>
      </c>
      <c r="IBC3" s="18">
        <v>86151</v>
      </c>
      <c r="IBD3" s="18">
        <v>86158</v>
      </c>
      <c r="IBE3" s="18">
        <v>86165</v>
      </c>
      <c r="IBF3" s="18">
        <v>86172</v>
      </c>
      <c r="IBG3" s="18">
        <v>86179</v>
      </c>
      <c r="IBH3" s="18">
        <v>86186</v>
      </c>
      <c r="IBI3" s="18">
        <v>86193</v>
      </c>
      <c r="IBJ3" s="18">
        <v>86200</v>
      </c>
      <c r="IBK3" s="18">
        <v>86207</v>
      </c>
      <c r="IBL3" s="18">
        <v>86214</v>
      </c>
      <c r="IBM3" s="18">
        <v>86221</v>
      </c>
      <c r="IBN3" s="18">
        <v>86228</v>
      </c>
      <c r="IBO3" s="18">
        <v>86235</v>
      </c>
      <c r="IBP3" s="18">
        <v>86242</v>
      </c>
      <c r="IBQ3" s="18">
        <v>86249</v>
      </c>
      <c r="IBR3" s="18">
        <v>86256</v>
      </c>
      <c r="IBS3" s="18">
        <v>86263</v>
      </c>
      <c r="IBT3" s="18">
        <v>86270</v>
      </c>
      <c r="IBU3" s="18">
        <v>86277</v>
      </c>
      <c r="IBV3" s="18">
        <v>86284</v>
      </c>
      <c r="IBW3" s="18">
        <v>86291</v>
      </c>
      <c r="IBX3" s="18">
        <v>86298</v>
      </c>
      <c r="IBY3" s="18">
        <v>86305</v>
      </c>
      <c r="IBZ3" s="18">
        <v>86312</v>
      </c>
      <c r="ICA3" s="18">
        <v>86319</v>
      </c>
      <c r="ICB3" s="18">
        <v>86326</v>
      </c>
      <c r="ICC3" s="18">
        <v>86333</v>
      </c>
      <c r="ICD3" s="18">
        <v>86340</v>
      </c>
      <c r="ICE3" s="18">
        <v>86347</v>
      </c>
      <c r="ICF3" s="18">
        <v>86354</v>
      </c>
      <c r="ICG3" s="18">
        <v>86361</v>
      </c>
      <c r="ICH3" s="18">
        <v>86368</v>
      </c>
      <c r="ICI3" s="18">
        <v>86375</v>
      </c>
      <c r="ICJ3" s="18">
        <v>86382</v>
      </c>
      <c r="ICK3" s="18">
        <v>86389</v>
      </c>
      <c r="ICL3" s="18">
        <v>86396</v>
      </c>
      <c r="ICM3" s="18">
        <v>86403</v>
      </c>
      <c r="ICN3" s="18">
        <v>86410</v>
      </c>
      <c r="ICO3" s="18">
        <v>86417</v>
      </c>
      <c r="ICP3" s="18">
        <v>86424</v>
      </c>
      <c r="ICQ3" s="18">
        <v>86431</v>
      </c>
      <c r="ICR3" s="18">
        <v>86438</v>
      </c>
      <c r="ICS3" s="18">
        <v>86445</v>
      </c>
      <c r="ICT3" s="18">
        <v>86452</v>
      </c>
      <c r="ICU3" s="18">
        <v>86459</v>
      </c>
      <c r="ICV3" s="18">
        <v>86466</v>
      </c>
      <c r="ICW3" s="18">
        <v>86473</v>
      </c>
      <c r="ICX3" s="18">
        <v>86480</v>
      </c>
      <c r="ICY3" s="18">
        <v>86487</v>
      </c>
      <c r="ICZ3" s="18">
        <v>86494</v>
      </c>
      <c r="IDA3" s="18">
        <v>86501</v>
      </c>
      <c r="IDB3" s="18">
        <v>86508</v>
      </c>
      <c r="IDC3" s="18">
        <v>86515</v>
      </c>
      <c r="IDD3" s="18">
        <v>86522</v>
      </c>
      <c r="IDE3" s="18">
        <v>86529</v>
      </c>
      <c r="IDF3" s="18">
        <v>86536</v>
      </c>
      <c r="IDG3" s="18">
        <v>86543</v>
      </c>
      <c r="IDH3" s="18">
        <v>86550</v>
      </c>
      <c r="IDI3" s="18">
        <v>86557</v>
      </c>
      <c r="IDJ3" s="18">
        <v>86564</v>
      </c>
      <c r="IDK3" s="18">
        <v>86571</v>
      </c>
      <c r="IDL3" s="18">
        <v>86578</v>
      </c>
      <c r="IDM3" s="18">
        <v>86585</v>
      </c>
      <c r="IDN3" s="18">
        <v>86592</v>
      </c>
      <c r="IDO3" s="18">
        <v>86599</v>
      </c>
      <c r="IDP3" s="18">
        <v>86606</v>
      </c>
      <c r="IDQ3" s="18">
        <v>86613</v>
      </c>
      <c r="IDR3" s="18">
        <v>86620</v>
      </c>
      <c r="IDS3" s="18">
        <v>86627</v>
      </c>
      <c r="IDT3" s="18">
        <v>86634</v>
      </c>
      <c r="IDU3" s="18">
        <v>86641</v>
      </c>
      <c r="IDV3" s="18">
        <v>86648</v>
      </c>
      <c r="IDW3" s="18">
        <v>86655</v>
      </c>
      <c r="IDX3" s="18">
        <v>86662</v>
      </c>
      <c r="IDY3" s="18">
        <v>86669</v>
      </c>
      <c r="IDZ3" s="18">
        <v>86676</v>
      </c>
      <c r="IEA3" s="18">
        <v>86683</v>
      </c>
      <c r="IEB3" s="18">
        <v>86690</v>
      </c>
      <c r="IEC3" s="18">
        <v>86697</v>
      </c>
      <c r="IED3" s="18">
        <v>86704</v>
      </c>
      <c r="IEE3" s="18">
        <v>86711</v>
      </c>
      <c r="IEF3" s="18">
        <v>86718</v>
      </c>
      <c r="IEG3" s="18">
        <v>86725</v>
      </c>
      <c r="IEH3" s="18">
        <v>86732</v>
      </c>
      <c r="IEI3" s="18">
        <v>86739</v>
      </c>
      <c r="IEJ3" s="18">
        <v>86746</v>
      </c>
      <c r="IEK3" s="18">
        <v>86753</v>
      </c>
      <c r="IEL3" s="18">
        <v>86760</v>
      </c>
      <c r="IEM3" s="18">
        <v>86767</v>
      </c>
      <c r="IEN3" s="18">
        <v>86774</v>
      </c>
      <c r="IEO3" s="18">
        <v>86781</v>
      </c>
      <c r="IEP3" s="18">
        <v>86788</v>
      </c>
      <c r="IEQ3" s="18">
        <v>86795</v>
      </c>
      <c r="IER3" s="18">
        <v>86802</v>
      </c>
      <c r="IES3" s="18">
        <v>86809</v>
      </c>
      <c r="IET3" s="18">
        <v>86816</v>
      </c>
      <c r="IEU3" s="18">
        <v>86823</v>
      </c>
      <c r="IEV3" s="18">
        <v>86830</v>
      </c>
      <c r="IEW3" s="18">
        <v>86837</v>
      </c>
      <c r="IEX3" s="18">
        <v>86844</v>
      </c>
      <c r="IEY3" s="18">
        <v>86851</v>
      </c>
      <c r="IEZ3" s="18">
        <v>86858</v>
      </c>
      <c r="IFA3" s="18">
        <v>86865</v>
      </c>
      <c r="IFB3" s="18">
        <v>86872</v>
      </c>
      <c r="IFC3" s="18">
        <v>86879</v>
      </c>
      <c r="IFD3" s="18">
        <v>86886</v>
      </c>
      <c r="IFE3" s="18">
        <v>86893</v>
      </c>
      <c r="IFF3" s="18">
        <v>86900</v>
      </c>
      <c r="IFG3" s="18">
        <v>86907</v>
      </c>
      <c r="IFH3" s="18">
        <v>86914</v>
      </c>
      <c r="IFI3" s="18">
        <v>86921</v>
      </c>
      <c r="IFJ3" s="18">
        <v>86928</v>
      </c>
      <c r="IFK3" s="18">
        <v>86935</v>
      </c>
      <c r="IFL3" s="18">
        <v>86942</v>
      </c>
      <c r="IFM3" s="18">
        <v>86949</v>
      </c>
      <c r="IFN3" s="18">
        <v>86956</v>
      </c>
      <c r="IFO3" s="18">
        <v>86963</v>
      </c>
      <c r="IFP3" s="18">
        <v>86970</v>
      </c>
      <c r="IFQ3" s="18">
        <v>86977</v>
      </c>
      <c r="IFR3" s="18">
        <v>86984</v>
      </c>
      <c r="IFS3" s="18">
        <v>86991</v>
      </c>
      <c r="IFT3" s="18">
        <v>86998</v>
      </c>
      <c r="IFU3" s="18">
        <v>87005</v>
      </c>
      <c r="IFV3" s="18">
        <v>87012</v>
      </c>
      <c r="IFW3" s="18">
        <v>87019</v>
      </c>
      <c r="IFX3" s="18">
        <v>87026</v>
      </c>
      <c r="IFY3" s="18">
        <v>87033</v>
      </c>
      <c r="IFZ3" s="18">
        <v>87040</v>
      </c>
      <c r="IGA3" s="18">
        <v>87047</v>
      </c>
      <c r="IGB3" s="18">
        <v>87054</v>
      </c>
      <c r="IGC3" s="18">
        <v>87061</v>
      </c>
      <c r="IGD3" s="18">
        <v>87068</v>
      </c>
      <c r="IGE3" s="18">
        <v>87075</v>
      </c>
      <c r="IGF3" s="18">
        <v>87082</v>
      </c>
      <c r="IGG3" s="18">
        <v>87089</v>
      </c>
      <c r="IGH3" s="18">
        <v>87096</v>
      </c>
      <c r="IGI3" s="18">
        <v>87103</v>
      </c>
      <c r="IGJ3" s="18">
        <v>87110</v>
      </c>
      <c r="IGK3" s="18">
        <v>87117</v>
      </c>
      <c r="IGL3" s="18">
        <v>87124</v>
      </c>
      <c r="IGM3" s="18">
        <v>87131</v>
      </c>
      <c r="IGN3" s="18">
        <v>87138</v>
      </c>
      <c r="IGO3" s="18">
        <v>87145</v>
      </c>
      <c r="IGP3" s="18">
        <v>87152</v>
      </c>
      <c r="IGQ3" s="18">
        <v>87159</v>
      </c>
      <c r="IGR3" s="18">
        <v>87166</v>
      </c>
      <c r="IGS3" s="18">
        <v>87173</v>
      </c>
      <c r="IGT3" s="18">
        <v>87180</v>
      </c>
      <c r="IGU3" s="18">
        <v>87187</v>
      </c>
      <c r="IGV3" s="18">
        <v>87194</v>
      </c>
      <c r="IGW3" s="18">
        <v>87201</v>
      </c>
      <c r="IGX3" s="18">
        <v>87208</v>
      </c>
      <c r="IGY3" s="18">
        <v>87215</v>
      </c>
      <c r="IGZ3" s="18">
        <v>87222</v>
      </c>
      <c r="IHA3" s="18">
        <v>87229</v>
      </c>
      <c r="IHB3" s="18">
        <v>87236</v>
      </c>
      <c r="IHC3" s="18">
        <v>87243</v>
      </c>
      <c r="IHD3" s="18">
        <v>87250</v>
      </c>
      <c r="IHE3" s="18">
        <v>87257</v>
      </c>
      <c r="IHF3" s="18">
        <v>87264</v>
      </c>
      <c r="IHG3" s="18">
        <v>87271</v>
      </c>
      <c r="IHH3" s="18">
        <v>87278</v>
      </c>
      <c r="IHI3" s="18">
        <v>87285</v>
      </c>
      <c r="IHJ3" s="18">
        <v>87292</v>
      </c>
      <c r="IHK3" s="18">
        <v>87299</v>
      </c>
      <c r="IHL3" s="18">
        <v>87306</v>
      </c>
      <c r="IHM3" s="18">
        <v>87313</v>
      </c>
      <c r="IHN3" s="18">
        <v>87320</v>
      </c>
      <c r="IHO3" s="18">
        <v>87327</v>
      </c>
      <c r="IHP3" s="18">
        <v>87334</v>
      </c>
      <c r="IHQ3" s="18">
        <v>87341</v>
      </c>
      <c r="IHR3" s="18">
        <v>87348</v>
      </c>
      <c r="IHS3" s="18">
        <v>87355</v>
      </c>
      <c r="IHT3" s="18">
        <v>87362</v>
      </c>
      <c r="IHU3" s="18">
        <v>87369</v>
      </c>
      <c r="IHV3" s="18">
        <v>87376</v>
      </c>
      <c r="IHW3" s="18">
        <v>87383</v>
      </c>
      <c r="IHX3" s="18">
        <v>87390</v>
      </c>
      <c r="IHY3" s="18">
        <v>87397</v>
      </c>
      <c r="IHZ3" s="18">
        <v>87404</v>
      </c>
      <c r="IIA3" s="18">
        <v>87411</v>
      </c>
      <c r="IIB3" s="18">
        <v>87418</v>
      </c>
      <c r="IIC3" s="18">
        <v>87425</v>
      </c>
      <c r="IID3" s="18">
        <v>87432</v>
      </c>
      <c r="IIE3" s="18">
        <v>87439</v>
      </c>
      <c r="IIF3" s="18">
        <v>87446</v>
      </c>
      <c r="IIG3" s="18">
        <v>87453</v>
      </c>
      <c r="IIH3" s="18">
        <v>87460</v>
      </c>
      <c r="III3" s="18">
        <v>87467</v>
      </c>
      <c r="IIJ3" s="18">
        <v>87474</v>
      </c>
      <c r="IIK3" s="18">
        <v>87481</v>
      </c>
      <c r="IIL3" s="18">
        <v>87488</v>
      </c>
      <c r="IIM3" s="18">
        <v>87495</v>
      </c>
      <c r="IIN3" s="18">
        <v>87502</v>
      </c>
      <c r="IIO3" s="18">
        <v>87509</v>
      </c>
      <c r="IIP3" s="18">
        <v>87516</v>
      </c>
      <c r="IIQ3" s="18">
        <v>87523</v>
      </c>
      <c r="IIR3" s="18">
        <v>87530</v>
      </c>
      <c r="IIS3" s="18">
        <v>87537</v>
      </c>
      <c r="IIT3" s="18">
        <v>87544</v>
      </c>
      <c r="IIU3" s="18">
        <v>87551</v>
      </c>
      <c r="IIV3" s="18">
        <v>87558</v>
      </c>
      <c r="IIW3" s="18">
        <v>87565</v>
      </c>
      <c r="IIX3" s="18">
        <v>87572</v>
      </c>
      <c r="IIY3" s="18">
        <v>87579</v>
      </c>
      <c r="IIZ3" s="18">
        <v>87586</v>
      </c>
      <c r="IJA3" s="18">
        <v>87593</v>
      </c>
      <c r="IJB3" s="18">
        <v>87600</v>
      </c>
      <c r="IJC3" s="18">
        <v>87607</v>
      </c>
      <c r="IJD3" s="18">
        <v>87614</v>
      </c>
      <c r="IJE3" s="18">
        <v>87621</v>
      </c>
      <c r="IJF3" s="18">
        <v>87628</v>
      </c>
      <c r="IJG3" s="18">
        <v>87635</v>
      </c>
      <c r="IJH3" s="18">
        <v>87642</v>
      </c>
      <c r="IJI3" s="18">
        <v>87649</v>
      </c>
      <c r="IJJ3" s="18">
        <v>87656</v>
      </c>
      <c r="IJK3" s="18">
        <v>87663</v>
      </c>
      <c r="IJL3" s="18">
        <v>87670</v>
      </c>
      <c r="IJM3" s="18">
        <v>87677</v>
      </c>
      <c r="IJN3" s="18">
        <v>87684</v>
      </c>
      <c r="IJO3" s="18">
        <v>87691</v>
      </c>
      <c r="IJP3" s="18">
        <v>87698</v>
      </c>
      <c r="IJQ3" s="18">
        <v>87705</v>
      </c>
      <c r="IJR3" s="18">
        <v>87712</v>
      </c>
      <c r="IJS3" s="18">
        <v>87719</v>
      </c>
      <c r="IJT3" s="18">
        <v>87726</v>
      </c>
      <c r="IJU3" s="18">
        <v>87733</v>
      </c>
      <c r="IJV3" s="18">
        <v>87740</v>
      </c>
      <c r="IJW3" s="18">
        <v>87747</v>
      </c>
      <c r="IJX3" s="18">
        <v>87754</v>
      </c>
      <c r="IJY3" s="18">
        <v>87761</v>
      </c>
      <c r="IJZ3" s="18">
        <v>87768</v>
      </c>
      <c r="IKA3" s="18">
        <v>87775</v>
      </c>
      <c r="IKB3" s="18">
        <v>87782</v>
      </c>
      <c r="IKC3" s="18">
        <v>87789</v>
      </c>
      <c r="IKD3" s="18">
        <v>87796</v>
      </c>
      <c r="IKE3" s="18">
        <v>87803</v>
      </c>
      <c r="IKF3" s="18">
        <v>87810</v>
      </c>
      <c r="IKG3" s="18">
        <v>87817</v>
      </c>
      <c r="IKH3" s="18">
        <v>87824</v>
      </c>
      <c r="IKI3" s="18">
        <v>87831</v>
      </c>
      <c r="IKJ3" s="18">
        <v>87838</v>
      </c>
      <c r="IKK3" s="18">
        <v>87845</v>
      </c>
      <c r="IKL3" s="18">
        <v>87852</v>
      </c>
      <c r="IKM3" s="18">
        <v>87859</v>
      </c>
      <c r="IKN3" s="18">
        <v>87866</v>
      </c>
      <c r="IKO3" s="18">
        <v>87873</v>
      </c>
      <c r="IKP3" s="18">
        <v>87880</v>
      </c>
      <c r="IKQ3" s="18">
        <v>87887</v>
      </c>
      <c r="IKR3" s="18">
        <v>87894</v>
      </c>
      <c r="IKS3" s="18">
        <v>87901</v>
      </c>
      <c r="IKT3" s="18">
        <v>87908</v>
      </c>
      <c r="IKU3" s="18">
        <v>87915</v>
      </c>
      <c r="IKV3" s="18">
        <v>87922</v>
      </c>
      <c r="IKW3" s="18">
        <v>87929</v>
      </c>
      <c r="IKX3" s="18">
        <v>87936</v>
      </c>
      <c r="IKY3" s="18">
        <v>87943</v>
      </c>
      <c r="IKZ3" s="18">
        <v>87950</v>
      </c>
      <c r="ILA3" s="18">
        <v>87957</v>
      </c>
      <c r="ILB3" s="18">
        <v>87964</v>
      </c>
      <c r="ILC3" s="18">
        <v>87971</v>
      </c>
      <c r="ILD3" s="18">
        <v>87978</v>
      </c>
      <c r="ILE3" s="18">
        <v>87985</v>
      </c>
      <c r="ILF3" s="18">
        <v>87992</v>
      </c>
      <c r="ILG3" s="18">
        <v>87999</v>
      </c>
      <c r="ILH3" s="18">
        <v>88006</v>
      </c>
      <c r="ILI3" s="18">
        <v>88013</v>
      </c>
      <c r="ILJ3" s="18">
        <v>88020</v>
      </c>
      <c r="ILK3" s="18">
        <v>88027</v>
      </c>
      <c r="ILL3" s="18">
        <v>88034</v>
      </c>
      <c r="ILM3" s="18">
        <v>88041</v>
      </c>
      <c r="ILN3" s="18">
        <v>88048</v>
      </c>
      <c r="ILO3" s="18">
        <v>88055</v>
      </c>
      <c r="ILP3" s="18">
        <v>88062</v>
      </c>
      <c r="ILQ3" s="18">
        <v>88069</v>
      </c>
      <c r="ILR3" s="18">
        <v>88076</v>
      </c>
      <c r="ILS3" s="18">
        <v>88083</v>
      </c>
      <c r="ILT3" s="18">
        <v>88090</v>
      </c>
      <c r="ILU3" s="18">
        <v>88097</v>
      </c>
      <c r="ILV3" s="18">
        <v>88104</v>
      </c>
      <c r="ILW3" s="18">
        <v>88111</v>
      </c>
      <c r="ILX3" s="18">
        <v>88118</v>
      </c>
      <c r="ILY3" s="18">
        <v>88125</v>
      </c>
      <c r="ILZ3" s="18">
        <v>88132</v>
      </c>
      <c r="IMA3" s="18">
        <v>88139</v>
      </c>
      <c r="IMB3" s="18">
        <v>88146</v>
      </c>
      <c r="IMC3" s="18">
        <v>88153</v>
      </c>
      <c r="IMD3" s="18">
        <v>88160</v>
      </c>
      <c r="IME3" s="18">
        <v>88167</v>
      </c>
      <c r="IMF3" s="18">
        <v>88174</v>
      </c>
      <c r="IMG3" s="18">
        <v>88181</v>
      </c>
      <c r="IMH3" s="18">
        <v>88188</v>
      </c>
      <c r="IMI3" s="18">
        <v>88195</v>
      </c>
      <c r="IMJ3" s="18">
        <v>88202</v>
      </c>
      <c r="IMK3" s="18">
        <v>88209</v>
      </c>
      <c r="IML3" s="18">
        <v>88216</v>
      </c>
      <c r="IMM3" s="18">
        <v>88223</v>
      </c>
      <c r="IMN3" s="18">
        <v>88230</v>
      </c>
      <c r="IMO3" s="18">
        <v>88237</v>
      </c>
      <c r="IMP3" s="18">
        <v>88244</v>
      </c>
      <c r="IMQ3" s="18">
        <v>88251</v>
      </c>
      <c r="IMR3" s="18">
        <v>88258</v>
      </c>
      <c r="IMS3" s="18">
        <v>88265</v>
      </c>
      <c r="IMT3" s="18">
        <v>88272</v>
      </c>
      <c r="IMU3" s="18">
        <v>88279</v>
      </c>
      <c r="IMV3" s="18">
        <v>88286</v>
      </c>
      <c r="IMW3" s="18">
        <v>88293</v>
      </c>
      <c r="IMX3" s="18">
        <v>88300</v>
      </c>
      <c r="IMY3" s="18">
        <v>88307</v>
      </c>
      <c r="IMZ3" s="18">
        <v>88314</v>
      </c>
      <c r="INA3" s="18">
        <v>88321</v>
      </c>
      <c r="INB3" s="18">
        <v>88328</v>
      </c>
      <c r="INC3" s="18">
        <v>88335</v>
      </c>
      <c r="IND3" s="18">
        <v>88342</v>
      </c>
      <c r="INE3" s="18">
        <v>88349</v>
      </c>
      <c r="INF3" s="18">
        <v>88356</v>
      </c>
      <c r="ING3" s="18">
        <v>88363</v>
      </c>
      <c r="INH3" s="18">
        <v>88370</v>
      </c>
      <c r="INI3" s="18">
        <v>88377</v>
      </c>
      <c r="INJ3" s="18">
        <v>88384</v>
      </c>
      <c r="INK3" s="18">
        <v>88391</v>
      </c>
      <c r="INL3" s="18">
        <v>88398</v>
      </c>
      <c r="INM3" s="18">
        <v>88405</v>
      </c>
      <c r="INN3" s="18">
        <v>88412</v>
      </c>
      <c r="INO3" s="18">
        <v>88419</v>
      </c>
      <c r="INP3" s="18">
        <v>88426</v>
      </c>
      <c r="INQ3" s="18">
        <v>88433</v>
      </c>
      <c r="INR3" s="18">
        <v>88440</v>
      </c>
      <c r="INS3" s="18">
        <v>88447</v>
      </c>
      <c r="INT3" s="18">
        <v>88454</v>
      </c>
      <c r="INU3" s="18">
        <v>88461</v>
      </c>
      <c r="INV3" s="18">
        <v>88468</v>
      </c>
      <c r="INW3" s="18">
        <v>88475</v>
      </c>
      <c r="INX3" s="18">
        <v>88482</v>
      </c>
      <c r="INY3" s="18">
        <v>88489</v>
      </c>
      <c r="INZ3" s="18">
        <v>88496</v>
      </c>
      <c r="IOA3" s="18">
        <v>88503</v>
      </c>
      <c r="IOB3" s="18">
        <v>88510</v>
      </c>
      <c r="IOC3" s="18">
        <v>88517</v>
      </c>
      <c r="IOD3" s="18">
        <v>88524</v>
      </c>
      <c r="IOE3" s="18">
        <v>88531</v>
      </c>
      <c r="IOF3" s="18">
        <v>88538</v>
      </c>
      <c r="IOG3" s="18">
        <v>88545</v>
      </c>
      <c r="IOH3" s="18">
        <v>88552</v>
      </c>
      <c r="IOI3" s="18">
        <v>88559</v>
      </c>
      <c r="IOJ3" s="18">
        <v>88566</v>
      </c>
      <c r="IOK3" s="18">
        <v>88573</v>
      </c>
      <c r="IOL3" s="18">
        <v>88580</v>
      </c>
      <c r="IOM3" s="18">
        <v>88587</v>
      </c>
      <c r="ION3" s="18">
        <v>88594</v>
      </c>
      <c r="IOO3" s="18">
        <v>88601</v>
      </c>
      <c r="IOP3" s="18">
        <v>88608</v>
      </c>
      <c r="IOQ3" s="18">
        <v>88615</v>
      </c>
      <c r="IOR3" s="18">
        <v>88622</v>
      </c>
      <c r="IOS3" s="18">
        <v>88629</v>
      </c>
      <c r="IOT3" s="18">
        <v>88636</v>
      </c>
      <c r="IOU3" s="18">
        <v>88643</v>
      </c>
      <c r="IOV3" s="18">
        <v>88650</v>
      </c>
      <c r="IOW3" s="18">
        <v>88657</v>
      </c>
      <c r="IOX3" s="18">
        <v>88664</v>
      </c>
      <c r="IOY3" s="18">
        <v>88671</v>
      </c>
      <c r="IOZ3" s="18">
        <v>88678</v>
      </c>
      <c r="IPA3" s="18">
        <v>88685</v>
      </c>
      <c r="IPB3" s="18">
        <v>88692</v>
      </c>
      <c r="IPC3" s="18">
        <v>88699</v>
      </c>
      <c r="IPD3" s="18">
        <v>88706</v>
      </c>
      <c r="IPE3" s="18">
        <v>88713</v>
      </c>
      <c r="IPF3" s="18">
        <v>88720</v>
      </c>
      <c r="IPG3" s="18">
        <v>88727</v>
      </c>
      <c r="IPH3" s="18">
        <v>88734</v>
      </c>
      <c r="IPI3" s="18">
        <v>88741</v>
      </c>
      <c r="IPJ3" s="18">
        <v>88748</v>
      </c>
      <c r="IPK3" s="18">
        <v>88755</v>
      </c>
      <c r="IPL3" s="18">
        <v>88762</v>
      </c>
      <c r="IPM3" s="18">
        <v>88769</v>
      </c>
      <c r="IPN3" s="18">
        <v>88776</v>
      </c>
      <c r="IPO3" s="18">
        <v>88783</v>
      </c>
      <c r="IPP3" s="18">
        <v>88790</v>
      </c>
      <c r="IPQ3" s="18">
        <v>88797</v>
      </c>
      <c r="IPR3" s="18">
        <v>88804</v>
      </c>
      <c r="IPS3" s="18">
        <v>88811</v>
      </c>
      <c r="IPT3" s="18">
        <v>88818</v>
      </c>
      <c r="IPU3" s="18">
        <v>88825</v>
      </c>
      <c r="IPV3" s="18">
        <v>88832</v>
      </c>
      <c r="IPW3" s="18">
        <v>88839</v>
      </c>
      <c r="IPX3" s="18">
        <v>88846</v>
      </c>
      <c r="IPY3" s="18">
        <v>88853</v>
      </c>
      <c r="IPZ3" s="18">
        <v>88860</v>
      </c>
      <c r="IQA3" s="18">
        <v>88867</v>
      </c>
      <c r="IQB3" s="18">
        <v>88874</v>
      </c>
      <c r="IQC3" s="18">
        <v>88881</v>
      </c>
      <c r="IQD3" s="18">
        <v>88888</v>
      </c>
      <c r="IQE3" s="18">
        <v>88895</v>
      </c>
      <c r="IQF3" s="18">
        <v>88902</v>
      </c>
      <c r="IQG3" s="18">
        <v>88909</v>
      </c>
      <c r="IQH3" s="18">
        <v>88916</v>
      </c>
      <c r="IQI3" s="18">
        <v>88923</v>
      </c>
      <c r="IQJ3" s="18">
        <v>88930</v>
      </c>
      <c r="IQK3" s="18">
        <v>88937</v>
      </c>
      <c r="IQL3" s="18">
        <v>88944</v>
      </c>
      <c r="IQM3" s="18">
        <v>88951</v>
      </c>
      <c r="IQN3" s="18">
        <v>88958</v>
      </c>
      <c r="IQO3" s="18">
        <v>88965</v>
      </c>
      <c r="IQP3" s="18">
        <v>88972</v>
      </c>
      <c r="IQQ3" s="18">
        <v>88979</v>
      </c>
      <c r="IQR3" s="18">
        <v>88986</v>
      </c>
      <c r="IQS3" s="18">
        <v>88993</v>
      </c>
      <c r="IQT3" s="18">
        <v>89000</v>
      </c>
      <c r="IQU3" s="18">
        <v>89007</v>
      </c>
      <c r="IQV3" s="18">
        <v>89014</v>
      </c>
      <c r="IQW3" s="18">
        <v>89021</v>
      </c>
      <c r="IQX3" s="18">
        <v>89028</v>
      </c>
      <c r="IQY3" s="18">
        <v>89035</v>
      </c>
      <c r="IQZ3" s="18">
        <v>89042</v>
      </c>
      <c r="IRA3" s="18">
        <v>89049</v>
      </c>
      <c r="IRB3" s="18">
        <v>89056</v>
      </c>
      <c r="IRC3" s="18">
        <v>89063</v>
      </c>
      <c r="IRD3" s="18">
        <v>89070</v>
      </c>
      <c r="IRE3" s="18">
        <v>89077</v>
      </c>
      <c r="IRF3" s="18">
        <v>89084</v>
      </c>
      <c r="IRG3" s="18">
        <v>89091</v>
      </c>
      <c r="IRH3" s="18">
        <v>89098</v>
      </c>
      <c r="IRI3" s="18">
        <v>89105</v>
      </c>
      <c r="IRJ3" s="18">
        <v>89112</v>
      </c>
      <c r="IRK3" s="18">
        <v>89119</v>
      </c>
      <c r="IRL3" s="18">
        <v>89126</v>
      </c>
      <c r="IRM3" s="18">
        <v>89133</v>
      </c>
      <c r="IRN3" s="18">
        <v>89140</v>
      </c>
      <c r="IRO3" s="18">
        <v>89147</v>
      </c>
      <c r="IRP3" s="18">
        <v>89154</v>
      </c>
      <c r="IRQ3" s="18">
        <v>89161</v>
      </c>
      <c r="IRR3" s="18">
        <v>89168</v>
      </c>
      <c r="IRS3" s="18">
        <v>89175</v>
      </c>
      <c r="IRT3" s="18">
        <v>89182</v>
      </c>
      <c r="IRU3" s="18">
        <v>89189</v>
      </c>
      <c r="IRV3" s="18">
        <v>89196</v>
      </c>
      <c r="IRW3" s="18">
        <v>89203</v>
      </c>
      <c r="IRX3" s="18">
        <v>89210</v>
      </c>
      <c r="IRY3" s="18">
        <v>89217</v>
      </c>
      <c r="IRZ3" s="18">
        <v>89224</v>
      </c>
      <c r="ISA3" s="18">
        <v>89231</v>
      </c>
      <c r="ISB3" s="18">
        <v>89238</v>
      </c>
      <c r="ISC3" s="18">
        <v>89245</v>
      </c>
      <c r="ISD3" s="18">
        <v>89252</v>
      </c>
      <c r="ISE3" s="18">
        <v>89259</v>
      </c>
      <c r="ISF3" s="18">
        <v>89266</v>
      </c>
      <c r="ISG3" s="18">
        <v>89273</v>
      </c>
      <c r="ISH3" s="18">
        <v>89280</v>
      </c>
      <c r="ISI3" s="18">
        <v>89287</v>
      </c>
      <c r="ISJ3" s="18">
        <v>89294</v>
      </c>
      <c r="ISK3" s="18">
        <v>89301</v>
      </c>
      <c r="ISL3" s="18">
        <v>89308</v>
      </c>
      <c r="ISM3" s="18">
        <v>89315</v>
      </c>
      <c r="ISN3" s="18">
        <v>89322</v>
      </c>
      <c r="ISO3" s="18">
        <v>89329</v>
      </c>
      <c r="ISP3" s="18">
        <v>89336</v>
      </c>
      <c r="ISQ3" s="18">
        <v>89343</v>
      </c>
      <c r="ISR3" s="18">
        <v>89350</v>
      </c>
      <c r="ISS3" s="18">
        <v>89357</v>
      </c>
      <c r="IST3" s="18">
        <v>89364</v>
      </c>
      <c r="ISU3" s="18">
        <v>89371</v>
      </c>
      <c r="ISV3" s="18">
        <v>89378</v>
      </c>
      <c r="ISW3" s="18">
        <v>89385</v>
      </c>
      <c r="ISX3" s="18">
        <v>89392</v>
      </c>
      <c r="ISY3" s="18">
        <v>89399</v>
      </c>
      <c r="ISZ3" s="18">
        <v>89406</v>
      </c>
      <c r="ITA3" s="18">
        <v>89413</v>
      </c>
      <c r="ITB3" s="18">
        <v>89420</v>
      </c>
      <c r="ITC3" s="18">
        <v>89427</v>
      </c>
      <c r="ITD3" s="18">
        <v>89434</v>
      </c>
      <c r="ITE3" s="18">
        <v>89441</v>
      </c>
      <c r="ITF3" s="18">
        <v>89448</v>
      </c>
      <c r="ITG3" s="18">
        <v>89455</v>
      </c>
      <c r="ITH3" s="18">
        <v>89462</v>
      </c>
      <c r="ITI3" s="18">
        <v>89469</v>
      </c>
      <c r="ITJ3" s="18">
        <v>89476</v>
      </c>
      <c r="ITK3" s="18">
        <v>89483</v>
      </c>
      <c r="ITL3" s="18">
        <v>89490</v>
      </c>
      <c r="ITM3" s="18">
        <v>89497</v>
      </c>
      <c r="ITN3" s="18">
        <v>89504</v>
      </c>
      <c r="ITO3" s="18">
        <v>89511</v>
      </c>
      <c r="ITP3" s="18">
        <v>89518</v>
      </c>
      <c r="ITQ3" s="18">
        <v>89525</v>
      </c>
      <c r="ITR3" s="18">
        <v>89532</v>
      </c>
      <c r="ITS3" s="18">
        <v>89539</v>
      </c>
      <c r="ITT3" s="18">
        <v>89546</v>
      </c>
      <c r="ITU3" s="18">
        <v>89553</v>
      </c>
      <c r="ITV3" s="18">
        <v>89560</v>
      </c>
      <c r="ITW3" s="18">
        <v>89567</v>
      </c>
      <c r="ITX3" s="18">
        <v>89574</v>
      </c>
      <c r="ITY3" s="18">
        <v>89581</v>
      </c>
      <c r="ITZ3" s="18">
        <v>89588</v>
      </c>
      <c r="IUA3" s="18">
        <v>89595</v>
      </c>
      <c r="IUB3" s="18">
        <v>89602</v>
      </c>
      <c r="IUC3" s="18">
        <v>89609</v>
      </c>
      <c r="IUD3" s="18">
        <v>89616</v>
      </c>
      <c r="IUE3" s="18">
        <v>89623</v>
      </c>
      <c r="IUF3" s="18">
        <v>89630</v>
      </c>
      <c r="IUG3" s="18">
        <v>89637</v>
      </c>
      <c r="IUH3" s="18">
        <v>89644</v>
      </c>
      <c r="IUI3" s="18">
        <v>89651</v>
      </c>
      <c r="IUJ3" s="18">
        <v>89658</v>
      </c>
      <c r="IUK3" s="18">
        <v>89665</v>
      </c>
      <c r="IUL3" s="18">
        <v>89672</v>
      </c>
      <c r="IUM3" s="18">
        <v>89679</v>
      </c>
      <c r="IUN3" s="18">
        <v>89686</v>
      </c>
      <c r="IUO3" s="18">
        <v>89693</v>
      </c>
      <c r="IUP3" s="18">
        <v>89700</v>
      </c>
      <c r="IUQ3" s="18">
        <v>89707</v>
      </c>
      <c r="IUR3" s="18">
        <v>89714</v>
      </c>
      <c r="IUS3" s="18">
        <v>89721</v>
      </c>
      <c r="IUT3" s="18">
        <v>89728</v>
      </c>
      <c r="IUU3" s="18">
        <v>89735</v>
      </c>
      <c r="IUV3" s="18">
        <v>89742</v>
      </c>
      <c r="IUW3" s="18">
        <v>89749</v>
      </c>
      <c r="IUX3" s="18">
        <v>89756</v>
      </c>
      <c r="IUY3" s="18">
        <v>89763</v>
      </c>
      <c r="IUZ3" s="18">
        <v>89770</v>
      </c>
      <c r="IVA3" s="18">
        <v>89777</v>
      </c>
      <c r="IVB3" s="18">
        <v>89784</v>
      </c>
      <c r="IVC3" s="18">
        <v>89791</v>
      </c>
      <c r="IVD3" s="18">
        <v>89798</v>
      </c>
      <c r="IVE3" s="18">
        <v>89805</v>
      </c>
      <c r="IVF3" s="18">
        <v>89812</v>
      </c>
      <c r="IVG3" s="18">
        <v>89819</v>
      </c>
      <c r="IVH3" s="18">
        <v>89826</v>
      </c>
      <c r="IVI3" s="18">
        <v>89833</v>
      </c>
      <c r="IVJ3" s="18">
        <v>89840</v>
      </c>
      <c r="IVK3" s="18">
        <v>89847</v>
      </c>
      <c r="IVL3" s="18">
        <v>89854</v>
      </c>
      <c r="IVM3" s="18">
        <v>89861</v>
      </c>
      <c r="IVN3" s="18">
        <v>89868</v>
      </c>
      <c r="IVO3" s="18">
        <v>89875</v>
      </c>
      <c r="IVP3" s="18">
        <v>89882</v>
      </c>
      <c r="IVQ3" s="18">
        <v>89889</v>
      </c>
      <c r="IVR3" s="18">
        <v>89896</v>
      </c>
      <c r="IVS3" s="18">
        <v>89903</v>
      </c>
      <c r="IVT3" s="18">
        <v>89910</v>
      </c>
      <c r="IVU3" s="18">
        <v>89917</v>
      </c>
      <c r="IVV3" s="18">
        <v>89924</v>
      </c>
      <c r="IVW3" s="18">
        <v>89931</v>
      </c>
      <c r="IVX3" s="18">
        <v>89938</v>
      </c>
      <c r="IVY3" s="18">
        <v>89945</v>
      </c>
      <c r="IVZ3" s="18">
        <v>89952</v>
      </c>
      <c r="IWA3" s="18">
        <v>89959</v>
      </c>
      <c r="IWB3" s="18">
        <v>89966</v>
      </c>
      <c r="IWC3" s="18">
        <v>89973</v>
      </c>
      <c r="IWD3" s="18">
        <v>89980</v>
      </c>
      <c r="IWE3" s="18">
        <v>89987</v>
      </c>
      <c r="IWF3" s="18">
        <v>89994</v>
      </c>
      <c r="IWG3" s="18">
        <v>90001</v>
      </c>
      <c r="IWH3" s="18">
        <v>90008</v>
      </c>
      <c r="IWI3" s="18">
        <v>90015</v>
      </c>
      <c r="IWJ3" s="18">
        <v>90022</v>
      </c>
      <c r="IWK3" s="18">
        <v>90029</v>
      </c>
      <c r="IWL3" s="18">
        <v>90036</v>
      </c>
      <c r="IWM3" s="18">
        <v>90043</v>
      </c>
      <c r="IWN3" s="18">
        <v>90050</v>
      </c>
      <c r="IWO3" s="18">
        <v>90057</v>
      </c>
      <c r="IWP3" s="18">
        <v>90064</v>
      </c>
      <c r="IWQ3" s="18">
        <v>90071</v>
      </c>
      <c r="IWR3" s="18">
        <v>90078</v>
      </c>
      <c r="IWS3" s="18">
        <v>90085</v>
      </c>
      <c r="IWT3" s="18">
        <v>90092</v>
      </c>
      <c r="IWU3" s="18">
        <v>90099</v>
      </c>
      <c r="IWV3" s="18">
        <v>90106</v>
      </c>
      <c r="IWW3" s="18">
        <v>90113</v>
      </c>
      <c r="IWX3" s="18">
        <v>90120</v>
      </c>
      <c r="IWY3" s="18">
        <v>90127</v>
      </c>
      <c r="IWZ3" s="18">
        <v>90134</v>
      </c>
      <c r="IXA3" s="18">
        <v>90141</v>
      </c>
      <c r="IXB3" s="18">
        <v>90148</v>
      </c>
      <c r="IXC3" s="18">
        <v>90155</v>
      </c>
      <c r="IXD3" s="18">
        <v>90162</v>
      </c>
      <c r="IXE3" s="18">
        <v>90169</v>
      </c>
      <c r="IXF3" s="18">
        <v>90176</v>
      </c>
      <c r="IXG3" s="18">
        <v>90183</v>
      </c>
      <c r="IXH3" s="18">
        <v>90190</v>
      </c>
      <c r="IXI3" s="18">
        <v>90197</v>
      </c>
      <c r="IXJ3" s="18">
        <v>90204</v>
      </c>
      <c r="IXK3" s="18">
        <v>90211</v>
      </c>
      <c r="IXL3" s="18">
        <v>90218</v>
      </c>
      <c r="IXM3" s="18">
        <v>90225</v>
      </c>
      <c r="IXN3" s="18">
        <v>90232</v>
      </c>
      <c r="IXO3" s="18">
        <v>90239</v>
      </c>
      <c r="IXP3" s="18">
        <v>90246</v>
      </c>
      <c r="IXQ3" s="18">
        <v>90253</v>
      </c>
      <c r="IXR3" s="18">
        <v>90260</v>
      </c>
      <c r="IXS3" s="18">
        <v>90267</v>
      </c>
      <c r="IXT3" s="18">
        <v>90274</v>
      </c>
      <c r="IXU3" s="18">
        <v>90281</v>
      </c>
      <c r="IXV3" s="18">
        <v>90288</v>
      </c>
      <c r="IXW3" s="18">
        <v>90295</v>
      </c>
      <c r="IXX3" s="18">
        <v>90302</v>
      </c>
      <c r="IXY3" s="18">
        <v>90309</v>
      </c>
      <c r="IXZ3" s="18">
        <v>90316</v>
      </c>
      <c r="IYA3" s="18">
        <v>90323</v>
      </c>
      <c r="IYB3" s="18">
        <v>90330</v>
      </c>
      <c r="IYC3" s="18">
        <v>90337</v>
      </c>
      <c r="IYD3" s="18">
        <v>90344</v>
      </c>
      <c r="IYE3" s="18">
        <v>90351</v>
      </c>
      <c r="IYF3" s="18">
        <v>90358</v>
      </c>
      <c r="IYG3" s="18">
        <v>90365</v>
      </c>
      <c r="IYH3" s="18">
        <v>90372</v>
      </c>
      <c r="IYI3" s="18">
        <v>90379</v>
      </c>
      <c r="IYJ3" s="18">
        <v>90386</v>
      </c>
      <c r="IYK3" s="18">
        <v>90393</v>
      </c>
      <c r="IYL3" s="18">
        <v>90400</v>
      </c>
      <c r="IYM3" s="18">
        <v>90407</v>
      </c>
      <c r="IYN3" s="18">
        <v>90414</v>
      </c>
      <c r="IYO3" s="18">
        <v>90421</v>
      </c>
      <c r="IYP3" s="18">
        <v>90428</v>
      </c>
      <c r="IYQ3" s="18">
        <v>90435</v>
      </c>
      <c r="IYR3" s="18">
        <v>90442</v>
      </c>
      <c r="IYS3" s="18">
        <v>90449</v>
      </c>
      <c r="IYT3" s="18">
        <v>90456</v>
      </c>
      <c r="IYU3" s="18">
        <v>90463</v>
      </c>
      <c r="IYV3" s="18">
        <v>90470</v>
      </c>
      <c r="IYW3" s="18">
        <v>90477</v>
      </c>
      <c r="IYX3" s="18">
        <v>90484</v>
      </c>
      <c r="IYY3" s="18">
        <v>90491</v>
      </c>
      <c r="IYZ3" s="18">
        <v>90498</v>
      </c>
      <c r="IZA3" s="18">
        <v>90505</v>
      </c>
      <c r="IZB3" s="18">
        <v>90512</v>
      </c>
      <c r="IZC3" s="18">
        <v>90519</v>
      </c>
      <c r="IZD3" s="18">
        <v>90526</v>
      </c>
      <c r="IZE3" s="18">
        <v>90533</v>
      </c>
      <c r="IZF3" s="18">
        <v>90540</v>
      </c>
      <c r="IZG3" s="18">
        <v>90547</v>
      </c>
      <c r="IZH3" s="18">
        <v>90554</v>
      </c>
      <c r="IZI3" s="18">
        <v>90561</v>
      </c>
      <c r="IZJ3" s="18">
        <v>90568</v>
      </c>
      <c r="IZK3" s="18">
        <v>90575</v>
      </c>
      <c r="IZL3" s="18">
        <v>90582</v>
      </c>
      <c r="IZM3" s="18">
        <v>90589</v>
      </c>
      <c r="IZN3" s="18">
        <v>90596</v>
      </c>
      <c r="IZO3" s="18">
        <v>90603</v>
      </c>
      <c r="IZP3" s="18">
        <v>90610</v>
      </c>
      <c r="IZQ3" s="18">
        <v>90617</v>
      </c>
      <c r="IZR3" s="18">
        <v>90624</v>
      </c>
      <c r="IZS3" s="18">
        <v>90631</v>
      </c>
      <c r="IZT3" s="18">
        <v>90638</v>
      </c>
      <c r="IZU3" s="18">
        <v>90645</v>
      </c>
      <c r="IZV3" s="18">
        <v>90652</v>
      </c>
      <c r="IZW3" s="18">
        <v>90659</v>
      </c>
      <c r="IZX3" s="18">
        <v>90666</v>
      </c>
      <c r="IZY3" s="18">
        <v>90673</v>
      </c>
      <c r="IZZ3" s="18">
        <v>90680</v>
      </c>
      <c r="JAA3" s="18">
        <v>90687</v>
      </c>
      <c r="JAB3" s="18">
        <v>90694</v>
      </c>
      <c r="JAC3" s="18">
        <v>90701</v>
      </c>
      <c r="JAD3" s="18">
        <v>90708</v>
      </c>
      <c r="JAE3" s="18">
        <v>90715</v>
      </c>
      <c r="JAF3" s="18">
        <v>90722</v>
      </c>
      <c r="JAG3" s="18">
        <v>90729</v>
      </c>
      <c r="JAH3" s="18">
        <v>90736</v>
      </c>
      <c r="JAI3" s="18">
        <v>90743</v>
      </c>
      <c r="JAJ3" s="18">
        <v>90750</v>
      </c>
      <c r="JAK3" s="18">
        <v>90757</v>
      </c>
      <c r="JAL3" s="18">
        <v>90764</v>
      </c>
      <c r="JAM3" s="18">
        <v>90771</v>
      </c>
      <c r="JAN3" s="18">
        <v>90778</v>
      </c>
      <c r="JAO3" s="18">
        <v>90785</v>
      </c>
      <c r="JAP3" s="18">
        <v>90792</v>
      </c>
      <c r="JAQ3" s="18">
        <v>90799</v>
      </c>
      <c r="JAR3" s="18">
        <v>90806</v>
      </c>
      <c r="JAS3" s="18">
        <v>90813</v>
      </c>
      <c r="JAT3" s="18">
        <v>90820</v>
      </c>
      <c r="JAU3" s="18">
        <v>90827</v>
      </c>
      <c r="JAV3" s="18">
        <v>90834</v>
      </c>
      <c r="JAW3" s="18">
        <v>90841</v>
      </c>
      <c r="JAX3" s="18">
        <v>90848</v>
      </c>
      <c r="JAY3" s="18">
        <v>90855</v>
      </c>
      <c r="JAZ3" s="18">
        <v>90862</v>
      </c>
      <c r="JBA3" s="18">
        <v>90869</v>
      </c>
      <c r="JBB3" s="18">
        <v>90876</v>
      </c>
      <c r="JBC3" s="18">
        <v>90883</v>
      </c>
      <c r="JBD3" s="18">
        <v>90890</v>
      </c>
      <c r="JBE3" s="18">
        <v>90897</v>
      </c>
      <c r="JBF3" s="18">
        <v>90904</v>
      </c>
      <c r="JBG3" s="18">
        <v>90911</v>
      </c>
      <c r="JBH3" s="18">
        <v>90918</v>
      </c>
      <c r="JBI3" s="18">
        <v>90925</v>
      </c>
      <c r="JBJ3" s="18">
        <v>90932</v>
      </c>
      <c r="JBK3" s="18">
        <v>90939</v>
      </c>
      <c r="JBL3" s="18">
        <v>90946</v>
      </c>
      <c r="JBM3" s="18">
        <v>90953</v>
      </c>
      <c r="JBN3" s="18">
        <v>90960</v>
      </c>
      <c r="JBO3" s="18">
        <v>90967</v>
      </c>
      <c r="JBP3" s="18">
        <v>90974</v>
      </c>
      <c r="JBQ3" s="18">
        <v>90981</v>
      </c>
      <c r="JBR3" s="18">
        <v>90988</v>
      </c>
      <c r="JBS3" s="18">
        <v>90995</v>
      </c>
      <c r="JBT3" s="18">
        <v>91002</v>
      </c>
      <c r="JBU3" s="18">
        <v>91009</v>
      </c>
      <c r="JBV3" s="18">
        <v>91016</v>
      </c>
      <c r="JBW3" s="18">
        <v>91023</v>
      </c>
      <c r="JBX3" s="18">
        <v>91030</v>
      </c>
      <c r="JBY3" s="18">
        <v>91037</v>
      </c>
      <c r="JBZ3" s="18">
        <v>91044</v>
      </c>
      <c r="JCA3" s="18">
        <v>91051</v>
      </c>
      <c r="JCB3" s="18">
        <v>91058</v>
      </c>
      <c r="JCC3" s="18">
        <v>91065</v>
      </c>
      <c r="JCD3" s="18">
        <v>91072</v>
      </c>
      <c r="JCE3" s="18">
        <v>91079</v>
      </c>
      <c r="JCF3" s="18">
        <v>91086</v>
      </c>
      <c r="JCG3" s="18">
        <v>91093</v>
      </c>
      <c r="JCH3" s="18">
        <v>91100</v>
      </c>
      <c r="JCI3" s="18">
        <v>91107</v>
      </c>
      <c r="JCJ3" s="18">
        <v>91114</v>
      </c>
      <c r="JCK3" s="18">
        <v>91121</v>
      </c>
      <c r="JCL3" s="18">
        <v>91128</v>
      </c>
      <c r="JCM3" s="18">
        <v>91135</v>
      </c>
      <c r="JCN3" s="18">
        <v>91142</v>
      </c>
      <c r="JCO3" s="18">
        <v>91149</v>
      </c>
      <c r="JCP3" s="18">
        <v>91156</v>
      </c>
      <c r="JCQ3" s="18">
        <v>91163</v>
      </c>
      <c r="JCR3" s="18">
        <v>91170</v>
      </c>
      <c r="JCS3" s="18">
        <v>91177</v>
      </c>
      <c r="JCT3" s="18">
        <v>91184</v>
      </c>
      <c r="JCU3" s="18">
        <v>91191</v>
      </c>
      <c r="JCV3" s="18">
        <v>91198</v>
      </c>
      <c r="JCW3" s="18">
        <v>91205</v>
      </c>
      <c r="JCX3" s="18">
        <v>91212</v>
      </c>
      <c r="JCY3" s="18">
        <v>91219</v>
      </c>
      <c r="JCZ3" s="18">
        <v>91226</v>
      </c>
      <c r="JDA3" s="18">
        <v>91233</v>
      </c>
      <c r="JDB3" s="18">
        <v>91240</v>
      </c>
      <c r="JDC3" s="18">
        <v>91247</v>
      </c>
      <c r="JDD3" s="18">
        <v>91254</v>
      </c>
      <c r="JDE3" s="18">
        <v>91261</v>
      </c>
      <c r="JDF3" s="18">
        <v>91268</v>
      </c>
      <c r="JDG3" s="18">
        <v>91275</v>
      </c>
      <c r="JDH3" s="18">
        <v>91282</v>
      </c>
      <c r="JDI3" s="18">
        <v>91289</v>
      </c>
      <c r="JDJ3" s="18">
        <v>91296</v>
      </c>
      <c r="JDK3" s="18">
        <v>91303</v>
      </c>
      <c r="JDL3" s="18">
        <v>91310</v>
      </c>
      <c r="JDM3" s="18">
        <v>91317</v>
      </c>
      <c r="JDN3" s="18">
        <v>91324</v>
      </c>
      <c r="JDO3" s="18">
        <v>91331</v>
      </c>
      <c r="JDP3" s="18">
        <v>91338</v>
      </c>
      <c r="JDQ3" s="18">
        <v>91345</v>
      </c>
      <c r="JDR3" s="18">
        <v>91352</v>
      </c>
      <c r="JDS3" s="18">
        <v>91359</v>
      </c>
      <c r="JDT3" s="18">
        <v>91366</v>
      </c>
      <c r="JDU3" s="18">
        <v>91373</v>
      </c>
      <c r="JDV3" s="18">
        <v>91380</v>
      </c>
      <c r="JDW3" s="18">
        <v>91387</v>
      </c>
      <c r="JDX3" s="18">
        <v>91394</v>
      </c>
      <c r="JDY3" s="18">
        <v>91401</v>
      </c>
      <c r="JDZ3" s="18">
        <v>91408</v>
      </c>
      <c r="JEA3" s="18">
        <v>91415</v>
      </c>
      <c r="JEB3" s="18">
        <v>91422</v>
      </c>
      <c r="JEC3" s="18">
        <v>91429</v>
      </c>
      <c r="JED3" s="18">
        <v>91436</v>
      </c>
      <c r="JEE3" s="18">
        <v>91443</v>
      </c>
      <c r="JEF3" s="18">
        <v>91450</v>
      </c>
      <c r="JEG3" s="18">
        <v>91457</v>
      </c>
      <c r="JEH3" s="18">
        <v>91464</v>
      </c>
      <c r="JEI3" s="18">
        <v>91471</v>
      </c>
      <c r="JEJ3" s="18">
        <v>91478</v>
      </c>
      <c r="JEK3" s="18">
        <v>91485</v>
      </c>
      <c r="JEL3" s="18">
        <v>91492</v>
      </c>
      <c r="JEM3" s="18">
        <v>91499</v>
      </c>
      <c r="JEN3" s="18">
        <v>91506</v>
      </c>
      <c r="JEO3" s="18">
        <v>91513</v>
      </c>
      <c r="JEP3" s="18">
        <v>91520</v>
      </c>
      <c r="JEQ3" s="18">
        <v>91527</v>
      </c>
      <c r="JER3" s="18">
        <v>91534</v>
      </c>
      <c r="JES3" s="18">
        <v>91541</v>
      </c>
      <c r="JET3" s="18">
        <v>91548</v>
      </c>
      <c r="JEU3" s="18">
        <v>91555</v>
      </c>
      <c r="JEV3" s="18">
        <v>91562</v>
      </c>
      <c r="JEW3" s="18">
        <v>91569</v>
      </c>
      <c r="JEX3" s="18">
        <v>91576</v>
      </c>
      <c r="JEY3" s="18">
        <v>91583</v>
      </c>
      <c r="JEZ3" s="18">
        <v>91590</v>
      </c>
      <c r="JFA3" s="18">
        <v>91597</v>
      </c>
      <c r="JFB3" s="18">
        <v>91604</v>
      </c>
      <c r="JFC3" s="18">
        <v>91611</v>
      </c>
      <c r="JFD3" s="18">
        <v>91618</v>
      </c>
      <c r="JFE3" s="18">
        <v>91625</v>
      </c>
      <c r="JFF3" s="18">
        <v>91632</v>
      </c>
      <c r="JFG3" s="18">
        <v>91639</v>
      </c>
      <c r="JFH3" s="18">
        <v>91646</v>
      </c>
      <c r="JFI3" s="18">
        <v>91653</v>
      </c>
      <c r="JFJ3" s="18">
        <v>91660</v>
      </c>
      <c r="JFK3" s="18">
        <v>91667</v>
      </c>
      <c r="JFL3" s="18">
        <v>91674</v>
      </c>
      <c r="JFM3" s="18">
        <v>91681</v>
      </c>
      <c r="JFN3" s="18">
        <v>91688</v>
      </c>
      <c r="JFO3" s="18">
        <v>91695</v>
      </c>
      <c r="JFP3" s="18">
        <v>91702</v>
      </c>
      <c r="JFQ3" s="18">
        <v>91709</v>
      </c>
      <c r="JFR3" s="18">
        <v>91716</v>
      </c>
      <c r="JFS3" s="18">
        <v>91723</v>
      </c>
      <c r="JFT3" s="18">
        <v>91730</v>
      </c>
      <c r="JFU3" s="18">
        <v>91737</v>
      </c>
      <c r="JFV3" s="18">
        <v>91744</v>
      </c>
      <c r="JFW3" s="18">
        <v>91751</v>
      </c>
      <c r="JFX3" s="18">
        <v>91758</v>
      </c>
      <c r="JFY3" s="18">
        <v>91765</v>
      </c>
      <c r="JFZ3" s="18">
        <v>91772</v>
      </c>
      <c r="JGA3" s="18">
        <v>91779</v>
      </c>
      <c r="JGB3" s="18">
        <v>91786</v>
      </c>
      <c r="JGC3" s="18">
        <v>91793</v>
      </c>
      <c r="JGD3" s="18">
        <v>91800</v>
      </c>
      <c r="JGE3" s="18">
        <v>91807</v>
      </c>
      <c r="JGF3" s="18">
        <v>91814</v>
      </c>
      <c r="JGG3" s="18">
        <v>91821</v>
      </c>
      <c r="JGH3" s="18">
        <v>91828</v>
      </c>
      <c r="JGI3" s="18">
        <v>91835</v>
      </c>
      <c r="JGJ3" s="18">
        <v>91842</v>
      </c>
      <c r="JGK3" s="18">
        <v>91849</v>
      </c>
      <c r="JGL3" s="18">
        <v>91856</v>
      </c>
      <c r="JGM3" s="18">
        <v>91863</v>
      </c>
      <c r="JGN3" s="18">
        <v>91870</v>
      </c>
      <c r="JGO3" s="18">
        <v>91877</v>
      </c>
      <c r="JGP3" s="18">
        <v>91884</v>
      </c>
      <c r="JGQ3" s="18">
        <v>91891</v>
      </c>
      <c r="JGR3" s="18">
        <v>91898</v>
      </c>
      <c r="JGS3" s="18">
        <v>91905</v>
      </c>
      <c r="JGT3" s="18">
        <v>91912</v>
      </c>
      <c r="JGU3" s="18">
        <v>91919</v>
      </c>
      <c r="JGV3" s="18">
        <v>91926</v>
      </c>
      <c r="JGW3" s="18">
        <v>91933</v>
      </c>
      <c r="JGX3" s="18">
        <v>91940</v>
      </c>
      <c r="JGY3" s="18">
        <v>91947</v>
      </c>
      <c r="JGZ3" s="18">
        <v>91954</v>
      </c>
      <c r="JHA3" s="18">
        <v>91961</v>
      </c>
      <c r="JHB3" s="18">
        <v>91968</v>
      </c>
      <c r="JHC3" s="18">
        <v>91975</v>
      </c>
      <c r="JHD3" s="18">
        <v>91982</v>
      </c>
      <c r="JHE3" s="18">
        <v>91989</v>
      </c>
      <c r="JHF3" s="18">
        <v>91996</v>
      </c>
      <c r="JHG3" s="18">
        <v>92003</v>
      </c>
      <c r="JHH3" s="18">
        <v>92010</v>
      </c>
      <c r="JHI3" s="18">
        <v>92017</v>
      </c>
      <c r="JHJ3" s="18">
        <v>92024</v>
      </c>
      <c r="JHK3" s="18">
        <v>92031</v>
      </c>
      <c r="JHL3" s="18">
        <v>92038</v>
      </c>
      <c r="JHM3" s="18">
        <v>92045</v>
      </c>
      <c r="JHN3" s="18">
        <v>92052</v>
      </c>
      <c r="JHO3" s="18">
        <v>92059</v>
      </c>
      <c r="JHP3" s="18">
        <v>92066</v>
      </c>
      <c r="JHQ3" s="18">
        <v>92073</v>
      </c>
      <c r="JHR3" s="18">
        <v>92080</v>
      </c>
      <c r="JHS3" s="18">
        <v>92087</v>
      </c>
      <c r="JHT3" s="18">
        <v>92094</v>
      </c>
      <c r="JHU3" s="18">
        <v>92101</v>
      </c>
      <c r="JHV3" s="18">
        <v>92108</v>
      </c>
      <c r="JHW3" s="18">
        <v>92115</v>
      </c>
      <c r="JHX3" s="18">
        <v>92122</v>
      </c>
      <c r="JHY3" s="18">
        <v>92129</v>
      </c>
      <c r="JHZ3" s="18">
        <v>92136</v>
      </c>
      <c r="JIA3" s="18">
        <v>92143</v>
      </c>
      <c r="JIB3" s="18">
        <v>92150</v>
      </c>
      <c r="JIC3" s="18">
        <v>92157</v>
      </c>
      <c r="JID3" s="18">
        <v>92164</v>
      </c>
      <c r="JIE3" s="18">
        <v>92171</v>
      </c>
      <c r="JIF3" s="18">
        <v>92178</v>
      </c>
      <c r="JIG3" s="18">
        <v>92185</v>
      </c>
      <c r="JIH3" s="18">
        <v>92192</v>
      </c>
      <c r="JII3" s="18">
        <v>92199</v>
      </c>
      <c r="JIJ3" s="18">
        <v>92206</v>
      </c>
      <c r="JIK3" s="18">
        <v>92213</v>
      </c>
      <c r="JIL3" s="18">
        <v>92220</v>
      </c>
      <c r="JIM3" s="18">
        <v>92227</v>
      </c>
      <c r="JIN3" s="18">
        <v>92234</v>
      </c>
      <c r="JIO3" s="18">
        <v>92241</v>
      </c>
      <c r="JIP3" s="18">
        <v>92248</v>
      </c>
      <c r="JIQ3" s="18">
        <v>92255</v>
      </c>
      <c r="JIR3" s="18">
        <v>92262</v>
      </c>
      <c r="JIS3" s="18">
        <v>92269</v>
      </c>
      <c r="JIT3" s="18">
        <v>92276</v>
      </c>
      <c r="JIU3" s="18">
        <v>92283</v>
      </c>
      <c r="JIV3" s="18">
        <v>92290</v>
      </c>
      <c r="JIW3" s="18">
        <v>92297</v>
      </c>
      <c r="JIX3" s="18">
        <v>92304</v>
      </c>
      <c r="JIY3" s="18">
        <v>92311</v>
      </c>
      <c r="JIZ3" s="18">
        <v>92318</v>
      </c>
      <c r="JJA3" s="18">
        <v>92325</v>
      </c>
      <c r="JJB3" s="18">
        <v>92332</v>
      </c>
      <c r="JJC3" s="18">
        <v>92339</v>
      </c>
      <c r="JJD3" s="18">
        <v>92346</v>
      </c>
      <c r="JJE3" s="18">
        <v>92353</v>
      </c>
      <c r="JJF3" s="18">
        <v>92360</v>
      </c>
      <c r="JJG3" s="18">
        <v>92367</v>
      </c>
      <c r="JJH3" s="18">
        <v>92374</v>
      </c>
      <c r="JJI3" s="18">
        <v>92381</v>
      </c>
      <c r="JJJ3" s="18">
        <v>92388</v>
      </c>
      <c r="JJK3" s="18">
        <v>92395</v>
      </c>
      <c r="JJL3" s="18">
        <v>92402</v>
      </c>
      <c r="JJM3" s="18">
        <v>92409</v>
      </c>
      <c r="JJN3" s="18">
        <v>92416</v>
      </c>
      <c r="JJO3" s="18">
        <v>92423</v>
      </c>
      <c r="JJP3" s="18">
        <v>92430</v>
      </c>
      <c r="JJQ3" s="18">
        <v>92437</v>
      </c>
      <c r="JJR3" s="18">
        <v>92444</v>
      </c>
      <c r="JJS3" s="18">
        <v>92451</v>
      </c>
      <c r="JJT3" s="18">
        <v>92458</v>
      </c>
      <c r="JJU3" s="18">
        <v>92465</v>
      </c>
      <c r="JJV3" s="18">
        <v>92472</v>
      </c>
      <c r="JJW3" s="18">
        <v>92479</v>
      </c>
      <c r="JJX3" s="18">
        <v>92486</v>
      </c>
      <c r="JJY3" s="18">
        <v>92493</v>
      </c>
      <c r="JJZ3" s="18">
        <v>92500</v>
      </c>
      <c r="JKA3" s="18">
        <v>92507</v>
      </c>
      <c r="JKB3" s="18">
        <v>92514</v>
      </c>
      <c r="JKC3" s="18">
        <v>92521</v>
      </c>
      <c r="JKD3" s="18">
        <v>92528</v>
      </c>
      <c r="JKE3" s="18">
        <v>92535</v>
      </c>
      <c r="JKF3" s="18">
        <v>92542</v>
      </c>
      <c r="JKG3" s="18">
        <v>92549</v>
      </c>
      <c r="JKH3" s="18">
        <v>92556</v>
      </c>
      <c r="JKI3" s="18">
        <v>92563</v>
      </c>
      <c r="JKJ3" s="18">
        <v>92570</v>
      </c>
      <c r="JKK3" s="18">
        <v>92577</v>
      </c>
      <c r="JKL3" s="18">
        <v>92584</v>
      </c>
      <c r="JKM3" s="18">
        <v>92591</v>
      </c>
      <c r="JKN3" s="18">
        <v>92598</v>
      </c>
      <c r="JKO3" s="18">
        <v>92605</v>
      </c>
      <c r="JKP3" s="18">
        <v>92612</v>
      </c>
      <c r="JKQ3" s="18">
        <v>92619</v>
      </c>
      <c r="JKR3" s="18">
        <v>92626</v>
      </c>
      <c r="JKS3" s="18">
        <v>92633</v>
      </c>
      <c r="JKT3" s="18">
        <v>92640</v>
      </c>
      <c r="JKU3" s="18">
        <v>92647</v>
      </c>
      <c r="JKV3" s="18">
        <v>92654</v>
      </c>
      <c r="JKW3" s="18">
        <v>92661</v>
      </c>
      <c r="JKX3" s="18">
        <v>92668</v>
      </c>
      <c r="JKY3" s="18">
        <v>92675</v>
      </c>
      <c r="JKZ3" s="18">
        <v>92682</v>
      </c>
      <c r="JLA3" s="18">
        <v>92689</v>
      </c>
      <c r="JLB3" s="18">
        <v>92696</v>
      </c>
      <c r="JLC3" s="18">
        <v>92703</v>
      </c>
      <c r="JLD3" s="18">
        <v>92710</v>
      </c>
      <c r="JLE3" s="18">
        <v>92717</v>
      </c>
      <c r="JLF3" s="18">
        <v>92724</v>
      </c>
      <c r="JLG3" s="18">
        <v>92731</v>
      </c>
      <c r="JLH3" s="18">
        <v>92738</v>
      </c>
      <c r="JLI3" s="18">
        <v>92745</v>
      </c>
      <c r="JLJ3" s="18">
        <v>92752</v>
      </c>
      <c r="JLK3" s="18">
        <v>92759</v>
      </c>
      <c r="JLL3" s="18">
        <v>92766</v>
      </c>
      <c r="JLM3" s="18">
        <v>92773</v>
      </c>
      <c r="JLN3" s="18">
        <v>92780</v>
      </c>
      <c r="JLO3" s="18">
        <v>92787</v>
      </c>
      <c r="JLP3" s="18">
        <v>92794</v>
      </c>
      <c r="JLQ3" s="18">
        <v>92801</v>
      </c>
      <c r="JLR3" s="18">
        <v>92808</v>
      </c>
      <c r="JLS3" s="18">
        <v>92815</v>
      </c>
      <c r="JLT3" s="18">
        <v>92822</v>
      </c>
      <c r="JLU3" s="18">
        <v>92829</v>
      </c>
      <c r="JLV3" s="18">
        <v>92836</v>
      </c>
      <c r="JLW3" s="18">
        <v>92843</v>
      </c>
      <c r="JLX3" s="18">
        <v>92850</v>
      </c>
      <c r="JLY3" s="18">
        <v>92857</v>
      </c>
      <c r="JLZ3" s="18">
        <v>92864</v>
      </c>
      <c r="JMA3" s="18">
        <v>92871</v>
      </c>
      <c r="JMB3" s="18">
        <v>92878</v>
      </c>
      <c r="JMC3" s="18">
        <v>92885</v>
      </c>
      <c r="JMD3" s="18">
        <v>92892</v>
      </c>
      <c r="JME3" s="18">
        <v>92899</v>
      </c>
      <c r="JMF3" s="18">
        <v>92906</v>
      </c>
      <c r="JMG3" s="18">
        <v>92913</v>
      </c>
      <c r="JMH3" s="18">
        <v>92920</v>
      </c>
      <c r="JMI3" s="18">
        <v>92927</v>
      </c>
      <c r="JMJ3" s="18">
        <v>92934</v>
      </c>
      <c r="JMK3" s="18">
        <v>92941</v>
      </c>
      <c r="JML3" s="18">
        <v>92948</v>
      </c>
      <c r="JMM3" s="18">
        <v>92955</v>
      </c>
      <c r="JMN3" s="18">
        <v>92962</v>
      </c>
      <c r="JMO3" s="18">
        <v>92969</v>
      </c>
      <c r="JMP3" s="18">
        <v>92976</v>
      </c>
      <c r="JMQ3" s="18">
        <v>92983</v>
      </c>
      <c r="JMR3" s="18">
        <v>92990</v>
      </c>
      <c r="JMS3" s="18">
        <v>92997</v>
      </c>
      <c r="JMT3" s="18">
        <v>93004</v>
      </c>
      <c r="JMU3" s="18">
        <v>93011</v>
      </c>
      <c r="JMV3" s="18">
        <v>93018</v>
      </c>
      <c r="JMW3" s="18">
        <v>93025</v>
      </c>
      <c r="JMX3" s="18">
        <v>93032</v>
      </c>
      <c r="JMY3" s="18">
        <v>93039</v>
      </c>
      <c r="JMZ3" s="18">
        <v>93046</v>
      </c>
      <c r="JNA3" s="18">
        <v>93053</v>
      </c>
      <c r="JNB3" s="18">
        <v>93060</v>
      </c>
      <c r="JNC3" s="18">
        <v>93067</v>
      </c>
      <c r="JND3" s="18">
        <v>93074</v>
      </c>
      <c r="JNE3" s="18">
        <v>93081</v>
      </c>
      <c r="JNF3" s="18">
        <v>93088</v>
      </c>
      <c r="JNG3" s="18">
        <v>93095</v>
      </c>
      <c r="JNH3" s="18">
        <v>93102</v>
      </c>
      <c r="JNI3" s="18">
        <v>93109</v>
      </c>
      <c r="JNJ3" s="18">
        <v>93116</v>
      </c>
      <c r="JNK3" s="18">
        <v>93123</v>
      </c>
      <c r="JNL3" s="18">
        <v>93130</v>
      </c>
      <c r="JNM3" s="18">
        <v>93137</v>
      </c>
      <c r="JNN3" s="18">
        <v>93144</v>
      </c>
      <c r="JNO3" s="18">
        <v>93151</v>
      </c>
      <c r="JNP3" s="18">
        <v>93158</v>
      </c>
      <c r="JNQ3" s="18">
        <v>93165</v>
      </c>
      <c r="JNR3" s="18">
        <v>93172</v>
      </c>
      <c r="JNS3" s="18">
        <v>93179</v>
      </c>
      <c r="JNT3" s="18">
        <v>93186</v>
      </c>
      <c r="JNU3" s="18">
        <v>93193</v>
      </c>
      <c r="JNV3" s="18">
        <v>93200</v>
      </c>
      <c r="JNW3" s="18">
        <v>93207</v>
      </c>
      <c r="JNX3" s="18">
        <v>93214</v>
      </c>
      <c r="JNY3" s="18">
        <v>93221</v>
      </c>
      <c r="JNZ3" s="18">
        <v>93228</v>
      </c>
      <c r="JOA3" s="18">
        <v>93235</v>
      </c>
      <c r="JOB3" s="18">
        <v>93242</v>
      </c>
      <c r="JOC3" s="18">
        <v>93249</v>
      </c>
      <c r="JOD3" s="18">
        <v>93256</v>
      </c>
      <c r="JOE3" s="18">
        <v>93263</v>
      </c>
      <c r="JOF3" s="18">
        <v>93270</v>
      </c>
      <c r="JOG3" s="18">
        <v>93277</v>
      </c>
      <c r="JOH3" s="18">
        <v>93284</v>
      </c>
      <c r="JOI3" s="18">
        <v>93291</v>
      </c>
      <c r="JOJ3" s="18">
        <v>93298</v>
      </c>
      <c r="JOK3" s="18">
        <v>93305</v>
      </c>
      <c r="JOL3" s="18">
        <v>93312</v>
      </c>
      <c r="JOM3" s="18">
        <v>93319</v>
      </c>
      <c r="JON3" s="18">
        <v>93326</v>
      </c>
      <c r="JOO3" s="18">
        <v>93333</v>
      </c>
      <c r="JOP3" s="18">
        <v>93340</v>
      </c>
      <c r="JOQ3" s="18">
        <v>93347</v>
      </c>
      <c r="JOR3" s="18">
        <v>93354</v>
      </c>
      <c r="JOS3" s="18">
        <v>93361</v>
      </c>
      <c r="JOT3" s="18">
        <v>93368</v>
      </c>
      <c r="JOU3" s="18">
        <v>93375</v>
      </c>
      <c r="JOV3" s="18">
        <v>93382</v>
      </c>
      <c r="JOW3" s="18">
        <v>93389</v>
      </c>
      <c r="JOX3" s="18">
        <v>93396</v>
      </c>
      <c r="JOY3" s="18">
        <v>93403</v>
      </c>
      <c r="JOZ3" s="18">
        <v>93410</v>
      </c>
      <c r="JPA3" s="18">
        <v>93417</v>
      </c>
      <c r="JPB3" s="18">
        <v>93424</v>
      </c>
      <c r="JPC3" s="18">
        <v>93431</v>
      </c>
      <c r="JPD3" s="18">
        <v>93438</v>
      </c>
      <c r="JPE3" s="18">
        <v>93445</v>
      </c>
      <c r="JPF3" s="18">
        <v>93452</v>
      </c>
      <c r="JPG3" s="18">
        <v>93459</v>
      </c>
      <c r="JPH3" s="18">
        <v>93466</v>
      </c>
      <c r="JPI3" s="18">
        <v>93473</v>
      </c>
      <c r="JPJ3" s="18">
        <v>93480</v>
      </c>
      <c r="JPK3" s="18">
        <v>93487</v>
      </c>
      <c r="JPL3" s="18">
        <v>93494</v>
      </c>
      <c r="JPM3" s="18">
        <v>93501</v>
      </c>
      <c r="JPN3" s="18">
        <v>93508</v>
      </c>
      <c r="JPO3" s="18">
        <v>93515</v>
      </c>
      <c r="JPP3" s="18">
        <v>93522</v>
      </c>
      <c r="JPQ3" s="18">
        <v>93529</v>
      </c>
      <c r="JPR3" s="18">
        <v>93536</v>
      </c>
      <c r="JPS3" s="18">
        <v>93543</v>
      </c>
      <c r="JPT3" s="18">
        <v>93550</v>
      </c>
      <c r="JPU3" s="18">
        <v>93557</v>
      </c>
      <c r="JPV3" s="18">
        <v>93564</v>
      </c>
      <c r="JPW3" s="18">
        <v>93571</v>
      </c>
      <c r="JPX3" s="18">
        <v>93578</v>
      </c>
      <c r="JPY3" s="18">
        <v>93585</v>
      </c>
      <c r="JPZ3" s="18">
        <v>93592</v>
      </c>
      <c r="JQA3" s="18">
        <v>93599</v>
      </c>
      <c r="JQB3" s="18">
        <v>93606</v>
      </c>
      <c r="JQC3" s="18">
        <v>93613</v>
      </c>
      <c r="JQD3" s="18">
        <v>93620</v>
      </c>
      <c r="JQE3" s="18">
        <v>93627</v>
      </c>
      <c r="JQF3" s="18">
        <v>93634</v>
      </c>
      <c r="JQG3" s="18">
        <v>93641</v>
      </c>
      <c r="JQH3" s="18">
        <v>93648</v>
      </c>
      <c r="JQI3" s="18">
        <v>93655</v>
      </c>
      <c r="JQJ3" s="18">
        <v>93662</v>
      </c>
      <c r="JQK3" s="18">
        <v>93669</v>
      </c>
      <c r="JQL3" s="18">
        <v>93676</v>
      </c>
      <c r="JQM3" s="18">
        <v>93683</v>
      </c>
      <c r="JQN3" s="18">
        <v>93690</v>
      </c>
      <c r="JQO3" s="18">
        <v>93697</v>
      </c>
      <c r="JQP3" s="18">
        <v>93704</v>
      </c>
      <c r="JQQ3" s="18">
        <v>93711</v>
      </c>
      <c r="JQR3" s="18">
        <v>93718</v>
      </c>
      <c r="JQS3" s="18">
        <v>93725</v>
      </c>
      <c r="JQT3" s="18">
        <v>93732</v>
      </c>
      <c r="JQU3" s="18">
        <v>93739</v>
      </c>
      <c r="JQV3" s="18">
        <v>93746</v>
      </c>
      <c r="JQW3" s="18">
        <v>93753</v>
      </c>
      <c r="JQX3" s="18">
        <v>93760</v>
      </c>
      <c r="JQY3" s="18">
        <v>93767</v>
      </c>
      <c r="JQZ3" s="18">
        <v>93774</v>
      </c>
      <c r="JRA3" s="18">
        <v>93781</v>
      </c>
      <c r="JRB3" s="18">
        <v>93788</v>
      </c>
      <c r="JRC3" s="18">
        <v>93795</v>
      </c>
      <c r="JRD3" s="18">
        <v>93802</v>
      </c>
      <c r="JRE3" s="18">
        <v>93809</v>
      </c>
      <c r="JRF3" s="18">
        <v>93816</v>
      </c>
      <c r="JRG3" s="18">
        <v>93823</v>
      </c>
      <c r="JRH3" s="18">
        <v>93830</v>
      </c>
      <c r="JRI3" s="18">
        <v>93837</v>
      </c>
      <c r="JRJ3" s="18">
        <v>93844</v>
      </c>
      <c r="JRK3" s="18">
        <v>93851</v>
      </c>
      <c r="JRL3" s="18">
        <v>93858</v>
      </c>
      <c r="JRM3" s="18">
        <v>93865</v>
      </c>
      <c r="JRN3" s="18">
        <v>93872</v>
      </c>
      <c r="JRO3" s="18">
        <v>93879</v>
      </c>
      <c r="JRP3" s="18">
        <v>93886</v>
      </c>
      <c r="JRQ3" s="18">
        <v>93893</v>
      </c>
      <c r="JRR3" s="18">
        <v>93900</v>
      </c>
      <c r="JRS3" s="18">
        <v>93907</v>
      </c>
      <c r="JRT3" s="18">
        <v>93914</v>
      </c>
      <c r="JRU3" s="18">
        <v>93921</v>
      </c>
      <c r="JRV3" s="18">
        <v>93928</v>
      </c>
      <c r="JRW3" s="18">
        <v>93935</v>
      </c>
      <c r="JRX3" s="18">
        <v>93942</v>
      </c>
      <c r="JRY3" s="18">
        <v>93949</v>
      </c>
      <c r="JRZ3" s="18">
        <v>93956</v>
      </c>
      <c r="JSA3" s="18">
        <v>93963</v>
      </c>
      <c r="JSB3" s="18">
        <v>93970</v>
      </c>
      <c r="JSC3" s="18">
        <v>93977</v>
      </c>
      <c r="JSD3" s="18">
        <v>93984</v>
      </c>
      <c r="JSE3" s="18">
        <v>93991</v>
      </c>
      <c r="JSF3" s="18">
        <v>93998</v>
      </c>
      <c r="JSG3" s="18">
        <v>94005</v>
      </c>
      <c r="JSH3" s="18">
        <v>94012</v>
      </c>
      <c r="JSI3" s="18">
        <v>94019</v>
      </c>
      <c r="JSJ3" s="18">
        <v>94026</v>
      </c>
      <c r="JSK3" s="18">
        <v>94033</v>
      </c>
      <c r="JSL3" s="18">
        <v>94040</v>
      </c>
      <c r="JSM3" s="18">
        <v>94047</v>
      </c>
      <c r="JSN3" s="18">
        <v>94054</v>
      </c>
      <c r="JSO3" s="18">
        <v>94061</v>
      </c>
      <c r="JSP3" s="18">
        <v>94068</v>
      </c>
      <c r="JSQ3" s="18">
        <v>94075</v>
      </c>
      <c r="JSR3" s="18">
        <v>94082</v>
      </c>
      <c r="JSS3" s="18">
        <v>94089</v>
      </c>
      <c r="JST3" s="18">
        <v>94096</v>
      </c>
      <c r="JSU3" s="18">
        <v>94103</v>
      </c>
      <c r="JSV3" s="18">
        <v>94110</v>
      </c>
      <c r="JSW3" s="18">
        <v>94117</v>
      </c>
      <c r="JSX3" s="18">
        <v>94124</v>
      </c>
      <c r="JSY3" s="18">
        <v>94131</v>
      </c>
      <c r="JSZ3" s="18">
        <v>94138</v>
      </c>
      <c r="JTA3" s="18">
        <v>94145</v>
      </c>
      <c r="JTB3" s="18">
        <v>94152</v>
      </c>
      <c r="JTC3" s="18">
        <v>94159</v>
      </c>
      <c r="JTD3" s="18">
        <v>94166</v>
      </c>
      <c r="JTE3" s="18">
        <v>94173</v>
      </c>
      <c r="JTF3" s="18">
        <v>94180</v>
      </c>
      <c r="JTG3" s="18">
        <v>94187</v>
      </c>
      <c r="JTH3" s="18">
        <v>94194</v>
      </c>
      <c r="JTI3" s="18">
        <v>94201</v>
      </c>
      <c r="JTJ3" s="18">
        <v>94208</v>
      </c>
      <c r="JTK3" s="18">
        <v>94215</v>
      </c>
      <c r="JTL3" s="18">
        <v>94222</v>
      </c>
      <c r="JTM3" s="18">
        <v>94229</v>
      </c>
      <c r="JTN3" s="18">
        <v>94236</v>
      </c>
      <c r="JTO3" s="18">
        <v>94243</v>
      </c>
      <c r="JTP3" s="18">
        <v>94250</v>
      </c>
      <c r="JTQ3" s="18">
        <v>94257</v>
      </c>
      <c r="JTR3" s="18">
        <v>94264</v>
      </c>
      <c r="JTS3" s="18">
        <v>94271</v>
      </c>
      <c r="JTT3" s="18">
        <v>94278</v>
      </c>
      <c r="JTU3" s="18">
        <v>94285</v>
      </c>
      <c r="JTV3" s="18">
        <v>94292</v>
      </c>
      <c r="JTW3" s="18">
        <v>94299</v>
      </c>
      <c r="JTX3" s="18">
        <v>94306</v>
      </c>
      <c r="JTY3" s="18">
        <v>94313</v>
      </c>
      <c r="JTZ3" s="18">
        <v>94320</v>
      </c>
      <c r="JUA3" s="18">
        <v>94327</v>
      </c>
      <c r="JUB3" s="18">
        <v>94334</v>
      </c>
      <c r="JUC3" s="18">
        <v>94341</v>
      </c>
      <c r="JUD3" s="18">
        <v>94348</v>
      </c>
      <c r="JUE3" s="18">
        <v>94355</v>
      </c>
      <c r="JUF3" s="18">
        <v>94362</v>
      </c>
      <c r="JUG3" s="18">
        <v>94369</v>
      </c>
      <c r="JUH3" s="18">
        <v>94376</v>
      </c>
      <c r="JUI3" s="18">
        <v>94383</v>
      </c>
      <c r="JUJ3" s="18">
        <v>94390</v>
      </c>
      <c r="JUK3" s="18">
        <v>94397</v>
      </c>
      <c r="JUL3" s="18">
        <v>94404</v>
      </c>
      <c r="JUM3" s="18">
        <v>94411</v>
      </c>
      <c r="JUN3" s="18">
        <v>94418</v>
      </c>
      <c r="JUO3" s="18">
        <v>94425</v>
      </c>
      <c r="JUP3" s="18">
        <v>94432</v>
      </c>
      <c r="JUQ3" s="18">
        <v>94439</v>
      </c>
      <c r="JUR3" s="18">
        <v>94446</v>
      </c>
      <c r="JUS3" s="18">
        <v>94453</v>
      </c>
      <c r="JUT3" s="18">
        <v>94460</v>
      </c>
      <c r="JUU3" s="18">
        <v>94467</v>
      </c>
      <c r="JUV3" s="18">
        <v>94474</v>
      </c>
      <c r="JUW3" s="18">
        <v>94481</v>
      </c>
      <c r="JUX3" s="18">
        <v>94488</v>
      </c>
      <c r="JUY3" s="18">
        <v>94495</v>
      </c>
      <c r="JUZ3" s="18">
        <v>94502</v>
      </c>
      <c r="JVA3" s="18">
        <v>94509</v>
      </c>
      <c r="JVB3" s="18">
        <v>94516</v>
      </c>
      <c r="JVC3" s="18">
        <v>94523</v>
      </c>
      <c r="JVD3" s="18">
        <v>94530</v>
      </c>
      <c r="JVE3" s="18">
        <v>94537</v>
      </c>
      <c r="JVF3" s="18">
        <v>94544</v>
      </c>
      <c r="JVG3" s="18">
        <v>94551</v>
      </c>
      <c r="JVH3" s="18">
        <v>94558</v>
      </c>
      <c r="JVI3" s="18">
        <v>94565</v>
      </c>
      <c r="JVJ3" s="18">
        <v>94572</v>
      </c>
      <c r="JVK3" s="18">
        <v>94579</v>
      </c>
      <c r="JVL3" s="18">
        <v>94586</v>
      </c>
      <c r="JVM3" s="18">
        <v>94593</v>
      </c>
      <c r="JVN3" s="18">
        <v>94600</v>
      </c>
      <c r="JVO3" s="18">
        <v>94607</v>
      </c>
      <c r="JVP3" s="18">
        <v>94614</v>
      </c>
      <c r="JVQ3" s="18">
        <v>94621</v>
      </c>
      <c r="JVR3" s="18">
        <v>94628</v>
      </c>
      <c r="JVS3" s="18">
        <v>94635</v>
      </c>
      <c r="JVT3" s="18">
        <v>94642</v>
      </c>
      <c r="JVU3" s="18">
        <v>94649</v>
      </c>
      <c r="JVV3" s="18">
        <v>94656</v>
      </c>
      <c r="JVW3" s="18">
        <v>94663</v>
      </c>
      <c r="JVX3" s="18">
        <v>94670</v>
      </c>
      <c r="JVY3" s="18">
        <v>94677</v>
      </c>
      <c r="JVZ3" s="18">
        <v>94684</v>
      </c>
      <c r="JWA3" s="18">
        <v>94691</v>
      </c>
      <c r="JWB3" s="18">
        <v>94698</v>
      </c>
      <c r="JWC3" s="18">
        <v>94705</v>
      </c>
      <c r="JWD3" s="18">
        <v>94712</v>
      </c>
      <c r="JWE3" s="18">
        <v>94719</v>
      </c>
      <c r="JWF3" s="18">
        <v>94726</v>
      </c>
      <c r="JWG3" s="18">
        <v>94733</v>
      </c>
      <c r="JWH3" s="18">
        <v>94740</v>
      </c>
      <c r="JWI3" s="18">
        <v>94747</v>
      </c>
      <c r="JWJ3" s="18">
        <v>94754</v>
      </c>
      <c r="JWK3" s="18">
        <v>94761</v>
      </c>
      <c r="JWL3" s="18">
        <v>94768</v>
      </c>
      <c r="JWM3" s="18">
        <v>94775</v>
      </c>
      <c r="JWN3" s="18">
        <v>94782</v>
      </c>
      <c r="JWO3" s="18">
        <v>94789</v>
      </c>
      <c r="JWP3" s="18">
        <v>94796</v>
      </c>
      <c r="JWQ3" s="18">
        <v>94803</v>
      </c>
      <c r="JWR3" s="18">
        <v>94810</v>
      </c>
      <c r="JWS3" s="18">
        <v>94817</v>
      </c>
      <c r="JWT3" s="18">
        <v>94824</v>
      </c>
      <c r="JWU3" s="18">
        <v>94831</v>
      </c>
      <c r="JWV3" s="18">
        <v>94838</v>
      </c>
      <c r="JWW3" s="18">
        <v>94845</v>
      </c>
      <c r="JWX3" s="18">
        <v>94852</v>
      </c>
      <c r="JWY3" s="18">
        <v>94859</v>
      </c>
      <c r="JWZ3" s="18">
        <v>94866</v>
      </c>
      <c r="JXA3" s="18">
        <v>94873</v>
      </c>
      <c r="JXB3" s="18">
        <v>94880</v>
      </c>
      <c r="JXC3" s="18">
        <v>94887</v>
      </c>
      <c r="JXD3" s="18">
        <v>94894</v>
      </c>
      <c r="JXE3" s="18">
        <v>94901</v>
      </c>
      <c r="JXF3" s="18">
        <v>94908</v>
      </c>
      <c r="JXG3" s="18">
        <v>94915</v>
      </c>
      <c r="JXH3" s="18">
        <v>94922</v>
      </c>
      <c r="JXI3" s="18">
        <v>94929</v>
      </c>
      <c r="JXJ3" s="18">
        <v>94936</v>
      </c>
      <c r="JXK3" s="18">
        <v>94943</v>
      </c>
      <c r="JXL3" s="18">
        <v>94950</v>
      </c>
      <c r="JXM3" s="18">
        <v>94957</v>
      </c>
      <c r="JXN3" s="18">
        <v>94964</v>
      </c>
      <c r="JXO3" s="18">
        <v>94971</v>
      </c>
      <c r="JXP3" s="18">
        <v>94978</v>
      </c>
      <c r="JXQ3" s="18">
        <v>94985</v>
      </c>
      <c r="JXR3" s="18">
        <v>94992</v>
      </c>
      <c r="JXS3" s="18">
        <v>94999</v>
      </c>
      <c r="JXT3" s="18">
        <v>95006</v>
      </c>
      <c r="JXU3" s="18">
        <v>95013</v>
      </c>
      <c r="JXV3" s="18">
        <v>95020</v>
      </c>
      <c r="JXW3" s="18">
        <v>95027</v>
      </c>
      <c r="JXX3" s="18">
        <v>95034</v>
      </c>
      <c r="JXY3" s="18">
        <v>95041</v>
      </c>
      <c r="JXZ3" s="18">
        <v>95048</v>
      </c>
      <c r="JYA3" s="18">
        <v>95055</v>
      </c>
      <c r="JYB3" s="18">
        <v>95062</v>
      </c>
      <c r="JYC3" s="18">
        <v>95069</v>
      </c>
      <c r="JYD3" s="18">
        <v>95076</v>
      </c>
      <c r="JYE3" s="18">
        <v>95083</v>
      </c>
      <c r="JYF3" s="18">
        <v>95090</v>
      </c>
      <c r="JYG3" s="18">
        <v>95097</v>
      </c>
      <c r="JYH3" s="18">
        <v>95104</v>
      </c>
      <c r="JYI3" s="18">
        <v>95111</v>
      </c>
      <c r="JYJ3" s="18">
        <v>95118</v>
      </c>
      <c r="JYK3" s="18">
        <v>95125</v>
      </c>
      <c r="JYL3" s="18">
        <v>95132</v>
      </c>
      <c r="JYM3" s="18">
        <v>95139</v>
      </c>
      <c r="JYN3" s="18">
        <v>95146</v>
      </c>
      <c r="JYO3" s="18">
        <v>95153</v>
      </c>
      <c r="JYP3" s="18">
        <v>95160</v>
      </c>
      <c r="JYQ3" s="18">
        <v>95167</v>
      </c>
      <c r="JYR3" s="18">
        <v>95174</v>
      </c>
      <c r="JYS3" s="18">
        <v>95181</v>
      </c>
      <c r="JYT3" s="18">
        <v>95188</v>
      </c>
      <c r="JYU3" s="18">
        <v>95195</v>
      </c>
      <c r="JYV3" s="18">
        <v>95202</v>
      </c>
      <c r="JYW3" s="18">
        <v>95209</v>
      </c>
      <c r="JYX3" s="18">
        <v>95216</v>
      </c>
      <c r="JYY3" s="18">
        <v>95223</v>
      </c>
      <c r="JYZ3" s="18">
        <v>95230</v>
      </c>
      <c r="JZA3" s="18">
        <v>95237</v>
      </c>
      <c r="JZB3" s="18">
        <v>95244</v>
      </c>
      <c r="JZC3" s="18">
        <v>95251</v>
      </c>
      <c r="JZD3" s="18">
        <v>95258</v>
      </c>
      <c r="JZE3" s="18">
        <v>95265</v>
      </c>
      <c r="JZF3" s="18">
        <v>95272</v>
      </c>
      <c r="JZG3" s="18">
        <v>95279</v>
      </c>
      <c r="JZH3" s="18">
        <v>95286</v>
      </c>
      <c r="JZI3" s="18">
        <v>95293</v>
      </c>
      <c r="JZJ3" s="18">
        <v>95300</v>
      </c>
      <c r="JZK3" s="18">
        <v>95307</v>
      </c>
      <c r="JZL3" s="18">
        <v>95314</v>
      </c>
      <c r="JZM3" s="18">
        <v>95321</v>
      </c>
      <c r="JZN3" s="18">
        <v>95328</v>
      </c>
      <c r="JZO3" s="18">
        <v>95335</v>
      </c>
      <c r="JZP3" s="18">
        <v>95342</v>
      </c>
      <c r="JZQ3" s="18">
        <v>95349</v>
      </c>
      <c r="JZR3" s="18">
        <v>95356</v>
      </c>
      <c r="JZS3" s="18">
        <v>95363</v>
      </c>
      <c r="JZT3" s="18">
        <v>95370</v>
      </c>
      <c r="JZU3" s="18">
        <v>95377</v>
      </c>
      <c r="JZV3" s="18">
        <v>95384</v>
      </c>
      <c r="JZW3" s="18">
        <v>95391</v>
      </c>
      <c r="JZX3" s="18">
        <v>95398</v>
      </c>
      <c r="JZY3" s="18">
        <v>95405</v>
      </c>
      <c r="JZZ3" s="18">
        <v>95412</v>
      </c>
      <c r="KAA3" s="18">
        <v>95419</v>
      </c>
      <c r="KAB3" s="18">
        <v>95426</v>
      </c>
      <c r="KAC3" s="18">
        <v>95433</v>
      </c>
      <c r="KAD3" s="18">
        <v>95440</v>
      </c>
      <c r="KAE3" s="18">
        <v>95447</v>
      </c>
      <c r="KAF3" s="18">
        <v>95454</v>
      </c>
      <c r="KAG3" s="18">
        <v>95461</v>
      </c>
      <c r="KAH3" s="18">
        <v>95468</v>
      </c>
      <c r="KAI3" s="18">
        <v>95475</v>
      </c>
      <c r="KAJ3" s="18">
        <v>95482</v>
      </c>
      <c r="KAK3" s="18">
        <v>95489</v>
      </c>
      <c r="KAL3" s="18">
        <v>95496</v>
      </c>
      <c r="KAM3" s="18">
        <v>95503</v>
      </c>
      <c r="KAN3" s="18">
        <v>95510</v>
      </c>
      <c r="KAO3" s="18">
        <v>95517</v>
      </c>
      <c r="KAP3" s="18">
        <v>95524</v>
      </c>
      <c r="KAQ3" s="18">
        <v>95531</v>
      </c>
      <c r="KAR3" s="18">
        <v>95538</v>
      </c>
      <c r="KAS3" s="18">
        <v>95545</v>
      </c>
      <c r="KAT3" s="18">
        <v>95552</v>
      </c>
      <c r="KAU3" s="18">
        <v>95559</v>
      </c>
      <c r="KAV3" s="18">
        <v>95566</v>
      </c>
      <c r="KAW3" s="18">
        <v>95573</v>
      </c>
      <c r="KAX3" s="18">
        <v>95580</v>
      </c>
      <c r="KAY3" s="18">
        <v>95587</v>
      </c>
      <c r="KAZ3" s="18">
        <v>95594</v>
      </c>
      <c r="KBA3" s="18">
        <v>95601</v>
      </c>
      <c r="KBB3" s="18">
        <v>95608</v>
      </c>
      <c r="KBC3" s="18">
        <v>95615</v>
      </c>
      <c r="KBD3" s="18">
        <v>95622</v>
      </c>
      <c r="KBE3" s="18">
        <v>95629</v>
      </c>
      <c r="KBF3" s="18">
        <v>95636</v>
      </c>
      <c r="KBG3" s="18">
        <v>95643</v>
      </c>
      <c r="KBH3" s="18">
        <v>95650</v>
      </c>
      <c r="KBI3" s="18">
        <v>95657</v>
      </c>
      <c r="KBJ3" s="18">
        <v>95664</v>
      </c>
      <c r="KBK3" s="18">
        <v>95671</v>
      </c>
      <c r="KBL3" s="18">
        <v>95678</v>
      </c>
      <c r="KBM3" s="18">
        <v>95685</v>
      </c>
      <c r="KBN3" s="18">
        <v>95692</v>
      </c>
      <c r="KBO3" s="18">
        <v>95699</v>
      </c>
      <c r="KBP3" s="18">
        <v>95706</v>
      </c>
      <c r="KBQ3" s="18">
        <v>95713</v>
      </c>
      <c r="KBR3" s="18">
        <v>95720</v>
      </c>
      <c r="KBS3" s="18">
        <v>95727</v>
      </c>
      <c r="KBT3" s="18">
        <v>95734</v>
      </c>
      <c r="KBU3" s="18">
        <v>95741</v>
      </c>
      <c r="KBV3" s="18">
        <v>95748</v>
      </c>
      <c r="KBW3" s="18">
        <v>95755</v>
      </c>
      <c r="KBX3" s="18">
        <v>95762</v>
      </c>
      <c r="KBY3" s="18">
        <v>95769</v>
      </c>
      <c r="KBZ3" s="18">
        <v>95776</v>
      </c>
      <c r="KCA3" s="18">
        <v>95783</v>
      </c>
      <c r="KCB3" s="18">
        <v>95790</v>
      </c>
      <c r="KCC3" s="18">
        <v>95797</v>
      </c>
      <c r="KCD3" s="18">
        <v>95804</v>
      </c>
      <c r="KCE3" s="18">
        <v>95811</v>
      </c>
      <c r="KCF3" s="18">
        <v>95818</v>
      </c>
      <c r="KCG3" s="18">
        <v>95825</v>
      </c>
      <c r="KCH3" s="18">
        <v>95832</v>
      </c>
      <c r="KCI3" s="18">
        <v>95839</v>
      </c>
      <c r="KCJ3" s="18">
        <v>95846</v>
      </c>
      <c r="KCK3" s="18">
        <v>95853</v>
      </c>
      <c r="KCL3" s="18">
        <v>95860</v>
      </c>
      <c r="KCM3" s="18">
        <v>95867</v>
      </c>
      <c r="KCN3" s="18">
        <v>95874</v>
      </c>
      <c r="KCO3" s="18">
        <v>95881</v>
      </c>
      <c r="KCP3" s="18">
        <v>95888</v>
      </c>
      <c r="KCQ3" s="18">
        <v>95895</v>
      </c>
      <c r="KCR3" s="18">
        <v>95902</v>
      </c>
      <c r="KCS3" s="18">
        <v>95909</v>
      </c>
      <c r="KCT3" s="18">
        <v>95916</v>
      </c>
      <c r="KCU3" s="18">
        <v>95923</v>
      </c>
      <c r="KCV3" s="18">
        <v>95930</v>
      </c>
      <c r="KCW3" s="18">
        <v>95937</v>
      </c>
      <c r="KCX3" s="18">
        <v>95944</v>
      </c>
      <c r="KCY3" s="18">
        <v>95951</v>
      </c>
      <c r="KCZ3" s="18">
        <v>95958</v>
      </c>
      <c r="KDA3" s="18">
        <v>95965</v>
      </c>
      <c r="KDB3" s="18">
        <v>95972</v>
      </c>
      <c r="KDC3" s="18">
        <v>95979</v>
      </c>
      <c r="KDD3" s="18">
        <v>95986</v>
      </c>
      <c r="KDE3" s="18">
        <v>95993</v>
      </c>
      <c r="KDF3" s="18">
        <v>96000</v>
      </c>
      <c r="KDG3" s="18">
        <v>96007</v>
      </c>
      <c r="KDH3" s="18">
        <v>96014</v>
      </c>
      <c r="KDI3" s="18">
        <v>96021</v>
      </c>
      <c r="KDJ3" s="18">
        <v>96028</v>
      </c>
      <c r="KDK3" s="18">
        <v>96035</v>
      </c>
      <c r="KDL3" s="18">
        <v>96042</v>
      </c>
      <c r="KDM3" s="18">
        <v>96049</v>
      </c>
      <c r="KDN3" s="18">
        <v>96056</v>
      </c>
      <c r="KDO3" s="18">
        <v>96063</v>
      </c>
      <c r="KDP3" s="18">
        <v>96070</v>
      </c>
      <c r="KDQ3" s="18">
        <v>96077</v>
      </c>
      <c r="KDR3" s="18">
        <v>96084</v>
      </c>
      <c r="KDS3" s="18">
        <v>96091</v>
      </c>
      <c r="KDT3" s="18">
        <v>96098</v>
      </c>
      <c r="KDU3" s="18">
        <v>96105</v>
      </c>
      <c r="KDV3" s="18">
        <v>96112</v>
      </c>
      <c r="KDW3" s="18">
        <v>96119</v>
      </c>
      <c r="KDX3" s="18">
        <v>96126</v>
      </c>
      <c r="KDY3" s="18">
        <v>96133</v>
      </c>
      <c r="KDZ3" s="18">
        <v>96140</v>
      </c>
      <c r="KEA3" s="18">
        <v>96147</v>
      </c>
      <c r="KEB3" s="18">
        <v>96154</v>
      </c>
      <c r="KEC3" s="18">
        <v>96161</v>
      </c>
      <c r="KED3" s="18">
        <v>96168</v>
      </c>
      <c r="KEE3" s="18">
        <v>96175</v>
      </c>
      <c r="KEF3" s="18">
        <v>96182</v>
      </c>
      <c r="KEG3" s="18">
        <v>96189</v>
      </c>
      <c r="KEH3" s="18">
        <v>96196</v>
      </c>
      <c r="KEI3" s="18">
        <v>96203</v>
      </c>
      <c r="KEJ3" s="18">
        <v>96210</v>
      </c>
      <c r="KEK3" s="18">
        <v>96217</v>
      </c>
      <c r="KEL3" s="18">
        <v>96224</v>
      </c>
      <c r="KEM3" s="18">
        <v>96231</v>
      </c>
      <c r="KEN3" s="18">
        <v>96238</v>
      </c>
      <c r="KEO3" s="18">
        <v>96245</v>
      </c>
      <c r="KEP3" s="18">
        <v>96252</v>
      </c>
      <c r="KEQ3" s="18">
        <v>96259</v>
      </c>
      <c r="KER3" s="18">
        <v>96266</v>
      </c>
      <c r="KES3" s="18">
        <v>96273</v>
      </c>
      <c r="KET3" s="18">
        <v>96280</v>
      </c>
      <c r="KEU3" s="18">
        <v>96287</v>
      </c>
      <c r="KEV3" s="18">
        <v>96294</v>
      </c>
      <c r="KEW3" s="18">
        <v>96301</v>
      </c>
      <c r="KEX3" s="18">
        <v>96308</v>
      </c>
      <c r="KEY3" s="18">
        <v>96315</v>
      </c>
      <c r="KEZ3" s="18">
        <v>96322</v>
      </c>
      <c r="KFA3" s="18">
        <v>96329</v>
      </c>
      <c r="KFB3" s="18">
        <v>96336</v>
      </c>
      <c r="KFC3" s="18">
        <v>96343</v>
      </c>
      <c r="KFD3" s="18">
        <v>96350</v>
      </c>
      <c r="KFE3" s="18">
        <v>96357</v>
      </c>
      <c r="KFF3" s="18">
        <v>96364</v>
      </c>
      <c r="KFG3" s="18">
        <v>96371</v>
      </c>
      <c r="KFH3" s="18">
        <v>96378</v>
      </c>
      <c r="KFI3" s="18">
        <v>96385</v>
      </c>
      <c r="KFJ3" s="18">
        <v>96392</v>
      </c>
      <c r="KFK3" s="18">
        <v>96399</v>
      </c>
      <c r="KFL3" s="18">
        <v>96406</v>
      </c>
      <c r="KFM3" s="18">
        <v>96413</v>
      </c>
      <c r="KFN3" s="18">
        <v>96420</v>
      </c>
      <c r="KFO3" s="18">
        <v>96427</v>
      </c>
      <c r="KFP3" s="18">
        <v>96434</v>
      </c>
      <c r="KFQ3" s="18">
        <v>96441</v>
      </c>
      <c r="KFR3" s="18">
        <v>96448</v>
      </c>
      <c r="KFS3" s="18">
        <v>96455</v>
      </c>
      <c r="KFT3" s="18">
        <v>96462</v>
      </c>
      <c r="KFU3" s="18">
        <v>96469</v>
      </c>
      <c r="KFV3" s="18">
        <v>96476</v>
      </c>
      <c r="KFW3" s="18">
        <v>96483</v>
      </c>
      <c r="KFX3" s="18">
        <v>96490</v>
      </c>
      <c r="KFY3" s="18">
        <v>96497</v>
      </c>
      <c r="KFZ3" s="18">
        <v>96504</v>
      </c>
      <c r="KGA3" s="18">
        <v>96511</v>
      </c>
      <c r="KGB3" s="18">
        <v>96518</v>
      </c>
      <c r="KGC3" s="18">
        <v>96525</v>
      </c>
      <c r="KGD3" s="18">
        <v>96532</v>
      </c>
      <c r="KGE3" s="18">
        <v>96539</v>
      </c>
      <c r="KGF3" s="18">
        <v>96546</v>
      </c>
      <c r="KGG3" s="18">
        <v>96553</v>
      </c>
      <c r="KGH3" s="18">
        <v>96560</v>
      </c>
      <c r="KGI3" s="18">
        <v>96567</v>
      </c>
      <c r="KGJ3" s="18">
        <v>96574</v>
      </c>
      <c r="KGK3" s="18">
        <v>96581</v>
      </c>
      <c r="KGL3" s="18">
        <v>96588</v>
      </c>
      <c r="KGM3" s="18">
        <v>96595</v>
      </c>
      <c r="KGN3" s="18">
        <v>96602</v>
      </c>
      <c r="KGO3" s="18">
        <v>96609</v>
      </c>
      <c r="KGP3" s="18">
        <v>96616</v>
      </c>
      <c r="KGQ3" s="18">
        <v>96623</v>
      </c>
      <c r="KGR3" s="18">
        <v>96630</v>
      </c>
      <c r="KGS3" s="18">
        <v>96637</v>
      </c>
      <c r="KGT3" s="18">
        <v>96644</v>
      </c>
      <c r="KGU3" s="18">
        <v>96651</v>
      </c>
      <c r="KGV3" s="18">
        <v>96658</v>
      </c>
      <c r="KGW3" s="18">
        <v>96665</v>
      </c>
      <c r="KGX3" s="18">
        <v>96672</v>
      </c>
      <c r="KGY3" s="18">
        <v>96679</v>
      </c>
      <c r="KGZ3" s="18">
        <v>96686</v>
      </c>
      <c r="KHA3" s="18">
        <v>96693</v>
      </c>
      <c r="KHB3" s="18">
        <v>96700</v>
      </c>
      <c r="KHC3" s="18">
        <v>96707</v>
      </c>
      <c r="KHD3" s="18">
        <v>96714</v>
      </c>
      <c r="KHE3" s="18">
        <v>96721</v>
      </c>
      <c r="KHF3" s="18">
        <v>96728</v>
      </c>
      <c r="KHG3" s="18">
        <v>96735</v>
      </c>
      <c r="KHH3" s="18">
        <v>96742</v>
      </c>
      <c r="KHI3" s="18">
        <v>96749</v>
      </c>
      <c r="KHJ3" s="18">
        <v>96756</v>
      </c>
      <c r="KHK3" s="18">
        <v>96763</v>
      </c>
      <c r="KHL3" s="18">
        <v>96770</v>
      </c>
      <c r="KHM3" s="18">
        <v>96777</v>
      </c>
      <c r="KHN3" s="18">
        <v>96784</v>
      </c>
      <c r="KHO3" s="18">
        <v>96791</v>
      </c>
      <c r="KHP3" s="18">
        <v>96798</v>
      </c>
      <c r="KHQ3" s="18">
        <v>96805</v>
      </c>
      <c r="KHR3" s="18">
        <v>96812</v>
      </c>
      <c r="KHS3" s="18">
        <v>96819</v>
      </c>
      <c r="KHT3" s="18">
        <v>96826</v>
      </c>
      <c r="KHU3" s="18">
        <v>96833</v>
      </c>
      <c r="KHV3" s="18">
        <v>96840</v>
      </c>
      <c r="KHW3" s="18">
        <v>96847</v>
      </c>
      <c r="KHX3" s="18">
        <v>96854</v>
      </c>
      <c r="KHY3" s="18">
        <v>96861</v>
      </c>
      <c r="KHZ3" s="18">
        <v>96868</v>
      </c>
      <c r="KIA3" s="18">
        <v>96875</v>
      </c>
      <c r="KIB3" s="18">
        <v>96882</v>
      </c>
      <c r="KIC3" s="18">
        <v>96889</v>
      </c>
      <c r="KID3" s="18">
        <v>96896</v>
      </c>
      <c r="KIE3" s="18">
        <v>96903</v>
      </c>
      <c r="KIF3" s="18">
        <v>96910</v>
      </c>
      <c r="KIG3" s="18">
        <v>96917</v>
      </c>
      <c r="KIH3" s="18">
        <v>96924</v>
      </c>
      <c r="KII3" s="18">
        <v>96931</v>
      </c>
      <c r="KIJ3" s="18">
        <v>96938</v>
      </c>
      <c r="KIK3" s="18">
        <v>96945</v>
      </c>
      <c r="KIL3" s="18">
        <v>96952</v>
      </c>
      <c r="KIM3" s="18">
        <v>96959</v>
      </c>
      <c r="KIN3" s="18">
        <v>96966</v>
      </c>
      <c r="KIO3" s="18">
        <v>96973</v>
      </c>
      <c r="KIP3" s="18">
        <v>96980</v>
      </c>
      <c r="KIQ3" s="18">
        <v>96987</v>
      </c>
      <c r="KIR3" s="18">
        <v>96994</v>
      </c>
      <c r="KIS3" s="18">
        <v>97001</v>
      </c>
      <c r="KIT3" s="18">
        <v>97008</v>
      </c>
      <c r="KIU3" s="18">
        <v>97015</v>
      </c>
      <c r="KIV3" s="18">
        <v>97022</v>
      </c>
      <c r="KIW3" s="18">
        <v>97029</v>
      </c>
      <c r="KIX3" s="18">
        <v>97036</v>
      </c>
      <c r="KIY3" s="18">
        <v>97043</v>
      </c>
      <c r="KIZ3" s="18">
        <v>97050</v>
      </c>
      <c r="KJA3" s="18">
        <v>97057</v>
      </c>
      <c r="KJB3" s="18">
        <v>97064</v>
      </c>
      <c r="KJC3" s="18">
        <v>97071</v>
      </c>
      <c r="KJD3" s="18">
        <v>97078</v>
      </c>
      <c r="KJE3" s="18">
        <v>97085</v>
      </c>
      <c r="KJF3" s="18">
        <v>97092</v>
      </c>
      <c r="KJG3" s="18">
        <v>97099</v>
      </c>
      <c r="KJH3" s="18">
        <v>97106</v>
      </c>
      <c r="KJI3" s="18">
        <v>97113</v>
      </c>
      <c r="KJJ3" s="18">
        <v>97120</v>
      </c>
      <c r="KJK3" s="18">
        <v>97127</v>
      </c>
      <c r="KJL3" s="18">
        <v>97134</v>
      </c>
      <c r="KJM3" s="18">
        <v>97141</v>
      </c>
      <c r="KJN3" s="18">
        <v>97148</v>
      </c>
      <c r="KJO3" s="18">
        <v>97155</v>
      </c>
      <c r="KJP3" s="18">
        <v>97162</v>
      </c>
      <c r="KJQ3" s="18">
        <v>97169</v>
      </c>
      <c r="KJR3" s="18">
        <v>97176</v>
      </c>
      <c r="KJS3" s="18">
        <v>97183</v>
      </c>
      <c r="KJT3" s="18">
        <v>97190</v>
      </c>
      <c r="KJU3" s="18">
        <v>97197</v>
      </c>
      <c r="KJV3" s="18">
        <v>97204</v>
      </c>
      <c r="KJW3" s="18">
        <v>97211</v>
      </c>
      <c r="KJX3" s="18">
        <v>97218</v>
      </c>
      <c r="KJY3" s="18">
        <v>97225</v>
      </c>
      <c r="KJZ3" s="18">
        <v>97232</v>
      </c>
      <c r="KKA3" s="18">
        <v>97239</v>
      </c>
      <c r="KKB3" s="18">
        <v>97246</v>
      </c>
      <c r="KKC3" s="18">
        <v>97253</v>
      </c>
      <c r="KKD3" s="18">
        <v>97260</v>
      </c>
      <c r="KKE3" s="18">
        <v>97267</v>
      </c>
      <c r="KKF3" s="18">
        <v>97274</v>
      </c>
      <c r="KKG3" s="18">
        <v>97281</v>
      </c>
      <c r="KKH3" s="18">
        <v>97288</v>
      </c>
      <c r="KKI3" s="18">
        <v>97295</v>
      </c>
      <c r="KKJ3" s="18">
        <v>97302</v>
      </c>
      <c r="KKK3" s="18">
        <v>97309</v>
      </c>
      <c r="KKL3" s="18">
        <v>97316</v>
      </c>
      <c r="KKM3" s="18">
        <v>97323</v>
      </c>
      <c r="KKN3" s="18">
        <v>97330</v>
      </c>
      <c r="KKO3" s="18">
        <v>97337</v>
      </c>
      <c r="KKP3" s="18">
        <v>97344</v>
      </c>
      <c r="KKQ3" s="18">
        <v>97351</v>
      </c>
      <c r="KKR3" s="18">
        <v>97358</v>
      </c>
      <c r="KKS3" s="18">
        <v>97365</v>
      </c>
      <c r="KKT3" s="18">
        <v>97372</v>
      </c>
      <c r="KKU3" s="18">
        <v>97379</v>
      </c>
      <c r="KKV3" s="18">
        <v>97386</v>
      </c>
      <c r="KKW3" s="18">
        <v>97393</v>
      </c>
      <c r="KKX3" s="18">
        <v>97400</v>
      </c>
      <c r="KKY3" s="18">
        <v>97407</v>
      </c>
      <c r="KKZ3" s="18">
        <v>97414</v>
      </c>
      <c r="KLA3" s="18">
        <v>97421</v>
      </c>
      <c r="KLB3" s="18">
        <v>97428</v>
      </c>
      <c r="KLC3" s="18">
        <v>97435</v>
      </c>
      <c r="KLD3" s="18">
        <v>97442</v>
      </c>
      <c r="KLE3" s="18">
        <v>97449</v>
      </c>
      <c r="KLF3" s="18">
        <v>97456</v>
      </c>
      <c r="KLG3" s="18">
        <v>97463</v>
      </c>
      <c r="KLH3" s="18">
        <v>97470</v>
      </c>
      <c r="KLI3" s="18">
        <v>97477</v>
      </c>
      <c r="KLJ3" s="18">
        <v>97484</v>
      </c>
      <c r="KLK3" s="18">
        <v>97491</v>
      </c>
      <c r="KLL3" s="18">
        <v>97498</v>
      </c>
      <c r="KLM3" s="18">
        <v>97505</v>
      </c>
      <c r="KLN3" s="18">
        <v>97512</v>
      </c>
      <c r="KLO3" s="18">
        <v>97519</v>
      </c>
      <c r="KLP3" s="18">
        <v>97526</v>
      </c>
      <c r="KLQ3" s="18">
        <v>97533</v>
      </c>
      <c r="KLR3" s="18">
        <v>97540</v>
      </c>
      <c r="KLS3" s="18">
        <v>97547</v>
      </c>
      <c r="KLT3" s="18">
        <v>97554</v>
      </c>
      <c r="KLU3" s="18">
        <v>97561</v>
      </c>
      <c r="KLV3" s="18">
        <v>97568</v>
      </c>
      <c r="KLW3" s="18">
        <v>97575</v>
      </c>
      <c r="KLX3" s="18">
        <v>97582</v>
      </c>
      <c r="KLY3" s="18">
        <v>97589</v>
      </c>
      <c r="KLZ3" s="18">
        <v>97596</v>
      </c>
      <c r="KMA3" s="18">
        <v>97603</v>
      </c>
      <c r="KMB3" s="18">
        <v>97610</v>
      </c>
      <c r="KMC3" s="18">
        <v>97617</v>
      </c>
      <c r="KMD3" s="18">
        <v>97624</v>
      </c>
      <c r="KME3" s="18">
        <v>97631</v>
      </c>
      <c r="KMF3" s="18">
        <v>97638</v>
      </c>
      <c r="KMG3" s="18">
        <v>97645</v>
      </c>
      <c r="KMH3" s="18">
        <v>97652</v>
      </c>
      <c r="KMI3" s="18">
        <v>97659</v>
      </c>
      <c r="KMJ3" s="18">
        <v>97666</v>
      </c>
      <c r="KMK3" s="18">
        <v>97673</v>
      </c>
      <c r="KML3" s="18">
        <v>97680</v>
      </c>
      <c r="KMM3" s="18">
        <v>97687</v>
      </c>
      <c r="KMN3" s="18">
        <v>97694</v>
      </c>
      <c r="KMO3" s="18">
        <v>97701</v>
      </c>
      <c r="KMP3" s="18">
        <v>97708</v>
      </c>
      <c r="KMQ3" s="18">
        <v>97715</v>
      </c>
      <c r="KMR3" s="18">
        <v>97722</v>
      </c>
      <c r="KMS3" s="18">
        <v>97729</v>
      </c>
      <c r="KMT3" s="18">
        <v>97736</v>
      </c>
      <c r="KMU3" s="18">
        <v>97743</v>
      </c>
      <c r="KMV3" s="18">
        <v>97750</v>
      </c>
      <c r="KMW3" s="18">
        <v>97757</v>
      </c>
      <c r="KMX3" s="18">
        <v>97764</v>
      </c>
      <c r="KMY3" s="18">
        <v>97771</v>
      </c>
      <c r="KMZ3" s="18">
        <v>97778</v>
      </c>
      <c r="KNA3" s="18">
        <v>97785</v>
      </c>
      <c r="KNB3" s="18">
        <v>97792</v>
      </c>
      <c r="KNC3" s="18">
        <v>97799</v>
      </c>
      <c r="KND3" s="18">
        <v>97806</v>
      </c>
      <c r="KNE3" s="18">
        <v>97813</v>
      </c>
      <c r="KNF3" s="18">
        <v>97820</v>
      </c>
      <c r="KNG3" s="18">
        <v>97827</v>
      </c>
      <c r="KNH3" s="18">
        <v>97834</v>
      </c>
      <c r="KNI3" s="18">
        <v>97841</v>
      </c>
      <c r="KNJ3" s="18">
        <v>97848</v>
      </c>
      <c r="KNK3" s="18">
        <v>97855</v>
      </c>
      <c r="KNL3" s="18">
        <v>97862</v>
      </c>
      <c r="KNM3" s="18">
        <v>97869</v>
      </c>
      <c r="KNN3" s="18">
        <v>97876</v>
      </c>
      <c r="KNO3" s="18">
        <v>97883</v>
      </c>
      <c r="KNP3" s="18">
        <v>97890</v>
      </c>
      <c r="KNQ3" s="18">
        <v>97897</v>
      </c>
      <c r="KNR3" s="18">
        <v>97904</v>
      </c>
      <c r="KNS3" s="18">
        <v>97911</v>
      </c>
      <c r="KNT3" s="18">
        <v>97918</v>
      </c>
      <c r="KNU3" s="18">
        <v>97925</v>
      </c>
      <c r="KNV3" s="18">
        <v>97932</v>
      </c>
      <c r="KNW3" s="18">
        <v>97939</v>
      </c>
      <c r="KNX3" s="18">
        <v>97946</v>
      </c>
      <c r="KNY3" s="18">
        <v>97953</v>
      </c>
      <c r="KNZ3" s="18">
        <v>97960</v>
      </c>
      <c r="KOA3" s="18">
        <v>97967</v>
      </c>
      <c r="KOB3" s="18">
        <v>97974</v>
      </c>
      <c r="KOC3" s="18">
        <v>97981</v>
      </c>
      <c r="KOD3" s="18">
        <v>97988</v>
      </c>
      <c r="KOE3" s="18">
        <v>97995</v>
      </c>
      <c r="KOF3" s="18">
        <v>98002</v>
      </c>
      <c r="KOG3" s="18">
        <v>98009</v>
      </c>
      <c r="KOH3" s="18">
        <v>98016</v>
      </c>
      <c r="KOI3" s="18">
        <v>98023</v>
      </c>
      <c r="KOJ3" s="18">
        <v>98030</v>
      </c>
      <c r="KOK3" s="18">
        <v>98037</v>
      </c>
      <c r="KOL3" s="18">
        <v>98044</v>
      </c>
      <c r="KOM3" s="18">
        <v>98051</v>
      </c>
      <c r="KON3" s="18">
        <v>98058</v>
      </c>
      <c r="KOO3" s="18">
        <v>98065</v>
      </c>
      <c r="KOP3" s="18">
        <v>98072</v>
      </c>
      <c r="KOQ3" s="18">
        <v>98079</v>
      </c>
      <c r="KOR3" s="18">
        <v>98086</v>
      </c>
      <c r="KOS3" s="18">
        <v>98093</v>
      </c>
      <c r="KOT3" s="18">
        <v>98100</v>
      </c>
      <c r="KOU3" s="18">
        <v>98107</v>
      </c>
      <c r="KOV3" s="18">
        <v>98114</v>
      </c>
      <c r="KOW3" s="18">
        <v>98121</v>
      </c>
      <c r="KOX3" s="18">
        <v>98128</v>
      </c>
      <c r="KOY3" s="18">
        <v>98135</v>
      </c>
      <c r="KOZ3" s="18">
        <v>98142</v>
      </c>
      <c r="KPA3" s="18">
        <v>98149</v>
      </c>
      <c r="KPB3" s="18">
        <v>98156</v>
      </c>
      <c r="KPC3" s="18">
        <v>98163</v>
      </c>
      <c r="KPD3" s="18">
        <v>98170</v>
      </c>
      <c r="KPE3" s="18">
        <v>98177</v>
      </c>
      <c r="KPF3" s="18">
        <v>98184</v>
      </c>
      <c r="KPG3" s="18">
        <v>98191</v>
      </c>
      <c r="KPH3" s="18">
        <v>98198</v>
      </c>
      <c r="KPI3" s="18">
        <v>98205</v>
      </c>
      <c r="KPJ3" s="18">
        <v>98212</v>
      </c>
      <c r="KPK3" s="18">
        <v>98219</v>
      </c>
      <c r="KPL3" s="18">
        <v>98226</v>
      </c>
      <c r="KPM3" s="18">
        <v>98233</v>
      </c>
      <c r="KPN3" s="18">
        <v>98240</v>
      </c>
      <c r="KPO3" s="18">
        <v>98247</v>
      </c>
      <c r="KPP3" s="18">
        <v>98254</v>
      </c>
      <c r="KPQ3" s="18">
        <v>98261</v>
      </c>
      <c r="KPR3" s="18">
        <v>98268</v>
      </c>
      <c r="KPS3" s="18">
        <v>98275</v>
      </c>
      <c r="KPT3" s="18">
        <v>98282</v>
      </c>
      <c r="KPU3" s="18">
        <v>98289</v>
      </c>
      <c r="KPV3" s="18">
        <v>98296</v>
      </c>
      <c r="KPW3" s="18">
        <v>98303</v>
      </c>
      <c r="KPX3" s="18">
        <v>98310</v>
      </c>
      <c r="KPY3" s="18">
        <v>98317</v>
      </c>
      <c r="KPZ3" s="18">
        <v>98324</v>
      </c>
      <c r="KQA3" s="18">
        <v>98331</v>
      </c>
      <c r="KQB3" s="18">
        <v>98338</v>
      </c>
      <c r="KQC3" s="18">
        <v>98345</v>
      </c>
      <c r="KQD3" s="18">
        <v>98352</v>
      </c>
      <c r="KQE3" s="18">
        <v>98359</v>
      </c>
      <c r="KQF3" s="18">
        <v>98366</v>
      </c>
      <c r="KQG3" s="18">
        <v>98373</v>
      </c>
      <c r="KQH3" s="18">
        <v>98380</v>
      </c>
      <c r="KQI3" s="18">
        <v>98387</v>
      </c>
      <c r="KQJ3" s="18">
        <v>98394</v>
      </c>
      <c r="KQK3" s="18">
        <v>98401</v>
      </c>
      <c r="KQL3" s="18">
        <v>98408</v>
      </c>
      <c r="KQM3" s="18">
        <v>98415</v>
      </c>
      <c r="KQN3" s="18">
        <v>98422</v>
      </c>
      <c r="KQO3" s="18">
        <v>98429</v>
      </c>
      <c r="KQP3" s="18">
        <v>98436</v>
      </c>
      <c r="KQQ3" s="18">
        <v>98443</v>
      </c>
      <c r="KQR3" s="18">
        <v>98450</v>
      </c>
      <c r="KQS3" s="18">
        <v>98457</v>
      </c>
      <c r="KQT3" s="18">
        <v>98464</v>
      </c>
      <c r="KQU3" s="18">
        <v>98471</v>
      </c>
      <c r="KQV3" s="18">
        <v>98478</v>
      </c>
      <c r="KQW3" s="18">
        <v>98485</v>
      </c>
      <c r="KQX3" s="18">
        <v>98492</v>
      </c>
      <c r="KQY3" s="18">
        <v>98499</v>
      </c>
      <c r="KQZ3" s="18">
        <v>98506</v>
      </c>
      <c r="KRA3" s="18">
        <v>98513</v>
      </c>
      <c r="KRB3" s="18">
        <v>98520</v>
      </c>
      <c r="KRC3" s="18">
        <v>98527</v>
      </c>
      <c r="KRD3" s="18">
        <v>98534</v>
      </c>
      <c r="KRE3" s="18">
        <v>98541</v>
      </c>
      <c r="KRF3" s="18">
        <v>98548</v>
      </c>
      <c r="KRG3" s="18">
        <v>98555</v>
      </c>
      <c r="KRH3" s="18">
        <v>98562</v>
      </c>
      <c r="KRI3" s="18">
        <v>98569</v>
      </c>
      <c r="KRJ3" s="18">
        <v>98576</v>
      </c>
      <c r="KRK3" s="18">
        <v>98583</v>
      </c>
      <c r="KRL3" s="18">
        <v>98590</v>
      </c>
      <c r="KRM3" s="18">
        <v>98597</v>
      </c>
      <c r="KRN3" s="18">
        <v>98604</v>
      </c>
      <c r="KRO3" s="18">
        <v>98611</v>
      </c>
      <c r="KRP3" s="18">
        <v>98618</v>
      </c>
      <c r="KRQ3" s="18">
        <v>98625</v>
      </c>
      <c r="KRR3" s="18">
        <v>98632</v>
      </c>
      <c r="KRS3" s="18">
        <v>98639</v>
      </c>
      <c r="KRT3" s="18">
        <v>98646</v>
      </c>
      <c r="KRU3" s="18">
        <v>98653</v>
      </c>
      <c r="KRV3" s="18">
        <v>98660</v>
      </c>
      <c r="KRW3" s="18">
        <v>98667</v>
      </c>
      <c r="KRX3" s="18">
        <v>98674</v>
      </c>
      <c r="KRY3" s="18">
        <v>98681</v>
      </c>
      <c r="KRZ3" s="18">
        <v>98688</v>
      </c>
      <c r="KSA3" s="18">
        <v>98695</v>
      </c>
      <c r="KSB3" s="18">
        <v>98702</v>
      </c>
      <c r="KSC3" s="18">
        <v>98709</v>
      </c>
      <c r="KSD3" s="18">
        <v>98716</v>
      </c>
      <c r="KSE3" s="18">
        <v>98723</v>
      </c>
      <c r="KSF3" s="18">
        <v>98730</v>
      </c>
      <c r="KSG3" s="18">
        <v>98737</v>
      </c>
      <c r="KSH3" s="18">
        <v>98744</v>
      </c>
      <c r="KSI3" s="18">
        <v>98751</v>
      </c>
      <c r="KSJ3" s="18">
        <v>98758</v>
      </c>
      <c r="KSK3" s="18">
        <v>98765</v>
      </c>
      <c r="KSL3" s="18">
        <v>98772</v>
      </c>
      <c r="KSM3" s="18">
        <v>98779</v>
      </c>
      <c r="KSN3" s="18">
        <v>98786</v>
      </c>
      <c r="KSO3" s="18">
        <v>98793</v>
      </c>
      <c r="KSP3" s="18">
        <v>98800</v>
      </c>
      <c r="KSQ3" s="18">
        <v>98807</v>
      </c>
      <c r="KSR3" s="18">
        <v>98814</v>
      </c>
      <c r="KSS3" s="18">
        <v>98821</v>
      </c>
      <c r="KST3" s="18">
        <v>98828</v>
      </c>
      <c r="KSU3" s="18">
        <v>98835</v>
      </c>
      <c r="KSV3" s="18">
        <v>98842</v>
      </c>
      <c r="KSW3" s="18">
        <v>98849</v>
      </c>
      <c r="KSX3" s="18">
        <v>98856</v>
      </c>
      <c r="KSY3" s="18">
        <v>98863</v>
      </c>
      <c r="KSZ3" s="18">
        <v>98870</v>
      </c>
      <c r="KTA3" s="18">
        <v>98877</v>
      </c>
      <c r="KTB3" s="18">
        <v>98884</v>
      </c>
      <c r="KTC3" s="18">
        <v>98891</v>
      </c>
      <c r="KTD3" s="18">
        <v>98898</v>
      </c>
      <c r="KTE3" s="18">
        <v>98905</v>
      </c>
      <c r="KTF3" s="18">
        <v>98912</v>
      </c>
      <c r="KTG3" s="18">
        <v>98919</v>
      </c>
      <c r="KTH3" s="18">
        <v>98926</v>
      </c>
      <c r="KTI3" s="18">
        <v>98933</v>
      </c>
      <c r="KTJ3" s="18">
        <v>98940</v>
      </c>
      <c r="KTK3" s="18">
        <v>98947</v>
      </c>
      <c r="KTL3" s="18">
        <v>98954</v>
      </c>
      <c r="KTM3" s="18">
        <v>98961</v>
      </c>
      <c r="KTN3" s="18">
        <v>98968</v>
      </c>
      <c r="KTO3" s="18">
        <v>98975</v>
      </c>
      <c r="KTP3" s="18">
        <v>98982</v>
      </c>
      <c r="KTQ3" s="18">
        <v>98989</v>
      </c>
      <c r="KTR3" s="18">
        <v>98996</v>
      </c>
      <c r="KTS3" s="18">
        <v>99003</v>
      </c>
      <c r="KTT3" s="18">
        <v>99010</v>
      </c>
      <c r="KTU3" s="18">
        <v>99017</v>
      </c>
      <c r="KTV3" s="18">
        <v>99024</v>
      </c>
      <c r="KTW3" s="18">
        <v>99031</v>
      </c>
      <c r="KTX3" s="18">
        <v>99038</v>
      </c>
      <c r="KTY3" s="18">
        <v>99045</v>
      </c>
      <c r="KTZ3" s="18">
        <v>99052</v>
      </c>
      <c r="KUA3" s="18">
        <v>99059</v>
      </c>
      <c r="KUB3" s="18">
        <v>99066</v>
      </c>
      <c r="KUC3" s="18">
        <v>99073</v>
      </c>
      <c r="KUD3" s="18">
        <v>99080</v>
      </c>
      <c r="KUE3" s="18">
        <v>99087</v>
      </c>
      <c r="KUF3" s="18">
        <v>99094</v>
      </c>
      <c r="KUG3" s="18">
        <v>99101</v>
      </c>
      <c r="KUH3" s="18">
        <v>99108</v>
      </c>
      <c r="KUI3" s="18">
        <v>99115</v>
      </c>
      <c r="KUJ3" s="18">
        <v>99122</v>
      </c>
      <c r="KUK3" s="18">
        <v>99129</v>
      </c>
      <c r="KUL3" s="18">
        <v>99136</v>
      </c>
      <c r="KUM3" s="18">
        <v>99143</v>
      </c>
      <c r="KUN3" s="18">
        <v>99150</v>
      </c>
      <c r="KUO3" s="18">
        <v>99157</v>
      </c>
      <c r="KUP3" s="18">
        <v>99164</v>
      </c>
      <c r="KUQ3" s="18">
        <v>99171</v>
      </c>
      <c r="KUR3" s="18">
        <v>99178</v>
      </c>
      <c r="KUS3" s="18">
        <v>99185</v>
      </c>
      <c r="KUT3" s="18">
        <v>99192</v>
      </c>
      <c r="KUU3" s="18">
        <v>99199</v>
      </c>
      <c r="KUV3" s="18">
        <v>99206</v>
      </c>
      <c r="KUW3" s="18">
        <v>99213</v>
      </c>
      <c r="KUX3" s="18">
        <v>99220</v>
      </c>
      <c r="KUY3" s="18">
        <v>99227</v>
      </c>
      <c r="KUZ3" s="18">
        <v>99234</v>
      </c>
      <c r="KVA3" s="18">
        <v>99241</v>
      </c>
      <c r="KVB3" s="18">
        <v>99248</v>
      </c>
      <c r="KVC3" s="18">
        <v>99255</v>
      </c>
      <c r="KVD3" s="18">
        <v>99262</v>
      </c>
      <c r="KVE3" s="18">
        <v>99269</v>
      </c>
      <c r="KVF3" s="18">
        <v>99276</v>
      </c>
      <c r="KVG3" s="18">
        <v>99283</v>
      </c>
      <c r="KVH3" s="18">
        <v>99290</v>
      </c>
      <c r="KVI3" s="18">
        <v>99297</v>
      </c>
      <c r="KVJ3" s="18">
        <v>99304</v>
      </c>
      <c r="KVK3" s="18">
        <v>99311</v>
      </c>
      <c r="KVL3" s="18">
        <v>99318</v>
      </c>
      <c r="KVM3" s="18">
        <v>99325</v>
      </c>
      <c r="KVN3" s="18">
        <v>99332</v>
      </c>
      <c r="KVO3" s="18">
        <v>99339</v>
      </c>
      <c r="KVP3" s="18">
        <v>99346</v>
      </c>
      <c r="KVQ3" s="18">
        <v>99353</v>
      </c>
      <c r="KVR3" s="18">
        <v>99360</v>
      </c>
      <c r="KVS3" s="18">
        <v>99367</v>
      </c>
      <c r="KVT3" s="18">
        <v>99374</v>
      </c>
      <c r="KVU3" s="18">
        <v>99381</v>
      </c>
      <c r="KVV3" s="18">
        <v>99388</v>
      </c>
      <c r="KVW3" s="18">
        <v>99395</v>
      </c>
      <c r="KVX3" s="18">
        <v>99402</v>
      </c>
      <c r="KVY3" s="18">
        <v>99409</v>
      </c>
      <c r="KVZ3" s="18">
        <v>99416</v>
      </c>
      <c r="KWA3" s="18">
        <v>99423</v>
      </c>
      <c r="KWB3" s="18">
        <v>99430</v>
      </c>
      <c r="KWC3" s="18">
        <v>99437</v>
      </c>
      <c r="KWD3" s="18">
        <v>99444</v>
      </c>
      <c r="KWE3" s="18">
        <v>99451</v>
      </c>
      <c r="KWF3" s="18">
        <v>99458</v>
      </c>
      <c r="KWG3" s="18">
        <v>99465</v>
      </c>
      <c r="KWH3" s="18">
        <v>99472</v>
      </c>
      <c r="KWI3" s="18">
        <v>99479</v>
      </c>
      <c r="KWJ3" s="18">
        <v>99486</v>
      </c>
      <c r="KWK3" s="18">
        <v>99493</v>
      </c>
      <c r="KWL3" s="18">
        <v>99500</v>
      </c>
      <c r="KWM3" s="18">
        <v>99507</v>
      </c>
      <c r="KWN3" s="18">
        <v>99514</v>
      </c>
      <c r="KWO3" s="18">
        <v>99521</v>
      </c>
      <c r="KWP3" s="18">
        <v>99528</v>
      </c>
      <c r="KWQ3" s="18">
        <v>99535</v>
      </c>
      <c r="KWR3" s="18">
        <v>99542</v>
      </c>
      <c r="KWS3" s="18">
        <v>99549</v>
      </c>
      <c r="KWT3" s="18">
        <v>99556</v>
      </c>
      <c r="KWU3" s="18">
        <v>99563</v>
      </c>
      <c r="KWV3" s="18">
        <v>99570</v>
      </c>
      <c r="KWW3" s="18">
        <v>99577</v>
      </c>
      <c r="KWX3" s="18">
        <v>99584</v>
      </c>
      <c r="KWY3" s="18">
        <v>99591</v>
      </c>
      <c r="KWZ3" s="18">
        <v>99598</v>
      </c>
      <c r="KXA3" s="18">
        <v>99605</v>
      </c>
      <c r="KXB3" s="18">
        <v>99612</v>
      </c>
      <c r="KXC3" s="18">
        <v>99619</v>
      </c>
      <c r="KXD3" s="18">
        <v>99626</v>
      </c>
      <c r="KXE3" s="18">
        <v>99633</v>
      </c>
      <c r="KXF3" s="18">
        <v>99640</v>
      </c>
      <c r="KXG3" s="18">
        <v>99647</v>
      </c>
      <c r="KXH3" s="18">
        <v>99654</v>
      </c>
      <c r="KXI3" s="18">
        <v>99661</v>
      </c>
      <c r="KXJ3" s="18">
        <v>99668</v>
      </c>
      <c r="KXK3" s="18">
        <v>99675</v>
      </c>
      <c r="KXL3" s="18">
        <v>99682</v>
      </c>
      <c r="KXM3" s="18">
        <v>99689</v>
      </c>
      <c r="KXN3" s="18">
        <v>99696</v>
      </c>
      <c r="KXO3" s="18">
        <v>99703</v>
      </c>
      <c r="KXP3" s="18">
        <v>99710</v>
      </c>
      <c r="KXQ3" s="18">
        <v>99717</v>
      </c>
      <c r="KXR3" s="18">
        <v>99724</v>
      </c>
      <c r="KXS3" s="18">
        <v>99731</v>
      </c>
      <c r="KXT3" s="18">
        <v>99738</v>
      </c>
      <c r="KXU3" s="18">
        <v>99745</v>
      </c>
      <c r="KXV3" s="18">
        <v>99752</v>
      </c>
      <c r="KXW3" s="18">
        <v>99759</v>
      </c>
      <c r="KXX3" s="18">
        <v>99766</v>
      </c>
      <c r="KXY3" s="18">
        <v>99773</v>
      </c>
      <c r="KXZ3" s="18">
        <v>99780</v>
      </c>
      <c r="KYA3" s="18">
        <v>99787</v>
      </c>
      <c r="KYB3" s="18">
        <v>99794</v>
      </c>
      <c r="KYC3" s="18">
        <v>99801</v>
      </c>
      <c r="KYD3" s="18">
        <v>99808</v>
      </c>
      <c r="KYE3" s="18">
        <v>99815</v>
      </c>
      <c r="KYF3" s="18">
        <v>99822</v>
      </c>
      <c r="KYG3" s="18">
        <v>99829</v>
      </c>
      <c r="KYH3" s="18">
        <v>99836</v>
      </c>
      <c r="KYI3" s="18">
        <v>99843</v>
      </c>
      <c r="KYJ3" s="18">
        <v>99850</v>
      </c>
      <c r="KYK3" s="18">
        <v>99857</v>
      </c>
      <c r="KYL3" s="18">
        <v>99864</v>
      </c>
      <c r="KYM3" s="18">
        <v>99871</v>
      </c>
      <c r="KYN3" s="18">
        <v>99878</v>
      </c>
      <c r="KYO3" s="18">
        <v>99885</v>
      </c>
      <c r="KYP3" s="18">
        <v>99892</v>
      </c>
      <c r="KYQ3" s="18">
        <v>99899</v>
      </c>
      <c r="KYR3" s="18">
        <v>99906</v>
      </c>
      <c r="KYS3" s="18">
        <v>99913</v>
      </c>
      <c r="KYT3" s="18">
        <v>99920</v>
      </c>
      <c r="KYU3" s="18">
        <v>99927</v>
      </c>
      <c r="KYV3" s="18">
        <v>99934</v>
      </c>
      <c r="KYW3" s="18">
        <v>99941</v>
      </c>
      <c r="KYX3" s="18">
        <v>99948</v>
      </c>
      <c r="KYY3" s="18">
        <v>99955</v>
      </c>
      <c r="KYZ3" s="18">
        <v>99962</v>
      </c>
      <c r="KZA3" s="18">
        <v>99969</v>
      </c>
      <c r="KZB3" s="18">
        <v>99976</v>
      </c>
      <c r="KZC3" s="18">
        <v>99983</v>
      </c>
      <c r="KZD3" s="18">
        <v>99990</v>
      </c>
      <c r="KZE3" s="18">
        <v>99997</v>
      </c>
      <c r="KZF3" s="18">
        <v>100004</v>
      </c>
      <c r="KZG3" s="18">
        <v>100011</v>
      </c>
      <c r="KZH3" s="18">
        <v>100018</v>
      </c>
      <c r="KZI3" s="18">
        <v>100025</v>
      </c>
      <c r="KZJ3" s="18">
        <v>100032</v>
      </c>
      <c r="KZK3" s="18">
        <v>100039</v>
      </c>
      <c r="KZL3" s="18">
        <v>100046</v>
      </c>
      <c r="KZM3" s="18">
        <v>100053</v>
      </c>
      <c r="KZN3" s="18">
        <v>100060</v>
      </c>
      <c r="KZO3" s="18">
        <v>100067</v>
      </c>
      <c r="KZP3" s="18">
        <v>100074</v>
      </c>
      <c r="KZQ3" s="18">
        <v>100081</v>
      </c>
      <c r="KZR3" s="18">
        <v>100088</v>
      </c>
      <c r="KZS3" s="18">
        <v>100095</v>
      </c>
      <c r="KZT3" s="18">
        <v>100102</v>
      </c>
      <c r="KZU3" s="18">
        <v>100109</v>
      </c>
      <c r="KZV3" s="18">
        <v>100116</v>
      </c>
      <c r="KZW3" s="18">
        <v>100123</v>
      </c>
      <c r="KZX3" s="18">
        <v>100130</v>
      </c>
      <c r="KZY3" s="18">
        <v>100137</v>
      </c>
      <c r="KZZ3" s="18">
        <v>100144</v>
      </c>
      <c r="LAA3" s="18">
        <v>100151</v>
      </c>
      <c r="LAB3" s="18">
        <v>100158</v>
      </c>
      <c r="LAC3" s="18">
        <v>100165</v>
      </c>
      <c r="LAD3" s="18">
        <v>100172</v>
      </c>
      <c r="LAE3" s="18">
        <v>100179</v>
      </c>
      <c r="LAF3" s="18">
        <v>100186</v>
      </c>
      <c r="LAG3" s="18">
        <v>100193</v>
      </c>
      <c r="LAH3" s="18">
        <v>100200</v>
      </c>
      <c r="LAI3" s="18">
        <v>100207</v>
      </c>
      <c r="LAJ3" s="18">
        <v>100214</v>
      </c>
      <c r="LAK3" s="18">
        <v>100221</v>
      </c>
      <c r="LAL3" s="18">
        <v>100228</v>
      </c>
      <c r="LAM3" s="18">
        <v>100235</v>
      </c>
      <c r="LAN3" s="18">
        <v>100242</v>
      </c>
      <c r="LAO3" s="18">
        <v>100249</v>
      </c>
      <c r="LAP3" s="18">
        <v>100256</v>
      </c>
      <c r="LAQ3" s="18">
        <v>100263</v>
      </c>
      <c r="LAR3" s="18">
        <v>100270</v>
      </c>
      <c r="LAS3" s="18">
        <v>100277</v>
      </c>
      <c r="LAT3" s="18">
        <v>100284</v>
      </c>
      <c r="LAU3" s="18">
        <v>100291</v>
      </c>
      <c r="LAV3" s="18">
        <v>100298</v>
      </c>
      <c r="LAW3" s="18">
        <v>100305</v>
      </c>
      <c r="LAX3" s="18">
        <v>100312</v>
      </c>
      <c r="LAY3" s="18">
        <v>100319</v>
      </c>
      <c r="LAZ3" s="18">
        <v>100326</v>
      </c>
      <c r="LBA3" s="18">
        <v>100333</v>
      </c>
      <c r="LBB3" s="18">
        <v>100340</v>
      </c>
      <c r="LBC3" s="18">
        <v>100347</v>
      </c>
      <c r="LBD3" s="18">
        <v>100354</v>
      </c>
      <c r="LBE3" s="18">
        <v>100361</v>
      </c>
      <c r="LBF3" s="18">
        <v>100368</v>
      </c>
      <c r="LBG3" s="18">
        <v>100375</v>
      </c>
      <c r="LBH3" s="18">
        <v>100382</v>
      </c>
      <c r="LBI3" s="18">
        <v>100389</v>
      </c>
      <c r="LBJ3" s="18">
        <v>100396</v>
      </c>
      <c r="LBK3" s="18">
        <v>100403</v>
      </c>
      <c r="LBL3" s="18">
        <v>100410</v>
      </c>
      <c r="LBM3" s="18">
        <v>100417</v>
      </c>
      <c r="LBN3" s="18">
        <v>100424</v>
      </c>
      <c r="LBO3" s="18">
        <v>100431</v>
      </c>
      <c r="LBP3" s="18">
        <v>100438</v>
      </c>
      <c r="LBQ3" s="18">
        <v>100445</v>
      </c>
      <c r="LBR3" s="18">
        <v>100452</v>
      </c>
      <c r="LBS3" s="18">
        <v>100459</v>
      </c>
      <c r="LBT3" s="18">
        <v>100466</v>
      </c>
      <c r="LBU3" s="18">
        <v>100473</v>
      </c>
      <c r="LBV3" s="18">
        <v>100480</v>
      </c>
      <c r="LBW3" s="18">
        <v>100487</v>
      </c>
      <c r="LBX3" s="18">
        <v>100494</v>
      </c>
      <c r="LBY3" s="18">
        <v>100501</v>
      </c>
      <c r="LBZ3" s="18">
        <v>100508</v>
      </c>
      <c r="LCA3" s="18">
        <v>100515</v>
      </c>
      <c r="LCB3" s="18">
        <v>100522</v>
      </c>
      <c r="LCC3" s="18">
        <v>100529</v>
      </c>
      <c r="LCD3" s="18">
        <v>100536</v>
      </c>
      <c r="LCE3" s="18">
        <v>100543</v>
      </c>
      <c r="LCF3" s="18">
        <v>100550</v>
      </c>
      <c r="LCG3" s="18">
        <v>100557</v>
      </c>
      <c r="LCH3" s="18">
        <v>100564</v>
      </c>
      <c r="LCI3" s="18">
        <v>100571</v>
      </c>
      <c r="LCJ3" s="18">
        <v>100578</v>
      </c>
      <c r="LCK3" s="18">
        <v>100585</v>
      </c>
      <c r="LCL3" s="18">
        <v>100592</v>
      </c>
      <c r="LCM3" s="18">
        <v>100599</v>
      </c>
      <c r="LCN3" s="18">
        <v>100606</v>
      </c>
      <c r="LCO3" s="18">
        <v>100613</v>
      </c>
      <c r="LCP3" s="18">
        <v>100620</v>
      </c>
      <c r="LCQ3" s="18">
        <v>100627</v>
      </c>
      <c r="LCR3" s="18">
        <v>100634</v>
      </c>
      <c r="LCS3" s="18">
        <v>100641</v>
      </c>
      <c r="LCT3" s="18">
        <v>100648</v>
      </c>
      <c r="LCU3" s="18">
        <v>100655</v>
      </c>
      <c r="LCV3" s="18">
        <v>100662</v>
      </c>
      <c r="LCW3" s="18">
        <v>100669</v>
      </c>
      <c r="LCX3" s="18">
        <v>100676</v>
      </c>
      <c r="LCY3" s="18">
        <v>100683</v>
      </c>
      <c r="LCZ3" s="18">
        <v>100690</v>
      </c>
      <c r="LDA3" s="18">
        <v>100697</v>
      </c>
      <c r="LDB3" s="18">
        <v>100704</v>
      </c>
      <c r="LDC3" s="18">
        <v>100711</v>
      </c>
      <c r="LDD3" s="18">
        <v>100718</v>
      </c>
      <c r="LDE3" s="18">
        <v>100725</v>
      </c>
      <c r="LDF3" s="18">
        <v>100732</v>
      </c>
      <c r="LDG3" s="18">
        <v>100739</v>
      </c>
      <c r="LDH3" s="18">
        <v>100746</v>
      </c>
      <c r="LDI3" s="18">
        <v>100753</v>
      </c>
      <c r="LDJ3" s="18">
        <v>100760</v>
      </c>
      <c r="LDK3" s="18">
        <v>100767</v>
      </c>
      <c r="LDL3" s="18">
        <v>100774</v>
      </c>
      <c r="LDM3" s="18">
        <v>100781</v>
      </c>
      <c r="LDN3" s="18">
        <v>100788</v>
      </c>
      <c r="LDO3" s="18">
        <v>100795</v>
      </c>
      <c r="LDP3" s="18">
        <v>100802</v>
      </c>
      <c r="LDQ3" s="18">
        <v>100809</v>
      </c>
      <c r="LDR3" s="18">
        <v>100816</v>
      </c>
      <c r="LDS3" s="18">
        <v>100823</v>
      </c>
      <c r="LDT3" s="18">
        <v>100830</v>
      </c>
      <c r="LDU3" s="18">
        <v>100837</v>
      </c>
      <c r="LDV3" s="18">
        <v>100844</v>
      </c>
      <c r="LDW3" s="18">
        <v>100851</v>
      </c>
      <c r="LDX3" s="18">
        <v>100858</v>
      </c>
      <c r="LDY3" s="18">
        <v>100865</v>
      </c>
      <c r="LDZ3" s="18">
        <v>100872</v>
      </c>
      <c r="LEA3" s="18">
        <v>100879</v>
      </c>
      <c r="LEB3" s="18">
        <v>100886</v>
      </c>
      <c r="LEC3" s="18">
        <v>100893</v>
      </c>
      <c r="LED3" s="18">
        <v>100900</v>
      </c>
      <c r="LEE3" s="18">
        <v>100907</v>
      </c>
      <c r="LEF3" s="18">
        <v>100914</v>
      </c>
      <c r="LEG3" s="18">
        <v>100921</v>
      </c>
      <c r="LEH3" s="18">
        <v>100928</v>
      </c>
      <c r="LEI3" s="18">
        <v>100935</v>
      </c>
      <c r="LEJ3" s="18">
        <v>100942</v>
      </c>
      <c r="LEK3" s="18">
        <v>100949</v>
      </c>
      <c r="LEL3" s="18">
        <v>100956</v>
      </c>
      <c r="LEM3" s="18">
        <v>100963</v>
      </c>
      <c r="LEN3" s="18">
        <v>100970</v>
      </c>
      <c r="LEO3" s="18">
        <v>100977</v>
      </c>
      <c r="LEP3" s="18">
        <v>100984</v>
      </c>
      <c r="LEQ3" s="18">
        <v>100991</v>
      </c>
      <c r="LER3" s="18">
        <v>100998</v>
      </c>
      <c r="LES3" s="18">
        <v>101005</v>
      </c>
      <c r="LET3" s="18">
        <v>101012</v>
      </c>
      <c r="LEU3" s="18">
        <v>101019</v>
      </c>
      <c r="LEV3" s="18">
        <v>101026</v>
      </c>
      <c r="LEW3" s="18">
        <v>101033</v>
      </c>
      <c r="LEX3" s="18">
        <v>101040</v>
      </c>
      <c r="LEY3" s="18">
        <v>101047</v>
      </c>
      <c r="LEZ3" s="18">
        <v>101054</v>
      </c>
      <c r="LFA3" s="18">
        <v>101061</v>
      </c>
      <c r="LFB3" s="18">
        <v>101068</v>
      </c>
      <c r="LFC3" s="18">
        <v>101075</v>
      </c>
      <c r="LFD3" s="18">
        <v>101082</v>
      </c>
      <c r="LFE3" s="18">
        <v>101089</v>
      </c>
      <c r="LFF3" s="18">
        <v>101096</v>
      </c>
      <c r="LFG3" s="18">
        <v>101103</v>
      </c>
      <c r="LFH3" s="18">
        <v>101110</v>
      </c>
      <c r="LFI3" s="18">
        <v>101117</v>
      </c>
      <c r="LFJ3" s="18">
        <v>101124</v>
      </c>
      <c r="LFK3" s="18">
        <v>101131</v>
      </c>
      <c r="LFL3" s="18">
        <v>101138</v>
      </c>
      <c r="LFM3" s="18">
        <v>101145</v>
      </c>
      <c r="LFN3" s="18">
        <v>101152</v>
      </c>
      <c r="LFO3" s="18">
        <v>101159</v>
      </c>
      <c r="LFP3" s="18">
        <v>101166</v>
      </c>
      <c r="LFQ3" s="18">
        <v>101173</v>
      </c>
      <c r="LFR3" s="18">
        <v>101180</v>
      </c>
      <c r="LFS3" s="18">
        <v>101187</v>
      </c>
      <c r="LFT3" s="18">
        <v>101194</v>
      </c>
      <c r="LFU3" s="18">
        <v>101201</v>
      </c>
      <c r="LFV3" s="18">
        <v>101208</v>
      </c>
      <c r="LFW3" s="18">
        <v>101215</v>
      </c>
      <c r="LFX3" s="18">
        <v>101222</v>
      </c>
      <c r="LFY3" s="18">
        <v>101229</v>
      </c>
      <c r="LFZ3" s="18">
        <v>101236</v>
      </c>
      <c r="LGA3" s="18">
        <v>101243</v>
      </c>
      <c r="LGB3" s="18">
        <v>101250</v>
      </c>
      <c r="LGC3" s="18">
        <v>101257</v>
      </c>
      <c r="LGD3" s="18">
        <v>101264</v>
      </c>
      <c r="LGE3" s="18">
        <v>101271</v>
      </c>
      <c r="LGF3" s="18">
        <v>101278</v>
      </c>
      <c r="LGG3" s="18">
        <v>101285</v>
      </c>
      <c r="LGH3" s="18">
        <v>101292</v>
      </c>
      <c r="LGI3" s="18">
        <v>101299</v>
      </c>
      <c r="LGJ3" s="18">
        <v>101306</v>
      </c>
      <c r="LGK3" s="18">
        <v>101313</v>
      </c>
      <c r="LGL3" s="18">
        <v>101320</v>
      </c>
      <c r="LGM3" s="18">
        <v>101327</v>
      </c>
      <c r="LGN3" s="18">
        <v>101334</v>
      </c>
      <c r="LGO3" s="18">
        <v>101341</v>
      </c>
      <c r="LGP3" s="18">
        <v>101348</v>
      </c>
      <c r="LGQ3" s="18">
        <v>101355</v>
      </c>
      <c r="LGR3" s="18">
        <v>101362</v>
      </c>
      <c r="LGS3" s="18">
        <v>101369</v>
      </c>
      <c r="LGT3" s="18">
        <v>101376</v>
      </c>
      <c r="LGU3" s="18">
        <v>101383</v>
      </c>
      <c r="LGV3" s="18">
        <v>101390</v>
      </c>
      <c r="LGW3" s="18">
        <v>101397</v>
      </c>
      <c r="LGX3" s="18">
        <v>101404</v>
      </c>
      <c r="LGY3" s="18">
        <v>101411</v>
      </c>
      <c r="LGZ3" s="18">
        <v>101418</v>
      </c>
      <c r="LHA3" s="18">
        <v>101425</v>
      </c>
      <c r="LHB3" s="18">
        <v>101432</v>
      </c>
      <c r="LHC3" s="18">
        <v>101439</v>
      </c>
      <c r="LHD3" s="18">
        <v>101446</v>
      </c>
      <c r="LHE3" s="18">
        <v>101453</v>
      </c>
      <c r="LHF3" s="18">
        <v>101460</v>
      </c>
      <c r="LHG3" s="18">
        <v>101467</v>
      </c>
      <c r="LHH3" s="18">
        <v>101474</v>
      </c>
      <c r="LHI3" s="18">
        <v>101481</v>
      </c>
      <c r="LHJ3" s="18">
        <v>101488</v>
      </c>
      <c r="LHK3" s="18">
        <v>101495</v>
      </c>
      <c r="LHL3" s="18">
        <v>101502</v>
      </c>
      <c r="LHM3" s="18">
        <v>101509</v>
      </c>
      <c r="LHN3" s="18">
        <v>101516</v>
      </c>
      <c r="LHO3" s="18">
        <v>101523</v>
      </c>
      <c r="LHP3" s="18">
        <v>101530</v>
      </c>
      <c r="LHQ3" s="18">
        <v>101537</v>
      </c>
      <c r="LHR3" s="18">
        <v>101544</v>
      </c>
      <c r="LHS3" s="18">
        <v>101551</v>
      </c>
      <c r="LHT3" s="18">
        <v>101558</v>
      </c>
      <c r="LHU3" s="18">
        <v>101565</v>
      </c>
      <c r="LHV3" s="18">
        <v>101572</v>
      </c>
      <c r="LHW3" s="18">
        <v>101579</v>
      </c>
      <c r="LHX3" s="18">
        <v>101586</v>
      </c>
      <c r="LHY3" s="18">
        <v>101593</v>
      </c>
      <c r="LHZ3" s="18">
        <v>101600</v>
      </c>
      <c r="LIA3" s="18">
        <v>101607</v>
      </c>
      <c r="LIB3" s="18">
        <v>101614</v>
      </c>
      <c r="LIC3" s="18">
        <v>101621</v>
      </c>
      <c r="LID3" s="18">
        <v>101628</v>
      </c>
      <c r="LIE3" s="18">
        <v>101635</v>
      </c>
      <c r="LIF3" s="18">
        <v>101642</v>
      </c>
      <c r="LIG3" s="18">
        <v>101649</v>
      </c>
      <c r="LIH3" s="18">
        <v>101656</v>
      </c>
      <c r="LII3" s="18">
        <v>101663</v>
      </c>
      <c r="LIJ3" s="18">
        <v>101670</v>
      </c>
      <c r="LIK3" s="18">
        <v>101677</v>
      </c>
      <c r="LIL3" s="18">
        <v>101684</v>
      </c>
      <c r="LIM3" s="18">
        <v>101691</v>
      </c>
      <c r="LIN3" s="18">
        <v>101698</v>
      </c>
      <c r="LIO3" s="18">
        <v>101705</v>
      </c>
      <c r="LIP3" s="18">
        <v>101712</v>
      </c>
      <c r="LIQ3" s="18">
        <v>101719</v>
      </c>
      <c r="LIR3" s="18">
        <v>101726</v>
      </c>
      <c r="LIS3" s="18">
        <v>101733</v>
      </c>
      <c r="LIT3" s="18">
        <v>101740</v>
      </c>
      <c r="LIU3" s="18">
        <v>101747</v>
      </c>
      <c r="LIV3" s="18">
        <v>101754</v>
      </c>
      <c r="LIW3" s="18">
        <v>101761</v>
      </c>
      <c r="LIX3" s="18">
        <v>101768</v>
      </c>
      <c r="LIY3" s="18">
        <v>101775</v>
      </c>
      <c r="LIZ3" s="18">
        <v>101782</v>
      </c>
      <c r="LJA3" s="18">
        <v>101789</v>
      </c>
      <c r="LJB3" s="18">
        <v>101796</v>
      </c>
      <c r="LJC3" s="18">
        <v>101803</v>
      </c>
      <c r="LJD3" s="18">
        <v>101810</v>
      </c>
      <c r="LJE3" s="18">
        <v>101817</v>
      </c>
      <c r="LJF3" s="18">
        <v>101824</v>
      </c>
      <c r="LJG3" s="18">
        <v>101831</v>
      </c>
      <c r="LJH3" s="18">
        <v>101838</v>
      </c>
      <c r="LJI3" s="18">
        <v>101845</v>
      </c>
      <c r="LJJ3" s="18">
        <v>101852</v>
      </c>
      <c r="LJK3" s="18">
        <v>101859</v>
      </c>
      <c r="LJL3" s="18">
        <v>101866</v>
      </c>
      <c r="LJM3" s="18">
        <v>101873</v>
      </c>
      <c r="LJN3" s="18">
        <v>101880</v>
      </c>
      <c r="LJO3" s="18">
        <v>101887</v>
      </c>
      <c r="LJP3" s="18">
        <v>101894</v>
      </c>
      <c r="LJQ3" s="18">
        <v>101901</v>
      </c>
      <c r="LJR3" s="18">
        <v>101908</v>
      </c>
      <c r="LJS3" s="18">
        <v>101915</v>
      </c>
      <c r="LJT3" s="18">
        <v>101922</v>
      </c>
      <c r="LJU3" s="18">
        <v>101929</v>
      </c>
      <c r="LJV3" s="18">
        <v>101936</v>
      </c>
      <c r="LJW3" s="18">
        <v>101943</v>
      </c>
      <c r="LJX3" s="18">
        <v>101950</v>
      </c>
      <c r="LJY3" s="18">
        <v>101957</v>
      </c>
      <c r="LJZ3" s="18">
        <v>101964</v>
      </c>
      <c r="LKA3" s="18">
        <v>101971</v>
      </c>
      <c r="LKB3" s="18">
        <v>101978</v>
      </c>
      <c r="LKC3" s="18">
        <v>101985</v>
      </c>
      <c r="LKD3" s="18">
        <v>101992</v>
      </c>
      <c r="LKE3" s="18">
        <v>101999</v>
      </c>
      <c r="LKF3" s="18">
        <v>102006</v>
      </c>
      <c r="LKG3" s="18">
        <v>102013</v>
      </c>
      <c r="LKH3" s="18">
        <v>102020</v>
      </c>
      <c r="LKI3" s="18">
        <v>102027</v>
      </c>
      <c r="LKJ3" s="18">
        <v>102034</v>
      </c>
      <c r="LKK3" s="18">
        <v>102041</v>
      </c>
      <c r="LKL3" s="18">
        <v>102048</v>
      </c>
      <c r="LKM3" s="18">
        <v>102055</v>
      </c>
      <c r="LKN3" s="18">
        <v>102062</v>
      </c>
      <c r="LKO3" s="18">
        <v>102069</v>
      </c>
      <c r="LKP3" s="18">
        <v>102076</v>
      </c>
      <c r="LKQ3" s="18">
        <v>102083</v>
      </c>
      <c r="LKR3" s="18">
        <v>102090</v>
      </c>
      <c r="LKS3" s="18">
        <v>102097</v>
      </c>
      <c r="LKT3" s="18">
        <v>102104</v>
      </c>
      <c r="LKU3" s="18">
        <v>102111</v>
      </c>
      <c r="LKV3" s="18">
        <v>102118</v>
      </c>
      <c r="LKW3" s="18">
        <v>102125</v>
      </c>
      <c r="LKX3" s="18">
        <v>102132</v>
      </c>
      <c r="LKY3" s="18">
        <v>102139</v>
      </c>
      <c r="LKZ3" s="18">
        <v>102146</v>
      </c>
      <c r="LLA3" s="18">
        <v>102153</v>
      </c>
      <c r="LLB3" s="18">
        <v>102160</v>
      </c>
      <c r="LLC3" s="18">
        <v>102167</v>
      </c>
      <c r="LLD3" s="18">
        <v>102174</v>
      </c>
      <c r="LLE3" s="18">
        <v>102181</v>
      </c>
      <c r="LLF3" s="18">
        <v>102188</v>
      </c>
      <c r="LLG3" s="18">
        <v>102195</v>
      </c>
      <c r="LLH3" s="18">
        <v>102202</v>
      </c>
      <c r="LLI3" s="18">
        <v>102209</v>
      </c>
      <c r="LLJ3" s="18">
        <v>102216</v>
      </c>
      <c r="LLK3" s="18">
        <v>102223</v>
      </c>
      <c r="LLL3" s="18">
        <v>102230</v>
      </c>
      <c r="LLM3" s="18">
        <v>102237</v>
      </c>
      <c r="LLN3" s="18">
        <v>102244</v>
      </c>
      <c r="LLO3" s="18">
        <v>102251</v>
      </c>
      <c r="LLP3" s="18">
        <v>102258</v>
      </c>
      <c r="LLQ3" s="18">
        <v>102265</v>
      </c>
      <c r="LLR3" s="18">
        <v>102272</v>
      </c>
      <c r="LLS3" s="18">
        <v>102279</v>
      </c>
      <c r="LLT3" s="18">
        <v>102286</v>
      </c>
      <c r="LLU3" s="18">
        <v>102293</v>
      </c>
      <c r="LLV3" s="18">
        <v>102300</v>
      </c>
      <c r="LLW3" s="18">
        <v>102307</v>
      </c>
      <c r="LLX3" s="18">
        <v>102314</v>
      </c>
      <c r="LLY3" s="18">
        <v>102321</v>
      </c>
      <c r="LLZ3" s="18">
        <v>102328</v>
      </c>
      <c r="LMA3" s="18">
        <v>102335</v>
      </c>
      <c r="LMB3" s="18">
        <v>102342</v>
      </c>
      <c r="LMC3" s="18">
        <v>102349</v>
      </c>
      <c r="LMD3" s="18">
        <v>102356</v>
      </c>
      <c r="LME3" s="18">
        <v>102363</v>
      </c>
      <c r="LMF3" s="18">
        <v>102370</v>
      </c>
      <c r="LMG3" s="18">
        <v>102377</v>
      </c>
      <c r="LMH3" s="18">
        <v>102384</v>
      </c>
      <c r="LMI3" s="18">
        <v>102391</v>
      </c>
      <c r="LMJ3" s="18">
        <v>102398</v>
      </c>
      <c r="LMK3" s="18">
        <v>102405</v>
      </c>
      <c r="LML3" s="18">
        <v>102412</v>
      </c>
      <c r="LMM3" s="18">
        <v>102419</v>
      </c>
      <c r="LMN3" s="18">
        <v>102426</v>
      </c>
      <c r="LMO3" s="18">
        <v>102433</v>
      </c>
      <c r="LMP3" s="18">
        <v>102440</v>
      </c>
      <c r="LMQ3" s="18">
        <v>102447</v>
      </c>
      <c r="LMR3" s="18">
        <v>102454</v>
      </c>
      <c r="LMS3" s="18">
        <v>102461</v>
      </c>
      <c r="LMT3" s="18">
        <v>102468</v>
      </c>
      <c r="LMU3" s="18">
        <v>102475</v>
      </c>
      <c r="LMV3" s="18">
        <v>102482</v>
      </c>
      <c r="LMW3" s="18">
        <v>102489</v>
      </c>
      <c r="LMX3" s="18">
        <v>102496</v>
      </c>
      <c r="LMY3" s="18">
        <v>102503</v>
      </c>
      <c r="LMZ3" s="18">
        <v>102510</v>
      </c>
      <c r="LNA3" s="18">
        <v>102517</v>
      </c>
      <c r="LNB3" s="18">
        <v>102524</v>
      </c>
      <c r="LNC3" s="18">
        <v>102531</v>
      </c>
      <c r="LND3" s="18">
        <v>102538</v>
      </c>
      <c r="LNE3" s="18">
        <v>102545</v>
      </c>
      <c r="LNF3" s="18">
        <v>102552</v>
      </c>
      <c r="LNG3" s="18">
        <v>102559</v>
      </c>
      <c r="LNH3" s="18">
        <v>102566</v>
      </c>
      <c r="LNI3" s="18">
        <v>102573</v>
      </c>
      <c r="LNJ3" s="18">
        <v>102580</v>
      </c>
      <c r="LNK3" s="18">
        <v>102587</v>
      </c>
      <c r="LNL3" s="18">
        <v>102594</v>
      </c>
      <c r="LNM3" s="18">
        <v>102601</v>
      </c>
      <c r="LNN3" s="18">
        <v>102608</v>
      </c>
      <c r="LNO3" s="18">
        <v>102615</v>
      </c>
      <c r="LNP3" s="18">
        <v>102622</v>
      </c>
      <c r="LNQ3" s="18">
        <v>102629</v>
      </c>
      <c r="LNR3" s="18">
        <v>102636</v>
      </c>
      <c r="LNS3" s="18">
        <v>102643</v>
      </c>
      <c r="LNT3" s="18">
        <v>102650</v>
      </c>
      <c r="LNU3" s="18">
        <v>102657</v>
      </c>
      <c r="LNV3" s="18">
        <v>102664</v>
      </c>
      <c r="LNW3" s="18">
        <v>102671</v>
      </c>
      <c r="LNX3" s="18">
        <v>102678</v>
      </c>
      <c r="LNY3" s="18">
        <v>102685</v>
      </c>
      <c r="LNZ3" s="18">
        <v>102692</v>
      </c>
      <c r="LOA3" s="18">
        <v>102699</v>
      </c>
      <c r="LOB3" s="18">
        <v>102706</v>
      </c>
      <c r="LOC3" s="18">
        <v>102713</v>
      </c>
      <c r="LOD3" s="18">
        <v>102720</v>
      </c>
      <c r="LOE3" s="18">
        <v>102727</v>
      </c>
      <c r="LOF3" s="18">
        <v>102734</v>
      </c>
      <c r="LOG3" s="18">
        <v>102741</v>
      </c>
      <c r="LOH3" s="18">
        <v>102748</v>
      </c>
      <c r="LOI3" s="18">
        <v>102755</v>
      </c>
      <c r="LOJ3" s="18">
        <v>102762</v>
      </c>
      <c r="LOK3" s="18">
        <v>102769</v>
      </c>
      <c r="LOL3" s="18">
        <v>102776</v>
      </c>
      <c r="LOM3" s="18">
        <v>102783</v>
      </c>
      <c r="LON3" s="18">
        <v>102790</v>
      </c>
      <c r="LOO3" s="18">
        <v>102797</v>
      </c>
      <c r="LOP3" s="18">
        <v>102804</v>
      </c>
      <c r="LOQ3" s="18">
        <v>102811</v>
      </c>
      <c r="LOR3" s="18">
        <v>102818</v>
      </c>
      <c r="LOS3" s="18">
        <v>102825</v>
      </c>
      <c r="LOT3" s="18">
        <v>102832</v>
      </c>
      <c r="LOU3" s="18">
        <v>102839</v>
      </c>
      <c r="LOV3" s="18">
        <v>102846</v>
      </c>
      <c r="LOW3" s="18">
        <v>102853</v>
      </c>
      <c r="LOX3" s="18">
        <v>102860</v>
      </c>
      <c r="LOY3" s="18">
        <v>102867</v>
      </c>
      <c r="LOZ3" s="18">
        <v>102874</v>
      </c>
      <c r="LPA3" s="18">
        <v>102881</v>
      </c>
      <c r="LPB3" s="18">
        <v>102888</v>
      </c>
      <c r="LPC3" s="18">
        <v>102895</v>
      </c>
      <c r="LPD3" s="18">
        <v>102902</v>
      </c>
      <c r="LPE3" s="18">
        <v>102909</v>
      </c>
      <c r="LPF3" s="18">
        <v>102916</v>
      </c>
      <c r="LPG3" s="18">
        <v>102923</v>
      </c>
      <c r="LPH3" s="18">
        <v>102930</v>
      </c>
      <c r="LPI3" s="18">
        <v>102937</v>
      </c>
      <c r="LPJ3" s="18">
        <v>102944</v>
      </c>
      <c r="LPK3" s="18">
        <v>102951</v>
      </c>
      <c r="LPL3" s="18">
        <v>102958</v>
      </c>
      <c r="LPM3" s="18">
        <v>102965</v>
      </c>
      <c r="LPN3" s="18">
        <v>102972</v>
      </c>
      <c r="LPO3" s="18">
        <v>102979</v>
      </c>
      <c r="LPP3" s="18">
        <v>102986</v>
      </c>
      <c r="LPQ3" s="18">
        <v>102993</v>
      </c>
      <c r="LPR3" s="18">
        <v>103000</v>
      </c>
      <c r="LPS3" s="18">
        <v>103007</v>
      </c>
      <c r="LPT3" s="18">
        <v>103014</v>
      </c>
      <c r="LPU3" s="18">
        <v>103021</v>
      </c>
      <c r="LPV3" s="18">
        <v>103028</v>
      </c>
      <c r="LPW3" s="18">
        <v>103035</v>
      </c>
      <c r="LPX3" s="18">
        <v>103042</v>
      </c>
      <c r="LPY3" s="18">
        <v>103049</v>
      </c>
      <c r="LPZ3" s="18">
        <v>103056</v>
      </c>
      <c r="LQA3" s="18">
        <v>103063</v>
      </c>
      <c r="LQB3" s="18">
        <v>103070</v>
      </c>
      <c r="LQC3" s="18">
        <v>103077</v>
      </c>
      <c r="LQD3" s="18">
        <v>103084</v>
      </c>
      <c r="LQE3" s="18">
        <v>103091</v>
      </c>
      <c r="LQF3" s="18">
        <v>103098</v>
      </c>
      <c r="LQG3" s="18">
        <v>103105</v>
      </c>
      <c r="LQH3" s="18">
        <v>103112</v>
      </c>
      <c r="LQI3" s="18">
        <v>103119</v>
      </c>
      <c r="LQJ3" s="18">
        <v>103126</v>
      </c>
      <c r="LQK3" s="18">
        <v>103133</v>
      </c>
      <c r="LQL3" s="18">
        <v>103140</v>
      </c>
      <c r="LQM3" s="18">
        <v>103147</v>
      </c>
      <c r="LQN3" s="18">
        <v>103154</v>
      </c>
      <c r="LQO3" s="18">
        <v>103161</v>
      </c>
      <c r="LQP3" s="18">
        <v>103168</v>
      </c>
      <c r="LQQ3" s="18">
        <v>103175</v>
      </c>
      <c r="LQR3" s="18">
        <v>103182</v>
      </c>
      <c r="LQS3" s="18">
        <v>103189</v>
      </c>
      <c r="LQT3" s="18">
        <v>103196</v>
      </c>
      <c r="LQU3" s="18">
        <v>103203</v>
      </c>
      <c r="LQV3" s="18">
        <v>103210</v>
      </c>
      <c r="LQW3" s="18">
        <v>103217</v>
      </c>
      <c r="LQX3" s="18">
        <v>103224</v>
      </c>
      <c r="LQY3" s="18">
        <v>103231</v>
      </c>
      <c r="LQZ3" s="18">
        <v>103238</v>
      </c>
      <c r="LRA3" s="18">
        <v>103245</v>
      </c>
      <c r="LRB3" s="18">
        <v>103252</v>
      </c>
      <c r="LRC3" s="18">
        <v>103259</v>
      </c>
      <c r="LRD3" s="18">
        <v>103266</v>
      </c>
      <c r="LRE3" s="18">
        <v>103273</v>
      </c>
      <c r="LRF3" s="18">
        <v>103280</v>
      </c>
      <c r="LRG3" s="18">
        <v>103287</v>
      </c>
      <c r="LRH3" s="18">
        <v>103294</v>
      </c>
      <c r="LRI3" s="18">
        <v>103301</v>
      </c>
      <c r="LRJ3" s="18">
        <v>103308</v>
      </c>
      <c r="LRK3" s="18">
        <v>103315</v>
      </c>
      <c r="LRL3" s="18">
        <v>103322</v>
      </c>
      <c r="LRM3" s="18">
        <v>103329</v>
      </c>
      <c r="LRN3" s="18">
        <v>103336</v>
      </c>
      <c r="LRO3" s="18">
        <v>103343</v>
      </c>
      <c r="LRP3" s="18">
        <v>103350</v>
      </c>
      <c r="LRQ3" s="18">
        <v>103357</v>
      </c>
      <c r="LRR3" s="18">
        <v>103364</v>
      </c>
      <c r="LRS3" s="18">
        <v>103371</v>
      </c>
      <c r="LRT3" s="18">
        <v>103378</v>
      </c>
      <c r="LRU3" s="18">
        <v>103385</v>
      </c>
      <c r="LRV3" s="18">
        <v>103392</v>
      </c>
      <c r="LRW3" s="18">
        <v>103399</v>
      </c>
      <c r="LRX3" s="18">
        <v>103406</v>
      </c>
      <c r="LRY3" s="18">
        <v>103413</v>
      </c>
      <c r="LRZ3" s="18">
        <v>103420</v>
      </c>
      <c r="LSA3" s="18">
        <v>103427</v>
      </c>
      <c r="LSB3" s="18">
        <v>103434</v>
      </c>
      <c r="LSC3" s="18">
        <v>103441</v>
      </c>
      <c r="LSD3" s="18">
        <v>103448</v>
      </c>
      <c r="LSE3" s="18">
        <v>103455</v>
      </c>
      <c r="LSF3" s="18">
        <v>103462</v>
      </c>
      <c r="LSG3" s="18">
        <v>103469</v>
      </c>
      <c r="LSH3" s="18">
        <v>103476</v>
      </c>
      <c r="LSI3" s="18">
        <v>103483</v>
      </c>
      <c r="LSJ3" s="18">
        <v>103490</v>
      </c>
      <c r="LSK3" s="18">
        <v>103497</v>
      </c>
      <c r="LSL3" s="18">
        <v>103504</v>
      </c>
      <c r="LSM3" s="18">
        <v>103511</v>
      </c>
      <c r="LSN3" s="18">
        <v>103518</v>
      </c>
      <c r="LSO3" s="18">
        <v>103525</v>
      </c>
      <c r="LSP3" s="18">
        <v>103532</v>
      </c>
      <c r="LSQ3" s="18">
        <v>103539</v>
      </c>
      <c r="LSR3" s="18">
        <v>103546</v>
      </c>
      <c r="LSS3" s="18">
        <v>103553</v>
      </c>
      <c r="LST3" s="18">
        <v>103560</v>
      </c>
      <c r="LSU3" s="18">
        <v>103567</v>
      </c>
      <c r="LSV3" s="18">
        <v>103574</v>
      </c>
      <c r="LSW3" s="18">
        <v>103581</v>
      </c>
      <c r="LSX3" s="18">
        <v>103588</v>
      </c>
      <c r="LSY3" s="18">
        <v>103595</v>
      </c>
      <c r="LSZ3" s="18">
        <v>103602</v>
      </c>
      <c r="LTA3" s="18">
        <v>103609</v>
      </c>
      <c r="LTB3" s="18">
        <v>103616</v>
      </c>
      <c r="LTC3" s="18">
        <v>103623</v>
      </c>
      <c r="LTD3" s="18">
        <v>103630</v>
      </c>
      <c r="LTE3" s="18">
        <v>103637</v>
      </c>
      <c r="LTF3" s="18">
        <v>103644</v>
      </c>
      <c r="LTG3" s="18">
        <v>103651</v>
      </c>
      <c r="LTH3" s="18">
        <v>103658</v>
      </c>
      <c r="LTI3" s="18">
        <v>103665</v>
      </c>
      <c r="LTJ3" s="18">
        <v>103672</v>
      </c>
      <c r="LTK3" s="18">
        <v>103679</v>
      </c>
      <c r="LTL3" s="18">
        <v>103686</v>
      </c>
      <c r="LTM3" s="18">
        <v>103693</v>
      </c>
      <c r="LTN3" s="18">
        <v>103700</v>
      </c>
      <c r="LTO3" s="18">
        <v>103707</v>
      </c>
      <c r="LTP3" s="18">
        <v>103714</v>
      </c>
      <c r="LTQ3" s="18">
        <v>103721</v>
      </c>
      <c r="LTR3" s="18">
        <v>103728</v>
      </c>
      <c r="LTS3" s="18">
        <v>103735</v>
      </c>
      <c r="LTT3" s="18">
        <v>103742</v>
      </c>
      <c r="LTU3" s="18">
        <v>103749</v>
      </c>
      <c r="LTV3" s="18">
        <v>103756</v>
      </c>
      <c r="LTW3" s="18">
        <v>103763</v>
      </c>
      <c r="LTX3" s="18">
        <v>103770</v>
      </c>
      <c r="LTY3" s="18">
        <v>103777</v>
      </c>
      <c r="LTZ3" s="18">
        <v>103784</v>
      </c>
      <c r="LUA3" s="18">
        <v>103791</v>
      </c>
      <c r="LUB3" s="18">
        <v>103798</v>
      </c>
      <c r="LUC3" s="18">
        <v>103805</v>
      </c>
      <c r="LUD3" s="18">
        <v>103812</v>
      </c>
      <c r="LUE3" s="18">
        <v>103819</v>
      </c>
      <c r="LUF3" s="18">
        <v>103826</v>
      </c>
      <c r="LUG3" s="18">
        <v>103833</v>
      </c>
      <c r="LUH3" s="18">
        <v>103840</v>
      </c>
      <c r="LUI3" s="18">
        <v>103847</v>
      </c>
      <c r="LUJ3" s="18">
        <v>103854</v>
      </c>
      <c r="LUK3" s="18">
        <v>103861</v>
      </c>
      <c r="LUL3" s="18">
        <v>103868</v>
      </c>
      <c r="LUM3" s="18">
        <v>103875</v>
      </c>
      <c r="LUN3" s="18">
        <v>103882</v>
      </c>
      <c r="LUO3" s="18">
        <v>103889</v>
      </c>
      <c r="LUP3" s="18">
        <v>103896</v>
      </c>
      <c r="LUQ3" s="18">
        <v>103903</v>
      </c>
      <c r="LUR3" s="18">
        <v>103910</v>
      </c>
      <c r="LUS3" s="18">
        <v>103917</v>
      </c>
      <c r="LUT3" s="18">
        <v>103924</v>
      </c>
      <c r="LUU3" s="18">
        <v>103931</v>
      </c>
      <c r="LUV3" s="18">
        <v>103938</v>
      </c>
      <c r="LUW3" s="18">
        <v>103945</v>
      </c>
      <c r="LUX3" s="18">
        <v>103952</v>
      </c>
      <c r="LUY3" s="18">
        <v>103959</v>
      </c>
      <c r="LUZ3" s="18">
        <v>103966</v>
      </c>
      <c r="LVA3" s="18">
        <v>103973</v>
      </c>
      <c r="LVB3" s="18">
        <v>103980</v>
      </c>
      <c r="LVC3" s="18">
        <v>103987</v>
      </c>
      <c r="LVD3" s="18">
        <v>103994</v>
      </c>
      <c r="LVE3" s="18">
        <v>104001</v>
      </c>
      <c r="LVF3" s="18">
        <v>104008</v>
      </c>
      <c r="LVG3" s="18">
        <v>104015</v>
      </c>
      <c r="LVH3" s="18">
        <v>104022</v>
      </c>
      <c r="LVI3" s="18">
        <v>104029</v>
      </c>
      <c r="LVJ3" s="18">
        <v>104036</v>
      </c>
      <c r="LVK3" s="18">
        <v>104043</v>
      </c>
      <c r="LVL3" s="18">
        <v>104050</v>
      </c>
      <c r="LVM3" s="18">
        <v>104057</v>
      </c>
      <c r="LVN3" s="18">
        <v>104064</v>
      </c>
      <c r="LVO3" s="18">
        <v>104071</v>
      </c>
      <c r="LVP3" s="18">
        <v>104078</v>
      </c>
      <c r="LVQ3" s="18">
        <v>104085</v>
      </c>
      <c r="LVR3" s="18">
        <v>104092</v>
      </c>
      <c r="LVS3" s="18">
        <v>104099</v>
      </c>
      <c r="LVT3" s="18">
        <v>104106</v>
      </c>
      <c r="LVU3" s="18">
        <v>104113</v>
      </c>
      <c r="LVV3" s="18">
        <v>104120</v>
      </c>
      <c r="LVW3" s="18">
        <v>104127</v>
      </c>
      <c r="LVX3" s="18">
        <v>104134</v>
      </c>
      <c r="LVY3" s="18">
        <v>104141</v>
      </c>
      <c r="LVZ3" s="18">
        <v>104148</v>
      </c>
      <c r="LWA3" s="18">
        <v>104155</v>
      </c>
      <c r="LWB3" s="18">
        <v>104162</v>
      </c>
      <c r="LWC3" s="18">
        <v>104169</v>
      </c>
      <c r="LWD3" s="18">
        <v>104176</v>
      </c>
      <c r="LWE3" s="18">
        <v>104183</v>
      </c>
      <c r="LWF3" s="18">
        <v>104190</v>
      </c>
      <c r="LWG3" s="18">
        <v>104197</v>
      </c>
      <c r="LWH3" s="18">
        <v>104204</v>
      </c>
      <c r="LWI3" s="18">
        <v>104211</v>
      </c>
      <c r="LWJ3" s="18">
        <v>104218</v>
      </c>
      <c r="LWK3" s="18">
        <v>104225</v>
      </c>
      <c r="LWL3" s="18">
        <v>104232</v>
      </c>
      <c r="LWM3" s="18">
        <v>104239</v>
      </c>
      <c r="LWN3" s="18">
        <v>104246</v>
      </c>
      <c r="LWO3" s="18">
        <v>104253</v>
      </c>
      <c r="LWP3" s="18">
        <v>104260</v>
      </c>
      <c r="LWQ3" s="18">
        <v>104267</v>
      </c>
      <c r="LWR3" s="18">
        <v>104274</v>
      </c>
      <c r="LWS3" s="18">
        <v>104281</v>
      </c>
      <c r="LWT3" s="18">
        <v>104288</v>
      </c>
      <c r="LWU3" s="18">
        <v>104295</v>
      </c>
      <c r="LWV3" s="18">
        <v>104302</v>
      </c>
      <c r="LWW3" s="18">
        <v>104309</v>
      </c>
      <c r="LWX3" s="18">
        <v>104316</v>
      </c>
      <c r="LWY3" s="18">
        <v>104323</v>
      </c>
      <c r="LWZ3" s="18">
        <v>104330</v>
      </c>
      <c r="LXA3" s="18">
        <v>104337</v>
      </c>
      <c r="LXB3" s="18">
        <v>104344</v>
      </c>
      <c r="LXC3" s="18">
        <v>104351</v>
      </c>
      <c r="LXD3" s="18">
        <v>104358</v>
      </c>
      <c r="LXE3" s="18">
        <v>104365</v>
      </c>
      <c r="LXF3" s="18">
        <v>104372</v>
      </c>
      <c r="LXG3" s="18">
        <v>104379</v>
      </c>
      <c r="LXH3" s="18">
        <v>104386</v>
      </c>
      <c r="LXI3" s="18">
        <v>104393</v>
      </c>
      <c r="LXJ3" s="18">
        <v>104400</v>
      </c>
      <c r="LXK3" s="18">
        <v>104407</v>
      </c>
      <c r="LXL3" s="18">
        <v>104414</v>
      </c>
      <c r="LXM3" s="18">
        <v>104421</v>
      </c>
      <c r="LXN3" s="18">
        <v>104428</v>
      </c>
      <c r="LXO3" s="18">
        <v>104435</v>
      </c>
      <c r="LXP3" s="18">
        <v>104442</v>
      </c>
      <c r="LXQ3" s="18">
        <v>104449</v>
      </c>
      <c r="LXR3" s="18">
        <v>104456</v>
      </c>
      <c r="LXS3" s="18">
        <v>104463</v>
      </c>
      <c r="LXT3" s="18">
        <v>104470</v>
      </c>
      <c r="LXU3" s="18">
        <v>104477</v>
      </c>
      <c r="LXV3" s="18">
        <v>104484</v>
      </c>
      <c r="LXW3" s="18">
        <v>104491</v>
      </c>
      <c r="LXX3" s="18">
        <v>104498</v>
      </c>
      <c r="LXY3" s="18">
        <v>104505</v>
      </c>
      <c r="LXZ3" s="18">
        <v>104512</v>
      </c>
      <c r="LYA3" s="18">
        <v>104519</v>
      </c>
      <c r="LYB3" s="18">
        <v>104526</v>
      </c>
      <c r="LYC3" s="18">
        <v>104533</v>
      </c>
      <c r="LYD3" s="18">
        <v>104540</v>
      </c>
      <c r="LYE3" s="18">
        <v>104547</v>
      </c>
      <c r="LYF3" s="18">
        <v>104554</v>
      </c>
      <c r="LYG3" s="18">
        <v>104561</v>
      </c>
      <c r="LYH3" s="18">
        <v>104568</v>
      </c>
      <c r="LYI3" s="18">
        <v>104575</v>
      </c>
      <c r="LYJ3" s="18">
        <v>104582</v>
      </c>
      <c r="LYK3" s="18">
        <v>104589</v>
      </c>
      <c r="LYL3" s="18">
        <v>104596</v>
      </c>
      <c r="LYM3" s="18">
        <v>104603</v>
      </c>
      <c r="LYN3" s="18">
        <v>104610</v>
      </c>
      <c r="LYO3" s="18">
        <v>104617</v>
      </c>
      <c r="LYP3" s="18">
        <v>104624</v>
      </c>
      <c r="LYQ3" s="18">
        <v>104631</v>
      </c>
      <c r="LYR3" s="18">
        <v>104638</v>
      </c>
      <c r="LYS3" s="18">
        <v>104645</v>
      </c>
      <c r="LYT3" s="18">
        <v>104652</v>
      </c>
      <c r="LYU3" s="18">
        <v>104659</v>
      </c>
      <c r="LYV3" s="18">
        <v>104666</v>
      </c>
      <c r="LYW3" s="18">
        <v>104673</v>
      </c>
      <c r="LYX3" s="18">
        <v>104680</v>
      </c>
      <c r="LYY3" s="18">
        <v>104687</v>
      </c>
      <c r="LYZ3" s="18">
        <v>104694</v>
      </c>
      <c r="LZA3" s="18">
        <v>104701</v>
      </c>
      <c r="LZB3" s="18">
        <v>104708</v>
      </c>
      <c r="LZC3" s="18">
        <v>104715</v>
      </c>
      <c r="LZD3" s="18">
        <v>104722</v>
      </c>
      <c r="LZE3" s="18">
        <v>104729</v>
      </c>
      <c r="LZF3" s="18">
        <v>104736</v>
      </c>
      <c r="LZG3" s="18">
        <v>104743</v>
      </c>
      <c r="LZH3" s="18">
        <v>104750</v>
      </c>
      <c r="LZI3" s="18">
        <v>104757</v>
      </c>
      <c r="LZJ3" s="18">
        <v>104764</v>
      </c>
      <c r="LZK3" s="18">
        <v>104771</v>
      </c>
      <c r="LZL3" s="18">
        <v>104778</v>
      </c>
      <c r="LZM3" s="18">
        <v>104785</v>
      </c>
      <c r="LZN3" s="18">
        <v>104792</v>
      </c>
      <c r="LZO3" s="18">
        <v>104799</v>
      </c>
      <c r="LZP3" s="18">
        <v>104806</v>
      </c>
      <c r="LZQ3" s="18">
        <v>104813</v>
      </c>
      <c r="LZR3" s="18">
        <v>104820</v>
      </c>
      <c r="LZS3" s="18">
        <v>104827</v>
      </c>
      <c r="LZT3" s="18">
        <v>104834</v>
      </c>
      <c r="LZU3" s="18">
        <v>104841</v>
      </c>
      <c r="LZV3" s="18">
        <v>104848</v>
      </c>
      <c r="LZW3" s="18">
        <v>104855</v>
      </c>
      <c r="LZX3" s="18">
        <v>104862</v>
      </c>
      <c r="LZY3" s="18">
        <v>104869</v>
      </c>
      <c r="LZZ3" s="18">
        <v>104876</v>
      </c>
      <c r="MAA3" s="18">
        <v>104883</v>
      </c>
      <c r="MAB3" s="18">
        <v>104890</v>
      </c>
      <c r="MAC3" s="18">
        <v>104897</v>
      </c>
      <c r="MAD3" s="18">
        <v>104904</v>
      </c>
      <c r="MAE3" s="18">
        <v>104911</v>
      </c>
      <c r="MAF3" s="18">
        <v>104918</v>
      </c>
      <c r="MAG3" s="18">
        <v>104925</v>
      </c>
      <c r="MAH3" s="18">
        <v>104932</v>
      </c>
      <c r="MAI3" s="18">
        <v>104939</v>
      </c>
      <c r="MAJ3" s="18">
        <v>104946</v>
      </c>
      <c r="MAK3" s="18">
        <v>104953</v>
      </c>
      <c r="MAL3" s="18">
        <v>104960</v>
      </c>
      <c r="MAM3" s="18">
        <v>104967</v>
      </c>
      <c r="MAN3" s="18">
        <v>104974</v>
      </c>
      <c r="MAO3" s="18">
        <v>104981</v>
      </c>
      <c r="MAP3" s="18">
        <v>104988</v>
      </c>
      <c r="MAQ3" s="18">
        <v>104995</v>
      </c>
      <c r="MAR3" s="18">
        <v>105002</v>
      </c>
      <c r="MAS3" s="18">
        <v>105009</v>
      </c>
      <c r="MAT3" s="18">
        <v>105016</v>
      </c>
      <c r="MAU3" s="18">
        <v>105023</v>
      </c>
      <c r="MAV3" s="18">
        <v>105030</v>
      </c>
      <c r="MAW3" s="18">
        <v>105037</v>
      </c>
      <c r="MAX3" s="18">
        <v>105044</v>
      </c>
      <c r="MAY3" s="18">
        <v>105051</v>
      </c>
      <c r="MAZ3" s="18">
        <v>105058</v>
      </c>
      <c r="MBA3" s="18">
        <v>105065</v>
      </c>
      <c r="MBB3" s="18">
        <v>105072</v>
      </c>
      <c r="MBC3" s="18">
        <v>105079</v>
      </c>
      <c r="MBD3" s="18">
        <v>105086</v>
      </c>
      <c r="MBE3" s="18">
        <v>105093</v>
      </c>
      <c r="MBF3" s="18">
        <v>105100</v>
      </c>
      <c r="MBG3" s="18">
        <v>105107</v>
      </c>
      <c r="MBH3" s="18">
        <v>105114</v>
      </c>
      <c r="MBI3" s="18">
        <v>105121</v>
      </c>
      <c r="MBJ3" s="18">
        <v>105128</v>
      </c>
      <c r="MBK3" s="18">
        <v>105135</v>
      </c>
      <c r="MBL3" s="18">
        <v>105142</v>
      </c>
      <c r="MBM3" s="18">
        <v>105149</v>
      </c>
      <c r="MBN3" s="18">
        <v>105156</v>
      </c>
      <c r="MBO3" s="18">
        <v>105163</v>
      </c>
      <c r="MBP3" s="18">
        <v>105170</v>
      </c>
      <c r="MBQ3" s="18">
        <v>105177</v>
      </c>
      <c r="MBR3" s="18">
        <v>105184</v>
      </c>
      <c r="MBS3" s="18">
        <v>105191</v>
      </c>
      <c r="MBT3" s="18">
        <v>105198</v>
      </c>
      <c r="MBU3" s="18">
        <v>105205</v>
      </c>
      <c r="MBV3" s="18">
        <v>105212</v>
      </c>
      <c r="MBW3" s="18">
        <v>105219</v>
      </c>
      <c r="MBX3" s="18">
        <v>105226</v>
      </c>
      <c r="MBY3" s="18">
        <v>105233</v>
      </c>
      <c r="MBZ3" s="18">
        <v>105240</v>
      </c>
      <c r="MCA3" s="18">
        <v>105247</v>
      </c>
      <c r="MCB3" s="18">
        <v>105254</v>
      </c>
      <c r="MCC3" s="18">
        <v>105261</v>
      </c>
      <c r="MCD3" s="18">
        <v>105268</v>
      </c>
      <c r="MCE3" s="18">
        <v>105275</v>
      </c>
      <c r="MCF3" s="18">
        <v>105282</v>
      </c>
      <c r="MCG3" s="18">
        <v>105289</v>
      </c>
      <c r="MCH3" s="18">
        <v>105296</v>
      </c>
      <c r="MCI3" s="18">
        <v>105303</v>
      </c>
      <c r="MCJ3" s="18">
        <v>105310</v>
      </c>
      <c r="MCK3" s="18">
        <v>105317</v>
      </c>
      <c r="MCL3" s="18">
        <v>105324</v>
      </c>
      <c r="MCM3" s="18">
        <v>105331</v>
      </c>
      <c r="MCN3" s="18">
        <v>105338</v>
      </c>
      <c r="MCO3" s="18">
        <v>105345</v>
      </c>
      <c r="MCP3" s="18">
        <v>105352</v>
      </c>
      <c r="MCQ3" s="18">
        <v>105359</v>
      </c>
      <c r="MCR3" s="18">
        <v>105366</v>
      </c>
      <c r="MCS3" s="18">
        <v>105373</v>
      </c>
      <c r="MCT3" s="18">
        <v>105380</v>
      </c>
      <c r="MCU3" s="18">
        <v>105387</v>
      </c>
      <c r="MCV3" s="18">
        <v>105394</v>
      </c>
      <c r="MCW3" s="18">
        <v>105401</v>
      </c>
      <c r="MCX3" s="18">
        <v>105408</v>
      </c>
      <c r="MCY3" s="18">
        <v>105415</v>
      </c>
      <c r="MCZ3" s="18">
        <v>105422</v>
      </c>
      <c r="MDA3" s="18">
        <v>105429</v>
      </c>
      <c r="MDB3" s="18">
        <v>105436</v>
      </c>
      <c r="MDC3" s="18">
        <v>105443</v>
      </c>
      <c r="MDD3" s="18">
        <v>105450</v>
      </c>
      <c r="MDE3" s="18">
        <v>105457</v>
      </c>
      <c r="MDF3" s="18">
        <v>105464</v>
      </c>
      <c r="MDG3" s="18">
        <v>105471</v>
      </c>
      <c r="MDH3" s="18">
        <v>105478</v>
      </c>
      <c r="MDI3" s="18">
        <v>105485</v>
      </c>
      <c r="MDJ3" s="18">
        <v>105492</v>
      </c>
      <c r="MDK3" s="18">
        <v>105499</v>
      </c>
      <c r="MDL3" s="18">
        <v>105506</v>
      </c>
      <c r="MDM3" s="18">
        <v>105513</v>
      </c>
      <c r="MDN3" s="18">
        <v>105520</v>
      </c>
      <c r="MDO3" s="18">
        <v>105527</v>
      </c>
      <c r="MDP3" s="18">
        <v>105534</v>
      </c>
      <c r="MDQ3" s="18">
        <v>105541</v>
      </c>
      <c r="MDR3" s="18">
        <v>105548</v>
      </c>
      <c r="MDS3" s="18">
        <v>105555</v>
      </c>
      <c r="MDT3" s="18">
        <v>105562</v>
      </c>
      <c r="MDU3" s="18">
        <v>105569</v>
      </c>
      <c r="MDV3" s="18">
        <v>105576</v>
      </c>
      <c r="MDW3" s="18">
        <v>105583</v>
      </c>
      <c r="MDX3" s="18">
        <v>105590</v>
      </c>
      <c r="MDY3" s="18">
        <v>105597</v>
      </c>
      <c r="MDZ3" s="18">
        <v>105604</v>
      </c>
      <c r="MEA3" s="18">
        <v>105611</v>
      </c>
      <c r="MEB3" s="18">
        <v>105618</v>
      </c>
      <c r="MEC3" s="18">
        <v>105625</v>
      </c>
      <c r="MED3" s="18">
        <v>105632</v>
      </c>
      <c r="MEE3" s="18">
        <v>105639</v>
      </c>
      <c r="MEF3" s="18">
        <v>105646</v>
      </c>
      <c r="MEG3" s="18">
        <v>105653</v>
      </c>
      <c r="MEH3" s="18">
        <v>105660</v>
      </c>
      <c r="MEI3" s="18">
        <v>105667</v>
      </c>
      <c r="MEJ3" s="18">
        <v>105674</v>
      </c>
      <c r="MEK3" s="18">
        <v>105681</v>
      </c>
      <c r="MEL3" s="18">
        <v>105688</v>
      </c>
      <c r="MEM3" s="18">
        <v>105695</v>
      </c>
      <c r="MEN3" s="18">
        <v>105702</v>
      </c>
      <c r="MEO3" s="18">
        <v>105709</v>
      </c>
      <c r="MEP3" s="18">
        <v>105716</v>
      </c>
      <c r="MEQ3" s="18">
        <v>105723</v>
      </c>
      <c r="MER3" s="18">
        <v>105730</v>
      </c>
      <c r="MES3" s="18">
        <v>105737</v>
      </c>
      <c r="MET3" s="18">
        <v>105744</v>
      </c>
      <c r="MEU3" s="18">
        <v>105751</v>
      </c>
      <c r="MEV3" s="18">
        <v>105758</v>
      </c>
      <c r="MEW3" s="18">
        <v>105765</v>
      </c>
      <c r="MEX3" s="18">
        <v>105772</v>
      </c>
      <c r="MEY3" s="18">
        <v>105779</v>
      </c>
      <c r="MEZ3" s="18">
        <v>105786</v>
      </c>
      <c r="MFA3" s="18">
        <v>105793</v>
      </c>
      <c r="MFB3" s="18">
        <v>105800</v>
      </c>
      <c r="MFC3" s="18">
        <v>105807</v>
      </c>
      <c r="MFD3" s="18">
        <v>105814</v>
      </c>
      <c r="MFE3" s="18">
        <v>105821</v>
      </c>
      <c r="MFF3" s="18">
        <v>105828</v>
      </c>
      <c r="MFG3" s="18">
        <v>105835</v>
      </c>
      <c r="MFH3" s="18">
        <v>105842</v>
      </c>
      <c r="MFI3" s="18">
        <v>105849</v>
      </c>
      <c r="MFJ3" s="18">
        <v>105856</v>
      </c>
      <c r="MFK3" s="18">
        <v>105863</v>
      </c>
      <c r="MFL3" s="18">
        <v>105870</v>
      </c>
      <c r="MFM3" s="18">
        <v>105877</v>
      </c>
      <c r="MFN3" s="18">
        <v>105884</v>
      </c>
      <c r="MFO3" s="18">
        <v>105891</v>
      </c>
      <c r="MFP3" s="18">
        <v>105898</v>
      </c>
      <c r="MFQ3" s="18">
        <v>105905</v>
      </c>
      <c r="MFR3" s="18">
        <v>105912</v>
      </c>
      <c r="MFS3" s="18">
        <v>105919</v>
      </c>
      <c r="MFT3" s="18">
        <v>105926</v>
      </c>
      <c r="MFU3" s="18">
        <v>105933</v>
      </c>
      <c r="MFV3" s="18">
        <v>105940</v>
      </c>
      <c r="MFW3" s="18">
        <v>105947</v>
      </c>
      <c r="MFX3" s="18">
        <v>105954</v>
      </c>
      <c r="MFY3" s="18">
        <v>105961</v>
      </c>
      <c r="MFZ3" s="18">
        <v>105968</v>
      </c>
      <c r="MGA3" s="18">
        <v>105975</v>
      </c>
      <c r="MGB3" s="18">
        <v>105982</v>
      </c>
      <c r="MGC3" s="18">
        <v>105989</v>
      </c>
      <c r="MGD3" s="18">
        <v>105996</v>
      </c>
      <c r="MGE3" s="18">
        <v>106003</v>
      </c>
      <c r="MGF3" s="18">
        <v>106010</v>
      </c>
      <c r="MGG3" s="18">
        <v>106017</v>
      </c>
      <c r="MGH3" s="18">
        <v>106024</v>
      </c>
      <c r="MGI3" s="18">
        <v>106031</v>
      </c>
      <c r="MGJ3" s="18">
        <v>106038</v>
      </c>
      <c r="MGK3" s="18">
        <v>106045</v>
      </c>
      <c r="MGL3" s="18">
        <v>106052</v>
      </c>
      <c r="MGM3" s="18">
        <v>106059</v>
      </c>
      <c r="MGN3" s="18">
        <v>106066</v>
      </c>
      <c r="MGO3" s="18">
        <v>106073</v>
      </c>
      <c r="MGP3" s="18">
        <v>106080</v>
      </c>
      <c r="MGQ3" s="18">
        <v>106087</v>
      </c>
      <c r="MGR3" s="18">
        <v>106094</v>
      </c>
      <c r="MGS3" s="18">
        <v>106101</v>
      </c>
      <c r="MGT3" s="18">
        <v>106108</v>
      </c>
      <c r="MGU3" s="18">
        <v>106115</v>
      </c>
      <c r="MGV3" s="18">
        <v>106122</v>
      </c>
      <c r="MGW3" s="18">
        <v>106129</v>
      </c>
      <c r="MGX3" s="18">
        <v>106136</v>
      </c>
      <c r="MGY3" s="18">
        <v>106143</v>
      </c>
      <c r="MGZ3" s="18">
        <v>106150</v>
      </c>
      <c r="MHA3" s="18">
        <v>106157</v>
      </c>
      <c r="MHB3" s="18">
        <v>106164</v>
      </c>
      <c r="MHC3" s="18">
        <v>106171</v>
      </c>
      <c r="MHD3" s="18">
        <v>106178</v>
      </c>
      <c r="MHE3" s="18">
        <v>106185</v>
      </c>
      <c r="MHF3" s="18">
        <v>106192</v>
      </c>
      <c r="MHG3" s="18">
        <v>106199</v>
      </c>
      <c r="MHH3" s="18">
        <v>106206</v>
      </c>
      <c r="MHI3" s="18">
        <v>106213</v>
      </c>
      <c r="MHJ3" s="18">
        <v>106220</v>
      </c>
      <c r="MHK3" s="18">
        <v>106227</v>
      </c>
      <c r="MHL3" s="18">
        <v>106234</v>
      </c>
      <c r="MHM3" s="18">
        <v>106241</v>
      </c>
      <c r="MHN3" s="18">
        <v>106248</v>
      </c>
      <c r="MHO3" s="18">
        <v>106255</v>
      </c>
      <c r="MHP3" s="18">
        <v>106262</v>
      </c>
      <c r="MHQ3" s="18">
        <v>106269</v>
      </c>
      <c r="MHR3" s="18">
        <v>106276</v>
      </c>
      <c r="MHS3" s="18">
        <v>106283</v>
      </c>
      <c r="MHT3" s="18">
        <v>106290</v>
      </c>
      <c r="MHU3" s="18">
        <v>106297</v>
      </c>
      <c r="MHV3" s="18">
        <v>106304</v>
      </c>
      <c r="MHW3" s="18">
        <v>106311</v>
      </c>
      <c r="MHX3" s="18">
        <v>106318</v>
      </c>
      <c r="MHY3" s="18">
        <v>106325</v>
      </c>
      <c r="MHZ3" s="18">
        <v>106332</v>
      </c>
      <c r="MIA3" s="18">
        <v>106339</v>
      </c>
      <c r="MIB3" s="18">
        <v>106346</v>
      </c>
      <c r="MIC3" s="18">
        <v>106353</v>
      </c>
      <c r="MID3" s="18">
        <v>106360</v>
      </c>
      <c r="MIE3" s="18">
        <v>106367</v>
      </c>
      <c r="MIF3" s="18">
        <v>106374</v>
      </c>
      <c r="MIG3" s="18">
        <v>106381</v>
      </c>
      <c r="MIH3" s="18">
        <v>106388</v>
      </c>
      <c r="MII3" s="18">
        <v>106395</v>
      </c>
      <c r="MIJ3" s="18">
        <v>106402</v>
      </c>
      <c r="MIK3" s="18">
        <v>106409</v>
      </c>
      <c r="MIL3" s="18">
        <v>106416</v>
      </c>
      <c r="MIM3" s="18">
        <v>106423</v>
      </c>
      <c r="MIN3" s="18">
        <v>106430</v>
      </c>
      <c r="MIO3" s="18">
        <v>106437</v>
      </c>
      <c r="MIP3" s="18">
        <v>106444</v>
      </c>
      <c r="MIQ3" s="18">
        <v>106451</v>
      </c>
      <c r="MIR3" s="18">
        <v>106458</v>
      </c>
      <c r="MIS3" s="18">
        <v>106465</v>
      </c>
      <c r="MIT3" s="18">
        <v>106472</v>
      </c>
      <c r="MIU3" s="18">
        <v>106479</v>
      </c>
      <c r="MIV3" s="18">
        <v>106486</v>
      </c>
      <c r="MIW3" s="18">
        <v>106493</v>
      </c>
      <c r="MIX3" s="18">
        <v>106500</v>
      </c>
      <c r="MIY3" s="18">
        <v>106507</v>
      </c>
      <c r="MIZ3" s="18">
        <v>106514</v>
      </c>
      <c r="MJA3" s="18">
        <v>106521</v>
      </c>
      <c r="MJB3" s="18">
        <v>106528</v>
      </c>
      <c r="MJC3" s="18">
        <v>106535</v>
      </c>
      <c r="MJD3" s="18">
        <v>106542</v>
      </c>
      <c r="MJE3" s="18">
        <v>106549</v>
      </c>
      <c r="MJF3" s="18">
        <v>106556</v>
      </c>
      <c r="MJG3" s="18">
        <v>106563</v>
      </c>
      <c r="MJH3" s="18">
        <v>106570</v>
      </c>
      <c r="MJI3" s="18">
        <v>106577</v>
      </c>
      <c r="MJJ3" s="18">
        <v>106584</v>
      </c>
      <c r="MJK3" s="18">
        <v>106591</v>
      </c>
      <c r="MJL3" s="18">
        <v>106598</v>
      </c>
      <c r="MJM3" s="18">
        <v>106605</v>
      </c>
      <c r="MJN3" s="18">
        <v>106612</v>
      </c>
      <c r="MJO3" s="18">
        <v>106619</v>
      </c>
      <c r="MJP3" s="18">
        <v>106626</v>
      </c>
      <c r="MJQ3" s="18">
        <v>106633</v>
      </c>
      <c r="MJR3" s="18">
        <v>106640</v>
      </c>
      <c r="MJS3" s="18">
        <v>106647</v>
      </c>
      <c r="MJT3" s="18">
        <v>106654</v>
      </c>
      <c r="MJU3" s="18">
        <v>106661</v>
      </c>
      <c r="MJV3" s="18">
        <v>106668</v>
      </c>
      <c r="MJW3" s="18">
        <v>106675</v>
      </c>
      <c r="MJX3" s="18">
        <v>106682</v>
      </c>
      <c r="MJY3" s="18">
        <v>106689</v>
      </c>
      <c r="MJZ3" s="18">
        <v>106696</v>
      </c>
      <c r="MKA3" s="18">
        <v>106703</v>
      </c>
      <c r="MKB3" s="18">
        <v>106710</v>
      </c>
      <c r="MKC3" s="18">
        <v>106717</v>
      </c>
      <c r="MKD3" s="18">
        <v>106724</v>
      </c>
      <c r="MKE3" s="18">
        <v>106731</v>
      </c>
      <c r="MKF3" s="18">
        <v>106738</v>
      </c>
      <c r="MKG3" s="18">
        <v>106745</v>
      </c>
      <c r="MKH3" s="18">
        <v>106752</v>
      </c>
      <c r="MKI3" s="18">
        <v>106759</v>
      </c>
      <c r="MKJ3" s="18">
        <v>106766</v>
      </c>
      <c r="MKK3" s="18">
        <v>106773</v>
      </c>
      <c r="MKL3" s="18">
        <v>106780</v>
      </c>
      <c r="MKM3" s="18">
        <v>106787</v>
      </c>
      <c r="MKN3" s="18">
        <v>106794</v>
      </c>
      <c r="MKO3" s="18">
        <v>106801</v>
      </c>
      <c r="MKP3" s="18">
        <v>106808</v>
      </c>
      <c r="MKQ3" s="18">
        <v>106815</v>
      </c>
      <c r="MKR3" s="18">
        <v>106822</v>
      </c>
      <c r="MKS3" s="18">
        <v>106829</v>
      </c>
      <c r="MKT3" s="18">
        <v>106836</v>
      </c>
      <c r="MKU3" s="18">
        <v>106843</v>
      </c>
      <c r="MKV3" s="18">
        <v>106850</v>
      </c>
      <c r="MKW3" s="18">
        <v>106857</v>
      </c>
      <c r="MKX3" s="18">
        <v>106864</v>
      </c>
      <c r="MKY3" s="18">
        <v>106871</v>
      </c>
      <c r="MKZ3" s="18">
        <v>106878</v>
      </c>
      <c r="MLA3" s="18">
        <v>106885</v>
      </c>
      <c r="MLB3" s="18">
        <v>106892</v>
      </c>
      <c r="MLC3" s="18">
        <v>106899</v>
      </c>
      <c r="MLD3" s="18">
        <v>106906</v>
      </c>
      <c r="MLE3" s="18">
        <v>106913</v>
      </c>
      <c r="MLF3" s="18">
        <v>106920</v>
      </c>
      <c r="MLG3" s="18">
        <v>106927</v>
      </c>
      <c r="MLH3" s="18">
        <v>106934</v>
      </c>
      <c r="MLI3" s="18">
        <v>106941</v>
      </c>
      <c r="MLJ3" s="18">
        <v>106948</v>
      </c>
      <c r="MLK3" s="18">
        <v>106955</v>
      </c>
      <c r="MLL3" s="18">
        <v>106962</v>
      </c>
      <c r="MLM3" s="18">
        <v>106969</v>
      </c>
      <c r="MLN3" s="18">
        <v>106976</v>
      </c>
      <c r="MLO3" s="18">
        <v>106983</v>
      </c>
      <c r="MLP3" s="18">
        <v>106990</v>
      </c>
      <c r="MLQ3" s="18">
        <v>106997</v>
      </c>
      <c r="MLR3" s="18">
        <v>107004</v>
      </c>
      <c r="MLS3" s="18">
        <v>107011</v>
      </c>
      <c r="MLT3" s="18">
        <v>107018</v>
      </c>
      <c r="MLU3" s="18">
        <v>107025</v>
      </c>
      <c r="MLV3" s="18">
        <v>107032</v>
      </c>
      <c r="MLW3" s="18">
        <v>107039</v>
      </c>
      <c r="MLX3" s="18">
        <v>107046</v>
      </c>
      <c r="MLY3" s="18">
        <v>107053</v>
      </c>
      <c r="MLZ3" s="18">
        <v>107060</v>
      </c>
      <c r="MMA3" s="18">
        <v>107067</v>
      </c>
      <c r="MMB3" s="18">
        <v>107074</v>
      </c>
      <c r="MMC3" s="18">
        <v>107081</v>
      </c>
      <c r="MMD3" s="18">
        <v>107088</v>
      </c>
      <c r="MME3" s="18">
        <v>107095</v>
      </c>
      <c r="MMF3" s="18">
        <v>107102</v>
      </c>
      <c r="MMG3" s="18">
        <v>107109</v>
      </c>
      <c r="MMH3" s="18">
        <v>107116</v>
      </c>
      <c r="MMI3" s="18">
        <v>107123</v>
      </c>
      <c r="MMJ3" s="18">
        <v>107130</v>
      </c>
      <c r="MMK3" s="18">
        <v>107137</v>
      </c>
      <c r="MML3" s="18">
        <v>107144</v>
      </c>
      <c r="MMM3" s="18">
        <v>107151</v>
      </c>
      <c r="MMN3" s="18">
        <v>107158</v>
      </c>
      <c r="MMO3" s="18">
        <v>107165</v>
      </c>
      <c r="MMP3" s="18">
        <v>107172</v>
      </c>
      <c r="MMQ3" s="18">
        <v>107179</v>
      </c>
      <c r="MMR3" s="18">
        <v>107186</v>
      </c>
      <c r="MMS3" s="18">
        <v>107193</v>
      </c>
      <c r="MMT3" s="18">
        <v>107200</v>
      </c>
      <c r="MMU3" s="18">
        <v>107207</v>
      </c>
      <c r="MMV3" s="18">
        <v>107214</v>
      </c>
      <c r="MMW3" s="18">
        <v>107221</v>
      </c>
      <c r="MMX3" s="18">
        <v>107228</v>
      </c>
      <c r="MMY3" s="18">
        <v>107235</v>
      </c>
      <c r="MMZ3" s="18">
        <v>107242</v>
      </c>
      <c r="MNA3" s="18">
        <v>107249</v>
      </c>
      <c r="MNB3" s="18">
        <v>107256</v>
      </c>
      <c r="MNC3" s="18">
        <v>107263</v>
      </c>
      <c r="MND3" s="18">
        <v>107270</v>
      </c>
      <c r="MNE3" s="18">
        <v>107277</v>
      </c>
      <c r="MNF3" s="18">
        <v>107284</v>
      </c>
      <c r="MNG3" s="18">
        <v>107291</v>
      </c>
      <c r="MNH3" s="18">
        <v>107298</v>
      </c>
      <c r="MNI3" s="18">
        <v>107305</v>
      </c>
      <c r="MNJ3" s="18">
        <v>107312</v>
      </c>
      <c r="MNK3" s="18">
        <v>107319</v>
      </c>
      <c r="MNL3" s="18">
        <v>107326</v>
      </c>
      <c r="MNM3" s="18">
        <v>107333</v>
      </c>
      <c r="MNN3" s="18">
        <v>107340</v>
      </c>
      <c r="MNO3" s="18">
        <v>107347</v>
      </c>
      <c r="MNP3" s="18">
        <v>107354</v>
      </c>
      <c r="MNQ3" s="18">
        <v>107361</v>
      </c>
      <c r="MNR3" s="18">
        <v>107368</v>
      </c>
      <c r="MNS3" s="18">
        <v>107375</v>
      </c>
      <c r="MNT3" s="18">
        <v>107382</v>
      </c>
      <c r="MNU3" s="18">
        <v>107389</v>
      </c>
      <c r="MNV3" s="18">
        <v>107396</v>
      </c>
      <c r="MNW3" s="18">
        <v>107403</v>
      </c>
      <c r="MNX3" s="18">
        <v>107410</v>
      </c>
      <c r="MNY3" s="18">
        <v>107417</v>
      </c>
      <c r="MNZ3" s="18">
        <v>107424</v>
      </c>
      <c r="MOA3" s="18">
        <v>107431</v>
      </c>
      <c r="MOB3" s="18">
        <v>107438</v>
      </c>
      <c r="MOC3" s="18">
        <v>107445</v>
      </c>
      <c r="MOD3" s="18">
        <v>107452</v>
      </c>
      <c r="MOE3" s="18">
        <v>107459</v>
      </c>
      <c r="MOF3" s="18">
        <v>107466</v>
      </c>
      <c r="MOG3" s="18">
        <v>107473</v>
      </c>
      <c r="MOH3" s="18">
        <v>107480</v>
      </c>
      <c r="MOI3" s="18">
        <v>107487</v>
      </c>
      <c r="MOJ3" s="18">
        <v>107494</v>
      </c>
      <c r="MOK3" s="18">
        <v>107501</v>
      </c>
      <c r="MOL3" s="18">
        <v>107508</v>
      </c>
      <c r="MOM3" s="18">
        <v>107515</v>
      </c>
      <c r="MON3" s="18">
        <v>107522</v>
      </c>
      <c r="MOO3" s="18">
        <v>107529</v>
      </c>
      <c r="MOP3" s="18">
        <v>107536</v>
      </c>
      <c r="MOQ3" s="18">
        <v>107543</v>
      </c>
      <c r="MOR3" s="18">
        <v>107550</v>
      </c>
      <c r="MOS3" s="18">
        <v>107557</v>
      </c>
      <c r="MOT3" s="18">
        <v>107564</v>
      </c>
      <c r="MOU3" s="18">
        <v>107571</v>
      </c>
      <c r="MOV3" s="18">
        <v>107578</v>
      </c>
      <c r="MOW3" s="18">
        <v>107585</v>
      </c>
      <c r="MOX3" s="18">
        <v>107592</v>
      </c>
      <c r="MOY3" s="18">
        <v>107599</v>
      </c>
      <c r="MOZ3" s="18">
        <v>107606</v>
      </c>
      <c r="MPA3" s="18">
        <v>107613</v>
      </c>
      <c r="MPB3" s="18">
        <v>107620</v>
      </c>
      <c r="MPC3" s="18">
        <v>107627</v>
      </c>
      <c r="MPD3" s="18">
        <v>107634</v>
      </c>
      <c r="MPE3" s="18">
        <v>107641</v>
      </c>
      <c r="MPF3" s="18">
        <v>107648</v>
      </c>
      <c r="MPG3" s="18">
        <v>107655</v>
      </c>
      <c r="MPH3" s="18">
        <v>107662</v>
      </c>
      <c r="MPI3" s="18">
        <v>107669</v>
      </c>
      <c r="MPJ3" s="18">
        <v>107676</v>
      </c>
      <c r="MPK3" s="18">
        <v>107683</v>
      </c>
      <c r="MPL3" s="18">
        <v>107690</v>
      </c>
      <c r="MPM3" s="18">
        <v>107697</v>
      </c>
      <c r="MPN3" s="18">
        <v>107704</v>
      </c>
      <c r="MPO3" s="18">
        <v>107711</v>
      </c>
      <c r="MPP3" s="18">
        <v>107718</v>
      </c>
      <c r="MPQ3" s="18">
        <v>107725</v>
      </c>
      <c r="MPR3" s="18">
        <v>107732</v>
      </c>
      <c r="MPS3" s="18">
        <v>107739</v>
      </c>
      <c r="MPT3" s="18">
        <v>107746</v>
      </c>
      <c r="MPU3" s="18">
        <v>107753</v>
      </c>
      <c r="MPV3" s="18">
        <v>107760</v>
      </c>
      <c r="MPW3" s="18">
        <v>107767</v>
      </c>
      <c r="MPX3" s="18">
        <v>107774</v>
      </c>
      <c r="MPY3" s="18">
        <v>107781</v>
      </c>
      <c r="MPZ3" s="18">
        <v>107788</v>
      </c>
      <c r="MQA3" s="18">
        <v>107795</v>
      </c>
      <c r="MQB3" s="18">
        <v>107802</v>
      </c>
      <c r="MQC3" s="18">
        <v>107809</v>
      </c>
      <c r="MQD3" s="18">
        <v>107816</v>
      </c>
      <c r="MQE3" s="18">
        <v>107823</v>
      </c>
      <c r="MQF3" s="18">
        <v>107830</v>
      </c>
      <c r="MQG3" s="18">
        <v>107837</v>
      </c>
      <c r="MQH3" s="18">
        <v>107844</v>
      </c>
      <c r="MQI3" s="18">
        <v>107851</v>
      </c>
      <c r="MQJ3" s="18">
        <v>107858</v>
      </c>
      <c r="MQK3" s="18">
        <v>107865</v>
      </c>
      <c r="MQL3" s="18">
        <v>107872</v>
      </c>
      <c r="MQM3" s="18">
        <v>107879</v>
      </c>
      <c r="MQN3" s="18">
        <v>107886</v>
      </c>
      <c r="MQO3" s="18">
        <v>107893</v>
      </c>
      <c r="MQP3" s="18">
        <v>107900</v>
      </c>
      <c r="MQQ3" s="18">
        <v>107907</v>
      </c>
      <c r="MQR3" s="18">
        <v>107914</v>
      </c>
      <c r="MQS3" s="18">
        <v>107921</v>
      </c>
      <c r="MQT3" s="18">
        <v>107928</v>
      </c>
      <c r="MQU3" s="18">
        <v>107935</v>
      </c>
      <c r="MQV3" s="18">
        <v>107942</v>
      </c>
      <c r="MQW3" s="18">
        <v>107949</v>
      </c>
      <c r="MQX3" s="18">
        <v>107956</v>
      </c>
      <c r="MQY3" s="18">
        <v>107963</v>
      </c>
      <c r="MQZ3" s="18">
        <v>107970</v>
      </c>
      <c r="MRA3" s="18">
        <v>107977</v>
      </c>
      <c r="MRB3" s="18">
        <v>107984</v>
      </c>
      <c r="MRC3" s="18">
        <v>107991</v>
      </c>
      <c r="MRD3" s="18">
        <v>107998</v>
      </c>
      <c r="MRE3" s="18">
        <v>108005</v>
      </c>
      <c r="MRF3" s="18">
        <v>108012</v>
      </c>
      <c r="MRG3" s="18">
        <v>108019</v>
      </c>
      <c r="MRH3" s="18">
        <v>108026</v>
      </c>
      <c r="MRI3" s="18">
        <v>108033</v>
      </c>
      <c r="MRJ3" s="18">
        <v>108040</v>
      </c>
      <c r="MRK3" s="18">
        <v>108047</v>
      </c>
      <c r="MRL3" s="18">
        <v>108054</v>
      </c>
      <c r="MRM3" s="18">
        <v>108061</v>
      </c>
      <c r="MRN3" s="18">
        <v>108068</v>
      </c>
      <c r="MRO3" s="18">
        <v>108075</v>
      </c>
      <c r="MRP3" s="18">
        <v>108082</v>
      </c>
      <c r="MRQ3" s="18">
        <v>108089</v>
      </c>
      <c r="MRR3" s="18">
        <v>108096</v>
      </c>
      <c r="MRS3" s="18">
        <v>108103</v>
      </c>
      <c r="MRT3" s="18">
        <v>108110</v>
      </c>
      <c r="MRU3" s="18">
        <v>108117</v>
      </c>
      <c r="MRV3" s="18">
        <v>108124</v>
      </c>
      <c r="MRW3" s="18">
        <v>108131</v>
      </c>
      <c r="MRX3" s="18">
        <v>108138</v>
      </c>
      <c r="MRY3" s="18">
        <v>108145</v>
      </c>
      <c r="MRZ3" s="18">
        <v>108152</v>
      </c>
      <c r="MSA3" s="18">
        <v>108159</v>
      </c>
      <c r="MSB3" s="18">
        <v>108166</v>
      </c>
      <c r="MSC3" s="18">
        <v>108173</v>
      </c>
      <c r="MSD3" s="18">
        <v>108180</v>
      </c>
      <c r="MSE3" s="18">
        <v>108187</v>
      </c>
      <c r="MSF3" s="18">
        <v>108194</v>
      </c>
      <c r="MSG3" s="18">
        <v>108201</v>
      </c>
      <c r="MSH3" s="18">
        <v>108208</v>
      </c>
      <c r="MSI3" s="18">
        <v>108215</v>
      </c>
      <c r="MSJ3" s="18">
        <v>108222</v>
      </c>
      <c r="MSK3" s="18">
        <v>108229</v>
      </c>
      <c r="MSL3" s="18">
        <v>108236</v>
      </c>
      <c r="MSM3" s="18">
        <v>108243</v>
      </c>
      <c r="MSN3" s="18">
        <v>108250</v>
      </c>
      <c r="MSO3" s="18">
        <v>108257</v>
      </c>
      <c r="MSP3" s="18">
        <v>108264</v>
      </c>
      <c r="MSQ3" s="18">
        <v>108271</v>
      </c>
      <c r="MSR3" s="18">
        <v>108278</v>
      </c>
      <c r="MSS3" s="18">
        <v>108285</v>
      </c>
      <c r="MST3" s="18">
        <v>108292</v>
      </c>
      <c r="MSU3" s="18">
        <v>108299</v>
      </c>
      <c r="MSV3" s="18">
        <v>108306</v>
      </c>
      <c r="MSW3" s="18">
        <v>108313</v>
      </c>
      <c r="MSX3" s="18">
        <v>108320</v>
      </c>
      <c r="MSY3" s="18">
        <v>108327</v>
      </c>
      <c r="MSZ3" s="18">
        <v>108334</v>
      </c>
      <c r="MTA3" s="18">
        <v>108341</v>
      </c>
      <c r="MTB3" s="18">
        <v>108348</v>
      </c>
      <c r="MTC3" s="18">
        <v>108355</v>
      </c>
      <c r="MTD3" s="18">
        <v>108362</v>
      </c>
      <c r="MTE3" s="18">
        <v>108369</v>
      </c>
      <c r="MTF3" s="18">
        <v>108376</v>
      </c>
      <c r="MTG3" s="18">
        <v>108383</v>
      </c>
      <c r="MTH3" s="18">
        <v>108390</v>
      </c>
      <c r="MTI3" s="18">
        <v>108397</v>
      </c>
      <c r="MTJ3" s="18">
        <v>108404</v>
      </c>
      <c r="MTK3" s="18">
        <v>108411</v>
      </c>
      <c r="MTL3" s="18">
        <v>108418</v>
      </c>
      <c r="MTM3" s="18">
        <v>108425</v>
      </c>
      <c r="MTN3" s="18">
        <v>108432</v>
      </c>
      <c r="MTO3" s="18">
        <v>108439</v>
      </c>
      <c r="MTP3" s="18">
        <v>108446</v>
      </c>
      <c r="MTQ3" s="18">
        <v>108453</v>
      </c>
      <c r="MTR3" s="18">
        <v>108460</v>
      </c>
      <c r="MTS3" s="18">
        <v>108467</v>
      </c>
      <c r="MTT3" s="18">
        <v>108474</v>
      </c>
      <c r="MTU3" s="18">
        <v>108481</v>
      </c>
      <c r="MTV3" s="18">
        <v>108488</v>
      </c>
      <c r="MTW3" s="18">
        <v>108495</v>
      </c>
      <c r="MTX3" s="18">
        <v>108502</v>
      </c>
      <c r="MTY3" s="18">
        <v>108509</v>
      </c>
      <c r="MTZ3" s="18">
        <v>108516</v>
      </c>
      <c r="MUA3" s="18">
        <v>108523</v>
      </c>
      <c r="MUB3" s="18">
        <v>108530</v>
      </c>
      <c r="MUC3" s="18">
        <v>108537</v>
      </c>
      <c r="MUD3" s="18">
        <v>108544</v>
      </c>
      <c r="MUE3" s="18">
        <v>108551</v>
      </c>
      <c r="MUF3" s="18">
        <v>108558</v>
      </c>
      <c r="MUG3" s="18">
        <v>108565</v>
      </c>
      <c r="MUH3" s="18">
        <v>108572</v>
      </c>
      <c r="MUI3" s="18">
        <v>108579</v>
      </c>
      <c r="MUJ3" s="18">
        <v>108586</v>
      </c>
      <c r="MUK3" s="18">
        <v>108593</v>
      </c>
      <c r="MUL3" s="18">
        <v>108600</v>
      </c>
      <c r="MUM3" s="18">
        <v>108607</v>
      </c>
      <c r="MUN3" s="18">
        <v>108614</v>
      </c>
      <c r="MUO3" s="18">
        <v>108621</v>
      </c>
      <c r="MUP3" s="18">
        <v>108628</v>
      </c>
      <c r="MUQ3" s="18">
        <v>108635</v>
      </c>
      <c r="MUR3" s="18">
        <v>108642</v>
      </c>
      <c r="MUS3" s="18">
        <v>108649</v>
      </c>
      <c r="MUT3" s="18">
        <v>108656</v>
      </c>
      <c r="MUU3" s="18">
        <v>108663</v>
      </c>
      <c r="MUV3" s="18">
        <v>108670</v>
      </c>
      <c r="MUW3" s="18">
        <v>108677</v>
      </c>
      <c r="MUX3" s="18">
        <v>108684</v>
      </c>
      <c r="MUY3" s="18">
        <v>108691</v>
      </c>
      <c r="MUZ3" s="18">
        <v>108698</v>
      </c>
      <c r="MVA3" s="18">
        <v>108705</v>
      </c>
      <c r="MVB3" s="18">
        <v>108712</v>
      </c>
      <c r="MVC3" s="18">
        <v>108719</v>
      </c>
      <c r="MVD3" s="18">
        <v>108726</v>
      </c>
      <c r="MVE3" s="18">
        <v>108733</v>
      </c>
      <c r="MVF3" s="18">
        <v>108740</v>
      </c>
      <c r="MVG3" s="18">
        <v>108747</v>
      </c>
      <c r="MVH3" s="18">
        <v>108754</v>
      </c>
      <c r="MVI3" s="18">
        <v>108761</v>
      </c>
      <c r="MVJ3" s="18">
        <v>108768</v>
      </c>
      <c r="MVK3" s="18">
        <v>108775</v>
      </c>
      <c r="MVL3" s="18">
        <v>108782</v>
      </c>
      <c r="MVM3" s="18">
        <v>108789</v>
      </c>
      <c r="MVN3" s="18">
        <v>108796</v>
      </c>
      <c r="MVO3" s="18">
        <v>108803</v>
      </c>
      <c r="MVP3" s="18">
        <v>108810</v>
      </c>
      <c r="MVQ3" s="18">
        <v>108817</v>
      </c>
      <c r="MVR3" s="18">
        <v>108824</v>
      </c>
      <c r="MVS3" s="18">
        <v>108831</v>
      </c>
      <c r="MVT3" s="18">
        <v>108838</v>
      </c>
      <c r="MVU3" s="18">
        <v>108845</v>
      </c>
      <c r="MVV3" s="18">
        <v>108852</v>
      </c>
      <c r="MVW3" s="18">
        <v>108859</v>
      </c>
      <c r="MVX3" s="18">
        <v>108866</v>
      </c>
      <c r="MVY3" s="18">
        <v>108873</v>
      </c>
      <c r="MVZ3" s="18">
        <v>108880</v>
      </c>
      <c r="MWA3" s="18">
        <v>108887</v>
      </c>
      <c r="MWB3" s="18">
        <v>108894</v>
      </c>
      <c r="MWC3" s="18">
        <v>108901</v>
      </c>
      <c r="MWD3" s="18">
        <v>108908</v>
      </c>
      <c r="MWE3" s="18">
        <v>108915</v>
      </c>
      <c r="MWF3" s="18">
        <v>108922</v>
      </c>
      <c r="MWG3" s="18">
        <v>108929</v>
      </c>
      <c r="MWH3" s="18">
        <v>108936</v>
      </c>
      <c r="MWI3" s="18">
        <v>108943</v>
      </c>
      <c r="MWJ3" s="18">
        <v>108950</v>
      </c>
      <c r="MWK3" s="18">
        <v>108957</v>
      </c>
      <c r="MWL3" s="18">
        <v>108964</v>
      </c>
      <c r="MWM3" s="18">
        <v>108971</v>
      </c>
      <c r="MWN3" s="18">
        <v>108978</v>
      </c>
      <c r="MWO3" s="18">
        <v>108985</v>
      </c>
      <c r="MWP3" s="18">
        <v>108992</v>
      </c>
      <c r="MWQ3" s="18">
        <v>108999</v>
      </c>
      <c r="MWR3" s="18">
        <v>109006</v>
      </c>
      <c r="MWS3" s="18">
        <v>109013</v>
      </c>
      <c r="MWT3" s="18">
        <v>109020</v>
      </c>
      <c r="MWU3" s="18">
        <v>109027</v>
      </c>
      <c r="MWV3" s="18">
        <v>109034</v>
      </c>
      <c r="MWW3" s="18">
        <v>109041</v>
      </c>
      <c r="MWX3" s="18">
        <v>109048</v>
      </c>
      <c r="MWY3" s="18">
        <v>109055</v>
      </c>
      <c r="MWZ3" s="18">
        <v>109062</v>
      </c>
      <c r="MXA3" s="18">
        <v>109069</v>
      </c>
      <c r="MXB3" s="18">
        <v>109076</v>
      </c>
      <c r="MXC3" s="18">
        <v>109083</v>
      </c>
      <c r="MXD3" s="18">
        <v>109090</v>
      </c>
      <c r="MXE3" s="18">
        <v>109097</v>
      </c>
      <c r="MXF3" s="18">
        <v>109104</v>
      </c>
      <c r="MXG3" s="18">
        <v>109111</v>
      </c>
      <c r="MXH3" s="18">
        <v>109118</v>
      </c>
      <c r="MXI3" s="18">
        <v>109125</v>
      </c>
      <c r="MXJ3" s="18">
        <v>109132</v>
      </c>
      <c r="MXK3" s="18">
        <v>109139</v>
      </c>
      <c r="MXL3" s="18">
        <v>109146</v>
      </c>
      <c r="MXM3" s="18">
        <v>109153</v>
      </c>
      <c r="MXN3" s="18">
        <v>109160</v>
      </c>
      <c r="MXO3" s="18">
        <v>109167</v>
      </c>
      <c r="MXP3" s="18">
        <v>109174</v>
      </c>
      <c r="MXQ3" s="18">
        <v>109181</v>
      </c>
      <c r="MXR3" s="18">
        <v>109188</v>
      </c>
      <c r="MXS3" s="18">
        <v>109195</v>
      </c>
      <c r="MXT3" s="18">
        <v>109202</v>
      </c>
      <c r="MXU3" s="18">
        <v>109209</v>
      </c>
      <c r="MXV3" s="18">
        <v>109216</v>
      </c>
      <c r="MXW3" s="18">
        <v>109223</v>
      </c>
      <c r="MXX3" s="18">
        <v>109230</v>
      </c>
      <c r="MXY3" s="18">
        <v>109237</v>
      </c>
      <c r="MXZ3" s="18">
        <v>109244</v>
      </c>
      <c r="MYA3" s="18">
        <v>109251</v>
      </c>
      <c r="MYB3" s="18">
        <v>109258</v>
      </c>
      <c r="MYC3" s="18">
        <v>109265</v>
      </c>
      <c r="MYD3" s="18">
        <v>109272</v>
      </c>
      <c r="MYE3" s="18">
        <v>109279</v>
      </c>
      <c r="MYF3" s="18">
        <v>109286</v>
      </c>
      <c r="MYG3" s="18">
        <v>109293</v>
      </c>
      <c r="MYH3" s="18">
        <v>109300</v>
      </c>
      <c r="MYI3" s="18">
        <v>109307</v>
      </c>
      <c r="MYJ3" s="18">
        <v>109314</v>
      </c>
      <c r="MYK3" s="18">
        <v>109321</v>
      </c>
      <c r="MYL3" s="18">
        <v>109328</v>
      </c>
      <c r="MYM3" s="18">
        <v>109335</v>
      </c>
      <c r="MYN3" s="18">
        <v>109342</v>
      </c>
      <c r="MYO3" s="18">
        <v>109349</v>
      </c>
      <c r="MYP3" s="18">
        <v>109356</v>
      </c>
      <c r="MYQ3" s="18">
        <v>109363</v>
      </c>
      <c r="MYR3" s="18">
        <v>109370</v>
      </c>
      <c r="MYS3" s="18">
        <v>109377</v>
      </c>
      <c r="MYT3" s="18">
        <v>109384</v>
      </c>
      <c r="MYU3" s="18">
        <v>109391</v>
      </c>
      <c r="MYV3" s="18">
        <v>109398</v>
      </c>
      <c r="MYW3" s="18">
        <v>109405</v>
      </c>
      <c r="MYX3" s="18">
        <v>109412</v>
      </c>
      <c r="MYY3" s="18">
        <v>109419</v>
      </c>
      <c r="MYZ3" s="18">
        <v>109426</v>
      </c>
      <c r="MZA3" s="18">
        <v>109433</v>
      </c>
      <c r="MZB3" s="18">
        <v>109440</v>
      </c>
      <c r="MZC3" s="18">
        <v>109447</v>
      </c>
      <c r="MZD3" s="18">
        <v>109454</v>
      </c>
      <c r="MZE3" s="18">
        <v>109461</v>
      </c>
      <c r="MZF3" s="18">
        <v>109468</v>
      </c>
      <c r="MZG3" s="18">
        <v>109475</v>
      </c>
      <c r="MZH3" s="18">
        <v>109482</v>
      </c>
      <c r="MZI3" s="18">
        <v>109489</v>
      </c>
      <c r="MZJ3" s="18">
        <v>109496</v>
      </c>
      <c r="MZK3" s="18">
        <v>109503</v>
      </c>
      <c r="MZL3" s="18">
        <v>109510</v>
      </c>
      <c r="MZM3" s="18">
        <v>109517</v>
      </c>
      <c r="MZN3" s="18">
        <v>109524</v>
      </c>
      <c r="MZO3" s="18">
        <v>109531</v>
      </c>
      <c r="MZP3" s="18">
        <v>109538</v>
      </c>
      <c r="MZQ3" s="18">
        <v>109545</v>
      </c>
      <c r="MZR3" s="18">
        <v>109552</v>
      </c>
      <c r="MZS3" s="18">
        <v>109559</v>
      </c>
      <c r="MZT3" s="18">
        <v>109566</v>
      </c>
      <c r="MZU3" s="18">
        <v>109573</v>
      </c>
      <c r="MZV3" s="18">
        <v>109580</v>
      </c>
      <c r="MZW3" s="18">
        <v>109587</v>
      </c>
      <c r="MZX3" s="18">
        <v>109594</v>
      </c>
      <c r="MZY3" s="18">
        <v>109601</v>
      </c>
      <c r="MZZ3" s="18">
        <v>109608</v>
      </c>
      <c r="NAA3" s="18">
        <v>109615</v>
      </c>
      <c r="NAB3" s="18">
        <v>109622</v>
      </c>
      <c r="NAC3" s="18">
        <v>109629</v>
      </c>
      <c r="NAD3" s="18">
        <v>109636</v>
      </c>
      <c r="NAE3" s="18">
        <v>109643</v>
      </c>
      <c r="NAF3" s="18">
        <v>109650</v>
      </c>
      <c r="NAG3" s="18">
        <v>109657</v>
      </c>
      <c r="NAH3" s="18">
        <v>109664</v>
      </c>
      <c r="NAI3" s="18">
        <v>109671</v>
      </c>
      <c r="NAJ3" s="18">
        <v>109678</v>
      </c>
      <c r="NAK3" s="18">
        <v>109685</v>
      </c>
      <c r="NAL3" s="18">
        <v>109692</v>
      </c>
      <c r="NAM3" s="18">
        <v>109699</v>
      </c>
      <c r="NAN3" s="18">
        <v>109706</v>
      </c>
      <c r="NAO3" s="18">
        <v>109713</v>
      </c>
      <c r="NAP3" s="18">
        <v>109720</v>
      </c>
      <c r="NAQ3" s="18">
        <v>109727</v>
      </c>
      <c r="NAR3" s="18">
        <v>109734</v>
      </c>
      <c r="NAS3" s="18">
        <v>109741</v>
      </c>
      <c r="NAT3" s="18">
        <v>109748</v>
      </c>
      <c r="NAU3" s="18">
        <v>109755</v>
      </c>
      <c r="NAV3" s="18">
        <v>109762</v>
      </c>
      <c r="NAW3" s="18">
        <v>109769</v>
      </c>
      <c r="NAX3" s="18">
        <v>109776</v>
      </c>
      <c r="NAY3" s="18">
        <v>109783</v>
      </c>
      <c r="NAZ3" s="18">
        <v>109790</v>
      </c>
      <c r="NBA3" s="18">
        <v>109797</v>
      </c>
      <c r="NBB3" s="18">
        <v>109804</v>
      </c>
      <c r="NBC3" s="18">
        <v>109811</v>
      </c>
      <c r="NBD3" s="18">
        <v>109818</v>
      </c>
      <c r="NBE3" s="18">
        <v>109825</v>
      </c>
      <c r="NBF3" s="18">
        <v>109832</v>
      </c>
      <c r="NBG3" s="18">
        <v>109839</v>
      </c>
      <c r="NBH3" s="18">
        <v>109846</v>
      </c>
      <c r="NBI3" s="18">
        <v>109853</v>
      </c>
      <c r="NBJ3" s="18">
        <v>109860</v>
      </c>
      <c r="NBK3" s="18">
        <v>109867</v>
      </c>
      <c r="NBL3" s="18">
        <v>109874</v>
      </c>
      <c r="NBM3" s="18">
        <v>109881</v>
      </c>
      <c r="NBN3" s="18">
        <v>109888</v>
      </c>
      <c r="NBO3" s="18">
        <v>109895</v>
      </c>
      <c r="NBP3" s="18">
        <v>109902</v>
      </c>
      <c r="NBQ3" s="18">
        <v>109909</v>
      </c>
      <c r="NBR3" s="18">
        <v>109916</v>
      </c>
      <c r="NBS3" s="18">
        <v>109923</v>
      </c>
      <c r="NBT3" s="18">
        <v>109930</v>
      </c>
      <c r="NBU3" s="18">
        <v>109937</v>
      </c>
      <c r="NBV3" s="18">
        <v>109944</v>
      </c>
      <c r="NBW3" s="18">
        <v>109951</v>
      </c>
      <c r="NBX3" s="18">
        <v>109958</v>
      </c>
      <c r="NBY3" s="18">
        <v>109965</v>
      </c>
      <c r="NBZ3" s="18">
        <v>109972</v>
      </c>
      <c r="NCA3" s="18">
        <v>109979</v>
      </c>
      <c r="NCB3" s="18">
        <v>109986</v>
      </c>
      <c r="NCC3" s="18">
        <v>109993</v>
      </c>
      <c r="NCD3" s="18">
        <v>110000</v>
      </c>
      <c r="NCE3" s="18">
        <v>110007</v>
      </c>
      <c r="NCF3" s="18">
        <v>110014</v>
      </c>
      <c r="NCG3" s="18">
        <v>110021</v>
      </c>
      <c r="NCH3" s="18">
        <v>110028</v>
      </c>
      <c r="NCI3" s="18">
        <v>110035</v>
      </c>
      <c r="NCJ3" s="18">
        <v>110042</v>
      </c>
      <c r="NCK3" s="18">
        <v>110049</v>
      </c>
      <c r="NCL3" s="18">
        <v>110056</v>
      </c>
      <c r="NCM3" s="18">
        <v>110063</v>
      </c>
      <c r="NCN3" s="18">
        <v>110070</v>
      </c>
      <c r="NCO3" s="18">
        <v>110077</v>
      </c>
      <c r="NCP3" s="18">
        <v>110084</v>
      </c>
      <c r="NCQ3" s="18">
        <v>110091</v>
      </c>
      <c r="NCR3" s="18">
        <v>110098</v>
      </c>
      <c r="NCS3" s="18">
        <v>110105</v>
      </c>
      <c r="NCT3" s="18">
        <v>110112</v>
      </c>
      <c r="NCU3" s="18">
        <v>110119</v>
      </c>
      <c r="NCV3" s="18">
        <v>110126</v>
      </c>
      <c r="NCW3" s="18">
        <v>110133</v>
      </c>
      <c r="NCX3" s="18">
        <v>110140</v>
      </c>
      <c r="NCY3" s="18">
        <v>110147</v>
      </c>
      <c r="NCZ3" s="18">
        <v>110154</v>
      </c>
      <c r="NDA3" s="18">
        <v>110161</v>
      </c>
      <c r="NDB3" s="18">
        <v>110168</v>
      </c>
      <c r="NDC3" s="18">
        <v>110175</v>
      </c>
      <c r="NDD3" s="18">
        <v>110182</v>
      </c>
      <c r="NDE3" s="18">
        <v>110189</v>
      </c>
      <c r="NDF3" s="18">
        <v>110196</v>
      </c>
      <c r="NDG3" s="18">
        <v>110203</v>
      </c>
      <c r="NDH3" s="18">
        <v>110210</v>
      </c>
      <c r="NDI3" s="18">
        <v>110217</v>
      </c>
      <c r="NDJ3" s="18">
        <v>110224</v>
      </c>
      <c r="NDK3" s="18">
        <v>110231</v>
      </c>
      <c r="NDL3" s="18">
        <v>110238</v>
      </c>
      <c r="NDM3" s="18">
        <v>110245</v>
      </c>
      <c r="NDN3" s="18">
        <v>110252</v>
      </c>
      <c r="NDO3" s="18">
        <v>110259</v>
      </c>
      <c r="NDP3" s="18">
        <v>110266</v>
      </c>
      <c r="NDQ3" s="18">
        <v>110273</v>
      </c>
      <c r="NDR3" s="18">
        <v>110280</v>
      </c>
      <c r="NDS3" s="18">
        <v>110287</v>
      </c>
      <c r="NDT3" s="18">
        <v>110294</v>
      </c>
      <c r="NDU3" s="18">
        <v>110301</v>
      </c>
      <c r="NDV3" s="18">
        <v>110308</v>
      </c>
      <c r="NDW3" s="18">
        <v>110315</v>
      </c>
      <c r="NDX3" s="18">
        <v>110322</v>
      </c>
      <c r="NDY3" s="18">
        <v>110329</v>
      </c>
      <c r="NDZ3" s="18">
        <v>110336</v>
      </c>
      <c r="NEA3" s="18">
        <v>110343</v>
      </c>
      <c r="NEB3" s="18">
        <v>110350</v>
      </c>
      <c r="NEC3" s="18">
        <v>110357</v>
      </c>
      <c r="NED3" s="18">
        <v>110364</v>
      </c>
      <c r="NEE3" s="18">
        <v>110371</v>
      </c>
      <c r="NEF3" s="18">
        <v>110378</v>
      </c>
      <c r="NEG3" s="18">
        <v>110385</v>
      </c>
      <c r="NEH3" s="18">
        <v>110392</v>
      </c>
      <c r="NEI3" s="18">
        <v>110399</v>
      </c>
      <c r="NEJ3" s="18">
        <v>110406</v>
      </c>
      <c r="NEK3" s="18">
        <v>110413</v>
      </c>
      <c r="NEL3" s="18">
        <v>110420</v>
      </c>
      <c r="NEM3" s="18">
        <v>110427</v>
      </c>
      <c r="NEN3" s="18">
        <v>110434</v>
      </c>
      <c r="NEO3" s="18">
        <v>110441</v>
      </c>
      <c r="NEP3" s="18">
        <v>110448</v>
      </c>
      <c r="NEQ3" s="18">
        <v>110455</v>
      </c>
      <c r="NER3" s="18">
        <v>110462</v>
      </c>
      <c r="NES3" s="18">
        <v>110469</v>
      </c>
      <c r="NET3" s="18">
        <v>110476</v>
      </c>
      <c r="NEU3" s="18">
        <v>110483</v>
      </c>
      <c r="NEV3" s="18">
        <v>110490</v>
      </c>
      <c r="NEW3" s="18">
        <v>110497</v>
      </c>
      <c r="NEX3" s="18">
        <v>110504</v>
      </c>
      <c r="NEY3" s="18">
        <v>110511</v>
      </c>
      <c r="NEZ3" s="18">
        <v>110518</v>
      </c>
      <c r="NFA3" s="18">
        <v>110525</v>
      </c>
      <c r="NFB3" s="18">
        <v>110532</v>
      </c>
      <c r="NFC3" s="18">
        <v>110539</v>
      </c>
      <c r="NFD3" s="18">
        <v>110546</v>
      </c>
      <c r="NFE3" s="18">
        <v>110553</v>
      </c>
      <c r="NFF3" s="18">
        <v>110560</v>
      </c>
      <c r="NFG3" s="18">
        <v>110567</v>
      </c>
      <c r="NFH3" s="18">
        <v>110574</v>
      </c>
      <c r="NFI3" s="18">
        <v>110581</v>
      </c>
      <c r="NFJ3" s="18">
        <v>110588</v>
      </c>
      <c r="NFK3" s="18">
        <v>110595</v>
      </c>
      <c r="NFL3" s="18">
        <v>110602</v>
      </c>
      <c r="NFM3" s="18">
        <v>110609</v>
      </c>
      <c r="NFN3" s="18">
        <v>110616</v>
      </c>
      <c r="NFO3" s="18">
        <v>110623</v>
      </c>
      <c r="NFP3" s="18">
        <v>110630</v>
      </c>
      <c r="NFQ3" s="18">
        <v>110637</v>
      </c>
      <c r="NFR3" s="18">
        <v>110644</v>
      </c>
      <c r="NFS3" s="18">
        <v>110651</v>
      </c>
      <c r="NFT3" s="18">
        <v>110658</v>
      </c>
      <c r="NFU3" s="18">
        <v>110665</v>
      </c>
      <c r="NFV3" s="18">
        <v>110672</v>
      </c>
      <c r="NFW3" s="18">
        <v>110679</v>
      </c>
      <c r="NFX3" s="18">
        <v>110686</v>
      </c>
      <c r="NFY3" s="18">
        <v>110693</v>
      </c>
      <c r="NFZ3" s="18">
        <v>110700</v>
      </c>
      <c r="NGA3" s="18">
        <v>110707</v>
      </c>
      <c r="NGB3" s="18">
        <v>110714</v>
      </c>
      <c r="NGC3" s="18">
        <v>110721</v>
      </c>
      <c r="NGD3" s="18">
        <v>110728</v>
      </c>
      <c r="NGE3" s="18">
        <v>110735</v>
      </c>
      <c r="NGF3" s="18">
        <v>110742</v>
      </c>
      <c r="NGG3" s="18">
        <v>110749</v>
      </c>
      <c r="NGH3" s="18">
        <v>110756</v>
      </c>
      <c r="NGI3" s="18">
        <v>110763</v>
      </c>
      <c r="NGJ3" s="18">
        <v>110770</v>
      </c>
      <c r="NGK3" s="18">
        <v>110777</v>
      </c>
      <c r="NGL3" s="18">
        <v>110784</v>
      </c>
      <c r="NGM3" s="18">
        <v>110791</v>
      </c>
      <c r="NGN3" s="18">
        <v>110798</v>
      </c>
      <c r="NGO3" s="18">
        <v>110805</v>
      </c>
      <c r="NGP3" s="18">
        <v>110812</v>
      </c>
      <c r="NGQ3" s="18">
        <v>110819</v>
      </c>
      <c r="NGR3" s="18">
        <v>110826</v>
      </c>
      <c r="NGS3" s="18">
        <v>110833</v>
      </c>
      <c r="NGT3" s="18">
        <v>110840</v>
      </c>
      <c r="NGU3" s="18">
        <v>110847</v>
      </c>
      <c r="NGV3" s="18">
        <v>110854</v>
      </c>
      <c r="NGW3" s="18">
        <v>110861</v>
      </c>
      <c r="NGX3" s="18">
        <v>110868</v>
      </c>
      <c r="NGY3" s="18">
        <v>110875</v>
      </c>
      <c r="NGZ3" s="18">
        <v>110882</v>
      </c>
      <c r="NHA3" s="18">
        <v>110889</v>
      </c>
      <c r="NHB3" s="18">
        <v>110896</v>
      </c>
      <c r="NHC3" s="18">
        <v>110903</v>
      </c>
      <c r="NHD3" s="18">
        <v>110910</v>
      </c>
      <c r="NHE3" s="18">
        <v>110917</v>
      </c>
      <c r="NHF3" s="18">
        <v>110924</v>
      </c>
      <c r="NHG3" s="18">
        <v>110931</v>
      </c>
      <c r="NHH3" s="18">
        <v>110938</v>
      </c>
      <c r="NHI3" s="18">
        <v>110945</v>
      </c>
      <c r="NHJ3" s="18">
        <v>110952</v>
      </c>
      <c r="NHK3" s="18">
        <v>110959</v>
      </c>
      <c r="NHL3" s="18">
        <v>110966</v>
      </c>
      <c r="NHM3" s="18">
        <v>110973</v>
      </c>
      <c r="NHN3" s="18">
        <v>110980</v>
      </c>
      <c r="NHO3" s="18">
        <v>110987</v>
      </c>
      <c r="NHP3" s="18">
        <v>110994</v>
      </c>
      <c r="NHQ3" s="18">
        <v>111001</v>
      </c>
      <c r="NHR3" s="18">
        <v>111008</v>
      </c>
      <c r="NHS3" s="18">
        <v>111015</v>
      </c>
      <c r="NHT3" s="18">
        <v>111022</v>
      </c>
      <c r="NHU3" s="18">
        <v>111029</v>
      </c>
      <c r="NHV3" s="18">
        <v>111036</v>
      </c>
      <c r="NHW3" s="18">
        <v>111043</v>
      </c>
      <c r="NHX3" s="18">
        <v>111050</v>
      </c>
      <c r="NHY3" s="18">
        <v>111057</v>
      </c>
      <c r="NHZ3" s="18">
        <v>111064</v>
      </c>
      <c r="NIA3" s="18">
        <v>111071</v>
      </c>
      <c r="NIB3" s="18">
        <v>111078</v>
      </c>
      <c r="NIC3" s="18">
        <v>111085</v>
      </c>
      <c r="NID3" s="18">
        <v>111092</v>
      </c>
      <c r="NIE3" s="18">
        <v>111099</v>
      </c>
      <c r="NIF3" s="18">
        <v>111106</v>
      </c>
      <c r="NIG3" s="18">
        <v>111113</v>
      </c>
      <c r="NIH3" s="18">
        <v>111120</v>
      </c>
      <c r="NII3" s="18">
        <v>111127</v>
      </c>
      <c r="NIJ3" s="18">
        <v>111134</v>
      </c>
      <c r="NIK3" s="18">
        <v>111141</v>
      </c>
      <c r="NIL3" s="18">
        <v>111148</v>
      </c>
      <c r="NIM3" s="18">
        <v>111155</v>
      </c>
      <c r="NIN3" s="18">
        <v>111162</v>
      </c>
      <c r="NIO3" s="18">
        <v>111169</v>
      </c>
      <c r="NIP3" s="18">
        <v>111176</v>
      </c>
      <c r="NIQ3" s="18">
        <v>111183</v>
      </c>
      <c r="NIR3" s="18">
        <v>111190</v>
      </c>
      <c r="NIS3" s="18">
        <v>111197</v>
      </c>
      <c r="NIT3" s="18">
        <v>111204</v>
      </c>
      <c r="NIU3" s="18">
        <v>111211</v>
      </c>
      <c r="NIV3" s="18">
        <v>111218</v>
      </c>
      <c r="NIW3" s="18">
        <v>111225</v>
      </c>
      <c r="NIX3" s="18">
        <v>111232</v>
      </c>
      <c r="NIY3" s="18">
        <v>111239</v>
      </c>
      <c r="NIZ3" s="18">
        <v>111246</v>
      </c>
      <c r="NJA3" s="18">
        <v>111253</v>
      </c>
      <c r="NJB3" s="18">
        <v>111260</v>
      </c>
      <c r="NJC3" s="18">
        <v>111267</v>
      </c>
      <c r="NJD3" s="18">
        <v>111274</v>
      </c>
      <c r="NJE3" s="18">
        <v>111281</v>
      </c>
      <c r="NJF3" s="18">
        <v>111288</v>
      </c>
      <c r="NJG3" s="18">
        <v>111295</v>
      </c>
      <c r="NJH3" s="18">
        <v>111302</v>
      </c>
      <c r="NJI3" s="18">
        <v>111309</v>
      </c>
      <c r="NJJ3" s="18">
        <v>111316</v>
      </c>
      <c r="NJK3" s="18">
        <v>111323</v>
      </c>
      <c r="NJL3" s="18">
        <v>111330</v>
      </c>
      <c r="NJM3" s="18">
        <v>111337</v>
      </c>
      <c r="NJN3" s="18">
        <v>111344</v>
      </c>
      <c r="NJO3" s="18">
        <v>111351</v>
      </c>
      <c r="NJP3" s="18">
        <v>111358</v>
      </c>
      <c r="NJQ3" s="18">
        <v>111365</v>
      </c>
      <c r="NJR3" s="18">
        <v>111372</v>
      </c>
      <c r="NJS3" s="18">
        <v>111379</v>
      </c>
      <c r="NJT3" s="18">
        <v>111386</v>
      </c>
      <c r="NJU3" s="18">
        <v>111393</v>
      </c>
      <c r="NJV3" s="18">
        <v>111400</v>
      </c>
      <c r="NJW3" s="18">
        <v>111407</v>
      </c>
      <c r="NJX3" s="18">
        <v>111414</v>
      </c>
      <c r="NJY3" s="18">
        <v>111421</v>
      </c>
      <c r="NJZ3" s="18">
        <v>111428</v>
      </c>
      <c r="NKA3" s="18">
        <v>111435</v>
      </c>
      <c r="NKB3" s="18">
        <v>111442</v>
      </c>
      <c r="NKC3" s="18">
        <v>111449</v>
      </c>
      <c r="NKD3" s="18">
        <v>111456</v>
      </c>
      <c r="NKE3" s="18">
        <v>111463</v>
      </c>
      <c r="NKF3" s="18">
        <v>111470</v>
      </c>
      <c r="NKG3" s="18">
        <v>111477</v>
      </c>
      <c r="NKH3" s="18">
        <v>111484</v>
      </c>
      <c r="NKI3" s="18">
        <v>111491</v>
      </c>
      <c r="NKJ3" s="18">
        <v>111498</v>
      </c>
      <c r="NKK3" s="18">
        <v>111505</v>
      </c>
      <c r="NKL3" s="18">
        <v>111512</v>
      </c>
      <c r="NKM3" s="18">
        <v>111519</v>
      </c>
      <c r="NKN3" s="18">
        <v>111526</v>
      </c>
      <c r="NKO3" s="18">
        <v>111533</v>
      </c>
      <c r="NKP3" s="18">
        <v>111540</v>
      </c>
      <c r="NKQ3" s="18">
        <v>111547</v>
      </c>
      <c r="NKR3" s="18">
        <v>111554</v>
      </c>
      <c r="NKS3" s="18">
        <v>111561</v>
      </c>
      <c r="NKT3" s="18">
        <v>111568</v>
      </c>
      <c r="NKU3" s="18">
        <v>111575</v>
      </c>
      <c r="NKV3" s="18">
        <v>111582</v>
      </c>
      <c r="NKW3" s="18">
        <v>111589</v>
      </c>
      <c r="NKX3" s="18">
        <v>111596</v>
      </c>
      <c r="NKY3" s="18">
        <v>111603</v>
      </c>
      <c r="NKZ3" s="18">
        <v>111610</v>
      </c>
      <c r="NLA3" s="18">
        <v>111617</v>
      </c>
      <c r="NLB3" s="18">
        <v>111624</v>
      </c>
      <c r="NLC3" s="18">
        <v>111631</v>
      </c>
      <c r="NLD3" s="18">
        <v>111638</v>
      </c>
      <c r="NLE3" s="18">
        <v>111645</v>
      </c>
      <c r="NLF3" s="18">
        <v>111652</v>
      </c>
      <c r="NLG3" s="18">
        <v>111659</v>
      </c>
      <c r="NLH3" s="18">
        <v>111666</v>
      </c>
      <c r="NLI3" s="18">
        <v>111673</v>
      </c>
      <c r="NLJ3" s="18">
        <v>111680</v>
      </c>
      <c r="NLK3" s="18">
        <v>111687</v>
      </c>
      <c r="NLL3" s="18">
        <v>111694</v>
      </c>
      <c r="NLM3" s="18">
        <v>111701</v>
      </c>
      <c r="NLN3" s="18">
        <v>111708</v>
      </c>
      <c r="NLO3" s="18">
        <v>111715</v>
      </c>
      <c r="NLP3" s="18">
        <v>111722</v>
      </c>
      <c r="NLQ3" s="18">
        <v>111729</v>
      </c>
      <c r="NLR3" s="18">
        <v>111736</v>
      </c>
      <c r="NLS3" s="18">
        <v>111743</v>
      </c>
      <c r="NLT3" s="18">
        <v>111750</v>
      </c>
      <c r="NLU3" s="18">
        <v>111757</v>
      </c>
      <c r="NLV3" s="18">
        <v>111764</v>
      </c>
      <c r="NLW3" s="18">
        <v>111771</v>
      </c>
      <c r="NLX3" s="18">
        <v>111778</v>
      </c>
      <c r="NLY3" s="18">
        <v>111785</v>
      </c>
      <c r="NLZ3" s="18">
        <v>111792</v>
      </c>
      <c r="NMA3" s="18">
        <v>111799</v>
      </c>
      <c r="NMB3" s="18">
        <v>111806</v>
      </c>
      <c r="NMC3" s="18">
        <v>111813</v>
      </c>
      <c r="NMD3" s="18">
        <v>111820</v>
      </c>
      <c r="NME3" s="18">
        <v>111827</v>
      </c>
      <c r="NMF3" s="18">
        <v>111834</v>
      </c>
      <c r="NMG3" s="18">
        <v>111841</v>
      </c>
      <c r="NMH3" s="18">
        <v>111848</v>
      </c>
      <c r="NMI3" s="18">
        <v>111855</v>
      </c>
      <c r="NMJ3" s="18">
        <v>111862</v>
      </c>
      <c r="NMK3" s="18">
        <v>111869</v>
      </c>
      <c r="NML3" s="18">
        <v>111876</v>
      </c>
      <c r="NMM3" s="18">
        <v>111883</v>
      </c>
      <c r="NMN3" s="18">
        <v>111890</v>
      </c>
      <c r="NMO3" s="18">
        <v>111897</v>
      </c>
      <c r="NMP3" s="18">
        <v>111904</v>
      </c>
      <c r="NMQ3" s="18">
        <v>111911</v>
      </c>
      <c r="NMR3" s="18">
        <v>111918</v>
      </c>
      <c r="NMS3" s="18">
        <v>111925</v>
      </c>
      <c r="NMT3" s="18">
        <v>111932</v>
      </c>
      <c r="NMU3" s="18">
        <v>111939</v>
      </c>
      <c r="NMV3" s="18">
        <v>111946</v>
      </c>
      <c r="NMW3" s="18">
        <v>111953</v>
      </c>
      <c r="NMX3" s="18">
        <v>111960</v>
      </c>
      <c r="NMY3" s="18">
        <v>111967</v>
      </c>
      <c r="NMZ3" s="18">
        <v>111974</v>
      </c>
      <c r="NNA3" s="18">
        <v>111981</v>
      </c>
      <c r="NNB3" s="18">
        <v>111988</v>
      </c>
      <c r="NNC3" s="18">
        <v>111995</v>
      </c>
      <c r="NND3" s="18">
        <v>112002</v>
      </c>
      <c r="NNE3" s="18">
        <v>112009</v>
      </c>
      <c r="NNF3" s="18">
        <v>112016</v>
      </c>
      <c r="NNG3" s="18">
        <v>112023</v>
      </c>
      <c r="NNH3" s="18">
        <v>112030</v>
      </c>
      <c r="NNI3" s="18">
        <v>112037</v>
      </c>
      <c r="NNJ3" s="18">
        <v>112044</v>
      </c>
      <c r="NNK3" s="18">
        <v>112051</v>
      </c>
      <c r="NNL3" s="18">
        <v>112058</v>
      </c>
      <c r="NNM3" s="18">
        <v>112065</v>
      </c>
      <c r="NNN3" s="18">
        <v>112072</v>
      </c>
      <c r="NNO3" s="18">
        <v>112079</v>
      </c>
      <c r="NNP3" s="18">
        <v>112086</v>
      </c>
      <c r="NNQ3" s="18">
        <v>112093</v>
      </c>
      <c r="NNR3" s="18">
        <v>112100</v>
      </c>
      <c r="NNS3" s="18">
        <v>112107</v>
      </c>
      <c r="NNT3" s="18">
        <v>112114</v>
      </c>
      <c r="NNU3" s="18">
        <v>112121</v>
      </c>
      <c r="NNV3" s="18">
        <v>112128</v>
      </c>
      <c r="NNW3" s="18">
        <v>112135</v>
      </c>
      <c r="NNX3" s="18">
        <v>112142</v>
      </c>
      <c r="NNY3" s="18">
        <v>112149</v>
      </c>
      <c r="NNZ3" s="18">
        <v>112156</v>
      </c>
      <c r="NOA3" s="18">
        <v>112163</v>
      </c>
      <c r="NOB3" s="18">
        <v>112170</v>
      </c>
      <c r="NOC3" s="18">
        <v>112177</v>
      </c>
      <c r="NOD3" s="18">
        <v>112184</v>
      </c>
      <c r="NOE3" s="18">
        <v>112191</v>
      </c>
      <c r="NOF3" s="18">
        <v>112198</v>
      </c>
      <c r="NOG3" s="18">
        <v>112205</v>
      </c>
      <c r="NOH3" s="18">
        <v>112212</v>
      </c>
      <c r="NOI3" s="18">
        <v>112219</v>
      </c>
      <c r="NOJ3" s="18">
        <v>112226</v>
      </c>
      <c r="NOK3" s="18">
        <v>112233</v>
      </c>
      <c r="NOL3" s="18">
        <v>112240</v>
      </c>
      <c r="NOM3" s="18">
        <v>112247</v>
      </c>
      <c r="NON3" s="18">
        <v>112254</v>
      </c>
      <c r="NOO3" s="18">
        <v>112261</v>
      </c>
      <c r="NOP3" s="18">
        <v>112268</v>
      </c>
      <c r="NOQ3" s="18">
        <v>112275</v>
      </c>
      <c r="NOR3" s="18">
        <v>112282</v>
      </c>
      <c r="NOS3" s="18">
        <v>112289</v>
      </c>
      <c r="NOT3" s="18">
        <v>112296</v>
      </c>
      <c r="NOU3" s="18">
        <v>112303</v>
      </c>
      <c r="NOV3" s="18">
        <v>112310</v>
      </c>
      <c r="NOW3" s="18">
        <v>112317</v>
      </c>
      <c r="NOX3" s="18">
        <v>112324</v>
      </c>
      <c r="NOY3" s="18">
        <v>112331</v>
      </c>
      <c r="NOZ3" s="18">
        <v>112338</v>
      </c>
      <c r="NPA3" s="18">
        <v>112345</v>
      </c>
      <c r="NPB3" s="18">
        <v>112352</v>
      </c>
      <c r="NPC3" s="18">
        <v>112359</v>
      </c>
      <c r="NPD3" s="18">
        <v>112366</v>
      </c>
      <c r="NPE3" s="18">
        <v>112373</v>
      </c>
      <c r="NPF3" s="18">
        <v>112380</v>
      </c>
      <c r="NPG3" s="18">
        <v>112387</v>
      </c>
      <c r="NPH3" s="18">
        <v>112394</v>
      </c>
      <c r="NPI3" s="18">
        <v>112401</v>
      </c>
      <c r="NPJ3" s="18">
        <v>112408</v>
      </c>
      <c r="NPK3" s="18">
        <v>112415</v>
      </c>
      <c r="NPL3" s="18">
        <v>112422</v>
      </c>
      <c r="NPM3" s="18">
        <v>112429</v>
      </c>
      <c r="NPN3" s="18">
        <v>112436</v>
      </c>
      <c r="NPO3" s="18">
        <v>112443</v>
      </c>
      <c r="NPP3" s="18">
        <v>112450</v>
      </c>
      <c r="NPQ3" s="18">
        <v>112457</v>
      </c>
      <c r="NPR3" s="18">
        <v>112464</v>
      </c>
      <c r="NPS3" s="18">
        <v>112471</v>
      </c>
      <c r="NPT3" s="18">
        <v>112478</v>
      </c>
      <c r="NPU3" s="18">
        <v>112485</v>
      </c>
      <c r="NPV3" s="18">
        <v>112492</v>
      </c>
      <c r="NPW3" s="18">
        <v>112499</v>
      </c>
      <c r="NPX3" s="18">
        <v>112506</v>
      </c>
      <c r="NPY3" s="18">
        <v>112513</v>
      </c>
      <c r="NPZ3" s="18">
        <v>112520</v>
      </c>
      <c r="NQA3" s="18">
        <v>112527</v>
      </c>
      <c r="NQB3" s="18">
        <v>112534</v>
      </c>
      <c r="NQC3" s="18">
        <v>112541</v>
      </c>
      <c r="NQD3" s="18">
        <v>112548</v>
      </c>
      <c r="NQE3" s="18">
        <v>112555</v>
      </c>
      <c r="NQF3" s="18">
        <v>112562</v>
      </c>
      <c r="NQG3" s="18">
        <v>112569</v>
      </c>
      <c r="NQH3" s="18">
        <v>112576</v>
      </c>
      <c r="NQI3" s="18">
        <v>112583</v>
      </c>
      <c r="NQJ3" s="18">
        <v>112590</v>
      </c>
      <c r="NQK3" s="18">
        <v>112597</v>
      </c>
      <c r="NQL3" s="18">
        <v>112604</v>
      </c>
      <c r="NQM3" s="18">
        <v>112611</v>
      </c>
      <c r="NQN3" s="18">
        <v>112618</v>
      </c>
      <c r="NQO3" s="18">
        <v>112625</v>
      </c>
      <c r="NQP3" s="18">
        <v>112632</v>
      </c>
      <c r="NQQ3" s="18">
        <v>112639</v>
      </c>
      <c r="NQR3" s="18">
        <v>112646</v>
      </c>
      <c r="NQS3" s="18">
        <v>112653</v>
      </c>
      <c r="NQT3" s="18">
        <v>112660</v>
      </c>
      <c r="NQU3" s="18">
        <v>112667</v>
      </c>
      <c r="NQV3" s="18">
        <v>112674</v>
      </c>
      <c r="NQW3" s="18">
        <v>112681</v>
      </c>
      <c r="NQX3" s="18">
        <v>112688</v>
      </c>
      <c r="NQY3" s="18">
        <v>112695</v>
      </c>
      <c r="NQZ3" s="18">
        <v>112702</v>
      </c>
      <c r="NRA3" s="18">
        <v>112709</v>
      </c>
      <c r="NRB3" s="18">
        <v>112716</v>
      </c>
      <c r="NRC3" s="18">
        <v>112723</v>
      </c>
      <c r="NRD3" s="18">
        <v>112730</v>
      </c>
      <c r="NRE3" s="18">
        <v>112737</v>
      </c>
      <c r="NRF3" s="18">
        <v>112744</v>
      </c>
      <c r="NRG3" s="18">
        <v>112751</v>
      </c>
      <c r="NRH3" s="18">
        <v>112758</v>
      </c>
      <c r="NRI3" s="18">
        <v>112765</v>
      </c>
      <c r="NRJ3" s="18">
        <v>112772</v>
      </c>
      <c r="NRK3" s="18">
        <v>112779</v>
      </c>
      <c r="NRL3" s="18">
        <v>112786</v>
      </c>
      <c r="NRM3" s="18">
        <v>112793</v>
      </c>
      <c r="NRN3" s="18">
        <v>112800</v>
      </c>
      <c r="NRO3" s="18">
        <v>112807</v>
      </c>
      <c r="NRP3" s="18">
        <v>112814</v>
      </c>
      <c r="NRQ3" s="18">
        <v>112821</v>
      </c>
      <c r="NRR3" s="18">
        <v>112828</v>
      </c>
      <c r="NRS3" s="18">
        <v>112835</v>
      </c>
      <c r="NRT3" s="18">
        <v>112842</v>
      </c>
      <c r="NRU3" s="18">
        <v>112849</v>
      </c>
      <c r="NRV3" s="18">
        <v>112856</v>
      </c>
      <c r="NRW3" s="18">
        <v>112863</v>
      </c>
      <c r="NRX3" s="18">
        <v>112870</v>
      </c>
      <c r="NRY3" s="18">
        <v>112877</v>
      </c>
      <c r="NRZ3" s="18">
        <v>112884</v>
      </c>
      <c r="NSA3" s="18">
        <v>112891</v>
      </c>
      <c r="NSB3" s="18">
        <v>112898</v>
      </c>
      <c r="NSC3" s="18">
        <v>112905</v>
      </c>
      <c r="NSD3" s="18">
        <v>112912</v>
      </c>
      <c r="NSE3" s="18">
        <v>112919</v>
      </c>
      <c r="NSF3" s="18">
        <v>112926</v>
      </c>
      <c r="NSG3" s="18">
        <v>112933</v>
      </c>
      <c r="NSH3" s="18">
        <v>112940</v>
      </c>
      <c r="NSI3" s="18">
        <v>112947</v>
      </c>
      <c r="NSJ3" s="18">
        <v>112954</v>
      </c>
      <c r="NSK3" s="18">
        <v>112961</v>
      </c>
      <c r="NSL3" s="18">
        <v>112968</v>
      </c>
      <c r="NSM3" s="18">
        <v>112975</v>
      </c>
      <c r="NSN3" s="18">
        <v>112982</v>
      </c>
      <c r="NSO3" s="18">
        <v>112989</v>
      </c>
      <c r="NSP3" s="18">
        <v>112996</v>
      </c>
      <c r="NSQ3" s="18">
        <v>113003</v>
      </c>
      <c r="NSR3" s="18">
        <v>113010</v>
      </c>
      <c r="NSS3" s="18">
        <v>113017</v>
      </c>
      <c r="NST3" s="18">
        <v>113024</v>
      </c>
      <c r="NSU3" s="18">
        <v>113031</v>
      </c>
      <c r="NSV3" s="18">
        <v>113038</v>
      </c>
      <c r="NSW3" s="18">
        <v>113045</v>
      </c>
      <c r="NSX3" s="18">
        <v>113052</v>
      </c>
      <c r="NSY3" s="18">
        <v>113059</v>
      </c>
      <c r="NSZ3" s="18">
        <v>113066</v>
      </c>
      <c r="NTA3" s="18">
        <v>113073</v>
      </c>
      <c r="NTB3" s="18">
        <v>113080</v>
      </c>
      <c r="NTC3" s="18">
        <v>113087</v>
      </c>
      <c r="NTD3" s="18">
        <v>113094</v>
      </c>
      <c r="NTE3" s="18">
        <v>113101</v>
      </c>
      <c r="NTF3" s="18">
        <v>113108</v>
      </c>
      <c r="NTG3" s="18">
        <v>113115</v>
      </c>
      <c r="NTH3" s="18">
        <v>113122</v>
      </c>
      <c r="NTI3" s="18">
        <v>113129</v>
      </c>
      <c r="NTJ3" s="18">
        <v>113136</v>
      </c>
      <c r="NTK3" s="18">
        <v>113143</v>
      </c>
      <c r="NTL3" s="18">
        <v>113150</v>
      </c>
      <c r="NTM3" s="18">
        <v>113157</v>
      </c>
      <c r="NTN3" s="18">
        <v>113164</v>
      </c>
      <c r="NTO3" s="18">
        <v>113171</v>
      </c>
      <c r="NTP3" s="18">
        <v>113178</v>
      </c>
      <c r="NTQ3" s="18">
        <v>113185</v>
      </c>
      <c r="NTR3" s="18">
        <v>113192</v>
      </c>
      <c r="NTS3" s="18">
        <v>113199</v>
      </c>
      <c r="NTT3" s="18">
        <v>113206</v>
      </c>
      <c r="NTU3" s="18">
        <v>113213</v>
      </c>
      <c r="NTV3" s="18">
        <v>113220</v>
      </c>
      <c r="NTW3" s="18">
        <v>113227</v>
      </c>
      <c r="NTX3" s="18">
        <v>113234</v>
      </c>
      <c r="NTY3" s="18">
        <v>113241</v>
      </c>
      <c r="NTZ3" s="18">
        <v>113248</v>
      </c>
      <c r="NUA3" s="18">
        <v>113255</v>
      </c>
      <c r="NUB3" s="18">
        <v>113262</v>
      </c>
      <c r="NUC3" s="18">
        <v>113269</v>
      </c>
      <c r="NUD3" s="18">
        <v>113276</v>
      </c>
      <c r="NUE3" s="18">
        <v>113283</v>
      </c>
      <c r="NUF3" s="18">
        <v>113290</v>
      </c>
      <c r="NUG3" s="18">
        <v>113297</v>
      </c>
      <c r="NUH3" s="18">
        <v>113304</v>
      </c>
      <c r="NUI3" s="18">
        <v>113311</v>
      </c>
      <c r="NUJ3" s="18">
        <v>113318</v>
      </c>
      <c r="NUK3" s="18">
        <v>113325</v>
      </c>
      <c r="NUL3" s="18">
        <v>113332</v>
      </c>
      <c r="NUM3" s="18">
        <v>113339</v>
      </c>
      <c r="NUN3" s="18">
        <v>113346</v>
      </c>
      <c r="NUO3" s="18">
        <v>113353</v>
      </c>
      <c r="NUP3" s="18">
        <v>113360</v>
      </c>
      <c r="NUQ3" s="18">
        <v>113367</v>
      </c>
      <c r="NUR3" s="18">
        <v>113374</v>
      </c>
      <c r="NUS3" s="18">
        <v>113381</v>
      </c>
      <c r="NUT3" s="18">
        <v>113388</v>
      </c>
      <c r="NUU3" s="18">
        <v>113395</v>
      </c>
      <c r="NUV3" s="18">
        <v>113402</v>
      </c>
      <c r="NUW3" s="18">
        <v>113409</v>
      </c>
      <c r="NUX3" s="18">
        <v>113416</v>
      </c>
      <c r="NUY3" s="18">
        <v>113423</v>
      </c>
      <c r="NUZ3" s="18">
        <v>113430</v>
      </c>
      <c r="NVA3" s="18">
        <v>113437</v>
      </c>
      <c r="NVB3" s="18">
        <v>113444</v>
      </c>
      <c r="NVC3" s="18">
        <v>113451</v>
      </c>
      <c r="NVD3" s="18">
        <v>113458</v>
      </c>
      <c r="NVE3" s="18">
        <v>113465</v>
      </c>
      <c r="NVF3" s="18">
        <v>113472</v>
      </c>
      <c r="NVG3" s="18">
        <v>113479</v>
      </c>
      <c r="NVH3" s="18">
        <v>113486</v>
      </c>
      <c r="NVI3" s="18">
        <v>113493</v>
      </c>
      <c r="NVJ3" s="18">
        <v>113500</v>
      </c>
      <c r="NVK3" s="18">
        <v>113507</v>
      </c>
      <c r="NVL3" s="18">
        <v>113514</v>
      </c>
      <c r="NVM3" s="18">
        <v>113521</v>
      </c>
      <c r="NVN3" s="18">
        <v>113528</v>
      </c>
      <c r="NVO3" s="18">
        <v>113535</v>
      </c>
      <c r="NVP3" s="18">
        <v>113542</v>
      </c>
      <c r="NVQ3" s="18">
        <v>113549</v>
      </c>
      <c r="NVR3" s="18">
        <v>113556</v>
      </c>
      <c r="NVS3" s="18">
        <v>113563</v>
      </c>
      <c r="NVT3" s="18">
        <v>113570</v>
      </c>
      <c r="NVU3" s="18">
        <v>113577</v>
      </c>
      <c r="NVV3" s="18">
        <v>113584</v>
      </c>
      <c r="NVW3" s="18">
        <v>113591</v>
      </c>
      <c r="NVX3" s="18">
        <v>113598</v>
      </c>
      <c r="NVY3" s="18">
        <v>113605</v>
      </c>
      <c r="NVZ3" s="18">
        <v>113612</v>
      </c>
      <c r="NWA3" s="18">
        <v>113619</v>
      </c>
      <c r="NWB3" s="18">
        <v>113626</v>
      </c>
      <c r="NWC3" s="18">
        <v>113633</v>
      </c>
      <c r="NWD3" s="18">
        <v>113640</v>
      </c>
      <c r="NWE3" s="18">
        <v>113647</v>
      </c>
      <c r="NWF3" s="18">
        <v>113654</v>
      </c>
      <c r="NWG3" s="18">
        <v>113661</v>
      </c>
      <c r="NWH3" s="18">
        <v>113668</v>
      </c>
      <c r="NWI3" s="18">
        <v>113675</v>
      </c>
      <c r="NWJ3" s="18">
        <v>113682</v>
      </c>
      <c r="NWK3" s="18">
        <v>113689</v>
      </c>
      <c r="NWL3" s="18">
        <v>113696</v>
      </c>
      <c r="NWM3" s="18">
        <v>113703</v>
      </c>
      <c r="NWN3" s="18">
        <v>113710</v>
      </c>
      <c r="NWO3" s="18">
        <v>113717</v>
      </c>
      <c r="NWP3" s="18">
        <v>113724</v>
      </c>
      <c r="NWQ3" s="18">
        <v>113731</v>
      </c>
      <c r="NWR3" s="18">
        <v>113738</v>
      </c>
      <c r="NWS3" s="18">
        <v>113745</v>
      </c>
      <c r="NWT3" s="18">
        <v>113752</v>
      </c>
      <c r="NWU3" s="18">
        <v>113759</v>
      </c>
      <c r="NWV3" s="18">
        <v>113766</v>
      </c>
      <c r="NWW3" s="18">
        <v>113773</v>
      </c>
      <c r="NWX3" s="18">
        <v>113780</v>
      </c>
      <c r="NWY3" s="18">
        <v>113787</v>
      </c>
      <c r="NWZ3" s="18">
        <v>113794</v>
      </c>
      <c r="NXA3" s="18">
        <v>113801</v>
      </c>
      <c r="NXB3" s="18">
        <v>113808</v>
      </c>
      <c r="NXC3" s="18">
        <v>113815</v>
      </c>
      <c r="NXD3" s="18">
        <v>113822</v>
      </c>
      <c r="NXE3" s="18">
        <v>113829</v>
      </c>
      <c r="NXF3" s="18">
        <v>113836</v>
      </c>
      <c r="NXG3" s="18">
        <v>113843</v>
      </c>
      <c r="NXH3" s="18">
        <v>113850</v>
      </c>
      <c r="NXI3" s="18">
        <v>113857</v>
      </c>
      <c r="NXJ3" s="18">
        <v>113864</v>
      </c>
      <c r="NXK3" s="18">
        <v>113871</v>
      </c>
      <c r="NXL3" s="18">
        <v>113878</v>
      </c>
      <c r="NXM3" s="18">
        <v>113885</v>
      </c>
      <c r="NXN3" s="18">
        <v>113892</v>
      </c>
      <c r="NXO3" s="18">
        <v>113899</v>
      </c>
      <c r="NXP3" s="18">
        <v>113906</v>
      </c>
      <c r="NXQ3" s="18">
        <v>113913</v>
      </c>
      <c r="NXR3" s="18">
        <v>113920</v>
      </c>
      <c r="NXS3" s="18">
        <v>113927</v>
      </c>
      <c r="NXT3" s="18">
        <v>113934</v>
      </c>
      <c r="NXU3" s="18">
        <v>113941</v>
      </c>
      <c r="NXV3" s="18">
        <v>113948</v>
      </c>
      <c r="NXW3" s="18">
        <v>113955</v>
      </c>
      <c r="NXX3" s="18">
        <v>113962</v>
      </c>
      <c r="NXY3" s="18">
        <v>113969</v>
      </c>
      <c r="NXZ3" s="18">
        <v>113976</v>
      </c>
      <c r="NYA3" s="18">
        <v>113983</v>
      </c>
      <c r="NYB3" s="18">
        <v>113990</v>
      </c>
      <c r="NYC3" s="18">
        <v>113997</v>
      </c>
      <c r="NYD3" s="18">
        <v>114004</v>
      </c>
      <c r="NYE3" s="18">
        <v>114011</v>
      </c>
      <c r="NYF3" s="18">
        <v>114018</v>
      </c>
      <c r="NYG3" s="18">
        <v>114025</v>
      </c>
      <c r="NYH3" s="18">
        <v>114032</v>
      </c>
      <c r="NYI3" s="18">
        <v>114039</v>
      </c>
      <c r="NYJ3" s="18">
        <v>114046</v>
      </c>
      <c r="NYK3" s="18">
        <v>114053</v>
      </c>
      <c r="NYL3" s="18">
        <v>114060</v>
      </c>
      <c r="NYM3" s="18">
        <v>114067</v>
      </c>
      <c r="NYN3" s="18">
        <v>114074</v>
      </c>
      <c r="NYO3" s="18">
        <v>114081</v>
      </c>
      <c r="NYP3" s="18">
        <v>114088</v>
      </c>
      <c r="NYQ3" s="18">
        <v>114095</v>
      </c>
      <c r="NYR3" s="18">
        <v>114102</v>
      </c>
      <c r="NYS3" s="18">
        <v>114109</v>
      </c>
      <c r="NYT3" s="18">
        <v>114116</v>
      </c>
      <c r="NYU3" s="18">
        <v>114123</v>
      </c>
      <c r="NYV3" s="18">
        <v>114130</v>
      </c>
      <c r="NYW3" s="18">
        <v>114137</v>
      </c>
      <c r="NYX3" s="18">
        <v>114144</v>
      </c>
      <c r="NYY3" s="18">
        <v>114151</v>
      </c>
      <c r="NYZ3" s="18">
        <v>114158</v>
      </c>
      <c r="NZA3" s="18">
        <v>114165</v>
      </c>
      <c r="NZB3" s="18">
        <v>114172</v>
      </c>
      <c r="NZC3" s="18">
        <v>114179</v>
      </c>
      <c r="NZD3" s="18">
        <v>114186</v>
      </c>
      <c r="NZE3" s="18">
        <v>114193</v>
      </c>
      <c r="NZF3" s="18">
        <v>114200</v>
      </c>
      <c r="NZG3" s="18">
        <v>114207</v>
      </c>
      <c r="NZH3" s="18">
        <v>114214</v>
      </c>
      <c r="NZI3" s="18">
        <v>114221</v>
      </c>
      <c r="NZJ3" s="18">
        <v>114228</v>
      </c>
      <c r="NZK3" s="18">
        <v>114235</v>
      </c>
      <c r="NZL3" s="18">
        <v>114242</v>
      </c>
      <c r="NZM3" s="18">
        <v>114249</v>
      </c>
      <c r="NZN3" s="18">
        <v>114256</v>
      </c>
      <c r="NZO3" s="18">
        <v>114263</v>
      </c>
      <c r="NZP3" s="18">
        <v>114270</v>
      </c>
      <c r="NZQ3" s="18">
        <v>114277</v>
      </c>
      <c r="NZR3" s="18">
        <v>114284</v>
      </c>
      <c r="NZS3" s="18">
        <v>114291</v>
      </c>
      <c r="NZT3" s="18">
        <v>114298</v>
      </c>
      <c r="NZU3" s="18">
        <v>114305</v>
      </c>
      <c r="NZV3" s="18">
        <v>114312</v>
      </c>
      <c r="NZW3" s="18">
        <v>114319</v>
      </c>
      <c r="NZX3" s="18">
        <v>114326</v>
      </c>
      <c r="NZY3" s="18">
        <v>114333</v>
      </c>
      <c r="NZZ3" s="18">
        <v>114340</v>
      </c>
      <c r="OAA3" s="18">
        <v>114347</v>
      </c>
      <c r="OAB3" s="18">
        <v>114354</v>
      </c>
      <c r="OAC3" s="18">
        <v>114361</v>
      </c>
      <c r="OAD3" s="18">
        <v>114368</v>
      </c>
      <c r="OAE3" s="18">
        <v>114375</v>
      </c>
      <c r="OAF3" s="18">
        <v>114382</v>
      </c>
      <c r="OAG3" s="18">
        <v>114389</v>
      </c>
      <c r="OAH3" s="18">
        <v>114396</v>
      </c>
      <c r="OAI3" s="18">
        <v>114403</v>
      </c>
      <c r="OAJ3" s="18">
        <v>114410</v>
      </c>
      <c r="OAK3" s="18">
        <v>114417</v>
      </c>
      <c r="OAL3" s="18">
        <v>114424</v>
      </c>
      <c r="OAM3" s="18">
        <v>114431</v>
      </c>
      <c r="OAN3" s="18">
        <v>114438</v>
      </c>
      <c r="OAO3" s="18">
        <v>114445</v>
      </c>
      <c r="OAP3" s="18">
        <v>114452</v>
      </c>
      <c r="OAQ3" s="18">
        <v>114459</v>
      </c>
      <c r="OAR3" s="18">
        <v>114466</v>
      </c>
      <c r="OAS3" s="18">
        <v>114473</v>
      </c>
      <c r="OAT3" s="18">
        <v>114480</v>
      </c>
      <c r="OAU3" s="18">
        <v>114487</v>
      </c>
      <c r="OAV3" s="18">
        <v>114494</v>
      </c>
      <c r="OAW3" s="18">
        <v>114501</v>
      </c>
      <c r="OAX3" s="18">
        <v>114508</v>
      </c>
      <c r="OAY3" s="18">
        <v>114515</v>
      </c>
      <c r="OAZ3" s="18">
        <v>114522</v>
      </c>
      <c r="OBA3" s="18">
        <v>114529</v>
      </c>
      <c r="OBB3" s="18">
        <v>114536</v>
      </c>
      <c r="OBC3" s="18">
        <v>114543</v>
      </c>
      <c r="OBD3" s="18">
        <v>114550</v>
      </c>
      <c r="OBE3" s="18">
        <v>114557</v>
      </c>
      <c r="OBF3" s="18">
        <v>114564</v>
      </c>
      <c r="OBG3" s="18">
        <v>114571</v>
      </c>
      <c r="OBH3" s="18">
        <v>114578</v>
      </c>
      <c r="OBI3" s="18">
        <v>114585</v>
      </c>
      <c r="OBJ3" s="18">
        <v>114592</v>
      </c>
      <c r="OBK3" s="18">
        <v>114599</v>
      </c>
      <c r="OBL3" s="18">
        <v>114606</v>
      </c>
      <c r="OBM3" s="18">
        <v>114613</v>
      </c>
      <c r="OBN3" s="18">
        <v>114620</v>
      </c>
      <c r="OBO3" s="18">
        <v>114627</v>
      </c>
      <c r="OBP3" s="18">
        <v>114634</v>
      </c>
      <c r="OBQ3" s="18">
        <v>114641</v>
      </c>
      <c r="OBR3" s="18">
        <v>114648</v>
      </c>
      <c r="OBS3" s="18">
        <v>114655</v>
      </c>
      <c r="OBT3" s="18">
        <v>114662</v>
      </c>
      <c r="OBU3" s="18">
        <v>114669</v>
      </c>
      <c r="OBV3" s="18">
        <v>114676</v>
      </c>
      <c r="OBW3" s="18">
        <v>114683</v>
      </c>
      <c r="OBX3" s="18">
        <v>114690</v>
      </c>
      <c r="OBY3" s="18">
        <v>114697</v>
      </c>
      <c r="OBZ3" s="18">
        <v>114704</v>
      </c>
      <c r="OCA3" s="18">
        <v>114711</v>
      </c>
      <c r="OCB3" s="18">
        <v>114718</v>
      </c>
      <c r="OCC3" s="18">
        <v>114725</v>
      </c>
      <c r="OCD3" s="18">
        <v>114732</v>
      </c>
      <c r="OCE3" s="18">
        <v>114739</v>
      </c>
      <c r="OCF3" s="18">
        <v>114746</v>
      </c>
      <c r="OCG3" s="18">
        <v>114753</v>
      </c>
      <c r="OCH3" s="18">
        <v>114760</v>
      </c>
      <c r="OCI3" s="18">
        <v>114767</v>
      </c>
      <c r="OCJ3" s="18">
        <v>114774</v>
      </c>
      <c r="OCK3" s="18">
        <v>114781</v>
      </c>
      <c r="OCL3" s="18">
        <v>114788</v>
      </c>
      <c r="OCM3" s="18">
        <v>114795</v>
      </c>
      <c r="OCN3" s="18">
        <v>114802</v>
      </c>
      <c r="OCO3" s="18">
        <v>114809</v>
      </c>
      <c r="OCP3" s="18">
        <v>114816</v>
      </c>
      <c r="OCQ3" s="18">
        <v>114823</v>
      </c>
      <c r="OCR3" s="18">
        <v>114830</v>
      </c>
      <c r="OCS3" s="18">
        <v>114837</v>
      </c>
      <c r="OCT3" s="18">
        <v>114844</v>
      </c>
      <c r="OCU3" s="18">
        <v>114851</v>
      </c>
      <c r="OCV3" s="18">
        <v>114858</v>
      </c>
      <c r="OCW3" s="18">
        <v>114865</v>
      </c>
      <c r="OCX3" s="18">
        <v>114872</v>
      </c>
      <c r="OCY3" s="18">
        <v>114879</v>
      </c>
      <c r="OCZ3" s="18">
        <v>114886</v>
      </c>
      <c r="ODA3" s="18">
        <v>114893</v>
      </c>
      <c r="ODB3" s="18">
        <v>114900</v>
      </c>
      <c r="ODC3" s="18">
        <v>114907</v>
      </c>
      <c r="ODD3" s="18">
        <v>114914</v>
      </c>
      <c r="ODE3" s="18">
        <v>114921</v>
      </c>
      <c r="ODF3" s="18">
        <v>114928</v>
      </c>
      <c r="ODG3" s="18">
        <v>114935</v>
      </c>
      <c r="ODH3" s="18">
        <v>114942</v>
      </c>
      <c r="ODI3" s="18">
        <v>114949</v>
      </c>
      <c r="ODJ3" s="18">
        <v>114956</v>
      </c>
      <c r="ODK3" s="18">
        <v>114963</v>
      </c>
      <c r="ODL3" s="18">
        <v>114970</v>
      </c>
      <c r="ODM3" s="18">
        <v>114977</v>
      </c>
      <c r="ODN3" s="18">
        <v>114984</v>
      </c>
      <c r="ODO3" s="18">
        <v>114991</v>
      </c>
      <c r="ODP3" s="18">
        <v>114998</v>
      </c>
      <c r="ODQ3" s="18">
        <v>115005</v>
      </c>
      <c r="ODR3" s="18">
        <v>115012</v>
      </c>
      <c r="ODS3" s="18">
        <v>115019</v>
      </c>
      <c r="ODT3" s="18">
        <v>115026</v>
      </c>
      <c r="ODU3" s="18">
        <v>115033</v>
      </c>
      <c r="ODV3" s="18">
        <v>115040</v>
      </c>
      <c r="ODW3" s="18">
        <v>115047</v>
      </c>
      <c r="ODX3" s="18">
        <v>115054</v>
      </c>
      <c r="ODY3" s="18">
        <v>115061</v>
      </c>
      <c r="ODZ3" s="18">
        <v>115068</v>
      </c>
      <c r="OEA3" s="18">
        <v>115075</v>
      </c>
      <c r="OEB3" s="18">
        <v>115082</v>
      </c>
      <c r="OEC3" s="18">
        <v>115089</v>
      </c>
      <c r="OED3" s="18">
        <v>115096</v>
      </c>
      <c r="OEE3" s="18">
        <v>115103</v>
      </c>
      <c r="OEF3" s="18">
        <v>115110</v>
      </c>
      <c r="OEG3" s="18">
        <v>115117</v>
      </c>
      <c r="OEH3" s="18">
        <v>115124</v>
      </c>
      <c r="OEI3" s="18">
        <v>115131</v>
      </c>
      <c r="OEJ3" s="18">
        <v>115138</v>
      </c>
      <c r="OEK3" s="18">
        <v>115145</v>
      </c>
      <c r="OEL3" s="18">
        <v>115152</v>
      </c>
      <c r="OEM3" s="18">
        <v>115159</v>
      </c>
      <c r="OEN3" s="18">
        <v>115166</v>
      </c>
      <c r="OEO3" s="18">
        <v>115173</v>
      </c>
      <c r="OEP3" s="18">
        <v>115180</v>
      </c>
      <c r="OEQ3" s="18">
        <v>115187</v>
      </c>
      <c r="OER3" s="18">
        <v>115194</v>
      </c>
      <c r="OES3" s="18">
        <v>115201</v>
      </c>
      <c r="OET3" s="18">
        <v>115208</v>
      </c>
      <c r="OEU3" s="18">
        <v>115215</v>
      </c>
      <c r="OEV3" s="18">
        <v>115222</v>
      </c>
      <c r="OEW3" s="18">
        <v>115229</v>
      </c>
      <c r="OEX3" s="18">
        <v>115236</v>
      </c>
      <c r="OEY3" s="18">
        <v>115243</v>
      </c>
      <c r="OEZ3" s="18">
        <v>115250</v>
      </c>
      <c r="OFA3" s="18">
        <v>115257</v>
      </c>
      <c r="OFB3" s="18">
        <v>115264</v>
      </c>
      <c r="OFC3" s="18">
        <v>115271</v>
      </c>
      <c r="OFD3" s="18">
        <v>115278</v>
      </c>
      <c r="OFE3" s="18">
        <v>115285</v>
      </c>
      <c r="OFF3" s="18">
        <v>115292</v>
      </c>
      <c r="OFG3" s="18">
        <v>115299</v>
      </c>
      <c r="OFH3" s="18">
        <v>115306</v>
      </c>
      <c r="OFI3" s="18">
        <v>115313</v>
      </c>
      <c r="OFJ3" s="18">
        <v>115320</v>
      </c>
      <c r="OFK3" s="18">
        <v>115327</v>
      </c>
      <c r="OFL3" s="18">
        <v>115334</v>
      </c>
      <c r="OFM3" s="18">
        <v>115341</v>
      </c>
      <c r="OFN3" s="18">
        <v>115348</v>
      </c>
      <c r="OFO3" s="18">
        <v>115355</v>
      </c>
      <c r="OFP3" s="18">
        <v>115362</v>
      </c>
      <c r="OFQ3" s="18">
        <v>115369</v>
      </c>
      <c r="OFR3" s="18">
        <v>115376</v>
      </c>
      <c r="OFS3" s="18">
        <v>115383</v>
      </c>
      <c r="OFT3" s="18">
        <v>115390</v>
      </c>
      <c r="OFU3" s="18">
        <v>115397</v>
      </c>
      <c r="OFV3" s="18">
        <v>115404</v>
      </c>
      <c r="OFW3" s="18">
        <v>115411</v>
      </c>
      <c r="OFX3" s="18">
        <v>115418</v>
      </c>
      <c r="OFY3" s="18">
        <v>115425</v>
      </c>
      <c r="OFZ3" s="18">
        <v>115432</v>
      </c>
      <c r="OGA3" s="18">
        <v>115439</v>
      </c>
      <c r="OGB3" s="18">
        <v>115446</v>
      </c>
      <c r="OGC3" s="18">
        <v>115453</v>
      </c>
      <c r="OGD3" s="18">
        <v>115460</v>
      </c>
      <c r="OGE3" s="18">
        <v>115467</v>
      </c>
      <c r="OGF3" s="18">
        <v>115474</v>
      </c>
      <c r="OGG3" s="18">
        <v>115481</v>
      </c>
      <c r="OGH3" s="18">
        <v>115488</v>
      </c>
      <c r="OGI3" s="18">
        <v>115495</v>
      </c>
      <c r="OGJ3" s="18">
        <v>115502</v>
      </c>
      <c r="OGK3" s="18">
        <v>115509</v>
      </c>
      <c r="OGL3" s="18">
        <v>115516</v>
      </c>
      <c r="OGM3" s="18">
        <v>115523</v>
      </c>
      <c r="OGN3" s="18">
        <v>115530</v>
      </c>
      <c r="OGO3" s="18">
        <v>115537</v>
      </c>
      <c r="OGP3" s="18">
        <v>115544</v>
      </c>
      <c r="OGQ3" s="18">
        <v>115551</v>
      </c>
      <c r="OGR3" s="18">
        <v>115558</v>
      </c>
      <c r="OGS3" s="18">
        <v>115565</v>
      </c>
      <c r="OGT3" s="18">
        <v>115572</v>
      </c>
      <c r="OGU3" s="18">
        <v>115579</v>
      </c>
      <c r="OGV3" s="18">
        <v>115586</v>
      </c>
      <c r="OGW3" s="18">
        <v>115593</v>
      </c>
      <c r="OGX3" s="18">
        <v>115600</v>
      </c>
      <c r="OGY3" s="18">
        <v>115607</v>
      </c>
      <c r="OGZ3" s="18">
        <v>115614</v>
      </c>
      <c r="OHA3" s="18">
        <v>115621</v>
      </c>
      <c r="OHB3" s="18">
        <v>115628</v>
      </c>
      <c r="OHC3" s="18">
        <v>115635</v>
      </c>
      <c r="OHD3" s="18">
        <v>115642</v>
      </c>
      <c r="OHE3" s="18">
        <v>115649</v>
      </c>
      <c r="OHF3" s="18">
        <v>115656</v>
      </c>
      <c r="OHG3" s="18">
        <v>115663</v>
      </c>
      <c r="OHH3" s="18">
        <v>115670</v>
      </c>
      <c r="OHI3" s="18">
        <v>115677</v>
      </c>
      <c r="OHJ3" s="18">
        <v>115684</v>
      </c>
      <c r="OHK3" s="18">
        <v>115691</v>
      </c>
      <c r="OHL3" s="18">
        <v>115698</v>
      </c>
      <c r="OHM3" s="18">
        <v>115705</v>
      </c>
      <c r="OHN3" s="18">
        <v>115712</v>
      </c>
      <c r="OHO3" s="18">
        <v>115719</v>
      </c>
      <c r="OHP3" s="18">
        <v>115726</v>
      </c>
      <c r="OHQ3" s="18">
        <v>115733</v>
      </c>
      <c r="OHR3" s="18">
        <v>115740</v>
      </c>
      <c r="OHS3" s="18">
        <v>115747</v>
      </c>
      <c r="OHT3" s="18">
        <v>115754</v>
      </c>
      <c r="OHU3" s="18">
        <v>115761</v>
      </c>
      <c r="OHV3" s="18">
        <v>115768</v>
      </c>
      <c r="OHW3" s="18">
        <v>115775</v>
      </c>
      <c r="OHX3" s="18">
        <v>115782</v>
      </c>
      <c r="OHY3" s="18">
        <v>115789</v>
      </c>
      <c r="OHZ3" s="18">
        <v>115796</v>
      </c>
      <c r="OIA3" s="18">
        <v>115803</v>
      </c>
      <c r="OIB3" s="18">
        <v>115810</v>
      </c>
      <c r="OIC3" s="18">
        <v>115817</v>
      </c>
      <c r="OID3" s="18">
        <v>115824</v>
      </c>
      <c r="OIE3" s="18">
        <v>115831</v>
      </c>
      <c r="OIF3" s="18">
        <v>115838</v>
      </c>
      <c r="OIG3" s="18">
        <v>115845</v>
      </c>
      <c r="OIH3" s="18">
        <v>115852</v>
      </c>
      <c r="OII3" s="18">
        <v>115859</v>
      </c>
      <c r="OIJ3" s="18">
        <v>115866</v>
      </c>
      <c r="OIK3" s="18">
        <v>115873</v>
      </c>
      <c r="OIL3" s="18">
        <v>115880</v>
      </c>
      <c r="OIM3" s="18">
        <v>115887</v>
      </c>
      <c r="OIN3" s="18">
        <v>115894</v>
      </c>
      <c r="OIO3" s="18">
        <v>115901</v>
      </c>
      <c r="OIP3" s="18">
        <v>115908</v>
      </c>
      <c r="OIQ3" s="18">
        <v>115915</v>
      </c>
      <c r="OIR3" s="18">
        <v>115922</v>
      </c>
      <c r="OIS3" s="18">
        <v>115929</v>
      </c>
      <c r="OIT3" s="18">
        <v>115936</v>
      </c>
      <c r="OIU3" s="18">
        <v>115943</v>
      </c>
      <c r="OIV3" s="18">
        <v>115950</v>
      </c>
      <c r="OIW3" s="18">
        <v>115957</v>
      </c>
      <c r="OIX3" s="18">
        <v>115964</v>
      </c>
      <c r="OIY3" s="18">
        <v>115971</v>
      </c>
      <c r="OIZ3" s="18">
        <v>115978</v>
      </c>
      <c r="OJA3" s="18">
        <v>115985</v>
      </c>
      <c r="OJB3" s="18">
        <v>115992</v>
      </c>
      <c r="OJC3" s="18">
        <v>115999</v>
      </c>
      <c r="OJD3" s="18">
        <v>116006</v>
      </c>
      <c r="OJE3" s="18">
        <v>116013</v>
      </c>
      <c r="OJF3" s="18">
        <v>116020</v>
      </c>
      <c r="OJG3" s="18">
        <v>116027</v>
      </c>
      <c r="OJH3" s="18">
        <v>116034</v>
      </c>
      <c r="OJI3" s="18">
        <v>116041</v>
      </c>
      <c r="OJJ3" s="18">
        <v>116048</v>
      </c>
      <c r="OJK3" s="18">
        <v>116055</v>
      </c>
      <c r="OJL3" s="18">
        <v>116062</v>
      </c>
      <c r="OJM3" s="18">
        <v>116069</v>
      </c>
      <c r="OJN3" s="18">
        <v>116076</v>
      </c>
      <c r="OJO3" s="18">
        <v>116083</v>
      </c>
      <c r="OJP3" s="18">
        <v>116090</v>
      </c>
      <c r="OJQ3" s="18">
        <v>116097</v>
      </c>
      <c r="OJR3" s="18">
        <v>116104</v>
      </c>
      <c r="OJS3" s="18">
        <v>116111</v>
      </c>
      <c r="OJT3" s="18">
        <v>116118</v>
      </c>
      <c r="OJU3" s="18">
        <v>116125</v>
      </c>
      <c r="OJV3" s="18">
        <v>116132</v>
      </c>
      <c r="OJW3" s="18">
        <v>116139</v>
      </c>
      <c r="OJX3" s="18">
        <v>116146</v>
      </c>
      <c r="OJY3" s="18">
        <v>116153</v>
      </c>
      <c r="OJZ3" s="18">
        <v>116160</v>
      </c>
      <c r="OKA3" s="18">
        <v>116167</v>
      </c>
      <c r="OKB3" s="18">
        <v>116174</v>
      </c>
      <c r="OKC3" s="18">
        <v>116181</v>
      </c>
      <c r="OKD3" s="18">
        <v>116188</v>
      </c>
      <c r="OKE3" s="18">
        <v>116195</v>
      </c>
      <c r="OKF3" s="18">
        <v>116202</v>
      </c>
      <c r="OKG3" s="18">
        <v>116209</v>
      </c>
      <c r="OKH3" s="18">
        <v>116216</v>
      </c>
      <c r="OKI3" s="18">
        <v>116223</v>
      </c>
      <c r="OKJ3" s="18">
        <v>116230</v>
      </c>
      <c r="OKK3" s="18">
        <v>116237</v>
      </c>
      <c r="OKL3" s="18">
        <v>116244</v>
      </c>
      <c r="OKM3" s="18">
        <v>116251</v>
      </c>
      <c r="OKN3" s="18">
        <v>116258</v>
      </c>
      <c r="OKO3" s="18">
        <v>116265</v>
      </c>
      <c r="OKP3" s="18">
        <v>116272</v>
      </c>
      <c r="OKQ3" s="18">
        <v>116279</v>
      </c>
      <c r="OKR3" s="18">
        <v>116286</v>
      </c>
      <c r="OKS3" s="18">
        <v>116293</v>
      </c>
      <c r="OKT3" s="18">
        <v>116300</v>
      </c>
      <c r="OKU3" s="18">
        <v>116307</v>
      </c>
      <c r="OKV3" s="18">
        <v>116314</v>
      </c>
      <c r="OKW3" s="18">
        <v>116321</v>
      </c>
      <c r="OKX3" s="18">
        <v>116328</v>
      </c>
      <c r="OKY3" s="18">
        <v>116335</v>
      </c>
      <c r="OKZ3" s="18">
        <v>116342</v>
      </c>
      <c r="OLA3" s="18">
        <v>116349</v>
      </c>
      <c r="OLB3" s="18">
        <v>116356</v>
      </c>
      <c r="OLC3" s="18">
        <v>116363</v>
      </c>
      <c r="OLD3" s="18">
        <v>116370</v>
      </c>
      <c r="OLE3" s="18">
        <v>116377</v>
      </c>
      <c r="OLF3" s="18">
        <v>116384</v>
      </c>
      <c r="OLG3" s="18">
        <v>116391</v>
      </c>
      <c r="OLH3" s="18">
        <v>116398</v>
      </c>
      <c r="OLI3" s="18">
        <v>116405</v>
      </c>
      <c r="OLJ3" s="18">
        <v>116412</v>
      </c>
      <c r="OLK3" s="18">
        <v>116419</v>
      </c>
      <c r="OLL3" s="18">
        <v>116426</v>
      </c>
      <c r="OLM3" s="18">
        <v>116433</v>
      </c>
      <c r="OLN3" s="18">
        <v>116440</v>
      </c>
      <c r="OLO3" s="18">
        <v>116447</v>
      </c>
      <c r="OLP3" s="18">
        <v>116454</v>
      </c>
      <c r="OLQ3" s="18">
        <v>116461</v>
      </c>
      <c r="OLR3" s="18">
        <v>116468</v>
      </c>
      <c r="OLS3" s="18">
        <v>116475</v>
      </c>
      <c r="OLT3" s="18">
        <v>116482</v>
      </c>
      <c r="OLU3" s="18">
        <v>116489</v>
      </c>
      <c r="OLV3" s="18">
        <v>116496</v>
      </c>
      <c r="OLW3" s="18">
        <v>116503</v>
      </c>
      <c r="OLX3" s="18">
        <v>116510</v>
      </c>
      <c r="OLY3" s="18">
        <v>116517</v>
      </c>
      <c r="OLZ3" s="18">
        <v>116524</v>
      </c>
      <c r="OMA3" s="18">
        <v>116531</v>
      </c>
      <c r="OMB3" s="18">
        <v>116538</v>
      </c>
      <c r="OMC3" s="18">
        <v>116545</v>
      </c>
      <c r="OMD3" s="18">
        <v>116552</v>
      </c>
      <c r="OME3" s="18">
        <v>116559</v>
      </c>
      <c r="OMF3" s="18">
        <v>116566</v>
      </c>
      <c r="OMG3" s="18">
        <v>116573</v>
      </c>
      <c r="OMH3" s="18">
        <v>116580</v>
      </c>
      <c r="OMI3" s="18">
        <v>116587</v>
      </c>
      <c r="OMJ3" s="18">
        <v>116594</v>
      </c>
      <c r="OMK3" s="18">
        <v>116601</v>
      </c>
      <c r="OML3" s="18">
        <v>116608</v>
      </c>
      <c r="OMM3" s="18">
        <v>116615</v>
      </c>
      <c r="OMN3" s="18">
        <v>116622</v>
      </c>
      <c r="OMO3" s="18">
        <v>116629</v>
      </c>
      <c r="OMP3" s="18">
        <v>116636</v>
      </c>
      <c r="OMQ3" s="18">
        <v>116643</v>
      </c>
      <c r="OMR3" s="18">
        <v>116650</v>
      </c>
      <c r="OMS3" s="18">
        <v>116657</v>
      </c>
      <c r="OMT3" s="18">
        <v>116664</v>
      </c>
      <c r="OMU3" s="18">
        <v>116671</v>
      </c>
      <c r="OMV3" s="18">
        <v>116678</v>
      </c>
      <c r="OMW3" s="18">
        <v>116685</v>
      </c>
      <c r="OMX3" s="18">
        <v>116692</v>
      </c>
      <c r="OMY3" s="18">
        <v>116699</v>
      </c>
      <c r="OMZ3" s="18">
        <v>116706</v>
      </c>
      <c r="ONA3" s="18">
        <v>116713</v>
      </c>
      <c r="ONB3" s="18">
        <v>116720</v>
      </c>
      <c r="ONC3" s="18">
        <v>116727</v>
      </c>
      <c r="OND3" s="18">
        <v>116734</v>
      </c>
      <c r="ONE3" s="18">
        <v>116741</v>
      </c>
      <c r="ONF3" s="18">
        <v>116748</v>
      </c>
      <c r="ONG3" s="18">
        <v>116755</v>
      </c>
      <c r="ONH3" s="18">
        <v>116762</v>
      </c>
      <c r="ONI3" s="18">
        <v>116769</v>
      </c>
      <c r="ONJ3" s="18">
        <v>116776</v>
      </c>
      <c r="ONK3" s="18">
        <v>116783</v>
      </c>
      <c r="ONL3" s="18">
        <v>116790</v>
      </c>
      <c r="ONM3" s="18">
        <v>116797</v>
      </c>
      <c r="ONN3" s="18">
        <v>116804</v>
      </c>
      <c r="ONO3" s="18">
        <v>116811</v>
      </c>
      <c r="ONP3" s="18">
        <v>116818</v>
      </c>
      <c r="ONQ3" s="18">
        <v>116825</v>
      </c>
      <c r="ONR3" s="18">
        <v>116832</v>
      </c>
      <c r="ONS3" s="18">
        <v>116839</v>
      </c>
      <c r="ONT3" s="18">
        <v>116846</v>
      </c>
      <c r="ONU3" s="18">
        <v>116853</v>
      </c>
      <c r="ONV3" s="18">
        <v>116860</v>
      </c>
      <c r="ONW3" s="18">
        <v>116867</v>
      </c>
      <c r="ONX3" s="18">
        <v>116874</v>
      </c>
      <c r="ONY3" s="18">
        <v>116881</v>
      </c>
      <c r="ONZ3" s="18">
        <v>116888</v>
      </c>
      <c r="OOA3" s="18">
        <v>116895</v>
      </c>
      <c r="OOB3" s="18">
        <v>116902</v>
      </c>
      <c r="OOC3" s="18">
        <v>116909</v>
      </c>
      <c r="OOD3" s="18">
        <v>116916</v>
      </c>
      <c r="OOE3" s="18">
        <v>116923</v>
      </c>
      <c r="OOF3" s="18">
        <v>116930</v>
      </c>
      <c r="OOG3" s="18">
        <v>116937</v>
      </c>
      <c r="OOH3" s="18">
        <v>116944</v>
      </c>
      <c r="OOI3" s="18">
        <v>116951</v>
      </c>
      <c r="OOJ3" s="18">
        <v>116958</v>
      </c>
      <c r="OOK3" s="18">
        <v>116965</v>
      </c>
      <c r="OOL3" s="18">
        <v>116972</v>
      </c>
      <c r="OOM3" s="18">
        <v>116979</v>
      </c>
      <c r="OON3" s="18">
        <v>116986</v>
      </c>
      <c r="OOO3" s="18">
        <v>116993</v>
      </c>
      <c r="OOP3" s="18">
        <v>117000</v>
      </c>
      <c r="OOQ3" s="18">
        <v>117007</v>
      </c>
      <c r="OOR3" s="18">
        <v>117014</v>
      </c>
      <c r="OOS3" s="18">
        <v>117021</v>
      </c>
      <c r="OOT3" s="18">
        <v>117028</v>
      </c>
      <c r="OOU3" s="18">
        <v>117035</v>
      </c>
      <c r="OOV3" s="18">
        <v>117042</v>
      </c>
      <c r="OOW3" s="18">
        <v>117049</v>
      </c>
      <c r="OOX3" s="18">
        <v>117056</v>
      </c>
      <c r="OOY3" s="18">
        <v>117063</v>
      </c>
      <c r="OOZ3" s="18">
        <v>117070</v>
      </c>
      <c r="OPA3" s="18">
        <v>117077</v>
      </c>
      <c r="OPB3" s="18">
        <v>117084</v>
      </c>
      <c r="OPC3" s="18">
        <v>117091</v>
      </c>
      <c r="OPD3" s="18">
        <v>117098</v>
      </c>
      <c r="OPE3" s="18">
        <v>117105</v>
      </c>
      <c r="OPF3" s="18">
        <v>117112</v>
      </c>
      <c r="OPG3" s="18">
        <v>117119</v>
      </c>
      <c r="OPH3" s="18">
        <v>117126</v>
      </c>
      <c r="OPI3" s="18">
        <v>117133</v>
      </c>
      <c r="OPJ3" s="18">
        <v>117140</v>
      </c>
      <c r="OPK3" s="18">
        <v>117147</v>
      </c>
      <c r="OPL3" s="18">
        <v>117154</v>
      </c>
      <c r="OPM3" s="18">
        <v>117161</v>
      </c>
      <c r="OPN3" s="18">
        <v>117168</v>
      </c>
      <c r="OPO3" s="18">
        <v>117175</v>
      </c>
      <c r="OPP3" s="18">
        <v>117182</v>
      </c>
      <c r="OPQ3" s="18">
        <v>117189</v>
      </c>
      <c r="OPR3" s="18">
        <v>117196</v>
      </c>
      <c r="OPS3" s="18">
        <v>117203</v>
      </c>
      <c r="OPT3" s="18">
        <v>117210</v>
      </c>
      <c r="OPU3" s="18">
        <v>117217</v>
      </c>
      <c r="OPV3" s="18">
        <v>117224</v>
      </c>
      <c r="OPW3" s="18">
        <v>117231</v>
      </c>
      <c r="OPX3" s="18">
        <v>117238</v>
      </c>
      <c r="OPY3" s="18">
        <v>117245</v>
      </c>
      <c r="OPZ3" s="18">
        <v>117252</v>
      </c>
      <c r="OQA3" s="18">
        <v>117259</v>
      </c>
      <c r="OQB3" s="18">
        <v>117266</v>
      </c>
      <c r="OQC3" s="18">
        <v>117273</v>
      </c>
      <c r="OQD3" s="18">
        <v>117280</v>
      </c>
      <c r="OQE3" s="18">
        <v>117287</v>
      </c>
      <c r="OQF3" s="18">
        <v>117294</v>
      </c>
      <c r="OQG3" s="18">
        <v>117301</v>
      </c>
      <c r="OQH3" s="18">
        <v>117308</v>
      </c>
      <c r="OQI3" s="18">
        <v>117315</v>
      </c>
      <c r="OQJ3" s="18">
        <v>117322</v>
      </c>
      <c r="OQK3" s="18">
        <v>117329</v>
      </c>
      <c r="OQL3" s="18">
        <v>117336</v>
      </c>
      <c r="OQM3" s="18">
        <v>117343</v>
      </c>
      <c r="OQN3" s="18">
        <v>117350</v>
      </c>
      <c r="OQO3" s="18">
        <v>117357</v>
      </c>
      <c r="OQP3" s="18">
        <v>117364</v>
      </c>
      <c r="OQQ3" s="18">
        <v>117371</v>
      </c>
      <c r="OQR3" s="18">
        <v>117378</v>
      </c>
      <c r="OQS3" s="18">
        <v>117385</v>
      </c>
      <c r="OQT3" s="18">
        <v>117392</v>
      </c>
      <c r="OQU3" s="18">
        <v>117399</v>
      </c>
      <c r="OQV3" s="18">
        <v>117406</v>
      </c>
      <c r="OQW3" s="18">
        <v>117413</v>
      </c>
      <c r="OQX3" s="18">
        <v>117420</v>
      </c>
      <c r="OQY3" s="18">
        <v>117427</v>
      </c>
      <c r="OQZ3" s="18">
        <v>117434</v>
      </c>
      <c r="ORA3" s="18">
        <v>117441</v>
      </c>
      <c r="ORB3" s="18">
        <v>117448</v>
      </c>
      <c r="ORC3" s="18">
        <v>117455</v>
      </c>
      <c r="ORD3" s="18">
        <v>117462</v>
      </c>
      <c r="ORE3" s="18">
        <v>117469</v>
      </c>
      <c r="ORF3" s="18">
        <v>117476</v>
      </c>
      <c r="ORG3" s="18">
        <v>117483</v>
      </c>
      <c r="ORH3" s="18">
        <v>117490</v>
      </c>
      <c r="ORI3" s="18">
        <v>117497</v>
      </c>
      <c r="ORJ3" s="18">
        <v>117504</v>
      </c>
      <c r="ORK3" s="18">
        <v>117511</v>
      </c>
      <c r="ORL3" s="18">
        <v>117518</v>
      </c>
      <c r="ORM3" s="18">
        <v>117525</v>
      </c>
      <c r="ORN3" s="18">
        <v>117532</v>
      </c>
      <c r="ORO3" s="18">
        <v>117539</v>
      </c>
      <c r="ORP3" s="18">
        <v>117546</v>
      </c>
      <c r="ORQ3" s="18">
        <v>117553</v>
      </c>
      <c r="ORR3" s="18">
        <v>117560</v>
      </c>
      <c r="ORS3" s="18">
        <v>117567</v>
      </c>
      <c r="ORT3" s="18">
        <v>117574</v>
      </c>
      <c r="ORU3" s="18">
        <v>117581</v>
      </c>
      <c r="ORV3" s="18">
        <v>117588</v>
      </c>
      <c r="ORW3" s="18">
        <v>117595</v>
      </c>
      <c r="ORX3" s="18">
        <v>117602</v>
      </c>
      <c r="ORY3" s="18">
        <v>117609</v>
      </c>
      <c r="ORZ3" s="18">
        <v>117616</v>
      </c>
      <c r="OSA3" s="18">
        <v>117623</v>
      </c>
      <c r="OSB3" s="18">
        <v>117630</v>
      </c>
      <c r="OSC3" s="18">
        <v>117637</v>
      </c>
      <c r="OSD3" s="18">
        <v>117644</v>
      </c>
      <c r="OSE3" s="18">
        <v>117651</v>
      </c>
      <c r="OSF3" s="18">
        <v>117658</v>
      </c>
      <c r="OSG3" s="18">
        <v>117665</v>
      </c>
      <c r="OSH3" s="18">
        <v>117672</v>
      </c>
      <c r="OSI3" s="18">
        <v>117679</v>
      </c>
      <c r="OSJ3" s="18">
        <v>117686</v>
      </c>
      <c r="OSK3" s="18">
        <v>117693</v>
      </c>
      <c r="OSL3" s="18">
        <v>117700</v>
      </c>
      <c r="OSM3" s="18">
        <v>117707</v>
      </c>
      <c r="OSN3" s="18">
        <v>117714</v>
      </c>
      <c r="OSO3" s="18">
        <v>117721</v>
      </c>
      <c r="OSP3" s="18">
        <v>117728</v>
      </c>
      <c r="OSQ3" s="18">
        <v>117735</v>
      </c>
      <c r="OSR3" s="18">
        <v>117742</v>
      </c>
      <c r="OSS3" s="18">
        <v>117749</v>
      </c>
      <c r="OST3" s="18">
        <v>117756</v>
      </c>
      <c r="OSU3" s="18">
        <v>117763</v>
      </c>
      <c r="OSV3" s="18">
        <v>117770</v>
      </c>
      <c r="OSW3" s="18">
        <v>117777</v>
      </c>
      <c r="OSX3" s="18">
        <v>117784</v>
      </c>
      <c r="OSY3" s="18">
        <v>117791</v>
      </c>
      <c r="OSZ3" s="18">
        <v>117798</v>
      </c>
      <c r="OTA3" s="18">
        <v>117805</v>
      </c>
      <c r="OTB3" s="18">
        <v>117812</v>
      </c>
      <c r="OTC3" s="18">
        <v>117819</v>
      </c>
      <c r="OTD3" s="18">
        <v>117826</v>
      </c>
      <c r="OTE3" s="18">
        <v>117833</v>
      </c>
      <c r="OTF3" s="18">
        <v>117840</v>
      </c>
      <c r="OTG3" s="18">
        <v>117847</v>
      </c>
      <c r="OTH3" s="18">
        <v>117854</v>
      </c>
      <c r="OTI3" s="18">
        <v>117861</v>
      </c>
      <c r="OTJ3" s="18">
        <v>117868</v>
      </c>
      <c r="OTK3" s="18">
        <v>117875</v>
      </c>
      <c r="OTL3" s="18">
        <v>117882</v>
      </c>
      <c r="OTM3" s="18">
        <v>117889</v>
      </c>
      <c r="OTN3" s="18">
        <v>117896</v>
      </c>
      <c r="OTO3" s="18">
        <v>117903</v>
      </c>
      <c r="OTP3" s="18">
        <v>117910</v>
      </c>
      <c r="OTQ3" s="18">
        <v>117917</v>
      </c>
      <c r="OTR3" s="18">
        <v>117924</v>
      </c>
      <c r="OTS3" s="18">
        <v>117931</v>
      </c>
      <c r="OTT3" s="18">
        <v>117938</v>
      </c>
      <c r="OTU3" s="18">
        <v>117945</v>
      </c>
      <c r="OTV3" s="18">
        <v>117952</v>
      </c>
      <c r="OTW3" s="18">
        <v>117959</v>
      </c>
      <c r="OTX3" s="18">
        <v>117966</v>
      </c>
      <c r="OTY3" s="18">
        <v>117973</v>
      </c>
      <c r="OTZ3" s="18">
        <v>117980</v>
      </c>
      <c r="OUA3" s="18">
        <v>117987</v>
      </c>
      <c r="OUB3" s="18">
        <v>117994</v>
      </c>
      <c r="OUC3" s="18">
        <v>118001</v>
      </c>
      <c r="OUD3" s="18">
        <v>118008</v>
      </c>
      <c r="OUE3" s="18">
        <v>118015</v>
      </c>
      <c r="OUF3" s="18">
        <v>118022</v>
      </c>
      <c r="OUG3" s="18">
        <v>118029</v>
      </c>
      <c r="OUH3" s="18">
        <v>118036</v>
      </c>
      <c r="OUI3" s="18">
        <v>118043</v>
      </c>
      <c r="OUJ3" s="18">
        <v>118050</v>
      </c>
      <c r="OUK3" s="18">
        <v>118057</v>
      </c>
      <c r="OUL3" s="18">
        <v>118064</v>
      </c>
      <c r="OUM3" s="18">
        <v>118071</v>
      </c>
      <c r="OUN3" s="18">
        <v>118078</v>
      </c>
      <c r="OUO3" s="18">
        <v>118085</v>
      </c>
      <c r="OUP3" s="18">
        <v>118092</v>
      </c>
      <c r="OUQ3" s="18">
        <v>118099</v>
      </c>
      <c r="OUR3" s="18">
        <v>118106</v>
      </c>
      <c r="OUS3" s="18">
        <v>118113</v>
      </c>
      <c r="OUT3" s="18">
        <v>118120</v>
      </c>
      <c r="OUU3" s="18">
        <v>118127</v>
      </c>
      <c r="OUV3" s="18">
        <v>118134</v>
      </c>
      <c r="OUW3" s="18">
        <v>118141</v>
      </c>
      <c r="OUX3" s="18">
        <v>118148</v>
      </c>
      <c r="OUY3" s="18">
        <v>118155</v>
      </c>
      <c r="OUZ3" s="18">
        <v>118162</v>
      </c>
      <c r="OVA3" s="18">
        <v>118169</v>
      </c>
      <c r="OVB3" s="18">
        <v>118176</v>
      </c>
      <c r="OVC3" s="18">
        <v>118183</v>
      </c>
      <c r="OVD3" s="18">
        <v>118190</v>
      </c>
      <c r="OVE3" s="18">
        <v>118197</v>
      </c>
      <c r="OVF3" s="18">
        <v>118204</v>
      </c>
      <c r="OVG3" s="18">
        <v>118211</v>
      </c>
      <c r="OVH3" s="18">
        <v>118218</v>
      </c>
      <c r="OVI3" s="18">
        <v>118225</v>
      </c>
      <c r="OVJ3" s="18">
        <v>118232</v>
      </c>
      <c r="OVK3" s="18">
        <v>118239</v>
      </c>
      <c r="OVL3" s="18">
        <v>118246</v>
      </c>
      <c r="OVM3" s="18">
        <v>118253</v>
      </c>
      <c r="OVN3" s="18">
        <v>118260</v>
      </c>
      <c r="OVO3" s="18">
        <v>118267</v>
      </c>
      <c r="OVP3" s="18">
        <v>118274</v>
      </c>
      <c r="OVQ3" s="18">
        <v>118281</v>
      </c>
      <c r="OVR3" s="18">
        <v>118288</v>
      </c>
      <c r="OVS3" s="18">
        <v>118295</v>
      </c>
      <c r="OVT3" s="18">
        <v>118302</v>
      </c>
      <c r="OVU3" s="18">
        <v>118309</v>
      </c>
      <c r="OVV3" s="18">
        <v>118316</v>
      </c>
      <c r="OVW3" s="18">
        <v>118323</v>
      </c>
      <c r="OVX3" s="18">
        <v>118330</v>
      </c>
      <c r="OVY3" s="18">
        <v>118337</v>
      </c>
      <c r="OVZ3" s="18">
        <v>118344</v>
      </c>
      <c r="OWA3" s="18">
        <v>118351</v>
      </c>
      <c r="OWB3" s="18">
        <v>118358</v>
      </c>
      <c r="OWC3" s="18">
        <v>118365</v>
      </c>
      <c r="OWD3" s="18">
        <v>118372</v>
      </c>
      <c r="OWE3" s="18">
        <v>118379</v>
      </c>
      <c r="OWF3" s="18">
        <v>118386</v>
      </c>
      <c r="OWG3" s="18">
        <v>118393</v>
      </c>
      <c r="OWH3" s="18">
        <v>118400</v>
      </c>
      <c r="OWI3" s="18">
        <v>118407</v>
      </c>
      <c r="OWJ3" s="18">
        <v>118414</v>
      </c>
      <c r="OWK3" s="18">
        <v>118421</v>
      </c>
      <c r="OWL3" s="18">
        <v>118428</v>
      </c>
      <c r="OWM3" s="18">
        <v>118435</v>
      </c>
      <c r="OWN3" s="18">
        <v>118442</v>
      </c>
      <c r="OWO3" s="18">
        <v>118449</v>
      </c>
      <c r="OWP3" s="18">
        <v>118456</v>
      </c>
      <c r="OWQ3" s="18">
        <v>118463</v>
      </c>
      <c r="OWR3" s="18">
        <v>118470</v>
      </c>
      <c r="OWS3" s="18">
        <v>118477</v>
      </c>
      <c r="OWT3" s="18">
        <v>118484</v>
      </c>
      <c r="OWU3" s="18">
        <v>118491</v>
      </c>
      <c r="OWV3" s="18">
        <v>118498</v>
      </c>
      <c r="OWW3" s="18">
        <v>118505</v>
      </c>
      <c r="OWX3" s="18">
        <v>118512</v>
      </c>
      <c r="OWY3" s="18">
        <v>118519</v>
      </c>
      <c r="OWZ3" s="18">
        <v>118526</v>
      </c>
      <c r="OXA3" s="18">
        <v>118533</v>
      </c>
      <c r="OXB3" s="18">
        <v>118540</v>
      </c>
      <c r="OXC3" s="18">
        <v>118547</v>
      </c>
      <c r="OXD3" s="18">
        <v>118554</v>
      </c>
      <c r="OXE3" s="18">
        <v>118561</v>
      </c>
      <c r="OXF3" s="18">
        <v>118568</v>
      </c>
      <c r="OXG3" s="18">
        <v>118575</v>
      </c>
      <c r="OXH3" s="18">
        <v>118582</v>
      </c>
      <c r="OXI3" s="18">
        <v>118589</v>
      </c>
      <c r="OXJ3" s="18">
        <v>118596</v>
      </c>
      <c r="OXK3" s="18">
        <v>118603</v>
      </c>
      <c r="OXL3" s="18">
        <v>118610</v>
      </c>
      <c r="OXM3" s="18">
        <v>118617</v>
      </c>
      <c r="OXN3" s="18">
        <v>118624</v>
      </c>
      <c r="OXO3" s="18">
        <v>118631</v>
      </c>
      <c r="OXP3" s="18">
        <v>118638</v>
      </c>
      <c r="OXQ3" s="18">
        <v>118645</v>
      </c>
      <c r="OXR3" s="18">
        <v>118652</v>
      </c>
      <c r="OXS3" s="18">
        <v>118659</v>
      </c>
      <c r="OXT3" s="18">
        <v>118666</v>
      </c>
      <c r="OXU3" s="18">
        <v>118673</v>
      </c>
      <c r="OXV3" s="18">
        <v>118680</v>
      </c>
      <c r="OXW3" s="18">
        <v>118687</v>
      </c>
      <c r="OXX3" s="18">
        <v>118694</v>
      </c>
      <c r="OXY3" s="18">
        <v>118701</v>
      </c>
      <c r="OXZ3" s="18">
        <v>118708</v>
      </c>
      <c r="OYA3" s="18">
        <v>118715</v>
      </c>
      <c r="OYB3" s="18">
        <v>118722</v>
      </c>
      <c r="OYC3" s="18">
        <v>118729</v>
      </c>
      <c r="OYD3" s="18">
        <v>118736</v>
      </c>
      <c r="OYE3" s="18">
        <v>118743</v>
      </c>
      <c r="OYF3" s="18">
        <v>118750</v>
      </c>
      <c r="OYG3" s="18">
        <v>118757</v>
      </c>
      <c r="OYH3" s="18">
        <v>118764</v>
      </c>
      <c r="OYI3" s="18">
        <v>118771</v>
      </c>
      <c r="OYJ3" s="18">
        <v>118778</v>
      </c>
      <c r="OYK3" s="18">
        <v>118785</v>
      </c>
      <c r="OYL3" s="18">
        <v>118792</v>
      </c>
      <c r="OYM3" s="18">
        <v>118799</v>
      </c>
      <c r="OYN3" s="18">
        <v>118806</v>
      </c>
      <c r="OYO3" s="18">
        <v>118813</v>
      </c>
      <c r="OYP3" s="18">
        <v>118820</v>
      </c>
      <c r="OYQ3" s="18">
        <v>118827</v>
      </c>
      <c r="OYR3" s="18">
        <v>118834</v>
      </c>
      <c r="OYS3" s="18">
        <v>118841</v>
      </c>
      <c r="OYT3" s="18">
        <v>118848</v>
      </c>
      <c r="OYU3" s="18">
        <v>118855</v>
      </c>
      <c r="OYV3" s="18">
        <v>118862</v>
      </c>
      <c r="OYW3" s="18">
        <v>118869</v>
      </c>
      <c r="OYX3" s="18">
        <v>118876</v>
      </c>
      <c r="OYY3" s="18">
        <v>118883</v>
      </c>
      <c r="OYZ3" s="18">
        <v>118890</v>
      </c>
      <c r="OZA3" s="18">
        <v>118897</v>
      </c>
      <c r="OZB3" s="18">
        <v>118904</v>
      </c>
      <c r="OZC3" s="18">
        <v>118911</v>
      </c>
      <c r="OZD3" s="18">
        <v>118918</v>
      </c>
      <c r="OZE3" s="18">
        <v>118925</v>
      </c>
      <c r="OZF3" s="18">
        <v>118932</v>
      </c>
      <c r="OZG3" s="18">
        <v>118939</v>
      </c>
      <c r="OZH3" s="18">
        <v>118946</v>
      </c>
      <c r="OZI3" s="18">
        <v>118953</v>
      </c>
      <c r="OZJ3" s="18">
        <v>118960</v>
      </c>
      <c r="OZK3" s="18">
        <v>118967</v>
      </c>
      <c r="OZL3" s="18">
        <v>118974</v>
      </c>
      <c r="OZM3" s="18">
        <v>118981</v>
      </c>
      <c r="OZN3" s="18">
        <v>118988</v>
      </c>
      <c r="OZO3" s="18">
        <v>118995</v>
      </c>
      <c r="OZP3" s="18">
        <v>119002</v>
      </c>
      <c r="OZQ3" s="18">
        <v>119009</v>
      </c>
      <c r="OZR3" s="18">
        <v>119016</v>
      </c>
      <c r="OZS3" s="18">
        <v>119023</v>
      </c>
      <c r="OZT3" s="18">
        <v>119030</v>
      </c>
      <c r="OZU3" s="18">
        <v>119037</v>
      </c>
      <c r="OZV3" s="18">
        <v>119044</v>
      </c>
      <c r="OZW3" s="18">
        <v>119051</v>
      </c>
      <c r="OZX3" s="18">
        <v>119058</v>
      </c>
      <c r="OZY3" s="18">
        <v>119065</v>
      </c>
      <c r="OZZ3" s="18">
        <v>119072</v>
      </c>
      <c r="PAA3" s="18">
        <v>119079</v>
      </c>
      <c r="PAB3" s="18">
        <v>119086</v>
      </c>
      <c r="PAC3" s="18">
        <v>119093</v>
      </c>
      <c r="PAD3" s="18">
        <v>119100</v>
      </c>
      <c r="PAE3" s="18">
        <v>119107</v>
      </c>
      <c r="PAF3" s="18">
        <v>119114</v>
      </c>
      <c r="PAG3" s="18">
        <v>119121</v>
      </c>
      <c r="PAH3" s="18">
        <v>119128</v>
      </c>
      <c r="PAI3" s="18">
        <v>119135</v>
      </c>
      <c r="PAJ3" s="18">
        <v>119142</v>
      </c>
      <c r="PAK3" s="18">
        <v>119149</v>
      </c>
      <c r="PAL3" s="18">
        <v>119156</v>
      </c>
      <c r="PAM3" s="18">
        <v>119163</v>
      </c>
      <c r="PAN3" s="18">
        <v>119170</v>
      </c>
      <c r="PAO3" s="18">
        <v>119177</v>
      </c>
      <c r="PAP3" s="18">
        <v>119184</v>
      </c>
      <c r="PAQ3" s="18">
        <v>119191</v>
      </c>
      <c r="PAR3" s="18">
        <v>119198</v>
      </c>
      <c r="PAS3" s="18">
        <v>119205</v>
      </c>
      <c r="PAT3" s="18">
        <v>119212</v>
      </c>
      <c r="PAU3" s="18">
        <v>119219</v>
      </c>
      <c r="PAV3" s="18">
        <v>119226</v>
      </c>
      <c r="PAW3" s="18">
        <v>119233</v>
      </c>
      <c r="PAX3" s="18">
        <v>119240</v>
      </c>
      <c r="PAY3" s="18">
        <v>119247</v>
      </c>
      <c r="PAZ3" s="18">
        <v>119254</v>
      </c>
      <c r="PBA3" s="18">
        <v>119261</v>
      </c>
      <c r="PBB3" s="18">
        <v>119268</v>
      </c>
      <c r="PBC3" s="18">
        <v>119275</v>
      </c>
      <c r="PBD3" s="18">
        <v>119282</v>
      </c>
      <c r="PBE3" s="18">
        <v>119289</v>
      </c>
      <c r="PBF3" s="18">
        <v>119296</v>
      </c>
      <c r="PBG3" s="18">
        <v>119303</v>
      </c>
      <c r="PBH3" s="18">
        <v>119310</v>
      </c>
      <c r="PBI3" s="18">
        <v>119317</v>
      </c>
      <c r="PBJ3" s="18">
        <v>119324</v>
      </c>
      <c r="PBK3" s="18">
        <v>119331</v>
      </c>
      <c r="PBL3" s="18">
        <v>119338</v>
      </c>
      <c r="PBM3" s="18">
        <v>119345</v>
      </c>
      <c r="PBN3" s="18">
        <v>119352</v>
      </c>
      <c r="PBO3" s="18">
        <v>119359</v>
      </c>
      <c r="PBP3" s="18">
        <v>119366</v>
      </c>
      <c r="PBQ3" s="18">
        <v>119373</v>
      </c>
      <c r="PBR3" s="18">
        <v>119380</v>
      </c>
      <c r="PBS3" s="18">
        <v>119387</v>
      </c>
      <c r="PBT3" s="18">
        <v>119394</v>
      </c>
      <c r="PBU3" s="18">
        <v>119401</v>
      </c>
      <c r="PBV3" s="18">
        <v>119408</v>
      </c>
      <c r="PBW3" s="18">
        <v>119415</v>
      </c>
      <c r="PBX3" s="18">
        <v>119422</v>
      </c>
      <c r="PBY3" s="18">
        <v>119429</v>
      </c>
      <c r="PBZ3" s="18">
        <v>119436</v>
      </c>
      <c r="PCA3" s="18">
        <v>119443</v>
      </c>
      <c r="PCB3" s="18">
        <v>119450</v>
      </c>
      <c r="PCC3" s="18">
        <v>119457</v>
      </c>
      <c r="PCD3" s="18">
        <v>119464</v>
      </c>
      <c r="PCE3" s="18">
        <v>119471</v>
      </c>
      <c r="PCF3" s="18">
        <v>119478</v>
      </c>
      <c r="PCG3" s="18">
        <v>119485</v>
      </c>
      <c r="PCH3" s="18">
        <v>119492</v>
      </c>
      <c r="PCI3" s="18">
        <v>119499</v>
      </c>
      <c r="PCJ3" s="18">
        <v>119506</v>
      </c>
      <c r="PCK3" s="18">
        <v>119513</v>
      </c>
      <c r="PCL3" s="18">
        <v>119520</v>
      </c>
      <c r="PCM3" s="18">
        <v>119527</v>
      </c>
      <c r="PCN3" s="18">
        <v>119534</v>
      </c>
      <c r="PCO3" s="18">
        <v>119541</v>
      </c>
      <c r="PCP3" s="18">
        <v>119548</v>
      </c>
      <c r="PCQ3" s="18">
        <v>119555</v>
      </c>
      <c r="PCR3" s="18">
        <v>119562</v>
      </c>
      <c r="PCS3" s="18">
        <v>119569</v>
      </c>
      <c r="PCT3" s="18">
        <v>119576</v>
      </c>
      <c r="PCU3" s="18">
        <v>119583</v>
      </c>
      <c r="PCV3" s="18">
        <v>119590</v>
      </c>
      <c r="PCW3" s="18">
        <v>119597</v>
      </c>
      <c r="PCX3" s="18">
        <v>119604</v>
      </c>
      <c r="PCY3" s="18">
        <v>119611</v>
      </c>
      <c r="PCZ3" s="18">
        <v>119618</v>
      </c>
      <c r="PDA3" s="18">
        <v>119625</v>
      </c>
      <c r="PDB3" s="18">
        <v>119632</v>
      </c>
      <c r="PDC3" s="18">
        <v>119639</v>
      </c>
      <c r="PDD3" s="18">
        <v>119646</v>
      </c>
      <c r="PDE3" s="18">
        <v>119653</v>
      </c>
      <c r="PDF3" s="18">
        <v>119660</v>
      </c>
      <c r="PDG3" s="18">
        <v>119667</v>
      </c>
      <c r="PDH3" s="18">
        <v>119674</v>
      </c>
      <c r="PDI3" s="18">
        <v>119681</v>
      </c>
      <c r="PDJ3" s="18">
        <v>119688</v>
      </c>
      <c r="PDK3" s="18">
        <v>119695</v>
      </c>
      <c r="PDL3" s="18">
        <v>119702</v>
      </c>
      <c r="PDM3" s="18">
        <v>119709</v>
      </c>
      <c r="PDN3" s="18">
        <v>119716</v>
      </c>
      <c r="PDO3" s="18">
        <v>119723</v>
      </c>
      <c r="PDP3" s="18">
        <v>119730</v>
      </c>
      <c r="PDQ3" s="18">
        <v>119737</v>
      </c>
      <c r="PDR3" s="18">
        <v>119744</v>
      </c>
      <c r="PDS3" s="18">
        <v>119751</v>
      </c>
      <c r="PDT3" s="18">
        <v>119758</v>
      </c>
      <c r="PDU3" s="18">
        <v>119765</v>
      </c>
      <c r="PDV3" s="18">
        <v>119772</v>
      </c>
      <c r="PDW3" s="18">
        <v>119779</v>
      </c>
      <c r="PDX3" s="18">
        <v>119786</v>
      </c>
      <c r="PDY3" s="18">
        <v>119793</v>
      </c>
      <c r="PDZ3" s="18">
        <v>119800</v>
      </c>
      <c r="PEA3" s="18">
        <v>119807</v>
      </c>
      <c r="PEB3" s="18">
        <v>119814</v>
      </c>
      <c r="PEC3" s="18">
        <v>119821</v>
      </c>
      <c r="PED3" s="18">
        <v>119828</v>
      </c>
      <c r="PEE3" s="18">
        <v>119835</v>
      </c>
      <c r="PEF3" s="18">
        <v>119842</v>
      </c>
      <c r="PEG3" s="18">
        <v>119849</v>
      </c>
      <c r="PEH3" s="18">
        <v>119856</v>
      </c>
      <c r="PEI3" s="18">
        <v>119863</v>
      </c>
      <c r="PEJ3" s="18">
        <v>119870</v>
      </c>
      <c r="PEK3" s="18">
        <v>119877</v>
      </c>
      <c r="PEL3" s="18">
        <v>119884</v>
      </c>
      <c r="PEM3" s="18">
        <v>119891</v>
      </c>
      <c r="PEN3" s="18">
        <v>119898</v>
      </c>
      <c r="PEO3" s="18">
        <v>119905</v>
      </c>
      <c r="PEP3" s="18">
        <v>119912</v>
      </c>
      <c r="PEQ3" s="18">
        <v>119919</v>
      </c>
      <c r="PER3" s="18">
        <v>119926</v>
      </c>
      <c r="PES3" s="18">
        <v>119933</v>
      </c>
      <c r="PET3" s="18">
        <v>119940</v>
      </c>
      <c r="PEU3" s="18">
        <v>119947</v>
      </c>
      <c r="PEV3" s="18">
        <v>119954</v>
      </c>
      <c r="PEW3" s="18">
        <v>119961</v>
      </c>
      <c r="PEX3" s="18">
        <v>119968</v>
      </c>
      <c r="PEY3" s="18">
        <v>119975</v>
      </c>
      <c r="PEZ3" s="18">
        <v>119982</v>
      </c>
      <c r="PFA3" s="18">
        <v>119989</v>
      </c>
      <c r="PFB3" s="18">
        <v>119996</v>
      </c>
      <c r="PFC3" s="18">
        <v>120003</v>
      </c>
      <c r="PFD3" s="18">
        <v>120010</v>
      </c>
      <c r="PFE3" s="18">
        <v>120017</v>
      </c>
      <c r="PFF3" s="18">
        <v>120024</v>
      </c>
      <c r="PFG3" s="18">
        <v>120031</v>
      </c>
      <c r="PFH3" s="18">
        <v>120038</v>
      </c>
      <c r="PFI3" s="18">
        <v>120045</v>
      </c>
      <c r="PFJ3" s="18">
        <v>120052</v>
      </c>
      <c r="PFK3" s="18">
        <v>120059</v>
      </c>
      <c r="PFL3" s="18">
        <v>120066</v>
      </c>
      <c r="PFM3" s="18">
        <v>120073</v>
      </c>
      <c r="PFN3" s="18">
        <v>120080</v>
      </c>
      <c r="PFO3" s="18">
        <v>120087</v>
      </c>
      <c r="PFP3" s="18">
        <v>120094</v>
      </c>
      <c r="PFQ3" s="18">
        <v>120101</v>
      </c>
      <c r="PFR3" s="18">
        <v>120108</v>
      </c>
      <c r="PFS3" s="18">
        <v>120115</v>
      </c>
      <c r="PFT3" s="18">
        <v>120122</v>
      </c>
      <c r="PFU3" s="18">
        <v>120129</v>
      </c>
      <c r="PFV3" s="18">
        <v>120136</v>
      </c>
      <c r="PFW3" s="18">
        <v>120143</v>
      </c>
      <c r="PFX3" s="18">
        <v>120150</v>
      </c>
      <c r="PFY3" s="18">
        <v>120157</v>
      </c>
      <c r="PFZ3" s="18">
        <v>120164</v>
      </c>
      <c r="PGA3" s="18">
        <v>120171</v>
      </c>
      <c r="PGB3" s="18">
        <v>120178</v>
      </c>
      <c r="PGC3" s="18">
        <v>120185</v>
      </c>
      <c r="PGD3" s="18">
        <v>120192</v>
      </c>
      <c r="PGE3" s="18">
        <v>120199</v>
      </c>
      <c r="PGF3" s="18">
        <v>120206</v>
      </c>
      <c r="PGG3" s="18">
        <v>120213</v>
      </c>
      <c r="PGH3" s="18">
        <v>120220</v>
      </c>
      <c r="PGI3" s="18">
        <v>120227</v>
      </c>
      <c r="PGJ3" s="18">
        <v>120234</v>
      </c>
      <c r="PGK3" s="18">
        <v>120241</v>
      </c>
      <c r="PGL3" s="18">
        <v>120248</v>
      </c>
      <c r="PGM3" s="18">
        <v>120255</v>
      </c>
      <c r="PGN3" s="18">
        <v>120262</v>
      </c>
      <c r="PGO3" s="18">
        <v>120269</v>
      </c>
      <c r="PGP3" s="18">
        <v>120276</v>
      </c>
      <c r="PGQ3" s="18">
        <v>120283</v>
      </c>
      <c r="PGR3" s="18">
        <v>120290</v>
      </c>
      <c r="PGS3" s="18">
        <v>120297</v>
      </c>
      <c r="PGT3" s="18">
        <v>120304</v>
      </c>
      <c r="PGU3" s="18">
        <v>120311</v>
      </c>
      <c r="PGV3" s="18">
        <v>120318</v>
      </c>
      <c r="PGW3" s="18">
        <v>120325</v>
      </c>
      <c r="PGX3" s="18">
        <v>120332</v>
      </c>
      <c r="PGY3" s="18">
        <v>120339</v>
      </c>
      <c r="PGZ3" s="18">
        <v>120346</v>
      </c>
      <c r="PHA3" s="18">
        <v>120353</v>
      </c>
      <c r="PHB3" s="18">
        <v>120360</v>
      </c>
      <c r="PHC3" s="18">
        <v>120367</v>
      </c>
      <c r="PHD3" s="18">
        <v>120374</v>
      </c>
      <c r="PHE3" s="18">
        <v>120381</v>
      </c>
      <c r="PHF3" s="18">
        <v>120388</v>
      </c>
      <c r="PHG3" s="18">
        <v>120395</v>
      </c>
      <c r="PHH3" s="18">
        <v>120402</v>
      </c>
      <c r="PHI3" s="18">
        <v>120409</v>
      </c>
      <c r="PHJ3" s="18">
        <v>120416</v>
      </c>
      <c r="PHK3" s="18">
        <v>120423</v>
      </c>
      <c r="PHL3" s="18">
        <v>120430</v>
      </c>
      <c r="PHM3" s="18">
        <v>120437</v>
      </c>
      <c r="PHN3" s="18">
        <v>120444</v>
      </c>
      <c r="PHO3" s="18">
        <v>120451</v>
      </c>
      <c r="PHP3" s="18">
        <v>120458</v>
      </c>
      <c r="PHQ3" s="18">
        <v>120465</v>
      </c>
      <c r="PHR3" s="18">
        <v>120472</v>
      </c>
      <c r="PHS3" s="18">
        <v>120479</v>
      </c>
      <c r="PHT3" s="18">
        <v>120486</v>
      </c>
      <c r="PHU3" s="18">
        <v>120493</v>
      </c>
      <c r="PHV3" s="18">
        <v>120500</v>
      </c>
      <c r="PHW3" s="18">
        <v>120507</v>
      </c>
      <c r="PHX3" s="18">
        <v>120514</v>
      </c>
      <c r="PHY3" s="18">
        <v>120521</v>
      </c>
      <c r="PHZ3" s="18">
        <v>120528</v>
      </c>
      <c r="PIA3" s="18">
        <v>120535</v>
      </c>
      <c r="PIB3" s="18">
        <v>120542</v>
      </c>
      <c r="PIC3" s="18">
        <v>120549</v>
      </c>
      <c r="PID3" s="18">
        <v>120556</v>
      </c>
      <c r="PIE3" s="18">
        <v>120563</v>
      </c>
      <c r="PIF3" s="18">
        <v>120570</v>
      </c>
      <c r="PIG3" s="18">
        <v>120577</v>
      </c>
      <c r="PIH3" s="18">
        <v>120584</v>
      </c>
      <c r="PII3" s="18">
        <v>120591</v>
      </c>
      <c r="PIJ3" s="18">
        <v>120598</v>
      </c>
      <c r="PIK3" s="18">
        <v>120605</v>
      </c>
      <c r="PIL3" s="18">
        <v>120612</v>
      </c>
      <c r="PIM3" s="18">
        <v>120619</v>
      </c>
      <c r="PIN3" s="18">
        <v>120626</v>
      </c>
      <c r="PIO3" s="18">
        <v>120633</v>
      </c>
      <c r="PIP3" s="18">
        <v>120640</v>
      </c>
      <c r="PIQ3" s="18">
        <v>120647</v>
      </c>
      <c r="PIR3" s="18">
        <v>120654</v>
      </c>
      <c r="PIS3" s="18">
        <v>120661</v>
      </c>
      <c r="PIT3" s="18">
        <v>120668</v>
      </c>
      <c r="PIU3" s="18">
        <v>120675</v>
      </c>
      <c r="PIV3" s="18">
        <v>120682</v>
      </c>
      <c r="PIW3" s="18">
        <v>120689</v>
      </c>
      <c r="PIX3" s="18">
        <v>120696</v>
      </c>
      <c r="PIY3" s="18">
        <v>120703</v>
      </c>
      <c r="PIZ3" s="18">
        <v>120710</v>
      </c>
      <c r="PJA3" s="18">
        <v>120717</v>
      </c>
      <c r="PJB3" s="18">
        <v>120724</v>
      </c>
      <c r="PJC3" s="18">
        <v>120731</v>
      </c>
      <c r="PJD3" s="18">
        <v>120738</v>
      </c>
      <c r="PJE3" s="18">
        <v>120745</v>
      </c>
      <c r="PJF3" s="18">
        <v>120752</v>
      </c>
      <c r="PJG3" s="18">
        <v>120759</v>
      </c>
      <c r="PJH3" s="18">
        <v>120766</v>
      </c>
      <c r="PJI3" s="18">
        <v>120773</v>
      </c>
      <c r="PJJ3" s="18">
        <v>120780</v>
      </c>
      <c r="PJK3" s="18">
        <v>120787</v>
      </c>
      <c r="PJL3" s="18">
        <v>120794</v>
      </c>
      <c r="PJM3" s="18">
        <v>120801</v>
      </c>
      <c r="PJN3" s="18">
        <v>120808</v>
      </c>
      <c r="PJO3" s="18">
        <v>120815</v>
      </c>
      <c r="PJP3" s="18">
        <v>120822</v>
      </c>
      <c r="PJQ3" s="18">
        <v>120829</v>
      </c>
      <c r="PJR3" s="18">
        <v>120836</v>
      </c>
      <c r="PJS3" s="18">
        <v>120843</v>
      </c>
      <c r="PJT3" s="18">
        <v>120850</v>
      </c>
      <c r="PJU3" s="18">
        <v>120857</v>
      </c>
      <c r="PJV3" s="18">
        <v>120864</v>
      </c>
      <c r="PJW3" s="18">
        <v>120871</v>
      </c>
      <c r="PJX3" s="18">
        <v>120878</v>
      </c>
      <c r="PJY3" s="18">
        <v>120885</v>
      </c>
      <c r="PJZ3" s="18">
        <v>120892</v>
      </c>
      <c r="PKA3" s="18">
        <v>120899</v>
      </c>
      <c r="PKB3" s="18">
        <v>120906</v>
      </c>
      <c r="PKC3" s="18">
        <v>120913</v>
      </c>
      <c r="PKD3" s="18">
        <v>120920</v>
      </c>
      <c r="PKE3" s="18">
        <v>120927</v>
      </c>
      <c r="PKF3" s="18">
        <v>120934</v>
      </c>
      <c r="PKG3" s="18">
        <v>120941</v>
      </c>
      <c r="PKH3" s="18">
        <v>120948</v>
      </c>
      <c r="PKI3" s="18">
        <v>120955</v>
      </c>
      <c r="PKJ3" s="18">
        <v>120962</v>
      </c>
      <c r="PKK3" s="18">
        <v>120969</v>
      </c>
      <c r="PKL3" s="18">
        <v>120976</v>
      </c>
      <c r="PKM3" s="18">
        <v>120983</v>
      </c>
      <c r="PKN3" s="18">
        <v>120990</v>
      </c>
      <c r="PKO3" s="18">
        <v>120997</v>
      </c>
      <c r="PKP3" s="18">
        <v>121004</v>
      </c>
      <c r="PKQ3" s="18">
        <v>121011</v>
      </c>
      <c r="PKR3" s="18">
        <v>121018</v>
      </c>
      <c r="PKS3" s="18">
        <v>121025</v>
      </c>
      <c r="PKT3" s="18">
        <v>121032</v>
      </c>
      <c r="PKU3" s="18">
        <v>121039</v>
      </c>
      <c r="PKV3" s="18">
        <v>121046</v>
      </c>
      <c r="PKW3" s="18">
        <v>121053</v>
      </c>
      <c r="PKX3" s="18">
        <v>121060</v>
      </c>
      <c r="PKY3" s="18">
        <v>121067</v>
      </c>
      <c r="PKZ3" s="18">
        <v>121074</v>
      </c>
      <c r="PLA3" s="18">
        <v>121081</v>
      </c>
      <c r="PLB3" s="18">
        <v>121088</v>
      </c>
      <c r="PLC3" s="18">
        <v>121095</v>
      </c>
      <c r="PLD3" s="18">
        <v>121102</v>
      </c>
      <c r="PLE3" s="18">
        <v>121109</v>
      </c>
      <c r="PLF3" s="18">
        <v>121116</v>
      </c>
      <c r="PLG3" s="18">
        <v>121123</v>
      </c>
      <c r="PLH3" s="18">
        <v>121130</v>
      </c>
      <c r="PLI3" s="18">
        <v>121137</v>
      </c>
      <c r="PLJ3" s="18">
        <v>121144</v>
      </c>
      <c r="PLK3" s="18">
        <v>121151</v>
      </c>
      <c r="PLL3" s="18">
        <v>121158</v>
      </c>
      <c r="PLM3" s="18">
        <v>121165</v>
      </c>
      <c r="PLN3" s="18">
        <v>121172</v>
      </c>
      <c r="PLO3" s="18">
        <v>121179</v>
      </c>
      <c r="PLP3" s="18">
        <v>121186</v>
      </c>
      <c r="PLQ3" s="18">
        <v>121193</v>
      </c>
      <c r="PLR3" s="18">
        <v>121200</v>
      </c>
      <c r="PLS3" s="18">
        <v>121207</v>
      </c>
      <c r="PLT3" s="18">
        <v>121214</v>
      </c>
      <c r="PLU3" s="18">
        <v>121221</v>
      </c>
      <c r="PLV3" s="18">
        <v>121228</v>
      </c>
      <c r="PLW3" s="18">
        <v>121235</v>
      </c>
      <c r="PLX3" s="18">
        <v>121242</v>
      </c>
      <c r="PLY3" s="18">
        <v>121249</v>
      </c>
      <c r="PLZ3" s="18">
        <v>121256</v>
      </c>
      <c r="PMA3" s="18">
        <v>121263</v>
      </c>
      <c r="PMB3" s="18">
        <v>121270</v>
      </c>
      <c r="PMC3" s="18">
        <v>121277</v>
      </c>
      <c r="PMD3" s="18">
        <v>121284</v>
      </c>
      <c r="PME3" s="18">
        <v>121291</v>
      </c>
      <c r="PMF3" s="18">
        <v>121298</v>
      </c>
      <c r="PMG3" s="18">
        <v>121305</v>
      </c>
      <c r="PMH3" s="18">
        <v>121312</v>
      </c>
      <c r="PMI3" s="18">
        <v>121319</v>
      </c>
      <c r="PMJ3" s="18">
        <v>121326</v>
      </c>
      <c r="PMK3" s="18">
        <v>121333</v>
      </c>
      <c r="PML3" s="18">
        <v>121340</v>
      </c>
      <c r="PMM3" s="18">
        <v>121347</v>
      </c>
      <c r="PMN3" s="18">
        <v>121354</v>
      </c>
      <c r="PMO3" s="18">
        <v>121361</v>
      </c>
      <c r="PMP3" s="18">
        <v>121368</v>
      </c>
      <c r="PMQ3" s="18">
        <v>121375</v>
      </c>
      <c r="PMR3" s="18">
        <v>121382</v>
      </c>
      <c r="PMS3" s="18">
        <v>121389</v>
      </c>
      <c r="PMT3" s="18">
        <v>121396</v>
      </c>
      <c r="PMU3" s="18">
        <v>121403</v>
      </c>
      <c r="PMV3" s="18">
        <v>121410</v>
      </c>
      <c r="PMW3" s="18">
        <v>121417</v>
      </c>
      <c r="PMX3" s="18">
        <v>121424</v>
      </c>
      <c r="PMY3" s="18">
        <v>121431</v>
      </c>
      <c r="PMZ3" s="18">
        <v>121438</v>
      </c>
      <c r="PNA3" s="18">
        <v>121445</v>
      </c>
      <c r="PNB3" s="18">
        <v>121452</v>
      </c>
      <c r="PNC3" s="18">
        <v>121459</v>
      </c>
      <c r="PND3" s="18">
        <v>121466</v>
      </c>
      <c r="PNE3" s="18">
        <v>121473</v>
      </c>
      <c r="PNF3" s="18">
        <v>121480</v>
      </c>
      <c r="PNG3" s="18">
        <v>121487</v>
      </c>
      <c r="PNH3" s="18">
        <v>121494</v>
      </c>
      <c r="PNI3" s="18">
        <v>121501</v>
      </c>
      <c r="PNJ3" s="18">
        <v>121508</v>
      </c>
      <c r="PNK3" s="18">
        <v>121515</v>
      </c>
      <c r="PNL3" s="18">
        <v>121522</v>
      </c>
      <c r="PNM3" s="18">
        <v>121529</v>
      </c>
      <c r="PNN3" s="18">
        <v>121536</v>
      </c>
      <c r="PNO3" s="18">
        <v>121543</v>
      </c>
      <c r="PNP3" s="18">
        <v>121550</v>
      </c>
      <c r="PNQ3" s="18">
        <v>121557</v>
      </c>
      <c r="PNR3" s="18">
        <v>121564</v>
      </c>
      <c r="PNS3" s="18">
        <v>121571</v>
      </c>
      <c r="PNT3" s="18">
        <v>121578</v>
      </c>
      <c r="PNU3" s="18">
        <v>121585</v>
      </c>
      <c r="PNV3" s="18">
        <v>121592</v>
      </c>
      <c r="PNW3" s="18">
        <v>121599</v>
      </c>
      <c r="PNX3" s="18">
        <v>121606</v>
      </c>
      <c r="PNY3" s="18">
        <v>121613</v>
      </c>
      <c r="PNZ3" s="18">
        <v>121620</v>
      </c>
      <c r="POA3" s="18">
        <v>121627</v>
      </c>
      <c r="POB3" s="18">
        <v>121634</v>
      </c>
      <c r="POC3" s="18">
        <v>121641</v>
      </c>
      <c r="POD3" s="18">
        <v>121648</v>
      </c>
      <c r="POE3" s="18">
        <v>121655</v>
      </c>
      <c r="POF3" s="18">
        <v>121662</v>
      </c>
      <c r="POG3" s="18">
        <v>121669</v>
      </c>
      <c r="POH3" s="18">
        <v>121676</v>
      </c>
      <c r="POI3" s="18">
        <v>121683</v>
      </c>
      <c r="POJ3" s="18">
        <v>121690</v>
      </c>
      <c r="POK3" s="18">
        <v>121697</v>
      </c>
      <c r="POL3" s="18">
        <v>121704</v>
      </c>
      <c r="POM3" s="18">
        <v>121711</v>
      </c>
      <c r="PON3" s="18">
        <v>121718</v>
      </c>
      <c r="POO3" s="18">
        <v>121725</v>
      </c>
      <c r="POP3" s="18">
        <v>121732</v>
      </c>
      <c r="POQ3" s="18">
        <v>121739</v>
      </c>
      <c r="POR3" s="18">
        <v>121746</v>
      </c>
      <c r="POS3" s="18">
        <v>121753</v>
      </c>
      <c r="POT3" s="18">
        <v>121760</v>
      </c>
      <c r="POU3" s="18">
        <v>121767</v>
      </c>
      <c r="POV3" s="18">
        <v>121774</v>
      </c>
      <c r="POW3" s="18">
        <v>121781</v>
      </c>
      <c r="POX3" s="18">
        <v>121788</v>
      </c>
      <c r="POY3" s="18">
        <v>121795</v>
      </c>
      <c r="POZ3" s="18">
        <v>121802</v>
      </c>
      <c r="PPA3" s="18">
        <v>121809</v>
      </c>
      <c r="PPB3" s="18">
        <v>121816</v>
      </c>
      <c r="PPC3" s="18">
        <v>121823</v>
      </c>
      <c r="PPD3" s="18">
        <v>121830</v>
      </c>
      <c r="PPE3" s="18">
        <v>121837</v>
      </c>
      <c r="PPF3" s="18">
        <v>121844</v>
      </c>
      <c r="PPG3" s="18">
        <v>121851</v>
      </c>
      <c r="PPH3" s="18">
        <v>121858</v>
      </c>
      <c r="PPI3" s="18">
        <v>121865</v>
      </c>
      <c r="PPJ3" s="18">
        <v>121872</v>
      </c>
      <c r="PPK3" s="18">
        <v>121879</v>
      </c>
      <c r="PPL3" s="18">
        <v>121886</v>
      </c>
      <c r="PPM3" s="18">
        <v>121893</v>
      </c>
      <c r="PPN3" s="18">
        <v>121900</v>
      </c>
      <c r="PPO3" s="18">
        <v>121907</v>
      </c>
      <c r="PPP3" s="18">
        <v>121914</v>
      </c>
      <c r="PPQ3" s="18">
        <v>121921</v>
      </c>
      <c r="PPR3" s="18">
        <v>121928</v>
      </c>
      <c r="PPS3" s="18">
        <v>121935</v>
      </c>
      <c r="PPT3" s="18">
        <v>121942</v>
      </c>
      <c r="PPU3" s="18">
        <v>121949</v>
      </c>
      <c r="PPV3" s="18">
        <v>121956</v>
      </c>
      <c r="PPW3" s="18">
        <v>121963</v>
      </c>
      <c r="PPX3" s="18">
        <v>121970</v>
      </c>
      <c r="PPY3" s="18">
        <v>121977</v>
      </c>
      <c r="PPZ3" s="18">
        <v>121984</v>
      </c>
      <c r="PQA3" s="18">
        <v>121991</v>
      </c>
      <c r="PQB3" s="18">
        <v>121998</v>
      </c>
      <c r="PQC3" s="18">
        <v>122005</v>
      </c>
      <c r="PQD3" s="18">
        <v>122012</v>
      </c>
      <c r="PQE3" s="18">
        <v>122019</v>
      </c>
      <c r="PQF3" s="18">
        <v>122026</v>
      </c>
      <c r="PQG3" s="18">
        <v>122033</v>
      </c>
      <c r="PQH3" s="18">
        <v>122040</v>
      </c>
      <c r="PQI3" s="18">
        <v>122047</v>
      </c>
      <c r="PQJ3" s="18">
        <v>122054</v>
      </c>
      <c r="PQK3" s="18">
        <v>122061</v>
      </c>
      <c r="PQL3" s="18">
        <v>122068</v>
      </c>
      <c r="PQM3" s="18">
        <v>122075</v>
      </c>
      <c r="PQN3" s="18">
        <v>122082</v>
      </c>
      <c r="PQO3" s="18">
        <v>122089</v>
      </c>
      <c r="PQP3" s="18">
        <v>122096</v>
      </c>
      <c r="PQQ3" s="18">
        <v>122103</v>
      </c>
      <c r="PQR3" s="18">
        <v>122110</v>
      </c>
      <c r="PQS3" s="18">
        <v>122117</v>
      </c>
      <c r="PQT3" s="18">
        <v>122124</v>
      </c>
      <c r="PQU3" s="18">
        <v>122131</v>
      </c>
      <c r="PQV3" s="18">
        <v>122138</v>
      </c>
      <c r="PQW3" s="18">
        <v>122145</v>
      </c>
      <c r="PQX3" s="18">
        <v>122152</v>
      </c>
      <c r="PQY3" s="18">
        <v>122159</v>
      </c>
      <c r="PQZ3" s="18">
        <v>122166</v>
      </c>
      <c r="PRA3" s="18">
        <v>122173</v>
      </c>
      <c r="PRB3" s="18">
        <v>122180</v>
      </c>
      <c r="PRC3" s="18">
        <v>122187</v>
      </c>
      <c r="PRD3" s="18">
        <v>122194</v>
      </c>
      <c r="PRE3" s="18">
        <v>122201</v>
      </c>
      <c r="PRF3" s="18">
        <v>122208</v>
      </c>
      <c r="PRG3" s="18">
        <v>122215</v>
      </c>
      <c r="PRH3" s="18">
        <v>122222</v>
      </c>
      <c r="PRI3" s="18">
        <v>122229</v>
      </c>
      <c r="PRJ3" s="18">
        <v>122236</v>
      </c>
      <c r="PRK3" s="18">
        <v>122243</v>
      </c>
      <c r="PRL3" s="18">
        <v>122250</v>
      </c>
      <c r="PRM3" s="18">
        <v>122257</v>
      </c>
      <c r="PRN3" s="18">
        <v>122264</v>
      </c>
      <c r="PRO3" s="18">
        <v>122271</v>
      </c>
      <c r="PRP3" s="18">
        <v>122278</v>
      </c>
      <c r="PRQ3" s="18">
        <v>122285</v>
      </c>
      <c r="PRR3" s="18">
        <v>122292</v>
      </c>
      <c r="PRS3" s="18">
        <v>122299</v>
      </c>
      <c r="PRT3" s="18">
        <v>122306</v>
      </c>
      <c r="PRU3" s="18">
        <v>122313</v>
      </c>
      <c r="PRV3" s="18">
        <v>122320</v>
      </c>
      <c r="PRW3" s="18">
        <v>122327</v>
      </c>
      <c r="PRX3" s="18">
        <v>122334</v>
      </c>
      <c r="PRY3" s="18">
        <v>122341</v>
      </c>
      <c r="PRZ3" s="18">
        <v>122348</v>
      </c>
      <c r="PSA3" s="18">
        <v>122355</v>
      </c>
      <c r="PSB3" s="18">
        <v>122362</v>
      </c>
      <c r="PSC3" s="18">
        <v>122369</v>
      </c>
      <c r="PSD3" s="18">
        <v>122376</v>
      </c>
      <c r="PSE3" s="18">
        <v>122383</v>
      </c>
      <c r="PSF3" s="18">
        <v>122390</v>
      </c>
      <c r="PSG3" s="18">
        <v>122397</v>
      </c>
      <c r="PSH3" s="18">
        <v>122404</v>
      </c>
      <c r="PSI3" s="18">
        <v>122411</v>
      </c>
      <c r="PSJ3" s="18">
        <v>122418</v>
      </c>
      <c r="PSK3" s="18">
        <v>122425</v>
      </c>
      <c r="PSL3" s="18">
        <v>122432</v>
      </c>
      <c r="PSM3" s="18">
        <v>122439</v>
      </c>
      <c r="PSN3" s="18">
        <v>122446</v>
      </c>
      <c r="PSO3" s="18">
        <v>122453</v>
      </c>
      <c r="PSP3" s="18">
        <v>122460</v>
      </c>
      <c r="PSQ3" s="18">
        <v>122467</v>
      </c>
      <c r="PSR3" s="18">
        <v>122474</v>
      </c>
      <c r="PSS3" s="18">
        <v>122481</v>
      </c>
      <c r="PST3" s="18">
        <v>122488</v>
      </c>
      <c r="PSU3" s="18">
        <v>122495</v>
      </c>
      <c r="PSV3" s="18">
        <v>122502</v>
      </c>
      <c r="PSW3" s="18">
        <v>122509</v>
      </c>
      <c r="PSX3" s="18">
        <v>122516</v>
      </c>
      <c r="PSY3" s="18">
        <v>122523</v>
      </c>
      <c r="PSZ3" s="18">
        <v>122530</v>
      </c>
      <c r="PTA3" s="18">
        <v>122537</v>
      </c>
      <c r="PTB3" s="18">
        <v>122544</v>
      </c>
      <c r="PTC3" s="18">
        <v>122551</v>
      </c>
      <c r="PTD3" s="18">
        <v>122558</v>
      </c>
      <c r="PTE3" s="18">
        <v>122565</v>
      </c>
      <c r="PTF3" s="18">
        <v>122572</v>
      </c>
      <c r="PTG3" s="18">
        <v>122579</v>
      </c>
      <c r="PTH3" s="18">
        <v>122586</v>
      </c>
      <c r="PTI3" s="18">
        <v>122593</v>
      </c>
      <c r="PTJ3" s="18">
        <v>122600</v>
      </c>
      <c r="PTK3" s="18">
        <v>122607</v>
      </c>
      <c r="PTL3" s="18">
        <v>122614</v>
      </c>
      <c r="PTM3" s="18">
        <v>122621</v>
      </c>
      <c r="PTN3" s="18">
        <v>122628</v>
      </c>
      <c r="PTO3" s="18">
        <v>122635</v>
      </c>
      <c r="PTP3" s="18">
        <v>122642</v>
      </c>
      <c r="PTQ3" s="18">
        <v>122649</v>
      </c>
      <c r="PTR3" s="18">
        <v>122656</v>
      </c>
      <c r="PTS3" s="18">
        <v>122663</v>
      </c>
      <c r="PTT3" s="18">
        <v>122670</v>
      </c>
      <c r="PTU3" s="18">
        <v>122677</v>
      </c>
      <c r="PTV3" s="18">
        <v>122684</v>
      </c>
      <c r="PTW3" s="18">
        <v>122691</v>
      </c>
      <c r="PTX3" s="18">
        <v>122698</v>
      </c>
      <c r="PTY3" s="18">
        <v>122705</v>
      </c>
      <c r="PTZ3" s="18">
        <v>122712</v>
      </c>
      <c r="PUA3" s="18">
        <v>122719</v>
      </c>
      <c r="PUB3" s="18">
        <v>122726</v>
      </c>
      <c r="PUC3" s="18">
        <v>122733</v>
      </c>
      <c r="PUD3" s="18">
        <v>122740</v>
      </c>
      <c r="PUE3" s="18">
        <v>122747</v>
      </c>
      <c r="PUF3" s="18">
        <v>122754</v>
      </c>
      <c r="PUG3" s="18">
        <v>122761</v>
      </c>
      <c r="PUH3" s="18">
        <v>122768</v>
      </c>
      <c r="PUI3" s="18">
        <v>122775</v>
      </c>
      <c r="PUJ3" s="18">
        <v>122782</v>
      </c>
      <c r="PUK3" s="18">
        <v>122789</v>
      </c>
      <c r="PUL3" s="18">
        <v>122796</v>
      </c>
      <c r="PUM3" s="18">
        <v>122803</v>
      </c>
      <c r="PUN3" s="18">
        <v>122810</v>
      </c>
      <c r="PUO3" s="18">
        <v>122817</v>
      </c>
      <c r="PUP3" s="18">
        <v>122824</v>
      </c>
      <c r="PUQ3" s="18">
        <v>122831</v>
      </c>
      <c r="PUR3" s="18">
        <v>122838</v>
      </c>
      <c r="PUS3" s="18">
        <v>122845</v>
      </c>
      <c r="PUT3" s="18">
        <v>122852</v>
      </c>
      <c r="PUU3" s="18">
        <v>122859</v>
      </c>
      <c r="PUV3" s="18">
        <v>122866</v>
      </c>
      <c r="PUW3" s="18">
        <v>122873</v>
      </c>
      <c r="PUX3" s="18">
        <v>122880</v>
      </c>
      <c r="PUY3" s="18">
        <v>122887</v>
      </c>
      <c r="PUZ3" s="18">
        <v>122894</v>
      </c>
      <c r="PVA3" s="18">
        <v>122901</v>
      </c>
      <c r="PVB3" s="18">
        <v>122908</v>
      </c>
      <c r="PVC3" s="18">
        <v>122915</v>
      </c>
      <c r="PVD3" s="18">
        <v>122922</v>
      </c>
      <c r="PVE3" s="18">
        <v>122929</v>
      </c>
      <c r="PVF3" s="18">
        <v>122936</v>
      </c>
      <c r="PVG3" s="18">
        <v>122943</v>
      </c>
      <c r="PVH3" s="18">
        <v>122950</v>
      </c>
      <c r="PVI3" s="18">
        <v>122957</v>
      </c>
      <c r="PVJ3" s="18">
        <v>122964</v>
      </c>
      <c r="PVK3" s="18">
        <v>122971</v>
      </c>
      <c r="PVL3" s="18">
        <v>122978</v>
      </c>
      <c r="PVM3" s="18">
        <v>122985</v>
      </c>
      <c r="PVN3" s="18">
        <v>122992</v>
      </c>
      <c r="PVO3" s="18">
        <v>122999</v>
      </c>
      <c r="PVP3" s="18">
        <v>123006</v>
      </c>
      <c r="PVQ3" s="18">
        <v>123013</v>
      </c>
      <c r="PVR3" s="18">
        <v>123020</v>
      </c>
      <c r="PVS3" s="18">
        <v>123027</v>
      </c>
      <c r="PVT3" s="18">
        <v>123034</v>
      </c>
      <c r="PVU3" s="18">
        <v>123041</v>
      </c>
      <c r="PVV3" s="18">
        <v>123048</v>
      </c>
      <c r="PVW3" s="18">
        <v>123055</v>
      </c>
      <c r="PVX3" s="18">
        <v>123062</v>
      </c>
      <c r="PVY3" s="18">
        <v>123069</v>
      </c>
      <c r="PVZ3" s="18">
        <v>123076</v>
      </c>
      <c r="PWA3" s="18">
        <v>123083</v>
      </c>
      <c r="PWB3" s="18">
        <v>123090</v>
      </c>
      <c r="PWC3" s="18">
        <v>123097</v>
      </c>
      <c r="PWD3" s="18">
        <v>123104</v>
      </c>
      <c r="PWE3" s="18">
        <v>123111</v>
      </c>
      <c r="PWF3" s="18">
        <v>123118</v>
      </c>
      <c r="PWG3" s="18">
        <v>123125</v>
      </c>
      <c r="PWH3" s="18">
        <v>123132</v>
      </c>
      <c r="PWI3" s="18">
        <v>123139</v>
      </c>
      <c r="PWJ3" s="18">
        <v>123146</v>
      </c>
      <c r="PWK3" s="18">
        <v>123153</v>
      </c>
      <c r="PWL3" s="18">
        <v>123160</v>
      </c>
      <c r="PWM3" s="18">
        <v>123167</v>
      </c>
      <c r="PWN3" s="18">
        <v>123174</v>
      </c>
      <c r="PWO3" s="18">
        <v>123181</v>
      </c>
      <c r="PWP3" s="18">
        <v>123188</v>
      </c>
      <c r="PWQ3" s="18">
        <v>123195</v>
      </c>
      <c r="PWR3" s="18">
        <v>123202</v>
      </c>
      <c r="PWS3" s="18">
        <v>123209</v>
      </c>
      <c r="PWT3" s="18">
        <v>123216</v>
      </c>
      <c r="PWU3" s="18">
        <v>123223</v>
      </c>
      <c r="PWV3" s="18">
        <v>123230</v>
      </c>
      <c r="PWW3" s="18">
        <v>123237</v>
      </c>
      <c r="PWX3" s="18">
        <v>123244</v>
      </c>
      <c r="PWY3" s="18">
        <v>123251</v>
      </c>
      <c r="PWZ3" s="18">
        <v>123258</v>
      </c>
      <c r="PXA3" s="18">
        <v>123265</v>
      </c>
      <c r="PXB3" s="18">
        <v>123272</v>
      </c>
      <c r="PXC3" s="18">
        <v>123279</v>
      </c>
      <c r="PXD3" s="18">
        <v>123286</v>
      </c>
      <c r="PXE3" s="18">
        <v>123293</v>
      </c>
      <c r="PXF3" s="18">
        <v>123300</v>
      </c>
      <c r="PXG3" s="18">
        <v>123307</v>
      </c>
      <c r="PXH3" s="18">
        <v>123314</v>
      </c>
      <c r="PXI3" s="18">
        <v>123321</v>
      </c>
      <c r="PXJ3" s="18">
        <v>123328</v>
      </c>
      <c r="PXK3" s="18">
        <v>123335</v>
      </c>
      <c r="PXL3" s="18">
        <v>123342</v>
      </c>
      <c r="PXM3" s="18">
        <v>123349</v>
      </c>
      <c r="PXN3" s="18">
        <v>123356</v>
      </c>
      <c r="PXO3" s="18">
        <v>123363</v>
      </c>
      <c r="PXP3" s="18">
        <v>123370</v>
      </c>
      <c r="PXQ3" s="18">
        <v>123377</v>
      </c>
      <c r="PXR3" s="18">
        <v>123384</v>
      </c>
      <c r="PXS3" s="18">
        <v>123391</v>
      </c>
      <c r="PXT3" s="18">
        <v>123398</v>
      </c>
      <c r="PXU3" s="18">
        <v>123405</v>
      </c>
      <c r="PXV3" s="18">
        <v>123412</v>
      </c>
      <c r="PXW3" s="18">
        <v>123419</v>
      </c>
      <c r="PXX3" s="18">
        <v>123426</v>
      </c>
      <c r="PXY3" s="18">
        <v>123433</v>
      </c>
      <c r="PXZ3" s="18">
        <v>123440</v>
      </c>
      <c r="PYA3" s="18">
        <v>123447</v>
      </c>
      <c r="PYB3" s="18">
        <v>123454</v>
      </c>
      <c r="PYC3" s="18">
        <v>123461</v>
      </c>
      <c r="PYD3" s="18">
        <v>123468</v>
      </c>
      <c r="PYE3" s="18">
        <v>123475</v>
      </c>
      <c r="PYF3" s="18">
        <v>123482</v>
      </c>
      <c r="PYG3" s="18">
        <v>123489</v>
      </c>
      <c r="PYH3" s="18">
        <v>123496</v>
      </c>
      <c r="PYI3" s="18">
        <v>123503</v>
      </c>
      <c r="PYJ3" s="18">
        <v>123510</v>
      </c>
      <c r="PYK3" s="18">
        <v>123517</v>
      </c>
      <c r="PYL3" s="18">
        <v>123524</v>
      </c>
      <c r="PYM3" s="18">
        <v>123531</v>
      </c>
      <c r="PYN3" s="18">
        <v>123538</v>
      </c>
      <c r="PYO3" s="18">
        <v>123545</v>
      </c>
      <c r="PYP3" s="18">
        <v>123552</v>
      </c>
      <c r="PYQ3" s="18">
        <v>123559</v>
      </c>
      <c r="PYR3" s="18">
        <v>123566</v>
      </c>
      <c r="PYS3" s="18">
        <v>123573</v>
      </c>
      <c r="PYT3" s="18">
        <v>123580</v>
      </c>
      <c r="PYU3" s="18">
        <v>123587</v>
      </c>
      <c r="PYV3" s="18">
        <v>123594</v>
      </c>
      <c r="PYW3" s="18">
        <v>123601</v>
      </c>
      <c r="PYX3" s="18">
        <v>123608</v>
      </c>
      <c r="PYY3" s="18">
        <v>123615</v>
      </c>
      <c r="PYZ3" s="18">
        <v>123622</v>
      </c>
      <c r="PZA3" s="18">
        <v>123629</v>
      </c>
      <c r="PZB3" s="18">
        <v>123636</v>
      </c>
      <c r="PZC3" s="18">
        <v>123643</v>
      </c>
      <c r="PZD3" s="18">
        <v>123650</v>
      </c>
      <c r="PZE3" s="18">
        <v>123657</v>
      </c>
      <c r="PZF3" s="18">
        <v>123664</v>
      </c>
      <c r="PZG3" s="18">
        <v>123671</v>
      </c>
      <c r="PZH3" s="18">
        <v>123678</v>
      </c>
      <c r="PZI3" s="18">
        <v>123685</v>
      </c>
      <c r="PZJ3" s="18">
        <v>123692</v>
      </c>
      <c r="PZK3" s="18">
        <v>123699</v>
      </c>
      <c r="PZL3" s="18">
        <v>123706</v>
      </c>
      <c r="PZM3" s="18">
        <v>123713</v>
      </c>
      <c r="PZN3" s="18">
        <v>123720</v>
      </c>
      <c r="PZO3" s="18">
        <v>123727</v>
      </c>
      <c r="PZP3" s="18">
        <v>123734</v>
      </c>
      <c r="PZQ3" s="18">
        <v>123741</v>
      </c>
      <c r="PZR3" s="18">
        <v>123748</v>
      </c>
      <c r="PZS3" s="18">
        <v>123755</v>
      </c>
      <c r="PZT3" s="18">
        <v>123762</v>
      </c>
      <c r="PZU3" s="18">
        <v>123769</v>
      </c>
      <c r="PZV3" s="18">
        <v>123776</v>
      </c>
      <c r="PZW3" s="18">
        <v>123783</v>
      </c>
      <c r="PZX3" s="18">
        <v>123790</v>
      </c>
      <c r="PZY3" s="18">
        <v>123797</v>
      </c>
      <c r="PZZ3" s="18">
        <v>123804</v>
      </c>
      <c r="QAA3" s="18">
        <v>123811</v>
      </c>
      <c r="QAB3" s="18">
        <v>123818</v>
      </c>
      <c r="QAC3" s="18">
        <v>123825</v>
      </c>
      <c r="QAD3" s="18">
        <v>123832</v>
      </c>
      <c r="QAE3" s="18">
        <v>123839</v>
      </c>
      <c r="QAF3" s="18">
        <v>123846</v>
      </c>
      <c r="QAG3" s="18">
        <v>123853</v>
      </c>
      <c r="QAH3" s="18">
        <v>123860</v>
      </c>
      <c r="QAI3" s="18">
        <v>123867</v>
      </c>
      <c r="QAJ3" s="18">
        <v>123874</v>
      </c>
      <c r="QAK3" s="18">
        <v>123881</v>
      </c>
      <c r="QAL3" s="18">
        <v>123888</v>
      </c>
      <c r="QAM3" s="18">
        <v>123895</v>
      </c>
      <c r="QAN3" s="18">
        <v>123902</v>
      </c>
      <c r="QAO3" s="18">
        <v>123909</v>
      </c>
      <c r="QAP3" s="18">
        <v>123916</v>
      </c>
      <c r="QAQ3" s="18">
        <v>123923</v>
      </c>
      <c r="QAR3" s="18">
        <v>123930</v>
      </c>
      <c r="QAS3" s="18">
        <v>123937</v>
      </c>
      <c r="QAT3" s="18">
        <v>123944</v>
      </c>
      <c r="QAU3" s="18">
        <v>123951</v>
      </c>
      <c r="QAV3" s="18">
        <v>123958</v>
      </c>
      <c r="QAW3" s="18">
        <v>123965</v>
      </c>
      <c r="QAX3" s="18">
        <v>123972</v>
      </c>
      <c r="QAY3" s="18">
        <v>123979</v>
      </c>
      <c r="QAZ3" s="18">
        <v>123986</v>
      </c>
      <c r="QBA3" s="18">
        <v>123993</v>
      </c>
      <c r="QBB3" s="18">
        <v>124000</v>
      </c>
      <c r="QBC3" s="18">
        <v>124007</v>
      </c>
      <c r="QBD3" s="18">
        <v>124014</v>
      </c>
      <c r="QBE3" s="18">
        <v>124021</v>
      </c>
      <c r="QBF3" s="18">
        <v>124028</v>
      </c>
      <c r="QBG3" s="18">
        <v>124035</v>
      </c>
      <c r="QBH3" s="18">
        <v>124042</v>
      </c>
      <c r="QBI3" s="18">
        <v>124049</v>
      </c>
      <c r="QBJ3" s="18">
        <v>124056</v>
      </c>
      <c r="QBK3" s="18">
        <v>124063</v>
      </c>
      <c r="QBL3" s="18">
        <v>124070</v>
      </c>
      <c r="QBM3" s="18">
        <v>124077</v>
      </c>
      <c r="QBN3" s="18">
        <v>124084</v>
      </c>
      <c r="QBO3" s="18">
        <v>124091</v>
      </c>
      <c r="QBP3" s="18">
        <v>124098</v>
      </c>
      <c r="QBQ3" s="18">
        <v>124105</v>
      </c>
      <c r="QBR3" s="18">
        <v>124112</v>
      </c>
      <c r="QBS3" s="18">
        <v>124119</v>
      </c>
      <c r="QBT3" s="18">
        <v>124126</v>
      </c>
      <c r="QBU3" s="18">
        <v>124133</v>
      </c>
      <c r="QBV3" s="18">
        <v>124140</v>
      </c>
      <c r="QBW3" s="18">
        <v>124147</v>
      </c>
      <c r="QBX3" s="18">
        <v>124154</v>
      </c>
      <c r="QBY3" s="18">
        <v>124161</v>
      </c>
      <c r="QBZ3" s="18">
        <v>124168</v>
      </c>
      <c r="QCA3" s="18">
        <v>124175</v>
      </c>
      <c r="QCB3" s="18">
        <v>124182</v>
      </c>
      <c r="QCC3" s="18">
        <v>124189</v>
      </c>
      <c r="QCD3" s="18">
        <v>124196</v>
      </c>
      <c r="QCE3" s="18">
        <v>124203</v>
      </c>
      <c r="QCF3" s="18">
        <v>124210</v>
      </c>
      <c r="QCG3" s="18">
        <v>124217</v>
      </c>
      <c r="QCH3" s="18">
        <v>124224</v>
      </c>
      <c r="QCI3" s="18">
        <v>124231</v>
      </c>
      <c r="QCJ3" s="18">
        <v>124238</v>
      </c>
      <c r="QCK3" s="18">
        <v>124245</v>
      </c>
      <c r="QCL3" s="18">
        <v>124252</v>
      </c>
      <c r="QCM3" s="18">
        <v>124259</v>
      </c>
      <c r="QCN3" s="18">
        <v>124266</v>
      </c>
      <c r="QCO3" s="18">
        <v>124273</v>
      </c>
      <c r="QCP3" s="18">
        <v>124280</v>
      </c>
      <c r="QCQ3" s="18">
        <v>124287</v>
      </c>
      <c r="QCR3" s="18">
        <v>124294</v>
      </c>
      <c r="QCS3" s="18">
        <v>124301</v>
      </c>
      <c r="QCT3" s="18">
        <v>124308</v>
      </c>
      <c r="QCU3" s="18">
        <v>124315</v>
      </c>
      <c r="QCV3" s="18">
        <v>124322</v>
      </c>
      <c r="QCW3" s="18">
        <v>124329</v>
      </c>
      <c r="QCX3" s="18">
        <v>124336</v>
      </c>
      <c r="QCY3" s="18">
        <v>124343</v>
      </c>
      <c r="QCZ3" s="18">
        <v>124350</v>
      </c>
      <c r="QDA3" s="18">
        <v>124357</v>
      </c>
      <c r="QDB3" s="18">
        <v>124364</v>
      </c>
      <c r="QDC3" s="18">
        <v>124371</v>
      </c>
      <c r="QDD3" s="18">
        <v>124378</v>
      </c>
      <c r="QDE3" s="18">
        <v>124385</v>
      </c>
      <c r="QDF3" s="18">
        <v>124392</v>
      </c>
      <c r="QDG3" s="18">
        <v>124399</v>
      </c>
      <c r="QDH3" s="18">
        <v>124406</v>
      </c>
      <c r="QDI3" s="18">
        <v>124413</v>
      </c>
      <c r="QDJ3" s="18">
        <v>124420</v>
      </c>
      <c r="QDK3" s="18">
        <v>124427</v>
      </c>
      <c r="QDL3" s="18">
        <v>124434</v>
      </c>
      <c r="QDM3" s="18">
        <v>124441</v>
      </c>
      <c r="QDN3" s="18">
        <v>124448</v>
      </c>
      <c r="QDO3" s="18">
        <v>124455</v>
      </c>
      <c r="QDP3" s="18">
        <v>124462</v>
      </c>
      <c r="QDQ3" s="18">
        <v>124469</v>
      </c>
      <c r="QDR3" s="18">
        <v>124476</v>
      </c>
      <c r="QDS3" s="18">
        <v>124483</v>
      </c>
      <c r="QDT3" s="18">
        <v>124490</v>
      </c>
      <c r="QDU3" s="18">
        <v>124497</v>
      </c>
      <c r="QDV3" s="18">
        <v>124504</v>
      </c>
      <c r="QDW3" s="18">
        <v>124511</v>
      </c>
      <c r="QDX3" s="18">
        <v>124518</v>
      </c>
      <c r="QDY3" s="18">
        <v>124525</v>
      </c>
      <c r="QDZ3" s="18">
        <v>124532</v>
      </c>
      <c r="QEA3" s="18">
        <v>124539</v>
      </c>
      <c r="QEB3" s="18">
        <v>124546</v>
      </c>
      <c r="QEC3" s="18">
        <v>124553</v>
      </c>
      <c r="QED3" s="18">
        <v>124560</v>
      </c>
      <c r="QEE3" s="18">
        <v>124567</v>
      </c>
      <c r="QEF3" s="18">
        <v>124574</v>
      </c>
      <c r="QEG3" s="18">
        <v>124581</v>
      </c>
      <c r="QEH3" s="18">
        <v>124588</v>
      </c>
      <c r="QEI3" s="18">
        <v>124595</v>
      </c>
      <c r="QEJ3" s="18">
        <v>124602</v>
      </c>
      <c r="QEK3" s="18">
        <v>124609</v>
      </c>
      <c r="QEL3" s="18">
        <v>124616</v>
      </c>
      <c r="QEM3" s="18">
        <v>124623</v>
      </c>
      <c r="QEN3" s="18">
        <v>124630</v>
      </c>
      <c r="QEO3" s="18">
        <v>124637</v>
      </c>
      <c r="QEP3" s="18">
        <v>124644</v>
      </c>
      <c r="QEQ3" s="18">
        <v>124651</v>
      </c>
      <c r="QER3" s="18">
        <v>124658</v>
      </c>
      <c r="QES3" s="18">
        <v>124665</v>
      </c>
      <c r="QET3" s="18">
        <v>124672</v>
      </c>
      <c r="QEU3" s="18">
        <v>124679</v>
      </c>
      <c r="QEV3" s="18">
        <v>124686</v>
      </c>
      <c r="QEW3" s="18">
        <v>124693</v>
      </c>
      <c r="QEX3" s="18">
        <v>124700</v>
      </c>
      <c r="QEY3" s="18">
        <v>124707</v>
      </c>
      <c r="QEZ3" s="18">
        <v>124714</v>
      </c>
      <c r="QFA3" s="18">
        <v>124721</v>
      </c>
      <c r="QFB3" s="18">
        <v>124728</v>
      </c>
      <c r="QFC3" s="18">
        <v>124735</v>
      </c>
      <c r="QFD3" s="18">
        <v>124742</v>
      </c>
      <c r="QFE3" s="18">
        <v>124749</v>
      </c>
      <c r="QFF3" s="18">
        <v>124756</v>
      </c>
      <c r="QFG3" s="18">
        <v>124763</v>
      </c>
      <c r="QFH3" s="18">
        <v>124770</v>
      </c>
      <c r="QFI3" s="18">
        <v>124777</v>
      </c>
      <c r="QFJ3" s="18">
        <v>124784</v>
      </c>
      <c r="QFK3" s="18">
        <v>124791</v>
      </c>
      <c r="QFL3" s="18">
        <v>124798</v>
      </c>
      <c r="QFM3" s="18">
        <v>124805</v>
      </c>
      <c r="QFN3" s="18">
        <v>124812</v>
      </c>
      <c r="QFO3" s="18">
        <v>124819</v>
      </c>
      <c r="QFP3" s="18">
        <v>124826</v>
      </c>
      <c r="QFQ3" s="18">
        <v>124833</v>
      </c>
      <c r="QFR3" s="18">
        <v>124840</v>
      </c>
      <c r="QFS3" s="18">
        <v>124847</v>
      </c>
      <c r="QFT3" s="18">
        <v>124854</v>
      </c>
      <c r="QFU3" s="18">
        <v>124861</v>
      </c>
      <c r="QFV3" s="18">
        <v>124868</v>
      </c>
      <c r="QFW3" s="18">
        <v>124875</v>
      </c>
      <c r="QFX3" s="18">
        <v>124882</v>
      </c>
      <c r="QFY3" s="18">
        <v>124889</v>
      </c>
      <c r="QFZ3" s="18">
        <v>124896</v>
      </c>
      <c r="QGA3" s="18">
        <v>124903</v>
      </c>
      <c r="QGB3" s="18">
        <v>124910</v>
      </c>
      <c r="QGC3" s="18">
        <v>124917</v>
      </c>
      <c r="QGD3" s="18">
        <v>124924</v>
      </c>
      <c r="QGE3" s="18">
        <v>124931</v>
      </c>
      <c r="QGF3" s="18">
        <v>124938</v>
      </c>
      <c r="QGG3" s="18">
        <v>124945</v>
      </c>
      <c r="QGH3" s="18">
        <v>124952</v>
      </c>
      <c r="QGI3" s="18">
        <v>124959</v>
      </c>
      <c r="QGJ3" s="18">
        <v>124966</v>
      </c>
      <c r="QGK3" s="18">
        <v>124973</v>
      </c>
      <c r="QGL3" s="18">
        <v>124980</v>
      </c>
      <c r="QGM3" s="18">
        <v>124987</v>
      </c>
      <c r="QGN3" s="18">
        <v>124994</v>
      </c>
      <c r="QGO3" s="18">
        <v>125001</v>
      </c>
      <c r="QGP3" s="18">
        <v>125008</v>
      </c>
      <c r="QGQ3" s="18">
        <v>125015</v>
      </c>
      <c r="QGR3" s="18">
        <v>125022</v>
      </c>
      <c r="QGS3" s="18">
        <v>125029</v>
      </c>
      <c r="QGT3" s="18">
        <v>125036</v>
      </c>
      <c r="QGU3" s="18">
        <v>125043</v>
      </c>
      <c r="QGV3" s="18">
        <v>125050</v>
      </c>
      <c r="QGW3" s="18">
        <v>125057</v>
      </c>
      <c r="QGX3" s="18">
        <v>125064</v>
      </c>
      <c r="QGY3" s="18">
        <v>125071</v>
      </c>
      <c r="QGZ3" s="18">
        <v>125078</v>
      </c>
      <c r="QHA3" s="18">
        <v>125085</v>
      </c>
      <c r="QHB3" s="18">
        <v>125092</v>
      </c>
      <c r="QHC3" s="18">
        <v>125099</v>
      </c>
      <c r="QHD3" s="18">
        <v>125106</v>
      </c>
      <c r="QHE3" s="18">
        <v>125113</v>
      </c>
      <c r="QHF3" s="18">
        <v>125120</v>
      </c>
      <c r="QHG3" s="18">
        <v>125127</v>
      </c>
      <c r="QHH3" s="18">
        <v>125134</v>
      </c>
      <c r="QHI3" s="18">
        <v>125141</v>
      </c>
      <c r="QHJ3" s="18">
        <v>125148</v>
      </c>
      <c r="QHK3" s="18">
        <v>125155</v>
      </c>
      <c r="QHL3" s="18">
        <v>125162</v>
      </c>
      <c r="QHM3" s="18">
        <v>125169</v>
      </c>
      <c r="QHN3" s="18">
        <v>125176</v>
      </c>
      <c r="QHO3" s="18">
        <v>125183</v>
      </c>
      <c r="QHP3" s="18">
        <v>125190</v>
      </c>
      <c r="QHQ3" s="18">
        <v>125197</v>
      </c>
      <c r="QHR3" s="18">
        <v>125204</v>
      </c>
      <c r="QHS3" s="18">
        <v>125211</v>
      </c>
      <c r="QHT3" s="18">
        <v>125218</v>
      </c>
      <c r="QHU3" s="18">
        <v>125225</v>
      </c>
      <c r="QHV3" s="18">
        <v>125232</v>
      </c>
      <c r="QHW3" s="18">
        <v>125239</v>
      </c>
      <c r="QHX3" s="18">
        <v>125246</v>
      </c>
      <c r="QHY3" s="18">
        <v>125253</v>
      </c>
      <c r="QHZ3" s="18">
        <v>125260</v>
      </c>
      <c r="QIA3" s="18">
        <v>125267</v>
      </c>
      <c r="QIB3" s="18">
        <v>125274</v>
      </c>
      <c r="QIC3" s="18">
        <v>125281</v>
      </c>
      <c r="QID3" s="18">
        <v>125288</v>
      </c>
      <c r="QIE3" s="18">
        <v>125295</v>
      </c>
      <c r="QIF3" s="18">
        <v>125302</v>
      </c>
      <c r="QIG3" s="18">
        <v>125309</v>
      </c>
      <c r="QIH3" s="18">
        <v>125316</v>
      </c>
      <c r="QII3" s="18">
        <v>125323</v>
      </c>
      <c r="QIJ3" s="18">
        <v>125330</v>
      </c>
      <c r="QIK3" s="18">
        <v>125337</v>
      </c>
      <c r="QIL3" s="18">
        <v>125344</v>
      </c>
      <c r="QIM3" s="18">
        <v>125351</v>
      </c>
      <c r="QIN3" s="18">
        <v>125358</v>
      </c>
      <c r="QIO3" s="18">
        <v>125365</v>
      </c>
      <c r="QIP3" s="18">
        <v>125372</v>
      </c>
      <c r="QIQ3" s="18">
        <v>125379</v>
      </c>
      <c r="QIR3" s="18">
        <v>125386</v>
      </c>
      <c r="QIS3" s="18">
        <v>125393</v>
      </c>
      <c r="QIT3" s="18">
        <v>125400</v>
      </c>
      <c r="QIU3" s="18">
        <v>125407</v>
      </c>
      <c r="QIV3" s="18">
        <v>125414</v>
      </c>
      <c r="QIW3" s="18">
        <v>125421</v>
      </c>
      <c r="QIX3" s="18">
        <v>125428</v>
      </c>
      <c r="QIY3" s="18">
        <v>125435</v>
      </c>
      <c r="QIZ3" s="18">
        <v>125442</v>
      </c>
      <c r="QJA3" s="18">
        <v>125449</v>
      </c>
      <c r="QJB3" s="18">
        <v>125456</v>
      </c>
      <c r="QJC3" s="18">
        <v>125463</v>
      </c>
      <c r="QJD3" s="18">
        <v>125470</v>
      </c>
      <c r="QJE3" s="18">
        <v>125477</v>
      </c>
      <c r="QJF3" s="18">
        <v>125484</v>
      </c>
      <c r="QJG3" s="18">
        <v>125491</v>
      </c>
      <c r="QJH3" s="18">
        <v>125498</v>
      </c>
      <c r="QJI3" s="18">
        <v>125505</v>
      </c>
      <c r="QJJ3" s="18">
        <v>125512</v>
      </c>
      <c r="QJK3" s="18">
        <v>125519</v>
      </c>
      <c r="QJL3" s="18">
        <v>125526</v>
      </c>
      <c r="QJM3" s="18">
        <v>125533</v>
      </c>
      <c r="QJN3" s="18">
        <v>125540</v>
      </c>
      <c r="QJO3" s="18">
        <v>125547</v>
      </c>
      <c r="QJP3" s="18">
        <v>125554</v>
      </c>
      <c r="QJQ3" s="18">
        <v>125561</v>
      </c>
      <c r="QJR3" s="18">
        <v>125568</v>
      </c>
      <c r="QJS3" s="18">
        <v>125575</v>
      </c>
      <c r="QJT3" s="18">
        <v>125582</v>
      </c>
      <c r="QJU3" s="18">
        <v>125589</v>
      </c>
      <c r="QJV3" s="18">
        <v>125596</v>
      </c>
      <c r="QJW3" s="18">
        <v>125603</v>
      </c>
      <c r="QJX3" s="18">
        <v>125610</v>
      </c>
      <c r="QJY3" s="18">
        <v>125617</v>
      </c>
      <c r="QJZ3" s="18">
        <v>125624</v>
      </c>
      <c r="QKA3" s="18">
        <v>125631</v>
      </c>
      <c r="QKB3" s="18">
        <v>125638</v>
      </c>
      <c r="QKC3" s="18">
        <v>125645</v>
      </c>
      <c r="QKD3" s="18">
        <v>125652</v>
      </c>
      <c r="QKE3" s="18">
        <v>125659</v>
      </c>
      <c r="QKF3" s="18">
        <v>125666</v>
      </c>
      <c r="QKG3" s="18">
        <v>125673</v>
      </c>
      <c r="QKH3" s="18">
        <v>125680</v>
      </c>
      <c r="QKI3" s="18">
        <v>125687</v>
      </c>
      <c r="QKJ3" s="18">
        <v>125694</v>
      </c>
      <c r="QKK3" s="18">
        <v>125701</v>
      </c>
      <c r="QKL3" s="18">
        <v>125708</v>
      </c>
      <c r="QKM3" s="18">
        <v>125715</v>
      </c>
      <c r="QKN3" s="18">
        <v>125722</v>
      </c>
      <c r="QKO3" s="18">
        <v>125729</v>
      </c>
      <c r="QKP3" s="18">
        <v>125736</v>
      </c>
      <c r="QKQ3" s="18">
        <v>125743</v>
      </c>
      <c r="QKR3" s="18">
        <v>125750</v>
      </c>
      <c r="QKS3" s="18">
        <v>125757</v>
      </c>
      <c r="QKT3" s="18">
        <v>125764</v>
      </c>
      <c r="QKU3" s="18">
        <v>125771</v>
      </c>
      <c r="QKV3" s="18">
        <v>125778</v>
      </c>
      <c r="QKW3" s="18">
        <v>125785</v>
      </c>
      <c r="QKX3" s="18">
        <v>125792</v>
      </c>
      <c r="QKY3" s="18">
        <v>125799</v>
      </c>
      <c r="QKZ3" s="18">
        <v>125806</v>
      </c>
      <c r="QLA3" s="18">
        <v>125813</v>
      </c>
      <c r="QLB3" s="18">
        <v>125820</v>
      </c>
      <c r="QLC3" s="18">
        <v>125827</v>
      </c>
      <c r="QLD3" s="18">
        <v>125834</v>
      </c>
      <c r="QLE3" s="18">
        <v>125841</v>
      </c>
      <c r="QLF3" s="18">
        <v>125848</v>
      </c>
      <c r="QLG3" s="18">
        <v>125855</v>
      </c>
      <c r="QLH3" s="18">
        <v>125862</v>
      </c>
      <c r="QLI3" s="18">
        <v>125869</v>
      </c>
      <c r="QLJ3" s="18">
        <v>125876</v>
      </c>
      <c r="QLK3" s="18">
        <v>125883</v>
      </c>
      <c r="QLL3" s="18">
        <v>125890</v>
      </c>
      <c r="QLM3" s="18">
        <v>125897</v>
      </c>
      <c r="QLN3" s="18">
        <v>125904</v>
      </c>
      <c r="QLO3" s="18">
        <v>125911</v>
      </c>
      <c r="QLP3" s="18">
        <v>125918</v>
      </c>
      <c r="QLQ3" s="18">
        <v>125925</v>
      </c>
      <c r="QLR3" s="18">
        <v>125932</v>
      </c>
      <c r="QLS3" s="18">
        <v>125939</v>
      </c>
      <c r="QLT3" s="18">
        <v>125946</v>
      </c>
      <c r="QLU3" s="18">
        <v>125953</v>
      </c>
      <c r="QLV3" s="18">
        <v>125960</v>
      </c>
      <c r="QLW3" s="18">
        <v>125967</v>
      </c>
      <c r="QLX3" s="18">
        <v>125974</v>
      </c>
      <c r="QLY3" s="18">
        <v>125981</v>
      </c>
      <c r="QLZ3" s="18">
        <v>125988</v>
      </c>
      <c r="QMA3" s="18">
        <v>125995</v>
      </c>
      <c r="QMB3" s="18">
        <v>126002</v>
      </c>
      <c r="QMC3" s="18">
        <v>126009</v>
      </c>
      <c r="QMD3" s="18">
        <v>126016</v>
      </c>
      <c r="QME3" s="18">
        <v>126023</v>
      </c>
      <c r="QMF3" s="18">
        <v>126030</v>
      </c>
      <c r="QMG3" s="18">
        <v>126037</v>
      </c>
      <c r="QMH3" s="18">
        <v>126044</v>
      </c>
      <c r="QMI3" s="18">
        <v>126051</v>
      </c>
      <c r="QMJ3" s="18">
        <v>126058</v>
      </c>
      <c r="QMK3" s="18">
        <v>126065</v>
      </c>
      <c r="QML3" s="18">
        <v>126072</v>
      </c>
      <c r="QMM3" s="18">
        <v>126079</v>
      </c>
      <c r="QMN3" s="18">
        <v>126086</v>
      </c>
      <c r="QMO3" s="18">
        <v>126093</v>
      </c>
      <c r="QMP3" s="18">
        <v>126100</v>
      </c>
      <c r="QMQ3" s="18">
        <v>126107</v>
      </c>
      <c r="QMR3" s="18">
        <v>126114</v>
      </c>
      <c r="QMS3" s="18">
        <v>126121</v>
      </c>
      <c r="QMT3" s="18">
        <v>126128</v>
      </c>
      <c r="QMU3" s="18">
        <v>126135</v>
      </c>
      <c r="QMV3" s="18">
        <v>126142</v>
      </c>
      <c r="QMW3" s="18">
        <v>126149</v>
      </c>
      <c r="QMX3" s="18">
        <v>126156</v>
      </c>
      <c r="QMY3" s="18">
        <v>126163</v>
      </c>
      <c r="QMZ3" s="18">
        <v>126170</v>
      </c>
      <c r="QNA3" s="18">
        <v>126177</v>
      </c>
      <c r="QNB3" s="18">
        <v>126184</v>
      </c>
      <c r="QNC3" s="18">
        <v>126191</v>
      </c>
      <c r="QND3" s="18">
        <v>126198</v>
      </c>
      <c r="QNE3" s="18">
        <v>126205</v>
      </c>
      <c r="QNF3" s="18">
        <v>126212</v>
      </c>
      <c r="QNG3" s="18">
        <v>126219</v>
      </c>
      <c r="QNH3" s="18">
        <v>126226</v>
      </c>
      <c r="QNI3" s="18">
        <v>126233</v>
      </c>
      <c r="QNJ3" s="18">
        <v>126240</v>
      </c>
      <c r="QNK3" s="18">
        <v>126247</v>
      </c>
      <c r="QNL3" s="18">
        <v>126254</v>
      </c>
      <c r="QNM3" s="18">
        <v>126261</v>
      </c>
      <c r="QNN3" s="18">
        <v>126268</v>
      </c>
      <c r="QNO3" s="18">
        <v>126275</v>
      </c>
      <c r="QNP3" s="18">
        <v>126282</v>
      </c>
      <c r="QNQ3" s="18">
        <v>126289</v>
      </c>
      <c r="QNR3" s="18">
        <v>126296</v>
      </c>
      <c r="QNS3" s="18">
        <v>126303</v>
      </c>
      <c r="QNT3" s="18">
        <v>126310</v>
      </c>
      <c r="QNU3" s="18">
        <v>126317</v>
      </c>
      <c r="QNV3" s="18">
        <v>126324</v>
      </c>
      <c r="QNW3" s="18">
        <v>126331</v>
      </c>
      <c r="QNX3" s="18">
        <v>126338</v>
      </c>
      <c r="QNY3" s="18">
        <v>126345</v>
      </c>
      <c r="QNZ3" s="18">
        <v>126352</v>
      </c>
      <c r="QOA3" s="18">
        <v>126359</v>
      </c>
      <c r="QOB3" s="18">
        <v>126366</v>
      </c>
      <c r="QOC3" s="18">
        <v>126373</v>
      </c>
      <c r="QOD3" s="18">
        <v>126380</v>
      </c>
      <c r="QOE3" s="18">
        <v>126387</v>
      </c>
      <c r="QOF3" s="18">
        <v>126394</v>
      </c>
      <c r="QOG3" s="18">
        <v>126401</v>
      </c>
      <c r="QOH3" s="18">
        <v>126408</v>
      </c>
      <c r="QOI3" s="18">
        <v>126415</v>
      </c>
      <c r="QOJ3" s="18">
        <v>126422</v>
      </c>
      <c r="QOK3" s="18">
        <v>126429</v>
      </c>
      <c r="QOL3" s="18">
        <v>126436</v>
      </c>
      <c r="QOM3" s="18">
        <v>126443</v>
      </c>
      <c r="QON3" s="18">
        <v>126450</v>
      </c>
      <c r="QOO3" s="18">
        <v>126457</v>
      </c>
      <c r="QOP3" s="18">
        <v>126464</v>
      </c>
      <c r="QOQ3" s="18">
        <v>126471</v>
      </c>
      <c r="QOR3" s="18">
        <v>126478</v>
      </c>
      <c r="QOS3" s="18">
        <v>126485</v>
      </c>
      <c r="QOT3" s="18">
        <v>126492</v>
      </c>
      <c r="QOU3" s="18">
        <v>126499</v>
      </c>
      <c r="QOV3" s="18">
        <v>126506</v>
      </c>
      <c r="QOW3" s="18">
        <v>126513</v>
      </c>
      <c r="QOX3" s="18">
        <v>126520</v>
      </c>
      <c r="QOY3" s="18">
        <v>126527</v>
      </c>
      <c r="QOZ3" s="18">
        <v>126534</v>
      </c>
      <c r="QPA3" s="18">
        <v>126541</v>
      </c>
      <c r="QPB3" s="18">
        <v>126548</v>
      </c>
      <c r="QPC3" s="18">
        <v>126555</v>
      </c>
      <c r="QPD3" s="18">
        <v>126562</v>
      </c>
      <c r="QPE3" s="18">
        <v>126569</v>
      </c>
      <c r="QPF3" s="18">
        <v>126576</v>
      </c>
      <c r="QPG3" s="18">
        <v>126583</v>
      </c>
      <c r="QPH3" s="18">
        <v>126590</v>
      </c>
      <c r="QPI3" s="18">
        <v>126597</v>
      </c>
      <c r="QPJ3" s="18">
        <v>126604</v>
      </c>
      <c r="QPK3" s="18">
        <v>126611</v>
      </c>
      <c r="QPL3" s="18">
        <v>126618</v>
      </c>
      <c r="QPM3" s="18">
        <v>126625</v>
      </c>
      <c r="QPN3" s="18">
        <v>126632</v>
      </c>
      <c r="QPO3" s="18">
        <v>126639</v>
      </c>
      <c r="QPP3" s="18">
        <v>126646</v>
      </c>
      <c r="QPQ3" s="18">
        <v>126653</v>
      </c>
      <c r="QPR3" s="18">
        <v>126660</v>
      </c>
      <c r="QPS3" s="18">
        <v>126667</v>
      </c>
      <c r="QPT3" s="18">
        <v>126674</v>
      </c>
      <c r="QPU3" s="18">
        <v>126681</v>
      </c>
      <c r="QPV3" s="18">
        <v>126688</v>
      </c>
      <c r="QPW3" s="18">
        <v>126695</v>
      </c>
      <c r="QPX3" s="18">
        <v>126702</v>
      </c>
      <c r="QPY3" s="18">
        <v>126709</v>
      </c>
      <c r="QPZ3" s="18">
        <v>126716</v>
      </c>
      <c r="QQA3" s="18">
        <v>126723</v>
      </c>
      <c r="QQB3" s="18">
        <v>126730</v>
      </c>
      <c r="QQC3" s="18">
        <v>126737</v>
      </c>
      <c r="QQD3" s="18">
        <v>126744</v>
      </c>
      <c r="QQE3" s="18">
        <v>126751</v>
      </c>
      <c r="QQF3" s="18">
        <v>126758</v>
      </c>
      <c r="QQG3" s="18">
        <v>126765</v>
      </c>
      <c r="QQH3" s="18">
        <v>126772</v>
      </c>
      <c r="QQI3" s="18">
        <v>126779</v>
      </c>
      <c r="QQJ3" s="18">
        <v>126786</v>
      </c>
      <c r="QQK3" s="18">
        <v>126793</v>
      </c>
      <c r="QQL3" s="18">
        <v>126800</v>
      </c>
      <c r="QQM3" s="18">
        <v>126807</v>
      </c>
      <c r="QQN3" s="18">
        <v>126814</v>
      </c>
      <c r="QQO3" s="18">
        <v>126821</v>
      </c>
      <c r="QQP3" s="18">
        <v>126828</v>
      </c>
      <c r="QQQ3" s="18">
        <v>126835</v>
      </c>
      <c r="QQR3" s="18">
        <v>126842</v>
      </c>
      <c r="QQS3" s="18">
        <v>126849</v>
      </c>
      <c r="QQT3" s="18">
        <v>126856</v>
      </c>
      <c r="QQU3" s="18">
        <v>126863</v>
      </c>
      <c r="QQV3" s="18">
        <v>126870</v>
      </c>
      <c r="QQW3" s="18">
        <v>126877</v>
      </c>
      <c r="QQX3" s="18">
        <v>126884</v>
      </c>
      <c r="QQY3" s="18">
        <v>126891</v>
      </c>
      <c r="QQZ3" s="18">
        <v>126898</v>
      </c>
      <c r="QRA3" s="18">
        <v>126905</v>
      </c>
      <c r="QRB3" s="18">
        <v>126912</v>
      </c>
      <c r="QRC3" s="18">
        <v>126919</v>
      </c>
      <c r="QRD3" s="18">
        <v>126926</v>
      </c>
      <c r="QRE3" s="18">
        <v>126933</v>
      </c>
      <c r="QRF3" s="18">
        <v>126940</v>
      </c>
      <c r="QRG3" s="18">
        <v>126947</v>
      </c>
      <c r="QRH3" s="18">
        <v>126954</v>
      </c>
      <c r="QRI3" s="18">
        <v>126961</v>
      </c>
      <c r="QRJ3" s="18">
        <v>126968</v>
      </c>
      <c r="QRK3" s="18">
        <v>126975</v>
      </c>
      <c r="QRL3" s="18">
        <v>126982</v>
      </c>
      <c r="QRM3" s="18">
        <v>126989</v>
      </c>
      <c r="QRN3" s="18">
        <v>126996</v>
      </c>
      <c r="QRO3" s="18">
        <v>127003</v>
      </c>
      <c r="QRP3" s="18">
        <v>127010</v>
      </c>
      <c r="QRQ3" s="18">
        <v>127017</v>
      </c>
      <c r="QRR3" s="18">
        <v>127024</v>
      </c>
      <c r="QRS3" s="18">
        <v>127031</v>
      </c>
      <c r="QRT3" s="18">
        <v>127038</v>
      </c>
      <c r="QRU3" s="18">
        <v>127045</v>
      </c>
      <c r="QRV3" s="18">
        <v>127052</v>
      </c>
      <c r="QRW3" s="18">
        <v>127059</v>
      </c>
      <c r="QRX3" s="18">
        <v>127066</v>
      </c>
      <c r="QRY3" s="18">
        <v>127073</v>
      </c>
      <c r="QRZ3" s="18">
        <v>127080</v>
      </c>
      <c r="QSA3" s="18">
        <v>127087</v>
      </c>
      <c r="QSB3" s="18">
        <v>127094</v>
      </c>
      <c r="QSC3" s="18">
        <v>127101</v>
      </c>
      <c r="QSD3" s="18">
        <v>127108</v>
      </c>
      <c r="QSE3" s="18">
        <v>127115</v>
      </c>
      <c r="QSF3" s="18">
        <v>127122</v>
      </c>
      <c r="QSG3" s="18">
        <v>127129</v>
      </c>
      <c r="QSH3" s="18">
        <v>127136</v>
      </c>
      <c r="QSI3" s="18">
        <v>127143</v>
      </c>
      <c r="QSJ3" s="18">
        <v>127150</v>
      </c>
      <c r="QSK3" s="18">
        <v>127157</v>
      </c>
      <c r="QSL3" s="18">
        <v>127164</v>
      </c>
      <c r="QSM3" s="18">
        <v>127171</v>
      </c>
      <c r="QSN3" s="18">
        <v>127178</v>
      </c>
      <c r="QSO3" s="18">
        <v>127185</v>
      </c>
      <c r="QSP3" s="18">
        <v>127192</v>
      </c>
      <c r="QSQ3" s="18">
        <v>127199</v>
      </c>
      <c r="QSR3" s="18">
        <v>127206</v>
      </c>
      <c r="QSS3" s="18">
        <v>127213</v>
      </c>
      <c r="QST3" s="18">
        <v>127220</v>
      </c>
      <c r="QSU3" s="18">
        <v>127227</v>
      </c>
      <c r="QSV3" s="18">
        <v>127234</v>
      </c>
      <c r="QSW3" s="18">
        <v>127241</v>
      </c>
      <c r="QSX3" s="18">
        <v>127248</v>
      </c>
      <c r="QSY3" s="18">
        <v>127255</v>
      </c>
      <c r="QSZ3" s="18">
        <v>127262</v>
      </c>
      <c r="QTA3" s="18">
        <v>127269</v>
      </c>
      <c r="QTB3" s="18">
        <v>127276</v>
      </c>
      <c r="QTC3" s="18">
        <v>127283</v>
      </c>
      <c r="QTD3" s="18">
        <v>127290</v>
      </c>
      <c r="QTE3" s="18">
        <v>127297</v>
      </c>
      <c r="QTF3" s="18">
        <v>127304</v>
      </c>
      <c r="QTG3" s="18">
        <v>127311</v>
      </c>
      <c r="QTH3" s="18">
        <v>127318</v>
      </c>
      <c r="QTI3" s="18">
        <v>127325</v>
      </c>
      <c r="QTJ3" s="18">
        <v>127332</v>
      </c>
      <c r="QTK3" s="18">
        <v>127339</v>
      </c>
      <c r="QTL3" s="18">
        <v>127346</v>
      </c>
      <c r="QTM3" s="18">
        <v>127353</v>
      </c>
      <c r="QTN3" s="18">
        <v>127360</v>
      </c>
      <c r="QTO3" s="18">
        <v>127367</v>
      </c>
      <c r="QTP3" s="18">
        <v>127374</v>
      </c>
      <c r="QTQ3" s="18">
        <v>127381</v>
      </c>
      <c r="QTR3" s="18">
        <v>127388</v>
      </c>
      <c r="QTS3" s="18">
        <v>127395</v>
      </c>
      <c r="QTT3" s="18">
        <v>127402</v>
      </c>
      <c r="QTU3" s="18">
        <v>127409</v>
      </c>
      <c r="QTV3" s="18">
        <v>127416</v>
      </c>
      <c r="QTW3" s="18">
        <v>127423</v>
      </c>
      <c r="QTX3" s="18">
        <v>127430</v>
      </c>
      <c r="QTY3" s="18">
        <v>127437</v>
      </c>
      <c r="QTZ3" s="18">
        <v>127444</v>
      </c>
      <c r="QUA3" s="18">
        <v>127451</v>
      </c>
      <c r="QUB3" s="18">
        <v>127458</v>
      </c>
      <c r="QUC3" s="18">
        <v>127465</v>
      </c>
      <c r="QUD3" s="18">
        <v>127472</v>
      </c>
      <c r="QUE3" s="18">
        <v>127479</v>
      </c>
      <c r="QUF3" s="18">
        <v>127486</v>
      </c>
      <c r="QUG3" s="18">
        <v>127493</v>
      </c>
      <c r="QUH3" s="18">
        <v>127500</v>
      </c>
      <c r="QUI3" s="18">
        <v>127507</v>
      </c>
      <c r="QUJ3" s="18">
        <v>127514</v>
      </c>
      <c r="QUK3" s="18">
        <v>127521</v>
      </c>
      <c r="QUL3" s="18">
        <v>127528</v>
      </c>
      <c r="QUM3" s="18">
        <v>127535</v>
      </c>
      <c r="QUN3" s="18">
        <v>127542</v>
      </c>
      <c r="QUO3" s="18">
        <v>127549</v>
      </c>
      <c r="QUP3" s="18">
        <v>127556</v>
      </c>
      <c r="QUQ3" s="18">
        <v>127563</v>
      </c>
      <c r="QUR3" s="18">
        <v>127570</v>
      </c>
      <c r="QUS3" s="18">
        <v>127577</v>
      </c>
      <c r="QUT3" s="18">
        <v>127584</v>
      </c>
      <c r="QUU3" s="18">
        <v>127591</v>
      </c>
      <c r="QUV3" s="18">
        <v>127598</v>
      </c>
      <c r="QUW3" s="18">
        <v>127605</v>
      </c>
      <c r="QUX3" s="18">
        <v>127612</v>
      </c>
      <c r="QUY3" s="18">
        <v>127619</v>
      </c>
      <c r="QUZ3" s="18">
        <v>127626</v>
      </c>
      <c r="QVA3" s="18">
        <v>127633</v>
      </c>
      <c r="QVB3" s="18">
        <v>127640</v>
      </c>
      <c r="QVC3" s="18">
        <v>127647</v>
      </c>
      <c r="QVD3" s="18">
        <v>127654</v>
      </c>
      <c r="QVE3" s="18">
        <v>127661</v>
      </c>
      <c r="QVF3" s="18">
        <v>127668</v>
      </c>
      <c r="QVG3" s="18">
        <v>127675</v>
      </c>
      <c r="QVH3" s="18">
        <v>127682</v>
      </c>
      <c r="QVI3" s="18">
        <v>127689</v>
      </c>
      <c r="QVJ3" s="18">
        <v>127696</v>
      </c>
      <c r="QVK3" s="18">
        <v>127703</v>
      </c>
      <c r="QVL3" s="18">
        <v>127710</v>
      </c>
      <c r="QVM3" s="18">
        <v>127717</v>
      </c>
      <c r="QVN3" s="18">
        <v>127724</v>
      </c>
      <c r="QVO3" s="18">
        <v>127731</v>
      </c>
      <c r="QVP3" s="18">
        <v>127738</v>
      </c>
      <c r="QVQ3" s="18">
        <v>127745</v>
      </c>
      <c r="QVR3" s="18">
        <v>127752</v>
      </c>
      <c r="QVS3" s="18">
        <v>127759</v>
      </c>
      <c r="QVT3" s="18">
        <v>127766</v>
      </c>
      <c r="QVU3" s="18">
        <v>127773</v>
      </c>
      <c r="QVV3" s="18">
        <v>127780</v>
      </c>
      <c r="QVW3" s="18">
        <v>127787</v>
      </c>
      <c r="QVX3" s="18">
        <v>127794</v>
      </c>
      <c r="QVY3" s="18">
        <v>127801</v>
      </c>
      <c r="QVZ3" s="18">
        <v>127808</v>
      </c>
      <c r="QWA3" s="18">
        <v>127815</v>
      </c>
      <c r="QWB3" s="18">
        <v>127822</v>
      </c>
      <c r="QWC3" s="18">
        <v>127829</v>
      </c>
      <c r="QWD3" s="18">
        <v>127836</v>
      </c>
      <c r="QWE3" s="18">
        <v>127843</v>
      </c>
      <c r="QWF3" s="18">
        <v>127850</v>
      </c>
      <c r="QWG3" s="18">
        <v>127857</v>
      </c>
      <c r="QWH3" s="18">
        <v>127864</v>
      </c>
      <c r="QWI3" s="18">
        <v>127871</v>
      </c>
      <c r="QWJ3" s="18">
        <v>127878</v>
      </c>
      <c r="QWK3" s="18">
        <v>127885</v>
      </c>
      <c r="QWL3" s="18">
        <v>127892</v>
      </c>
      <c r="QWM3" s="18">
        <v>127899</v>
      </c>
      <c r="QWN3" s="18">
        <v>127906</v>
      </c>
      <c r="QWO3" s="18">
        <v>127913</v>
      </c>
      <c r="QWP3" s="18">
        <v>127920</v>
      </c>
      <c r="QWQ3" s="18">
        <v>127927</v>
      </c>
      <c r="QWR3" s="18">
        <v>127934</v>
      </c>
      <c r="QWS3" s="18">
        <v>127941</v>
      </c>
      <c r="QWT3" s="18">
        <v>127948</v>
      </c>
      <c r="QWU3" s="18">
        <v>127955</v>
      </c>
      <c r="QWV3" s="18">
        <v>127962</v>
      </c>
      <c r="QWW3" s="18">
        <v>127969</v>
      </c>
      <c r="QWX3" s="18">
        <v>127976</v>
      </c>
      <c r="QWY3" s="18">
        <v>127983</v>
      </c>
      <c r="QWZ3" s="18">
        <v>127990</v>
      </c>
      <c r="QXA3" s="18">
        <v>127997</v>
      </c>
      <c r="QXB3" s="18">
        <v>128004</v>
      </c>
      <c r="QXC3" s="18">
        <v>128011</v>
      </c>
      <c r="QXD3" s="18">
        <v>128018</v>
      </c>
      <c r="QXE3" s="18">
        <v>128025</v>
      </c>
      <c r="QXF3" s="18">
        <v>128032</v>
      </c>
      <c r="QXG3" s="18">
        <v>128039</v>
      </c>
      <c r="QXH3" s="18">
        <v>128046</v>
      </c>
      <c r="QXI3" s="18">
        <v>128053</v>
      </c>
      <c r="QXJ3" s="18">
        <v>128060</v>
      </c>
      <c r="QXK3" s="18">
        <v>128067</v>
      </c>
      <c r="QXL3" s="18">
        <v>128074</v>
      </c>
      <c r="QXM3" s="18">
        <v>128081</v>
      </c>
      <c r="QXN3" s="18">
        <v>128088</v>
      </c>
      <c r="QXO3" s="18">
        <v>128095</v>
      </c>
      <c r="QXP3" s="18">
        <v>128102</v>
      </c>
      <c r="QXQ3" s="18">
        <v>128109</v>
      </c>
      <c r="QXR3" s="18">
        <v>128116</v>
      </c>
      <c r="QXS3" s="18">
        <v>128123</v>
      </c>
      <c r="QXT3" s="18">
        <v>128130</v>
      </c>
      <c r="QXU3" s="18">
        <v>128137</v>
      </c>
      <c r="QXV3" s="18">
        <v>128144</v>
      </c>
      <c r="QXW3" s="18">
        <v>128151</v>
      </c>
      <c r="QXX3" s="18">
        <v>128158</v>
      </c>
      <c r="QXY3" s="18">
        <v>128165</v>
      </c>
      <c r="QXZ3" s="18">
        <v>128172</v>
      </c>
      <c r="QYA3" s="18">
        <v>128179</v>
      </c>
      <c r="QYB3" s="18">
        <v>128186</v>
      </c>
      <c r="QYC3" s="18">
        <v>128193</v>
      </c>
      <c r="QYD3" s="18">
        <v>128200</v>
      </c>
      <c r="QYE3" s="18">
        <v>128207</v>
      </c>
      <c r="QYF3" s="18">
        <v>128214</v>
      </c>
      <c r="QYG3" s="18">
        <v>128221</v>
      </c>
      <c r="QYH3" s="18">
        <v>128228</v>
      </c>
      <c r="QYI3" s="18">
        <v>128235</v>
      </c>
      <c r="QYJ3" s="18">
        <v>128242</v>
      </c>
      <c r="QYK3" s="18">
        <v>128249</v>
      </c>
      <c r="QYL3" s="18">
        <v>128256</v>
      </c>
      <c r="QYM3" s="18">
        <v>128263</v>
      </c>
      <c r="QYN3" s="18">
        <v>128270</v>
      </c>
      <c r="QYO3" s="18">
        <v>128277</v>
      </c>
      <c r="QYP3" s="18">
        <v>128284</v>
      </c>
      <c r="QYQ3" s="18">
        <v>128291</v>
      </c>
      <c r="QYR3" s="18">
        <v>128298</v>
      </c>
      <c r="QYS3" s="18">
        <v>128305</v>
      </c>
      <c r="QYT3" s="18">
        <v>128312</v>
      </c>
      <c r="QYU3" s="18">
        <v>128319</v>
      </c>
      <c r="QYV3" s="18">
        <v>128326</v>
      </c>
      <c r="QYW3" s="18">
        <v>128333</v>
      </c>
      <c r="QYX3" s="18">
        <v>128340</v>
      </c>
      <c r="QYY3" s="18">
        <v>128347</v>
      </c>
      <c r="QYZ3" s="18">
        <v>128354</v>
      </c>
      <c r="QZA3" s="18">
        <v>128361</v>
      </c>
      <c r="QZB3" s="18">
        <v>128368</v>
      </c>
      <c r="QZC3" s="18">
        <v>128375</v>
      </c>
      <c r="QZD3" s="18">
        <v>128382</v>
      </c>
      <c r="QZE3" s="18">
        <v>128389</v>
      </c>
      <c r="QZF3" s="18">
        <v>128396</v>
      </c>
      <c r="QZG3" s="18">
        <v>128403</v>
      </c>
      <c r="QZH3" s="18">
        <v>128410</v>
      </c>
      <c r="QZI3" s="18">
        <v>128417</v>
      </c>
      <c r="QZJ3" s="18">
        <v>128424</v>
      </c>
      <c r="QZK3" s="18">
        <v>128431</v>
      </c>
      <c r="QZL3" s="18">
        <v>128438</v>
      </c>
      <c r="QZM3" s="18">
        <v>128445</v>
      </c>
      <c r="QZN3" s="18">
        <v>128452</v>
      </c>
      <c r="QZO3" s="18">
        <v>128459</v>
      </c>
      <c r="QZP3" s="18">
        <v>128466</v>
      </c>
      <c r="QZQ3" s="18">
        <v>128473</v>
      </c>
      <c r="QZR3" s="18">
        <v>128480</v>
      </c>
      <c r="QZS3" s="18">
        <v>128487</v>
      </c>
      <c r="QZT3" s="18">
        <v>128494</v>
      </c>
      <c r="QZU3" s="18">
        <v>128501</v>
      </c>
      <c r="QZV3" s="18">
        <v>128508</v>
      </c>
      <c r="QZW3" s="18">
        <v>128515</v>
      </c>
      <c r="QZX3" s="18">
        <v>128522</v>
      </c>
      <c r="QZY3" s="18">
        <v>128529</v>
      </c>
      <c r="QZZ3" s="18">
        <v>128536</v>
      </c>
      <c r="RAA3" s="18">
        <v>128543</v>
      </c>
      <c r="RAB3" s="18">
        <v>128550</v>
      </c>
      <c r="RAC3" s="18">
        <v>128557</v>
      </c>
      <c r="RAD3" s="18">
        <v>128564</v>
      </c>
      <c r="RAE3" s="18">
        <v>128571</v>
      </c>
      <c r="RAF3" s="18">
        <v>128578</v>
      </c>
      <c r="RAG3" s="18">
        <v>128585</v>
      </c>
      <c r="RAH3" s="18">
        <v>128592</v>
      </c>
      <c r="RAI3" s="18">
        <v>128599</v>
      </c>
      <c r="RAJ3" s="18">
        <v>128606</v>
      </c>
      <c r="RAK3" s="18">
        <v>128613</v>
      </c>
      <c r="RAL3" s="18">
        <v>128620</v>
      </c>
      <c r="RAM3" s="18">
        <v>128627</v>
      </c>
      <c r="RAN3" s="18">
        <v>128634</v>
      </c>
      <c r="RAO3" s="18">
        <v>128641</v>
      </c>
      <c r="RAP3" s="18">
        <v>128648</v>
      </c>
      <c r="RAQ3" s="18">
        <v>128655</v>
      </c>
      <c r="RAR3" s="18">
        <v>128662</v>
      </c>
      <c r="RAS3" s="18">
        <v>128669</v>
      </c>
      <c r="RAT3" s="18">
        <v>128676</v>
      </c>
      <c r="RAU3" s="18">
        <v>128683</v>
      </c>
      <c r="RAV3" s="18">
        <v>128690</v>
      </c>
      <c r="RAW3" s="18">
        <v>128697</v>
      </c>
      <c r="RAX3" s="18">
        <v>128704</v>
      </c>
      <c r="RAY3" s="18">
        <v>128711</v>
      </c>
      <c r="RAZ3" s="18">
        <v>128718</v>
      </c>
      <c r="RBA3" s="18">
        <v>128725</v>
      </c>
      <c r="RBB3" s="18">
        <v>128732</v>
      </c>
      <c r="RBC3" s="18">
        <v>128739</v>
      </c>
      <c r="RBD3" s="18">
        <v>128746</v>
      </c>
      <c r="RBE3" s="18">
        <v>128753</v>
      </c>
      <c r="RBF3" s="18">
        <v>128760</v>
      </c>
      <c r="RBG3" s="18">
        <v>128767</v>
      </c>
      <c r="RBH3" s="18">
        <v>128774</v>
      </c>
      <c r="RBI3" s="18">
        <v>128781</v>
      </c>
      <c r="RBJ3" s="18">
        <v>128788</v>
      </c>
      <c r="RBK3" s="18">
        <v>128795</v>
      </c>
      <c r="RBL3" s="18">
        <v>128802</v>
      </c>
      <c r="RBM3" s="18">
        <v>128809</v>
      </c>
      <c r="RBN3" s="18">
        <v>128816</v>
      </c>
      <c r="RBO3" s="18">
        <v>128823</v>
      </c>
      <c r="RBP3" s="18">
        <v>128830</v>
      </c>
      <c r="RBQ3" s="18">
        <v>128837</v>
      </c>
      <c r="RBR3" s="18">
        <v>128844</v>
      </c>
      <c r="RBS3" s="18">
        <v>128851</v>
      </c>
      <c r="RBT3" s="18">
        <v>128858</v>
      </c>
      <c r="RBU3" s="18">
        <v>128865</v>
      </c>
      <c r="RBV3" s="18">
        <v>128872</v>
      </c>
      <c r="RBW3" s="18">
        <v>128879</v>
      </c>
      <c r="RBX3" s="18">
        <v>128886</v>
      </c>
      <c r="RBY3" s="18">
        <v>128893</v>
      </c>
      <c r="RBZ3" s="18">
        <v>128900</v>
      </c>
      <c r="RCA3" s="18">
        <v>128907</v>
      </c>
      <c r="RCB3" s="18">
        <v>128914</v>
      </c>
      <c r="RCC3" s="18">
        <v>128921</v>
      </c>
      <c r="RCD3" s="18">
        <v>128928</v>
      </c>
      <c r="RCE3" s="18">
        <v>128935</v>
      </c>
      <c r="RCF3" s="18">
        <v>128942</v>
      </c>
      <c r="RCG3" s="18">
        <v>128949</v>
      </c>
      <c r="RCH3" s="18">
        <v>128956</v>
      </c>
      <c r="RCI3" s="18">
        <v>128963</v>
      </c>
      <c r="RCJ3" s="18">
        <v>128970</v>
      </c>
      <c r="RCK3" s="18">
        <v>128977</v>
      </c>
      <c r="RCL3" s="18">
        <v>128984</v>
      </c>
      <c r="RCM3" s="18">
        <v>128991</v>
      </c>
      <c r="RCN3" s="18">
        <v>128998</v>
      </c>
      <c r="RCO3" s="18">
        <v>129005</v>
      </c>
      <c r="RCP3" s="18">
        <v>129012</v>
      </c>
      <c r="RCQ3" s="18">
        <v>129019</v>
      </c>
      <c r="RCR3" s="18">
        <v>129026</v>
      </c>
      <c r="RCS3" s="18">
        <v>129033</v>
      </c>
      <c r="RCT3" s="18">
        <v>129040</v>
      </c>
      <c r="RCU3" s="18">
        <v>129047</v>
      </c>
      <c r="RCV3" s="18">
        <v>129054</v>
      </c>
      <c r="RCW3" s="18">
        <v>129061</v>
      </c>
      <c r="RCX3" s="18">
        <v>129068</v>
      </c>
      <c r="RCY3" s="18">
        <v>129075</v>
      </c>
      <c r="RCZ3" s="18">
        <v>129082</v>
      </c>
      <c r="RDA3" s="18">
        <v>129089</v>
      </c>
      <c r="RDB3" s="18">
        <v>129096</v>
      </c>
      <c r="RDC3" s="18">
        <v>129103</v>
      </c>
      <c r="RDD3" s="18">
        <v>129110</v>
      </c>
      <c r="RDE3" s="18">
        <v>129117</v>
      </c>
      <c r="RDF3" s="18">
        <v>129124</v>
      </c>
      <c r="RDG3" s="18">
        <v>129131</v>
      </c>
      <c r="RDH3" s="18">
        <v>129138</v>
      </c>
      <c r="RDI3" s="18">
        <v>129145</v>
      </c>
      <c r="RDJ3" s="18">
        <v>129152</v>
      </c>
      <c r="RDK3" s="18">
        <v>129159</v>
      </c>
      <c r="RDL3" s="18">
        <v>129166</v>
      </c>
      <c r="RDM3" s="18">
        <v>129173</v>
      </c>
      <c r="RDN3" s="18">
        <v>129180</v>
      </c>
      <c r="RDO3" s="18">
        <v>129187</v>
      </c>
      <c r="RDP3" s="18">
        <v>129194</v>
      </c>
      <c r="RDQ3" s="18">
        <v>129201</v>
      </c>
      <c r="RDR3" s="18">
        <v>129208</v>
      </c>
      <c r="RDS3" s="18">
        <v>129215</v>
      </c>
      <c r="RDT3" s="18">
        <v>129222</v>
      </c>
      <c r="RDU3" s="18">
        <v>129229</v>
      </c>
      <c r="RDV3" s="18">
        <v>129236</v>
      </c>
      <c r="RDW3" s="18">
        <v>129243</v>
      </c>
      <c r="RDX3" s="18">
        <v>129250</v>
      </c>
      <c r="RDY3" s="18">
        <v>129257</v>
      </c>
      <c r="RDZ3" s="18">
        <v>129264</v>
      </c>
      <c r="REA3" s="18">
        <v>129271</v>
      </c>
      <c r="REB3" s="18">
        <v>129278</v>
      </c>
      <c r="REC3" s="18">
        <v>129285</v>
      </c>
      <c r="RED3" s="18">
        <v>129292</v>
      </c>
      <c r="REE3" s="18">
        <v>129299</v>
      </c>
      <c r="REF3" s="18">
        <v>129306</v>
      </c>
      <c r="REG3" s="18">
        <v>129313</v>
      </c>
      <c r="REH3" s="18">
        <v>129320</v>
      </c>
      <c r="REI3" s="18">
        <v>129327</v>
      </c>
      <c r="REJ3" s="18">
        <v>129334</v>
      </c>
      <c r="REK3" s="18">
        <v>129341</v>
      </c>
      <c r="REL3" s="18">
        <v>129348</v>
      </c>
      <c r="REM3" s="18">
        <v>129355</v>
      </c>
      <c r="REN3" s="18">
        <v>129362</v>
      </c>
      <c r="REO3" s="18">
        <v>129369</v>
      </c>
      <c r="REP3" s="18">
        <v>129376</v>
      </c>
      <c r="REQ3" s="18">
        <v>129383</v>
      </c>
      <c r="RER3" s="18">
        <v>129390</v>
      </c>
      <c r="RES3" s="18">
        <v>129397</v>
      </c>
      <c r="RET3" s="18">
        <v>129404</v>
      </c>
      <c r="REU3" s="18">
        <v>129411</v>
      </c>
      <c r="REV3" s="18">
        <v>129418</v>
      </c>
      <c r="REW3" s="18">
        <v>129425</v>
      </c>
      <c r="REX3" s="18">
        <v>129432</v>
      </c>
      <c r="REY3" s="18">
        <v>129439</v>
      </c>
      <c r="REZ3" s="18">
        <v>129446</v>
      </c>
      <c r="RFA3" s="18">
        <v>129453</v>
      </c>
      <c r="RFB3" s="18">
        <v>129460</v>
      </c>
      <c r="RFC3" s="18">
        <v>129467</v>
      </c>
      <c r="RFD3" s="18">
        <v>129474</v>
      </c>
      <c r="RFE3" s="18">
        <v>129481</v>
      </c>
      <c r="RFF3" s="18">
        <v>129488</v>
      </c>
      <c r="RFG3" s="18">
        <v>129495</v>
      </c>
      <c r="RFH3" s="18">
        <v>129502</v>
      </c>
      <c r="RFI3" s="18">
        <v>129509</v>
      </c>
      <c r="RFJ3" s="18">
        <v>129516</v>
      </c>
      <c r="RFK3" s="18">
        <v>129523</v>
      </c>
      <c r="RFL3" s="18">
        <v>129530</v>
      </c>
      <c r="RFM3" s="18">
        <v>129537</v>
      </c>
      <c r="RFN3" s="18">
        <v>129544</v>
      </c>
      <c r="RFO3" s="18">
        <v>129551</v>
      </c>
      <c r="RFP3" s="18">
        <v>129558</v>
      </c>
      <c r="RFQ3" s="18">
        <v>129565</v>
      </c>
      <c r="RFR3" s="18">
        <v>129572</v>
      </c>
      <c r="RFS3" s="18">
        <v>129579</v>
      </c>
      <c r="RFT3" s="18">
        <v>129586</v>
      </c>
      <c r="RFU3" s="18">
        <v>129593</v>
      </c>
      <c r="RFV3" s="18">
        <v>129600</v>
      </c>
      <c r="RFW3" s="18">
        <v>129607</v>
      </c>
      <c r="RFX3" s="18">
        <v>129614</v>
      </c>
      <c r="RFY3" s="18">
        <v>129621</v>
      </c>
      <c r="RFZ3" s="18">
        <v>129628</v>
      </c>
      <c r="RGA3" s="18">
        <v>129635</v>
      </c>
      <c r="RGB3" s="18">
        <v>129642</v>
      </c>
      <c r="RGC3" s="18">
        <v>129649</v>
      </c>
      <c r="RGD3" s="18">
        <v>129656</v>
      </c>
      <c r="RGE3" s="18">
        <v>129663</v>
      </c>
      <c r="RGF3" s="18">
        <v>129670</v>
      </c>
      <c r="RGG3" s="18">
        <v>129677</v>
      </c>
      <c r="RGH3" s="18">
        <v>129684</v>
      </c>
      <c r="RGI3" s="18">
        <v>129691</v>
      </c>
      <c r="RGJ3" s="18">
        <v>129698</v>
      </c>
      <c r="RGK3" s="18">
        <v>129705</v>
      </c>
      <c r="RGL3" s="18">
        <v>129712</v>
      </c>
      <c r="RGM3" s="18">
        <v>129719</v>
      </c>
      <c r="RGN3" s="18">
        <v>129726</v>
      </c>
      <c r="RGO3" s="18">
        <v>129733</v>
      </c>
      <c r="RGP3" s="18">
        <v>129740</v>
      </c>
      <c r="RGQ3" s="18">
        <v>129747</v>
      </c>
      <c r="RGR3" s="18">
        <v>129754</v>
      </c>
      <c r="RGS3" s="18">
        <v>129761</v>
      </c>
      <c r="RGT3" s="18">
        <v>129768</v>
      </c>
      <c r="RGU3" s="18">
        <v>129775</v>
      </c>
      <c r="RGV3" s="18">
        <v>129782</v>
      </c>
      <c r="RGW3" s="18">
        <v>129789</v>
      </c>
      <c r="RGX3" s="18">
        <v>129796</v>
      </c>
      <c r="RGY3" s="18">
        <v>129803</v>
      </c>
      <c r="RGZ3" s="18">
        <v>129810</v>
      </c>
      <c r="RHA3" s="18">
        <v>129817</v>
      </c>
      <c r="RHB3" s="18">
        <v>129824</v>
      </c>
      <c r="RHC3" s="18">
        <v>129831</v>
      </c>
      <c r="RHD3" s="18">
        <v>129838</v>
      </c>
      <c r="RHE3" s="18">
        <v>129845</v>
      </c>
      <c r="RHF3" s="18">
        <v>129852</v>
      </c>
      <c r="RHG3" s="18">
        <v>129859</v>
      </c>
      <c r="RHH3" s="18">
        <v>129866</v>
      </c>
      <c r="RHI3" s="18">
        <v>129873</v>
      </c>
      <c r="RHJ3" s="18">
        <v>129880</v>
      </c>
      <c r="RHK3" s="18">
        <v>129887</v>
      </c>
      <c r="RHL3" s="18">
        <v>129894</v>
      </c>
      <c r="RHM3" s="18">
        <v>129901</v>
      </c>
      <c r="RHN3" s="18">
        <v>129908</v>
      </c>
      <c r="RHO3" s="18">
        <v>129915</v>
      </c>
      <c r="RHP3" s="18">
        <v>129922</v>
      </c>
      <c r="RHQ3" s="18">
        <v>129929</v>
      </c>
      <c r="RHR3" s="18">
        <v>129936</v>
      </c>
      <c r="RHS3" s="18">
        <v>129943</v>
      </c>
      <c r="RHT3" s="18">
        <v>129950</v>
      </c>
      <c r="RHU3" s="18">
        <v>129957</v>
      </c>
      <c r="RHV3" s="18">
        <v>129964</v>
      </c>
      <c r="RHW3" s="18">
        <v>129971</v>
      </c>
      <c r="RHX3" s="18">
        <v>129978</v>
      </c>
      <c r="RHY3" s="18">
        <v>129985</v>
      </c>
      <c r="RHZ3" s="18">
        <v>129992</v>
      </c>
      <c r="RIA3" s="18">
        <v>129999</v>
      </c>
      <c r="RIB3" s="18">
        <v>130006</v>
      </c>
      <c r="RIC3" s="18">
        <v>130013</v>
      </c>
      <c r="RID3" s="18">
        <v>130020</v>
      </c>
      <c r="RIE3" s="18">
        <v>130027</v>
      </c>
      <c r="RIF3" s="18">
        <v>130034</v>
      </c>
      <c r="RIG3" s="18">
        <v>130041</v>
      </c>
      <c r="RIH3" s="18">
        <v>130048</v>
      </c>
      <c r="RII3" s="18">
        <v>130055</v>
      </c>
      <c r="RIJ3" s="18">
        <v>130062</v>
      </c>
      <c r="RIK3" s="18">
        <v>130069</v>
      </c>
      <c r="RIL3" s="18">
        <v>130076</v>
      </c>
      <c r="RIM3" s="18">
        <v>130083</v>
      </c>
      <c r="RIN3" s="18">
        <v>130090</v>
      </c>
      <c r="RIO3" s="18">
        <v>130097</v>
      </c>
      <c r="RIP3" s="18">
        <v>130104</v>
      </c>
      <c r="RIQ3" s="18">
        <v>130111</v>
      </c>
      <c r="RIR3" s="18">
        <v>130118</v>
      </c>
      <c r="RIS3" s="18">
        <v>130125</v>
      </c>
      <c r="RIT3" s="18">
        <v>130132</v>
      </c>
      <c r="RIU3" s="18">
        <v>130139</v>
      </c>
      <c r="RIV3" s="18">
        <v>130146</v>
      </c>
      <c r="RIW3" s="18">
        <v>130153</v>
      </c>
      <c r="RIX3" s="18">
        <v>130160</v>
      </c>
      <c r="RIY3" s="18">
        <v>130167</v>
      </c>
      <c r="RIZ3" s="18">
        <v>130174</v>
      </c>
      <c r="RJA3" s="18">
        <v>130181</v>
      </c>
      <c r="RJB3" s="18">
        <v>130188</v>
      </c>
      <c r="RJC3" s="18">
        <v>130195</v>
      </c>
      <c r="RJD3" s="18">
        <v>130202</v>
      </c>
      <c r="RJE3" s="18">
        <v>130209</v>
      </c>
      <c r="RJF3" s="18">
        <v>130216</v>
      </c>
      <c r="RJG3" s="18">
        <v>130223</v>
      </c>
      <c r="RJH3" s="18">
        <v>130230</v>
      </c>
      <c r="RJI3" s="18">
        <v>130237</v>
      </c>
      <c r="RJJ3" s="18">
        <v>130244</v>
      </c>
      <c r="RJK3" s="18">
        <v>130251</v>
      </c>
      <c r="RJL3" s="18">
        <v>130258</v>
      </c>
      <c r="RJM3" s="18">
        <v>130265</v>
      </c>
      <c r="RJN3" s="18">
        <v>130272</v>
      </c>
      <c r="RJO3" s="18">
        <v>130279</v>
      </c>
      <c r="RJP3" s="18">
        <v>130286</v>
      </c>
      <c r="RJQ3" s="18">
        <v>130293</v>
      </c>
      <c r="RJR3" s="18">
        <v>130300</v>
      </c>
      <c r="RJS3" s="18">
        <v>130307</v>
      </c>
      <c r="RJT3" s="18">
        <v>130314</v>
      </c>
      <c r="RJU3" s="18">
        <v>130321</v>
      </c>
      <c r="RJV3" s="18">
        <v>130328</v>
      </c>
      <c r="RJW3" s="18">
        <v>130335</v>
      </c>
      <c r="RJX3" s="18">
        <v>130342</v>
      </c>
      <c r="RJY3" s="18">
        <v>130349</v>
      </c>
      <c r="RJZ3" s="18">
        <v>130356</v>
      </c>
      <c r="RKA3" s="18">
        <v>130363</v>
      </c>
      <c r="RKB3" s="18">
        <v>130370</v>
      </c>
      <c r="RKC3" s="18">
        <v>130377</v>
      </c>
      <c r="RKD3" s="18">
        <v>130384</v>
      </c>
      <c r="RKE3" s="18">
        <v>130391</v>
      </c>
      <c r="RKF3" s="18">
        <v>130398</v>
      </c>
      <c r="RKG3" s="18">
        <v>130405</v>
      </c>
      <c r="RKH3" s="18">
        <v>130412</v>
      </c>
      <c r="RKI3" s="18">
        <v>130419</v>
      </c>
      <c r="RKJ3" s="18">
        <v>130426</v>
      </c>
      <c r="RKK3" s="18">
        <v>130433</v>
      </c>
      <c r="RKL3" s="18">
        <v>130440</v>
      </c>
      <c r="RKM3" s="18">
        <v>130447</v>
      </c>
      <c r="RKN3" s="18">
        <v>130454</v>
      </c>
      <c r="RKO3" s="18">
        <v>130461</v>
      </c>
      <c r="RKP3" s="18">
        <v>130468</v>
      </c>
      <c r="RKQ3" s="18">
        <v>130475</v>
      </c>
      <c r="RKR3" s="18">
        <v>130482</v>
      </c>
      <c r="RKS3" s="18">
        <v>130489</v>
      </c>
      <c r="RKT3" s="18">
        <v>130496</v>
      </c>
      <c r="RKU3" s="18">
        <v>130503</v>
      </c>
      <c r="RKV3" s="18">
        <v>130510</v>
      </c>
      <c r="RKW3" s="18">
        <v>130517</v>
      </c>
      <c r="RKX3" s="18">
        <v>130524</v>
      </c>
      <c r="RKY3" s="18">
        <v>130531</v>
      </c>
      <c r="RKZ3" s="18">
        <v>130538</v>
      </c>
      <c r="RLA3" s="18">
        <v>130545</v>
      </c>
      <c r="RLB3" s="18">
        <v>130552</v>
      </c>
      <c r="RLC3" s="18">
        <v>130559</v>
      </c>
      <c r="RLD3" s="18">
        <v>130566</v>
      </c>
      <c r="RLE3" s="18">
        <v>130573</v>
      </c>
      <c r="RLF3" s="18">
        <v>130580</v>
      </c>
      <c r="RLG3" s="18">
        <v>130587</v>
      </c>
      <c r="RLH3" s="18">
        <v>130594</v>
      </c>
      <c r="RLI3" s="18">
        <v>130601</v>
      </c>
      <c r="RLJ3" s="18">
        <v>130608</v>
      </c>
      <c r="RLK3" s="18">
        <v>130615</v>
      </c>
      <c r="RLL3" s="18">
        <v>130622</v>
      </c>
      <c r="RLM3" s="18">
        <v>130629</v>
      </c>
      <c r="RLN3" s="18">
        <v>130636</v>
      </c>
      <c r="RLO3" s="18">
        <v>130643</v>
      </c>
      <c r="RLP3" s="18">
        <v>130650</v>
      </c>
      <c r="RLQ3" s="18">
        <v>130657</v>
      </c>
      <c r="RLR3" s="18">
        <v>130664</v>
      </c>
      <c r="RLS3" s="18">
        <v>130671</v>
      </c>
      <c r="RLT3" s="18">
        <v>130678</v>
      </c>
      <c r="RLU3" s="18">
        <v>130685</v>
      </c>
      <c r="RLV3" s="18">
        <v>130692</v>
      </c>
      <c r="RLW3" s="18">
        <v>130699</v>
      </c>
      <c r="RLX3" s="18">
        <v>130706</v>
      </c>
      <c r="RLY3" s="18">
        <v>130713</v>
      </c>
      <c r="RLZ3" s="18">
        <v>130720</v>
      </c>
      <c r="RMA3" s="18">
        <v>130727</v>
      </c>
      <c r="RMB3" s="18">
        <v>130734</v>
      </c>
      <c r="RMC3" s="18">
        <v>130741</v>
      </c>
      <c r="RMD3" s="18">
        <v>130748</v>
      </c>
      <c r="RME3" s="18">
        <v>130755</v>
      </c>
      <c r="RMF3" s="18">
        <v>130762</v>
      </c>
      <c r="RMG3" s="18">
        <v>130769</v>
      </c>
      <c r="RMH3" s="18">
        <v>130776</v>
      </c>
      <c r="RMI3" s="18">
        <v>130783</v>
      </c>
      <c r="RMJ3" s="18">
        <v>130790</v>
      </c>
      <c r="RMK3" s="18">
        <v>130797</v>
      </c>
      <c r="RML3" s="18">
        <v>130804</v>
      </c>
      <c r="RMM3" s="18">
        <v>130811</v>
      </c>
      <c r="RMN3" s="18">
        <v>130818</v>
      </c>
      <c r="RMO3" s="18">
        <v>130825</v>
      </c>
      <c r="RMP3" s="18">
        <v>130832</v>
      </c>
      <c r="RMQ3" s="18">
        <v>130839</v>
      </c>
      <c r="RMR3" s="18">
        <v>130846</v>
      </c>
      <c r="RMS3" s="18">
        <v>130853</v>
      </c>
      <c r="RMT3" s="18">
        <v>130860</v>
      </c>
      <c r="RMU3" s="18">
        <v>130867</v>
      </c>
      <c r="RMV3" s="18">
        <v>130874</v>
      </c>
      <c r="RMW3" s="18">
        <v>130881</v>
      </c>
      <c r="RMX3" s="18">
        <v>130888</v>
      </c>
      <c r="RMY3" s="18">
        <v>130895</v>
      </c>
      <c r="RMZ3" s="18">
        <v>130902</v>
      </c>
      <c r="RNA3" s="18">
        <v>130909</v>
      </c>
      <c r="RNB3" s="18">
        <v>130916</v>
      </c>
      <c r="RNC3" s="18">
        <v>130923</v>
      </c>
      <c r="RND3" s="18">
        <v>130930</v>
      </c>
      <c r="RNE3" s="18">
        <v>130937</v>
      </c>
      <c r="RNF3" s="18">
        <v>130944</v>
      </c>
      <c r="RNG3" s="18">
        <v>130951</v>
      </c>
      <c r="RNH3" s="18">
        <v>130958</v>
      </c>
      <c r="RNI3" s="18">
        <v>130965</v>
      </c>
      <c r="RNJ3" s="18">
        <v>130972</v>
      </c>
      <c r="RNK3" s="18">
        <v>130979</v>
      </c>
      <c r="RNL3" s="18">
        <v>130986</v>
      </c>
      <c r="RNM3" s="18">
        <v>130993</v>
      </c>
      <c r="RNN3" s="18">
        <v>131000</v>
      </c>
      <c r="RNO3" s="18">
        <v>131007</v>
      </c>
      <c r="RNP3" s="18">
        <v>131014</v>
      </c>
      <c r="RNQ3" s="18">
        <v>131021</v>
      </c>
      <c r="RNR3" s="18">
        <v>131028</v>
      </c>
      <c r="RNS3" s="18">
        <v>131035</v>
      </c>
      <c r="RNT3" s="18">
        <v>131042</v>
      </c>
      <c r="RNU3" s="18">
        <v>131049</v>
      </c>
      <c r="RNV3" s="18">
        <v>131056</v>
      </c>
      <c r="RNW3" s="18">
        <v>131063</v>
      </c>
      <c r="RNX3" s="18">
        <v>131070</v>
      </c>
      <c r="RNY3" s="18">
        <v>131077</v>
      </c>
      <c r="RNZ3" s="18">
        <v>131084</v>
      </c>
      <c r="ROA3" s="18">
        <v>131091</v>
      </c>
      <c r="ROB3" s="18">
        <v>131098</v>
      </c>
      <c r="ROC3" s="18">
        <v>131105</v>
      </c>
      <c r="ROD3" s="18">
        <v>131112</v>
      </c>
      <c r="ROE3" s="18">
        <v>131119</v>
      </c>
      <c r="ROF3" s="18">
        <v>131126</v>
      </c>
      <c r="ROG3" s="18">
        <v>131133</v>
      </c>
      <c r="ROH3" s="18">
        <v>131140</v>
      </c>
      <c r="ROI3" s="18">
        <v>131147</v>
      </c>
      <c r="ROJ3" s="18">
        <v>131154</v>
      </c>
      <c r="ROK3" s="18">
        <v>131161</v>
      </c>
      <c r="ROL3" s="18">
        <v>131168</v>
      </c>
      <c r="ROM3" s="18">
        <v>131175</v>
      </c>
      <c r="RON3" s="18">
        <v>131182</v>
      </c>
      <c r="ROO3" s="18">
        <v>131189</v>
      </c>
      <c r="ROP3" s="18">
        <v>131196</v>
      </c>
      <c r="ROQ3" s="18">
        <v>131203</v>
      </c>
      <c r="ROR3" s="18">
        <v>131210</v>
      </c>
      <c r="ROS3" s="18">
        <v>131217</v>
      </c>
      <c r="ROT3" s="18">
        <v>131224</v>
      </c>
      <c r="ROU3" s="18">
        <v>131231</v>
      </c>
      <c r="ROV3" s="18">
        <v>131238</v>
      </c>
      <c r="ROW3" s="18">
        <v>131245</v>
      </c>
      <c r="ROX3" s="18">
        <v>131252</v>
      </c>
      <c r="ROY3" s="18">
        <v>131259</v>
      </c>
      <c r="ROZ3" s="18">
        <v>131266</v>
      </c>
      <c r="RPA3" s="18">
        <v>131273</v>
      </c>
      <c r="RPB3" s="18">
        <v>131280</v>
      </c>
      <c r="RPC3" s="18">
        <v>131287</v>
      </c>
      <c r="RPD3" s="18">
        <v>131294</v>
      </c>
      <c r="RPE3" s="18">
        <v>131301</v>
      </c>
      <c r="RPF3" s="18">
        <v>131308</v>
      </c>
      <c r="RPG3" s="18">
        <v>131315</v>
      </c>
      <c r="RPH3" s="18">
        <v>131322</v>
      </c>
      <c r="RPI3" s="18">
        <v>131329</v>
      </c>
      <c r="RPJ3" s="18">
        <v>131336</v>
      </c>
      <c r="RPK3" s="18">
        <v>131343</v>
      </c>
      <c r="RPL3" s="18">
        <v>131350</v>
      </c>
      <c r="RPM3" s="18">
        <v>131357</v>
      </c>
      <c r="RPN3" s="18">
        <v>131364</v>
      </c>
      <c r="RPO3" s="18">
        <v>131371</v>
      </c>
      <c r="RPP3" s="18">
        <v>131378</v>
      </c>
      <c r="RPQ3" s="18">
        <v>131385</v>
      </c>
      <c r="RPR3" s="18">
        <v>131392</v>
      </c>
      <c r="RPS3" s="18">
        <v>131399</v>
      </c>
      <c r="RPT3" s="18">
        <v>131406</v>
      </c>
      <c r="RPU3" s="18">
        <v>131413</v>
      </c>
      <c r="RPV3" s="18">
        <v>131420</v>
      </c>
      <c r="RPW3" s="18">
        <v>131427</v>
      </c>
      <c r="RPX3" s="18">
        <v>131434</v>
      </c>
      <c r="RPY3" s="18">
        <v>131441</v>
      </c>
      <c r="RPZ3" s="18">
        <v>131448</v>
      </c>
      <c r="RQA3" s="18">
        <v>131455</v>
      </c>
      <c r="RQB3" s="18">
        <v>131462</v>
      </c>
      <c r="RQC3" s="18">
        <v>131469</v>
      </c>
      <c r="RQD3" s="18">
        <v>131476</v>
      </c>
      <c r="RQE3" s="18">
        <v>131483</v>
      </c>
      <c r="RQF3" s="18">
        <v>131490</v>
      </c>
      <c r="RQG3" s="18">
        <v>131497</v>
      </c>
      <c r="RQH3" s="18">
        <v>131504</v>
      </c>
      <c r="RQI3" s="18">
        <v>131511</v>
      </c>
      <c r="RQJ3" s="18">
        <v>131518</v>
      </c>
      <c r="RQK3" s="18">
        <v>131525</v>
      </c>
      <c r="RQL3" s="18">
        <v>131532</v>
      </c>
      <c r="RQM3" s="18">
        <v>131539</v>
      </c>
      <c r="RQN3" s="18">
        <v>131546</v>
      </c>
      <c r="RQO3" s="18">
        <v>131553</v>
      </c>
      <c r="RQP3" s="18">
        <v>131560</v>
      </c>
      <c r="RQQ3" s="18">
        <v>131567</v>
      </c>
      <c r="RQR3" s="18">
        <v>131574</v>
      </c>
      <c r="RQS3" s="18">
        <v>131581</v>
      </c>
      <c r="RQT3" s="18">
        <v>131588</v>
      </c>
      <c r="RQU3" s="18">
        <v>131595</v>
      </c>
      <c r="RQV3" s="18">
        <v>131602</v>
      </c>
      <c r="RQW3" s="18">
        <v>131609</v>
      </c>
      <c r="RQX3" s="18">
        <v>131616</v>
      </c>
      <c r="RQY3" s="18">
        <v>131623</v>
      </c>
      <c r="RQZ3" s="18">
        <v>131630</v>
      </c>
      <c r="RRA3" s="18">
        <v>131637</v>
      </c>
      <c r="RRB3" s="18">
        <v>131644</v>
      </c>
      <c r="RRC3" s="18">
        <v>131651</v>
      </c>
      <c r="RRD3" s="18">
        <v>131658</v>
      </c>
      <c r="RRE3" s="18">
        <v>131665</v>
      </c>
      <c r="RRF3" s="18">
        <v>131672</v>
      </c>
      <c r="RRG3" s="18">
        <v>131679</v>
      </c>
      <c r="RRH3" s="18">
        <v>131686</v>
      </c>
      <c r="RRI3" s="18">
        <v>131693</v>
      </c>
      <c r="RRJ3" s="18">
        <v>131700</v>
      </c>
      <c r="RRK3" s="18">
        <v>131707</v>
      </c>
      <c r="RRL3" s="18">
        <v>131714</v>
      </c>
      <c r="RRM3" s="18">
        <v>131721</v>
      </c>
      <c r="RRN3" s="18">
        <v>131728</v>
      </c>
      <c r="RRO3" s="18">
        <v>131735</v>
      </c>
      <c r="RRP3" s="18">
        <v>131742</v>
      </c>
      <c r="RRQ3" s="18">
        <v>131749</v>
      </c>
      <c r="RRR3" s="18">
        <v>131756</v>
      </c>
      <c r="RRS3" s="18">
        <v>131763</v>
      </c>
      <c r="RRT3" s="18">
        <v>131770</v>
      </c>
      <c r="RRU3" s="18">
        <v>131777</v>
      </c>
      <c r="RRV3" s="18">
        <v>131784</v>
      </c>
      <c r="RRW3" s="18">
        <v>131791</v>
      </c>
      <c r="RRX3" s="18">
        <v>131798</v>
      </c>
      <c r="RRY3" s="18">
        <v>131805</v>
      </c>
      <c r="RRZ3" s="18">
        <v>131812</v>
      </c>
      <c r="RSA3" s="18">
        <v>131819</v>
      </c>
      <c r="RSB3" s="18">
        <v>131826</v>
      </c>
      <c r="RSC3" s="18">
        <v>131833</v>
      </c>
      <c r="RSD3" s="18">
        <v>131840</v>
      </c>
      <c r="RSE3" s="18">
        <v>131847</v>
      </c>
      <c r="RSF3" s="18">
        <v>131854</v>
      </c>
      <c r="RSG3" s="18">
        <v>131861</v>
      </c>
      <c r="RSH3" s="18">
        <v>131868</v>
      </c>
      <c r="RSI3" s="18">
        <v>131875</v>
      </c>
      <c r="RSJ3" s="18">
        <v>131882</v>
      </c>
      <c r="RSK3" s="18">
        <v>131889</v>
      </c>
      <c r="RSL3" s="18">
        <v>131896</v>
      </c>
      <c r="RSM3" s="18">
        <v>131903</v>
      </c>
      <c r="RSN3" s="18">
        <v>131910</v>
      </c>
      <c r="RSO3" s="18">
        <v>131917</v>
      </c>
      <c r="RSP3" s="18">
        <v>131924</v>
      </c>
      <c r="RSQ3" s="18">
        <v>131931</v>
      </c>
      <c r="RSR3" s="18">
        <v>131938</v>
      </c>
      <c r="RSS3" s="18">
        <v>131945</v>
      </c>
      <c r="RST3" s="18">
        <v>131952</v>
      </c>
      <c r="RSU3" s="18">
        <v>131959</v>
      </c>
      <c r="RSV3" s="18">
        <v>131966</v>
      </c>
      <c r="RSW3" s="18">
        <v>131973</v>
      </c>
      <c r="RSX3" s="18">
        <v>131980</v>
      </c>
      <c r="RSY3" s="18">
        <v>131987</v>
      </c>
      <c r="RSZ3" s="18">
        <v>131994</v>
      </c>
      <c r="RTA3" s="18">
        <v>132001</v>
      </c>
      <c r="RTB3" s="18">
        <v>132008</v>
      </c>
      <c r="RTC3" s="18">
        <v>132015</v>
      </c>
      <c r="RTD3" s="18">
        <v>132022</v>
      </c>
      <c r="RTE3" s="18">
        <v>132029</v>
      </c>
      <c r="RTF3" s="18">
        <v>132036</v>
      </c>
      <c r="RTG3" s="18">
        <v>132043</v>
      </c>
      <c r="RTH3" s="18">
        <v>132050</v>
      </c>
      <c r="RTI3" s="18">
        <v>132057</v>
      </c>
      <c r="RTJ3" s="18">
        <v>132064</v>
      </c>
      <c r="RTK3" s="18">
        <v>132071</v>
      </c>
      <c r="RTL3" s="18">
        <v>132078</v>
      </c>
      <c r="RTM3" s="18">
        <v>132085</v>
      </c>
      <c r="RTN3" s="18">
        <v>132092</v>
      </c>
      <c r="RTO3" s="18">
        <v>132099</v>
      </c>
      <c r="RTP3" s="18">
        <v>132106</v>
      </c>
      <c r="RTQ3" s="18">
        <v>132113</v>
      </c>
      <c r="RTR3" s="18">
        <v>132120</v>
      </c>
      <c r="RTS3" s="18">
        <v>132127</v>
      </c>
      <c r="RTT3" s="18">
        <v>132134</v>
      </c>
      <c r="RTU3" s="18">
        <v>132141</v>
      </c>
      <c r="RTV3" s="18">
        <v>132148</v>
      </c>
      <c r="RTW3" s="18">
        <v>132155</v>
      </c>
      <c r="RTX3" s="18">
        <v>132162</v>
      </c>
      <c r="RTY3" s="18">
        <v>132169</v>
      </c>
      <c r="RTZ3" s="18">
        <v>132176</v>
      </c>
      <c r="RUA3" s="18">
        <v>132183</v>
      </c>
      <c r="RUB3" s="18">
        <v>132190</v>
      </c>
      <c r="RUC3" s="18">
        <v>132197</v>
      </c>
      <c r="RUD3" s="18">
        <v>132204</v>
      </c>
      <c r="RUE3" s="18">
        <v>132211</v>
      </c>
      <c r="RUF3" s="18">
        <v>132218</v>
      </c>
      <c r="RUG3" s="18">
        <v>132225</v>
      </c>
      <c r="RUH3" s="18">
        <v>132232</v>
      </c>
      <c r="RUI3" s="18">
        <v>132239</v>
      </c>
      <c r="RUJ3" s="18">
        <v>132246</v>
      </c>
      <c r="RUK3" s="18">
        <v>132253</v>
      </c>
      <c r="RUL3" s="18">
        <v>132260</v>
      </c>
      <c r="RUM3" s="18">
        <v>132267</v>
      </c>
      <c r="RUN3" s="18">
        <v>132274</v>
      </c>
      <c r="RUO3" s="18">
        <v>132281</v>
      </c>
      <c r="RUP3" s="18">
        <v>132288</v>
      </c>
      <c r="RUQ3" s="18">
        <v>132295</v>
      </c>
      <c r="RUR3" s="18">
        <v>132302</v>
      </c>
      <c r="RUS3" s="18">
        <v>132309</v>
      </c>
      <c r="RUT3" s="18">
        <v>132316</v>
      </c>
      <c r="RUU3" s="18">
        <v>132323</v>
      </c>
      <c r="RUV3" s="18">
        <v>132330</v>
      </c>
      <c r="RUW3" s="18">
        <v>132337</v>
      </c>
      <c r="RUX3" s="18">
        <v>132344</v>
      </c>
      <c r="RUY3" s="18">
        <v>132351</v>
      </c>
      <c r="RUZ3" s="18">
        <v>132358</v>
      </c>
      <c r="RVA3" s="18">
        <v>132365</v>
      </c>
      <c r="RVB3" s="18">
        <v>132372</v>
      </c>
      <c r="RVC3" s="18">
        <v>132379</v>
      </c>
      <c r="RVD3" s="18">
        <v>132386</v>
      </c>
      <c r="RVE3" s="18">
        <v>132393</v>
      </c>
      <c r="RVF3" s="18">
        <v>132400</v>
      </c>
      <c r="RVG3" s="18">
        <v>132407</v>
      </c>
      <c r="RVH3" s="18">
        <v>132414</v>
      </c>
      <c r="RVI3" s="18">
        <v>132421</v>
      </c>
      <c r="RVJ3" s="18">
        <v>132428</v>
      </c>
      <c r="RVK3" s="18">
        <v>132435</v>
      </c>
      <c r="RVL3" s="18">
        <v>132442</v>
      </c>
      <c r="RVM3" s="18">
        <v>132449</v>
      </c>
      <c r="RVN3" s="18">
        <v>132456</v>
      </c>
      <c r="RVO3" s="18">
        <v>132463</v>
      </c>
      <c r="RVP3" s="18">
        <v>132470</v>
      </c>
      <c r="RVQ3" s="18">
        <v>132477</v>
      </c>
      <c r="RVR3" s="18">
        <v>132484</v>
      </c>
      <c r="RVS3" s="18">
        <v>132491</v>
      </c>
      <c r="RVT3" s="18">
        <v>132498</v>
      </c>
      <c r="RVU3" s="18">
        <v>132505</v>
      </c>
      <c r="RVV3" s="18">
        <v>132512</v>
      </c>
      <c r="RVW3" s="18">
        <v>132519</v>
      </c>
      <c r="RVX3" s="18">
        <v>132526</v>
      </c>
      <c r="RVY3" s="18">
        <v>132533</v>
      </c>
      <c r="RVZ3" s="18">
        <v>132540</v>
      </c>
      <c r="RWA3" s="18">
        <v>132547</v>
      </c>
      <c r="RWB3" s="18">
        <v>132554</v>
      </c>
      <c r="RWC3" s="18">
        <v>132561</v>
      </c>
      <c r="RWD3" s="18">
        <v>132568</v>
      </c>
      <c r="RWE3" s="18">
        <v>132575</v>
      </c>
      <c r="RWF3" s="18">
        <v>132582</v>
      </c>
      <c r="RWG3" s="18">
        <v>132589</v>
      </c>
      <c r="RWH3" s="18">
        <v>132596</v>
      </c>
      <c r="RWI3" s="18">
        <v>132603</v>
      </c>
      <c r="RWJ3" s="18">
        <v>132610</v>
      </c>
      <c r="RWK3" s="18">
        <v>132617</v>
      </c>
      <c r="RWL3" s="18">
        <v>132624</v>
      </c>
      <c r="RWM3" s="18">
        <v>132631</v>
      </c>
      <c r="RWN3" s="18">
        <v>132638</v>
      </c>
      <c r="RWO3" s="18">
        <v>132645</v>
      </c>
      <c r="RWP3" s="18">
        <v>132652</v>
      </c>
      <c r="RWQ3" s="18">
        <v>132659</v>
      </c>
      <c r="RWR3" s="18">
        <v>132666</v>
      </c>
      <c r="RWS3" s="18">
        <v>132673</v>
      </c>
      <c r="RWT3" s="18">
        <v>132680</v>
      </c>
      <c r="RWU3" s="18">
        <v>132687</v>
      </c>
      <c r="RWV3" s="18">
        <v>132694</v>
      </c>
      <c r="RWW3" s="18">
        <v>132701</v>
      </c>
      <c r="RWX3" s="18">
        <v>132708</v>
      </c>
      <c r="RWY3" s="18">
        <v>132715</v>
      </c>
      <c r="RWZ3" s="18">
        <v>132722</v>
      </c>
      <c r="RXA3" s="18">
        <v>132729</v>
      </c>
      <c r="RXB3" s="18">
        <v>132736</v>
      </c>
      <c r="RXC3" s="18">
        <v>132743</v>
      </c>
      <c r="RXD3" s="18">
        <v>132750</v>
      </c>
      <c r="RXE3" s="18">
        <v>132757</v>
      </c>
      <c r="RXF3" s="18">
        <v>132764</v>
      </c>
      <c r="RXG3" s="18">
        <v>132771</v>
      </c>
      <c r="RXH3" s="18">
        <v>132778</v>
      </c>
      <c r="RXI3" s="18">
        <v>132785</v>
      </c>
      <c r="RXJ3" s="18">
        <v>132792</v>
      </c>
      <c r="RXK3" s="18">
        <v>132799</v>
      </c>
      <c r="RXL3" s="18">
        <v>132806</v>
      </c>
      <c r="RXM3" s="18">
        <v>132813</v>
      </c>
      <c r="RXN3" s="18">
        <v>132820</v>
      </c>
      <c r="RXO3" s="18">
        <v>132827</v>
      </c>
      <c r="RXP3" s="18">
        <v>132834</v>
      </c>
      <c r="RXQ3" s="18">
        <v>132841</v>
      </c>
      <c r="RXR3" s="18">
        <v>132848</v>
      </c>
      <c r="RXS3" s="18">
        <v>132855</v>
      </c>
      <c r="RXT3" s="18">
        <v>132862</v>
      </c>
      <c r="RXU3" s="18">
        <v>132869</v>
      </c>
      <c r="RXV3" s="18">
        <v>132876</v>
      </c>
      <c r="RXW3" s="18">
        <v>132883</v>
      </c>
      <c r="RXX3" s="18">
        <v>132890</v>
      </c>
      <c r="RXY3" s="18">
        <v>132897</v>
      </c>
      <c r="RXZ3" s="18">
        <v>132904</v>
      </c>
      <c r="RYA3" s="18">
        <v>132911</v>
      </c>
      <c r="RYB3" s="18">
        <v>132918</v>
      </c>
      <c r="RYC3" s="18">
        <v>132925</v>
      </c>
      <c r="RYD3" s="18">
        <v>132932</v>
      </c>
      <c r="RYE3" s="18">
        <v>132939</v>
      </c>
      <c r="RYF3" s="18">
        <v>132946</v>
      </c>
      <c r="RYG3" s="18">
        <v>132953</v>
      </c>
      <c r="RYH3" s="18">
        <v>132960</v>
      </c>
      <c r="RYI3" s="18">
        <v>132967</v>
      </c>
      <c r="RYJ3" s="18">
        <v>132974</v>
      </c>
      <c r="RYK3" s="18">
        <v>132981</v>
      </c>
      <c r="RYL3" s="18">
        <v>132988</v>
      </c>
      <c r="RYM3" s="18">
        <v>132995</v>
      </c>
      <c r="RYN3" s="18">
        <v>133002</v>
      </c>
      <c r="RYO3" s="18">
        <v>133009</v>
      </c>
      <c r="RYP3" s="18">
        <v>133016</v>
      </c>
      <c r="RYQ3" s="18">
        <v>133023</v>
      </c>
      <c r="RYR3" s="18">
        <v>133030</v>
      </c>
      <c r="RYS3" s="18">
        <v>133037</v>
      </c>
      <c r="RYT3" s="18">
        <v>133044</v>
      </c>
      <c r="RYU3" s="18">
        <v>133051</v>
      </c>
      <c r="RYV3" s="18">
        <v>133058</v>
      </c>
      <c r="RYW3" s="18">
        <v>133065</v>
      </c>
      <c r="RYX3" s="18">
        <v>133072</v>
      </c>
      <c r="RYY3" s="18">
        <v>133079</v>
      </c>
      <c r="RYZ3" s="18">
        <v>133086</v>
      </c>
      <c r="RZA3" s="18">
        <v>133093</v>
      </c>
      <c r="RZB3" s="18">
        <v>133100</v>
      </c>
      <c r="RZC3" s="18">
        <v>133107</v>
      </c>
      <c r="RZD3" s="18">
        <v>133114</v>
      </c>
      <c r="RZE3" s="18">
        <v>133121</v>
      </c>
      <c r="RZF3" s="18">
        <v>133128</v>
      </c>
      <c r="RZG3" s="18">
        <v>133135</v>
      </c>
      <c r="RZH3" s="18">
        <v>133142</v>
      </c>
      <c r="RZI3" s="18">
        <v>133149</v>
      </c>
      <c r="RZJ3" s="18">
        <v>133156</v>
      </c>
      <c r="RZK3" s="18">
        <v>133163</v>
      </c>
      <c r="RZL3" s="18">
        <v>133170</v>
      </c>
      <c r="RZM3" s="18">
        <v>133177</v>
      </c>
      <c r="RZN3" s="18">
        <v>133184</v>
      </c>
      <c r="RZO3" s="18">
        <v>133191</v>
      </c>
      <c r="RZP3" s="18">
        <v>133198</v>
      </c>
      <c r="RZQ3" s="18">
        <v>133205</v>
      </c>
      <c r="RZR3" s="18">
        <v>133212</v>
      </c>
      <c r="RZS3" s="18">
        <v>133219</v>
      </c>
      <c r="RZT3" s="18">
        <v>133226</v>
      </c>
      <c r="RZU3" s="18">
        <v>133233</v>
      </c>
      <c r="RZV3" s="18">
        <v>133240</v>
      </c>
      <c r="RZW3" s="18">
        <v>133247</v>
      </c>
      <c r="RZX3" s="18">
        <v>133254</v>
      </c>
      <c r="RZY3" s="18">
        <v>133261</v>
      </c>
      <c r="RZZ3" s="18">
        <v>133268</v>
      </c>
      <c r="SAA3" s="18">
        <v>133275</v>
      </c>
      <c r="SAB3" s="18">
        <v>133282</v>
      </c>
      <c r="SAC3" s="18">
        <v>133289</v>
      </c>
      <c r="SAD3" s="18">
        <v>133296</v>
      </c>
      <c r="SAE3" s="18">
        <v>133303</v>
      </c>
      <c r="SAF3" s="18">
        <v>133310</v>
      </c>
      <c r="SAG3" s="18">
        <v>133317</v>
      </c>
      <c r="SAH3" s="18">
        <v>133324</v>
      </c>
      <c r="SAI3" s="18">
        <v>133331</v>
      </c>
      <c r="SAJ3" s="18">
        <v>133338</v>
      </c>
      <c r="SAK3" s="18">
        <v>133345</v>
      </c>
      <c r="SAL3" s="18">
        <v>133352</v>
      </c>
      <c r="SAM3" s="18">
        <v>133359</v>
      </c>
      <c r="SAN3" s="18">
        <v>133366</v>
      </c>
      <c r="SAO3" s="18">
        <v>133373</v>
      </c>
      <c r="SAP3" s="18">
        <v>133380</v>
      </c>
      <c r="SAQ3" s="18">
        <v>133387</v>
      </c>
      <c r="SAR3" s="18">
        <v>133394</v>
      </c>
      <c r="SAS3" s="18">
        <v>133401</v>
      </c>
      <c r="SAT3" s="18">
        <v>133408</v>
      </c>
      <c r="SAU3" s="18">
        <v>133415</v>
      </c>
      <c r="SAV3" s="18">
        <v>133422</v>
      </c>
      <c r="SAW3" s="18">
        <v>133429</v>
      </c>
      <c r="SAX3" s="18">
        <v>133436</v>
      </c>
      <c r="SAY3" s="18">
        <v>133443</v>
      </c>
      <c r="SAZ3" s="18">
        <v>133450</v>
      </c>
      <c r="SBA3" s="18">
        <v>133457</v>
      </c>
      <c r="SBB3" s="18">
        <v>133464</v>
      </c>
      <c r="SBC3" s="18">
        <v>133471</v>
      </c>
      <c r="SBD3" s="18">
        <v>133478</v>
      </c>
      <c r="SBE3" s="18">
        <v>133485</v>
      </c>
      <c r="SBF3" s="18">
        <v>133492</v>
      </c>
      <c r="SBG3" s="18">
        <v>133499</v>
      </c>
      <c r="SBH3" s="18">
        <v>133506</v>
      </c>
      <c r="SBI3" s="18">
        <v>133513</v>
      </c>
      <c r="SBJ3" s="18">
        <v>133520</v>
      </c>
      <c r="SBK3" s="18">
        <v>133527</v>
      </c>
      <c r="SBL3" s="18">
        <v>133534</v>
      </c>
      <c r="SBM3" s="18">
        <v>133541</v>
      </c>
      <c r="SBN3" s="18">
        <v>133548</v>
      </c>
      <c r="SBO3" s="18">
        <v>133555</v>
      </c>
      <c r="SBP3" s="18">
        <v>133562</v>
      </c>
      <c r="SBQ3" s="18">
        <v>133569</v>
      </c>
      <c r="SBR3" s="18">
        <v>133576</v>
      </c>
      <c r="SBS3" s="18">
        <v>133583</v>
      </c>
      <c r="SBT3" s="18">
        <v>133590</v>
      </c>
      <c r="SBU3" s="18">
        <v>133597</v>
      </c>
      <c r="SBV3" s="18">
        <v>133604</v>
      </c>
      <c r="SBW3" s="18">
        <v>133611</v>
      </c>
      <c r="SBX3" s="18">
        <v>133618</v>
      </c>
      <c r="SBY3" s="18">
        <v>133625</v>
      </c>
      <c r="SBZ3" s="18">
        <v>133632</v>
      </c>
      <c r="SCA3" s="18">
        <v>133639</v>
      </c>
      <c r="SCB3" s="18">
        <v>133646</v>
      </c>
      <c r="SCC3" s="18">
        <v>133653</v>
      </c>
      <c r="SCD3" s="18">
        <v>133660</v>
      </c>
      <c r="SCE3" s="18">
        <v>133667</v>
      </c>
      <c r="SCF3" s="18">
        <v>133674</v>
      </c>
      <c r="SCG3" s="18">
        <v>133681</v>
      </c>
      <c r="SCH3" s="18">
        <v>133688</v>
      </c>
      <c r="SCI3" s="18">
        <v>133695</v>
      </c>
      <c r="SCJ3" s="18">
        <v>133702</v>
      </c>
      <c r="SCK3" s="18">
        <v>133709</v>
      </c>
      <c r="SCL3" s="18">
        <v>133716</v>
      </c>
      <c r="SCM3" s="18">
        <v>133723</v>
      </c>
      <c r="SCN3" s="18">
        <v>133730</v>
      </c>
      <c r="SCO3" s="18">
        <v>133737</v>
      </c>
      <c r="SCP3" s="18">
        <v>133744</v>
      </c>
      <c r="SCQ3" s="18">
        <v>133751</v>
      </c>
      <c r="SCR3" s="18">
        <v>133758</v>
      </c>
      <c r="SCS3" s="18">
        <v>133765</v>
      </c>
      <c r="SCT3" s="18">
        <v>133772</v>
      </c>
      <c r="SCU3" s="18">
        <v>133779</v>
      </c>
      <c r="SCV3" s="18">
        <v>133786</v>
      </c>
      <c r="SCW3" s="18">
        <v>133793</v>
      </c>
      <c r="SCX3" s="18">
        <v>133800</v>
      </c>
      <c r="SCY3" s="18">
        <v>133807</v>
      </c>
      <c r="SCZ3" s="18">
        <v>133814</v>
      </c>
      <c r="SDA3" s="18">
        <v>133821</v>
      </c>
      <c r="SDB3" s="18">
        <v>133828</v>
      </c>
      <c r="SDC3" s="18">
        <v>133835</v>
      </c>
      <c r="SDD3" s="18">
        <v>133842</v>
      </c>
      <c r="SDE3" s="18">
        <v>133849</v>
      </c>
      <c r="SDF3" s="18">
        <v>133856</v>
      </c>
      <c r="SDG3" s="18">
        <v>133863</v>
      </c>
      <c r="SDH3" s="18">
        <v>133870</v>
      </c>
      <c r="SDI3" s="18">
        <v>133877</v>
      </c>
      <c r="SDJ3" s="18">
        <v>133884</v>
      </c>
      <c r="SDK3" s="18">
        <v>133891</v>
      </c>
      <c r="SDL3" s="18">
        <v>133898</v>
      </c>
      <c r="SDM3" s="18">
        <v>133905</v>
      </c>
      <c r="SDN3" s="18">
        <v>133912</v>
      </c>
      <c r="SDO3" s="18">
        <v>133919</v>
      </c>
      <c r="SDP3" s="18">
        <v>133926</v>
      </c>
      <c r="SDQ3" s="18">
        <v>133933</v>
      </c>
      <c r="SDR3" s="18">
        <v>133940</v>
      </c>
      <c r="SDS3" s="18">
        <v>133947</v>
      </c>
      <c r="SDT3" s="18">
        <v>133954</v>
      </c>
      <c r="SDU3" s="18">
        <v>133961</v>
      </c>
      <c r="SDV3" s="18">
        <v>133968</v>
      </c>
      <c r="SDW3" s="18">
        <v>133975</v>
      </c>
      <c r="SDX3" s="18">
        <v>133982</v>
      </c>
      <c r="SDY3" s="18">
        <v>133989</v>
      </c>
      <c r="SDZ3" s="18">
        <v>133996</v>
      </c>
      <c r="SEA3" s="18">
        <v>134003</v>
      </c>
      <c r="SEB3" s="18">
        <v>134010</v>
      </c>
      <c r="SEC3" s="18">
        <v>134017</v>
      </c>
      <c r="SED3" s="18">
        <v>134024</v>
      </c>
      <c r="SEE3" s="18">
        <v>134031</v>
      </c>
      <c r="SEF3" s="18">
        <v>134038</v>
      </c>
      <c r="SEG3" s="18">
        <v>134045</v>
      </c>
      <c r="SEH3" s="18">
        <v>134052</v>
      </c>
      <c r="SEI3" s="18">
        <v>134059</v>
      </c>
      <c r="SEJ3" s="18">
        <v>134066</v>
      </c>
      <c r="SEK3" s="18">
        <v>134073</v>
      </c>
      <c r="SEL3" s="18">
        <v>134080</v>
      </c>
      <c r="SEM3" s="18">
        <v>134087</v>
      </c>
      <c r="SEN3" s="18">
        <v>134094</v>
      </c>
      <c r="SEO3" s="18">
        <v>134101</v>
      </c>
      <c r="SEP3" s="18">
        <v>134108</v>
      </c>
      <c r="SEQ3" s="18">
        <v>134115</v>
      </c>
      <c r="SER3" s="18">
        <v>134122</v>
      </c>
      <c r="SES3" s="18">
        <v>134129</v>
      </c>
      <c r="SET3" s="18">
        <v>134136</v>
      </c>
      <c r="SEU3" s="18">
        <v>134143</v>
      </c>
      <c r="SEV3" s="18">
        <v>134150</v>
      </c>
      <c r="SEW3" s="18">
        <v>134157</v>
      </c>
      <c r="SEX3" s="18">
        <v>134164</v>
      </c>
      <c r="SEY3" s="18">
        <v>134171</v>
      </c>
      <c r="SEZ3" s="18">
        <v>134178</v>
      </c>
      <c r="SFA3" s="18">
        <v>134185</v>
      </c>
      <c r="SFB3" s="18">
        <v>134192</v>
      </c>
      <c r="SFC3" s="18">
        <v>134199</v>
      </c>
      <c r="SFD3" s="18">
        <v>134206</v>
      </c>
      <c r="SFE3" s="18">
        <v>134213</v>
      </c>
      <c r="SFF3" s="18">
        <v>134220</v>
      </c>
      <c r="SFG3" s="18">
        <v>134227</v>
      </c>
      <c r="SFH3" s="18">
        <v>134234</v>
      </c>
      <c r="SFI3" s="18">
        <v>134241</v>
      </c>
      <c r="SFJ3" s="18">
        <v>134248</v>
      </c>
      <c r="SFK3" s="18">
        <v>134255</v>
      </c>
      <c r="SFL3" s="18">
        <v>134262</v>
      </c>
      <c r="SFM3" s="18">
        <v>134269</v>
      </c>
      <c r="SFN3" s="18">
        <v>134276</v>
      </c>
      <c r="SFO3" s="18">
        <v>134283</v>
      </c>
      <c r="SFP3" s="18">
        <v>134290</v>
      </c>
      <c r="SFQ3" s="18">
        <v>134297</v>
      </c>
      <c r="SFR3" s="18">
        <v>134304</v>
      </c>
      <c r="SFS3" s="18">
        <v>134311</v>
      </c>
      <c r="SFT3" s="18">
        <v>134318</v>
      </c>
      <c r="SFU3" s="18">
        <v>134325</v>
      </c>
      <c r="SFV3" s="18">
        <v>134332</v>
      </c>
      <c r="SFW3" s="18">
        <v>134339</v>
      </c>
      <c r="SFX3" s="18">
        <v>134346</v>
      </c>
      <c r="SFY3" s="18">
        <v>134353</v>
      </c>
      <c r="SFZ3" s="18">
        <v>134360</v>
      </c>
      <c r="SGA3" s="18">
        <v>134367</v>
      </c>
      <c r="SGB3" s="18">
        <v>134374</v>
      </c>
      <c r="SGC3" s="18">
        <v>134381</v>
      </c>
      <c r="SGD3" s="18">
        <v>134388</v>
      </c>
      <c r="SGE3" s="18">
        <v>134395</v>
      </c>
      <c r="SGF3" s="18">
        <v>134402</v>
      </c>
      <c r="SGG3" s="18">
        <v>134409</v>
      </c>
      <c r="SGH3" s="18">
        <v>134416</v>
      </c>
      <c r="SGI3" s="18">
        <v>134423</v>
      </c>
      <c r="SGJ3" s="18">
        <v>134430</v>
      </c>
      <c r="SGK3" s="18">
        <v>134437</v>
      </c>
      <c r="SGL3" s="18">
        <v>134444</v>
      </c>
      <c r="SGM3" s="18">
        <v>134451</v>
      </c>
      <c r="SGN3" s="18">
        <v>134458</v>
      </c>
      <c r="SGO3" s="18">
        <v>134465</v>
      </c>
      <c r="SGP3" s="18">
        <v>134472</v>
      </c>
      <c r="SGQ3" s="18">
        <v>134479</v>
      </c>
      <c r="SGR3" s="18">
        <v>134486</v>
      </c>
      <c r="SGS3" s="18">
        <v>134493</v>
      </c>
      <c r="SGT3" s="18">
        <v>134500</v>
      </c>
      <c r="SGU3" s="18">
        <v>134507</v>
      </c>
      <c r="SGV3" s="18">
        <v>134514</v>
      </c>
      <c r="SGW3" s="18">
        <v>134521</v>
      </c>
      <c r="SGX3" s="18">
        <v>134528</v>
      </c>
      <c r="SGY3" s="18">
        <v>134535</v>
      </c>
      <c r="SGZ3" s="18">
        <v>134542</v>
      </c>
      <c r="SHA3" s="18">
        <v>134549</v>
      </c>
      <c r="SHB3" s="18">
        <v>134556</v>
      </c>
      <c r="SHC3" s="18">
        <v>134563</v>
      </c>
      <c r="SHD3" s="18">
        <v>134570</v>
      </c>
      <c r="SHE3" s="18">
        <v>134577</v>
      </c>
      <c r="SHF3" s="18">
        <v>134584</v>
      </c>
      <c r="SHG3" s="18">
        <v>134591</v>
      </c>
      <c r="SHH3" s="18">
        <v>134598</v>
      </c>
      <c r="SHI3" s="18">
        <v>134605</v>
      </c>
      <c r="SHJ3" s="18">
        <v>134612</v>
      </c>
      <c r="SHK3" s="18">
        <v>134619</v>
      </c>
      <c r="SHL3" s="18">
        <v>134626</v>
      </c>
      <c r="SHM3" s="18">
        <v>134633</v>
      </c>
      <c r="SHN3" s="18">
        <v>134640</v>
      </c>
      <c r="SHO3" s="18">
        <v>134647</v>
      </c>
      <c r="SHP3" s="18">
        <v>134654</v>
      </c>
      <c r="SHQ3" s="18">
        <v>134661</v>
      </c>
      <c r="SHR3" s="18">
        <v>134668</v>
      </c>
      <c r="SHS3" s="18">
        <v>134675</v>
      </c>
      <c r="SHT3" s="18">
        <v>134682</v>
      </c>
      <c r="SHU3" s="18">
        <v>134689</v>
      </c>
      <c r="SHV3" s="18">
        <v>134696</v>
      </c>
      <c r="SHW3" s="18">
        <v>134703</v>
      </c>
      <c r="SHX3" s="18">
        <v>134710</v>
      </c>
      <c r="SHY3" s="18">
        <v>134717</v>
      </c>
      <c r="SHZ3" s="18">
        <v>134724</v>
      </c>
      <c r="SIA3" s="18">
        <v>134731</v>
      </c>
      <c r="SIB3" s="18">
        <v>134738</v>
      </c>
      <c r="SIC3" s="18">
        <v>134745</v>
      </c>
      <c r="SID3" s="18">
        <v>134752</v>
      </c>
      <c r="SIE3" s="18">
        <v>134759</v>
      </c>
      <c r="SIF3" s="18">
        <v>134766</v>
      </c>
      <c r="SIG3" s="18">
        <v>134773</v>
      </c>
      <c r="SIH3" s="18">
        <v>134780</v>
      </c>
      <c r="SII3" s="18">
        <v>134787</v>
      </c>
      <c r="SIJ3" s="18">
        <v>134794</v>
      </c>
      <c r="SIK3" s="18">
        <v>134801</v>
      </c>
      <c r="SIL3" s="18">
        <v>134808</v>
      </c>
      <c r="SIM3" s="18">
        <v>134815</v>
      </c>
      <c r="SIN3" s="18">
        <v>134822</v>
      </c>
      <c r="SIO3" s="18">
        <v>134829</v>
      </c>
      <c r="SIP3" s="18">
        <v>134836</v>
      </c>
      <c r="SIQ3" s="18">
        <v>134843</v>
      </c>
      <c r="SIR3" s="18">
        <v>134850</v>
      </c>
      <c r="SIS3" s="18">
        <v>134857</v>
      </c>
      <c r="SIT3" s="18">
        <v>134864</v>
      </c>
      <c r="SIU3" s="18">
        <v>134871</v>
      </c>
      <c r="SIV3" s="18">
        <v>134878</v>
      </c>
      <c r="SIW3" s="18">
        <v>134885</v>
      </c>
      <c r="SIX3" s="18">
        <v>134892</v>
      </c>
      <c r="SIY3" s="18">
        <v>134899</v>
      </c>
      <c r="SIZ3" s="18">
        <v>134906</v>
      </c>
      <c r="SJA3" s="18">
        <v>134913</v>
      </c>
      <c r="SJB3" s="18">
        <v>134920</v>
      </c>
      <c r="SJC3" s="18">
        <v>134927</v>
      </c>
      <c r="SJD3" s="18">
        <v>134934</v>
      </c>
      <c r="SJE3" s="18">
        <v>134941</v>
      </c>
      <c r="SJF3" s="18">
        <v>134948</v>
      </c>
      <c r="SJG3" s="18">
        <v>134955</v>
      </c>
      <c r="SJH3" s="18">
        <v>134962</v>
      </c>
      <c r="SJI3" s="18">
        <v>134969</v>
      </c>
      <c r="SJJ3" s="18">
        <v>134976</v>
      </c>
      <c r="SJK3" s="18">
        <v>134983</v>
      </c>
      <c r="SJL3" s="18">
        <v>134990</v>
      </c>
      <c r="SJM3" s="18">
        <v>134997</v>
      </c>
      <c r="SJN3" s="18">
        <v>135004</v>
      </c>
      <c r="SJO3" s="18">
        <v>135011</v>
      </c>
      <c r="SJP3" s="18">
        <v>135018</v>
      </c>
      <c r="SJQ3" s="18">
        <v>135025</v>
      </c>
      <c r="SJR3" s="18">
        <v>135032</v>
      </c>
      <c r="SJS3" s="18">
        <v>135039</v>
      </c>
      <c r="SJT3" s="18">
        <v>135046</v>
      </c>
      <c r="SJU3" s="18">
        <v>135053</v>
      </c>
      <c r="SJV3" s="18">
        <v>135060</v>
      </c>
      <c r="SJW3" s="18">
        <v>135067</v>
      </c>
      <c r="SJX3" s="18">
        <v>135074</v>
      </c>
      <c r="SJY3" s="18">
        <v>135081</v>
      </c>
      <c r="SJZ3" s="18">
        <v>135088</v>
      </c>
      <c r="SKA3" s="18">
        <v>135095</v>
      </c>
      <c r="SKB3" s="18">
        <v>135102</v>
      </c>
      <c r="SKC3" s="18">
        <v>135109</v>
      </c>
      <c r="SKD3" s="18">
        <v>135116</v>
      </c>
      <c r="SKE3" s="18">
        <v>135123</v>
      </c>
      <c r="SKF3" s="18">
        <v>135130</v>
      </c>
      <c r="SKG3" s="18">
        <v>135137</v>
      </c>
      <c r="SKH3" s="18">
        <v>135144</v>
      </c>
      <c r="SKI3" s="18">
        <v>135151</v>
      </c>
      <c r="SKJ3" s="18">
        <v>135158</v>
      </c>
      <c r="SKK3" s="18">
        <v>135165</v>
      </c>
      <c r="SKL3" s="18">
        <v>135172</v>
      </c>
      <c r="SKM3" s="18">
        <v>135179</v>
      </c>
      <c r="SKN3" s="18">
        <v>135186</v>
      </c>
      <c r="SKO3" s="18">
        <v>135193</v>
      </c>
      <c r="SKP3" s="18">
        <v>135200</v>
      </c>
      <c r="SKQ3" s="18">
        <v>135207</v>
      </c>
      <c r="SKR3" s="18">
        <v>135214</v>
      </c>
      <c r="SKS3" s="18">
        <v>135221</v>
      </c>
      <c r="SKT3" s="18">
        <v>135228</v>
      </c>
      <c r="SKU3" s="18">
        <v>135235</v>
      </c>
      <c r="SKV3" s="18">
        <v>135242</v>
      </c>
      <c r="SKW3" s="18">
        <v>135249</v>
      </c>
      <c r="SKX3" s="18">
        <v>135256</v>
      </c>
      <c r="SKY3" s="18">
        <v>135263</v>
      </c>
      <c r="SKZ3" s="18">
        <v>135270</v>
      </c>
      <c r="SLA3" s="18">
        <v>135277</v>
      </c>
      <c r="SLB3" s="18">
        <v>135284</v>
      </c>
      <c r="SLC3" s="18">
        <v>135291</v>
      </c>
      <c r="SLD3" s="18">
        <v>135298</v>
      </c>
      <c r="SLE3" s="18">
        <v>135305</v>
      </c>
      <c r="SLF3" s="18">
        <v>135312</v>
      </c>
      <c r="SLG3" s="18">
        <v>135319</v>
      </c>
      <c r="SLH3" s="18">
        <v>135326</v>
      </c>
      <c r="SLI3" s="18">
        <v>135333</v>
      </c>
      <c r="SLJ3" s="18">
        <v>135340</v>
      </c>
      <c r="SLK3" s="18">
        <v>135347</v>
      </c>
      <c r="SLL3" s="18">
        <v>135354</v>
      </c>
      <c r="SLM3" s="18">
        <v>135361</v>
      </c>
      <c r="SLN3" s="18">
        <v>135368</v>
      </c>
      <c r="SLO3" s="18">
        <v>135375</v>
      </c>
      <c r="SLP3" s="18">
        <v>135382</v>
      </c>
      <c r="SLQ3" s="18">
        <v>135389</v>
      </c>
      <c r="SLR3" s="18">
        <v>135396</v>
      </c>
      <c r="SLS3" s="18">
        <v>135403</v>
      </c>
      <c r="SLT3" s="18">
        <v>135410</v>
      </c>
      <c r="SLU3" s="18">
        <v>135417</v>
      </c>
      <c r="SLV3" s="18">
        <v>135424</v>
      </c>
      <c r="SLW3" s="18">
        <v>135431</v>
      </c>
      <c r="SLX3" s="18">
        <v>135438</v>
      </c>
      <c r="SLY3" s="18">
        <v>135445</v>
      </c>
      <c r="SLZ3" s="18">
        <v>135452</v>
      </c>
      <c r="SMA3" s="18">
        <v>135459</v>
      </c>
      <c r="SMB3" s="18">
        <v>135466</v>
      </c>
      <c r="SMC3" s="18">
        <v>135473</v>
      </c>
      <c r="SMD3" s="18">
        <v>135480</v>
      </c>
      <c r="SME3" s="18">
        <v>135487</v>
      </c>
      <c r="SMF3" s="18">
        <v>135494</v>
      </c>
      <c r="SMG3" s="18">
        <v>135501</v>
      </c>
      <c r="SMH3" s="18">
        <v>135508</v>
      </c>
      <c r="SMI3" s="18">
        <v>135515</v>
      </c>
      <c r="SMJ3" s="18">
        <v>135522</v>
      </c>
      <c r="SMK3" s="18">
        <v>135529</v>
      </c>
      <c r="SML3" s="18">
        <v>135536</v>
      </c>
      <c r="SMM3" s="18">
        <v>135543</v>
      </c>
      <c r="SMN3" s="18">
        <v>135550</v>
      </c>
      <c r="SMO3" s="18">
        <v>135557</v>
      </c>
      <c r="SMP3" s="18">
        <v>135564</v>
      </c>
      <c r="SMQ3" s="18">
        <v>135571</v>
      </c>
      <c r="SMR3" s="18">
        <v>135578</v>
      </c>
      <c r="SMS3" s="18">
        <v>135585</v>
      </c>
      <c r="SMT3" s="18">
        <v>135592</v>
      </c>
      <c r="SMU3" s="18">
        <v>135599</v>
      </c>
      <c r="SMV3" s="18">
        <v>135606</v>
      </c>
      <c r="SMW3" s="18">
        <v>135613</v>
      </c>
      <c r="SMX3" s="18">
        <v>135620</v>
      </c>
      <c r="SMY3" s="18">
        <v>135627</v>
      </c>
      <c r="SMZ3" s="18">
        <v>135634</v>
      </c>
      <c r="SNA3" s="18">
        <v>135641</v>
      </c>
      <c r="SNB3" s="18">
        <v>135648</v>
      </c>
      <c r="SNC3" s="18">
        <v>135655</v>
      </c>
      <c r="SND3" s="18">
        <v>135662</v>
      </c>
      <c r="SNE3" s="18">
        <v>135669</v>
      </c>
      <c r="SNF3" s="18">
        <v>135676</v>
      </c>
      <c r="SNG3" s="18">
        <v>135683</v>
      </c>
      <c r="SNH3" s="18">
        <v>135690</v>
      </c>
      <c r="SNI3" s="18">
        <v>135697</v>
      </c>
      <c r="SNJ3" s="18">
        <v>135704</v>
      </c>
      <c r="SNK3" s="18">
        <v>135711</v>
      </c>
      <c r="SNL3" s="18">
        <v>135718</v>
      </c>
      <c r="SNM3" s="18">
        <v>135725</v>
      </c>
      <c r="SNN3" s="18">
        <v>135732</v>
      </c>
      <c r="SNO3" s="18">
        <v>135739</v>
      </c>
      <c r="SNP3" s="18">
        <v>135746</v>
      </c>
      <c r="SNQ3" s="18">
        <v>135753</v>
      </c>
      <c r="SNR3" s="18">
        <v>135760</v>
      </c>
      <c r="SNS3" s="18">
        <v>135767</v>
      </c>
      <c r="SNT3" s="18">
        <v>135774</v>
      </c>
      <c r="SNU3" s="18">
        <v>135781</v>
      </c>
      <c r="SNV3" s="18">
        <v>135788</v>
      </c>
      <c r="SNW3" s="18">
        <v>135795</v>
      </c>
      <c r="SNX3" s="18">
        <v>135802</v>
      </c>
      <c r="SNY3" s="18">
        <v>135809</v>
      </c>
      <c r="SNZ3" s="18">
        <v>135816</v>
      </c>
      <c r="SOA3" s="18">
        <v>135823</v>
      </c>
      <c r="SOB3" s="18">
        <v>135830</v>
      </c>
      <c r="SOC3" s="18">
        <v>135837</v>
      </c>
      <c r="SOD3" s="18">
        <v>135844</v>
      </c>
      <c r="SOE3" s="18">
        <v>135851</v>
      </c>
      <c r="SOF3" s="18">
        <v>135858</v>
      </c>
      <c r="SOG3" s="18">
        <v>135865</v>
      </c>
      <c r="SOH3" s="18">
        <v>135872</v>
      </c>
      <c r="SOI3" s="18">
        <v>135879</v>
      </c>
      <c r="SOJ3" s="18">
        <v>135886</v>
      </c>
      <c r="SOK3" s="18">
        <v>135893</v>
      </c>
      <c r="SOL3" s="18">
        <v>135900</v>
      </c>
      <c r="SOM3" s="18">
        <v>135907</v>
      </c>
      <c r="SON3" s="18">
        <v>135914</v>
      </c>
      <c r="SOO3" s="18">
        <v>135921</v>
      </c>
      <c r="SOP3" s="18">
        <v>135928</v>
      </c>
      <c r="SOQ3" s="18">
        <v>135935</v>
      </c>
      <c r="SOR3" s="18">
        <v>135942</v>
      </c>
      <c r="SOS3" s="18">
        <v>135949</v>
      </c>
      <c r="SOT3" s="18">
        <v>135956</v>
      </c>
      <c r="SOU3" s="18">
        <v>135963</v>
      </c>
      <c r="SOV3" s="18">
        <v>135970</v>
      </c>
      <c r="SOW3" s="18">
        <v>135977</v>
      </c>
      <c r="SOX3" s="18">
        <v>135984</v>
      </c>
      <c r="SOY3" s="18">
        <v>135991</v>
      </c>
      <c r="SOZ3" s="18">
        <v>135998</v>
      </c>
      <c r="SPA3" s="18">
        <v>136005</v>
      </c>
      <c r="SPB3" s="18">
        <v>136012</v>
      </c>
      <c r="SPC3" s="18">
        <v>136019</v>
      </c>
      <c r="SPD3" s="18">
        <v>136026</v>
      </c>
      <c r="SPE3" s="18">
        <v>136033</v>
      </c>
      <c r="SPF3" s="18">
        <v>136040</v>
      </c>
      <c r="SPG3" s="18">
        <v>136047</v>
      </c>
      <c r="SPH3" s="18">
        <v>136054</v>
      </c>
      <c r="SPI3" s="18">
        <v>136061</v>
      </c>
      <c r="SPJ3" s="18">
        <v>136068</v>
      </c>
      <c r="SPK3" s="18">
        <v>136075</v>
      </c>
      <c r="SPL3" s="18">
        <v>136082</v>
      </c>
      <c r="SPM3" s="18">
        <v>136089</v>
      </c>
      <c r="SPN3" s="18">
        <v>136096</v>
      </c>
      <c r="SPO3" s="18">
        <v>136103</v>
      </c>
      <c r="SPP3" s="18">
        <v>136110</v>
      </c>
      <c r="SPQ3" s="18">
        <v>136117</v>
      </c>
      <c r="SPR3" s="18">
        <v>136124</v>
      </c>
      <c r="SPS3" s="18">
        <v>136131</v>
      </c>
      <c r="SPT3" s="18">
        <v>136138</v>
      </c>
      <c r="SPU3" s="18">
        <v>136145</v>
      </c>
      <c r="SPV3" s="18">
        <v>136152</v>
      </c>
      <c r="SPW3" s="18">
        <v>136159</v>
      </c>
      <c r="SPX3" s="18">
        <v>136166</v>
      </c>
      <c r="SPY3" s="18">
        <v>136173</v>
      </c>
      <c r="SPZ3" s="18">
        <v>136180</v>
      </c>
      <c r="SQA3" s="18">
        <v>136187</v>
      </c>
      <c r="SQB3" s="18">
        <v>136194</v>
      </c>
      <c r="SQC3" s="18">
        <v>136201</v>
      </c>
      <c r="SQD3" s="18">
        <v>136208</v>
      </c>
      <c r="SQE3" s="18">
        <v>136215</v>
      </c>
      <c r="SQF3" s="18">
        <v>136222</v>
      </c>
      <c r="SQG3" s="18">
        <v>136229</v>
      </c>
      <c r="SQH3" s="18">
        <v>136236</v>
      </c>
      <c r="SQI3" s="18">
        <v>136243</v>
      </c>
      <c r="SQJ3" s="18">
        <v>136250</v>
      </c>
      <c r="SQK3" s="18">
        <v>136257</v>
      </c>
      <c r="SQL3" s="18">
        <v>136264</v>
      </c>
      <c r="SQM3" s="18">
        <v>136271</v>
      </c>
      <c r="SQN3" s="18">
        <v>136278</v>
      </c>
      <c r="SQO3" s="18">
        <v>136285</v>
      </c>
      <c r="SQP3" s="18">
        <v>136292</v>
      </c>
      <c r="SQQ3" s="18">
        <v>136299</v>
      </c>
      <c r="SQR3" s="18">
        <v>136306</v>
      </c>
      <c r="SQS3" s="18">
        <v>136313</v>
      </c>
      <c r="SQT3" s="18">
        <v>136320</v>
      </c>
      <c r="SQU3" s="18">
        <v>136327</v>
      </c>
      <c r="SQV3" s="18">
        <v>136334</v>
      </c>
      <c r="SQW3" s="18">
        <v>136341</v>
      </c>
      <c r="SQX3" s="18">
        <v>136348</v>
      </c>
      <c r="SQY3" s="18">
        <v>136355</v>
      </c>
      <c r="SQZ3" s="18">
        <v>136362</v>
      </c>
      <c r="SRA3" s="18">
        <v>136369</v>
      </c>
      <c r="SRB3" s="18">
        <v>136376</v>
      </c>
      <c r="SRC3" s="18">
        <v>136383</v>
      </c>
      <c r="SRD3" s="18">
        <v>136390</v>
      </c>
      <c r="SRE3" s="18">
        <v>136397</v>
      </c>
      <c r="SRF3" s="18">
        <v>136404</v>
      </c>
      <c r="SRG3" s="18">
        <v>136411</v>
      </c>
      <c r="SRH3" s="18">
        <v>136418</v>
      </c>
      <c r="SRI3" s="18">
        <v>136425</v>
      </c>
      <c r="SRJ3" s="18">
        <v>136432</v>
      </c>
      <c r="SRK3" s="18">
        <v>136439</v>
      </c>
      <c r="SRL3" s="18">
        <v>136446</v>
      </c>
      <c r="SRM3" s="18">
        <v>136453</v>
      </c>
      <c r="SRN3" s="18">
        <v>136460</v>
      </c>
      <c r="SRO3" s="18">
        <v>136467</v>
      </c>
      <c r="SRP3" s="18">
        <v>136474</v>
      </c>
      <c r="SRQ3" s="18">
        <v>136481</v>
      </c>
      <c r="SRR3" s="18">
        <v>136488</v>
      </c>
      <c r="SRS3" s="18">
        <v>136495</v>
      </c>
      <c r="SRT3" s="18">
        <v>136502</v>
      </c>
      <c r="SRU3" s="18">
        <v>136509</v>
      </c>
      <c r="SRV3" s="18">
        <v>136516</v>
      </c>
      <c r="SRW3" s="18">
        <v>136523</v>
      </c>
      <c r="SRX3" s="18">
        <v>136530</v>
      </c>
      <c r="SRY3" s="18">
        <v>136537</v>
      </c>
      <c r="SRZ3" s="18">
        <v>136544</v>
      </c>
      <c r="SSA3" s="18">
        <v>136551</v>
      </c>
      <c r="SSB3" s="18">
        <v>136558</v>
      </c>
      <c r="SSC3" s="18">
        <v>136565</v>
      </c>
      <c r="SSD3" s="18">
        <v>136572</v>
      </c>
      <c r="SSE3" s="18">
        <v>136579</v>
      </c>
      <c r="SSF3" s="18">
        <v>136586</v>
      </c>
      <c r="SSG3" s="18">
        <v>136593</v>
      </c>
      <c r="SSH3" s="18">
        <v>136600</v>
      </c>
      <c r="SSI3" s="18">
        <v>136607</v>
      </c>
      <c r="SSJ3" s="18">
        <v>136614</v>
      </c>
      <c r="SSK3" s="18">
        <v>136621</v>
      </c>
      <c r="SSL3" s="18">
        <v>136628</v>
      </c>
      <c r="SSM3" s="18">
        <v>136635</v>
      </c>
      <c r="SSN3" s="18">
        <v>136642</v>
      </c>
      <c r="SSO3" s="18">
        <v>136649</v>
      </c>
      <c r="SSP3" s="18">
        <v>136656</v>
      </c>
      <c r="SSQ3" s="18">
        <v>136663</v>
      </c>
      <c r="SSR3" s="18">
        <v>136670</v>
      </c>
      <c r="SSS3" s="18">
        <v>136677</v>
      </c>
      <c r="SST3" s="18">
        <v>136684</v>
      </c>
      <c r="SSU3" s="18">
        <v>136691</v>
      </c>
      <c r="SSV3" s="18">
        <v>136698</v>
      </c>
      <c r="SSW3" s="18">
        <v>136705</v>
      </c>
      <c r="SSX3" s="18">
        <v>136712</v>
      </c>
      <c r="SSY3" s="18">
        <v>136719</v>
      </c>
      <c r="SSZ3" s="18">
        <v>136726</v>
      </c>
      <c r="STA3" s="18">
        <v>136733</v>
      </c>
      <c r="STB3" s="18">
        <v>136740</v>
      </c>
      <c r="STC3" s="18">
        <v>136747</v>
      </c>
      <c r="STD3" s="18">
        <v>136754</v>
      </c>
      <c r="STE3" s="18">
        <v>136761</v>
      </c>
      <c r="STF3" s="18">
        <v>136768</v>
      </c>
      <c r="STG3" s="18">
        <v>136775</v>
      </c>
      <c r="STH3" s="18">
        <v>136782</v>
      </c>
      <c r="STI3" s="18">
        <v>136789</v>
      </c>
      <c r="STJ3" s="18">
        <v>136796</v>
      </c>
      <c r="STK3" s="18">
        <v>136803</v>
      </c>
      <c r="STL3" s="18">
        <v>136810</v>
      </c>
      <c r="STM3" s="18">
        <v>136817</v>
      </c>
      <c r="STN3" s="18">
        <v>136824</v>
      </c>
      <c r="STO3" s="18">
        <v>136831</v>
      </c>
      <c r="STP3" s="18">
        <v>136838</v>
      </c>
      <c r="STQ3" s="18">
        <v>136845</v>
      </c>
      <c r="STR3" s="18">
        <v>136852</v>
      </c>
      <c r="STS3" s="18">
        <v>136859</v>
      </c>
      <c r="STT3" s="18">
        <v>136866</v>
      </c>
      <c r="STU3" s="18">
        <v>136873</v>
      </c>
      <c r="STV3" s="18">
        <v>136880</v>
      </c>
      <c r="STW3" s="18">
        <v>136887</v>
      </c>
      <c r="STX3" s="18">
        <v>136894</v>
      </c>
      <c r="STY3" s="18">
        <v>136901</v>
      </c>
      <c r="STZ3" s="18">
        <v>136908</v>
      </c>
      <c r="SUA3" s="18">
        <v>136915</v>
      </c>
      <c r="SUB3" s="18">
        <v>136922</v>
      </c>
      <c r="SUC3" s="18">
        <v>136929</v>
      </c>
      <c r="SUD3" s="18">
        <v>136936</v>
      </c>
      <c r="SUE3" s="18">
        <v>136943</v>
      </c>
      <c r="SUF3" s="18">
        <v>136950</v>
      </c>
      <c r="SUG3" s="18">
        <v>136957</v>
      </c>
      <c r="SUH3" s="18">
        <v>136964</v>
      </c>
      <c r="SUI3" s="18">
        <v>136971</v>
      </c>
      <c r="SUJ3" s="18">
        <v>136978</v>
      </c>
      <c r="SUK3" s="18">
        <v>136985</v>
      </c>
      <c r="SUL3" s="18">
        <v>136992</v>
      </c>
      <c r="SUM3" s="18">
        <v>136999</v>
      </c>
      <c r="SUN3" s="18">
        <v>137006</v>
      </c>
      <c r="SUO3" s="18">
        <v>137013</v>
      </c>
      <c r="SUP3" s="18">
        <v>137020</v>
      </c>
      <c r="SUQ3" s="18">
        <v>137027</v>
      </c>
      <c r="SUR3" s="18">
        <v>137034</v>
      </c>
      <c r="SUS3" s="18">
        <v>137041</v>
      </c>
      <c r="SUT3" s="18">
        <v>137048</v>
      </c>
      <c r="SUU3" s="18">
        <v>137055</v>
      </c>
      <c r="SUV3" s="18">
        <v>137062</v>
      </c>
      <c r="SUW3" s="18">
        <v>137069</v>
      </c>
      <c r="SUX3" s="18">
        <v>137076</v>
      </c>
      <c r="SUY3" s="18">
        <v>137083</v>
      </c>
      <c r="SUZ3" s="18">
        <v>137090</v>
      </c>
      <c r="SVA3" s="18">
        <v>137097</v>
      </c>
      <c r="SVB3" s="18">
        <v>137104</v>
      </c>
      <c r="SVC3" s="18">
        <v>137111</v>
      </c>
      <c r="SVD3" s="18">
        <v>137118</v>
      </c>
      <c r="SVE3" s="18">
        <v>137125</v>
      </c>
      <c r="SVF3" s="18">
        <v>137132</v>
      </c>
      <c r="SVG3" s="18">
        <v>137139</v>
      </c>
      <c r="SVH3" s="18">
        <v>137146</v>
      </c>
      <c r="SVI3" s="18">
        <v>137153</v>
      </c>
      <c r="SVJ3" s="18">
        <v>137160</v>
      </c>
      <c r="SVK3" s="18">
        <v>137167</v>
      </c>
      <c r="SVL3" s="18">
        <v>137174</v>
      </c>
      <c r="SVM3" s="18">
        <v>137181</v>
      </c>
      <c r="SVN3" s="18">
        <v>137188</v>
      </c>
      <c r="SVO3" s="18">
        <v>137195</v>
      </c>
      <c r="SVP3" s="18">
        <v>137202</v>
      </c>
      <c r="SVQ3" s="18">
        <v>137209</v>
      </c>
      <c r="SVR3" s="18">
        <v>137216</v>
      </c>
      <c r="SVS3" s="18">
        <v>137223</v>
      </c>
      <c r="SVT3" s="18">
        <v>137230</v>
      </c>
      <c r="SVU3" s="18">
        <v>137237</v>
      </c>
      <c r="SVV3" s="18">
        <v>137244</v>
      </c>
      <c r="SVW3" s="18">
        <v>137251</v>
      </c>
      <c r="SVX3" s="18">
        <v>137258</v>
      </c>
      <c r="SVY3" s="18">
        <v>137265</v>
      </c>
      <c r="SVZ3" s="18">
        <v>137272</v>
      </c>
      <c r="SWA3" s="18">
        <v>137279</v>
      </c>
      <c r="SWB3" s="18">
        <v>137286</v>
      </c>
      <c r="SWC3" s="18">
        <v>137293</v>
      </c>
      <c r="SWD3" s="18">
        <v>137300</v>
      </c>
      <c r="SWE3" s="18">
        <v>137307</v>
      </c>
      <c r="SWF3" s="18">
        <v>137314</v>
      </c>
      <c r="SWG3" s="18">
        <v>137321</v>
      </c>
      <c r="SWH3" s="18">
        <v>137328</v>
      </c>
      <c r="SWI3" s="18">
        <v>137335</v>
      </c>
      <c r="SWJ3" s="18">
        <v>137342</v>
      </c>
      <c r="SWK3" s="18">
        <v>137349</v>
      </c>
      <c r="SWL3" s="18">
        <v>137356</v>
      </c>
      <c r="SWM3" s="18">
        <v>137363</v>
      </c>
      <c r="SWN3" s="18">
        <v>137370</v>
      </c>
      <c r="SWO3" s="18">
        <v>137377</v>
      </c>
      <c r="SWP3" s="18">
        <v>137384</v>
      </c>
      <c r="SWQ3" s="18">
        <v>137391</v>
      </c>
      <c r="SWR3" s="18">
        <v>137398</v>
      </c>
      <c r="SWS3" s="18">
        <v>137405</v>
      </c>
      <c r="SWT3" s="18">
        <v>137412</v>
      </c>
      <c r="SWU3" s="18">
        <v>137419</v>
      </c>
      <c r="SWV3" s="18">
        <v>137426</v>
      </c>
      <c r="SWW3" s="18">
        <v>137433</v>
      </c>
      <c r="SWX3" s="18">
        <v>137440</v>
      </c>
      <c r="SWY3" s="18">
        <v>137447</v>
      </c>
      <c r="SWZ3" s="18">
        <v>137454</v>
      </c>
      <c r="SXA3" s="18">
        <v>137461</v>
      </c>
      <c r="SXB3" s="18">
        <v>137468</v>
      </c>
      <c r="SXC3" s="18">
        <v>137475</v>
      </c>
      <c r="SXD3" s="18">
        <v>137482</v>
      </c>
      <c r="SXE3" s="18">
        <v>137489</v>
      </c>
      <c r="SXF3" s="18">
        <v>137496</v>
      </c>
      <c r="SXG3" s="18">
        <v>137503</v>
      </c>
      <c r="SXH3" s="18">
        <v>137510</v>
      </c>
      <c r="SXI3" s="18">
        <v>137517</v>
      </c>
      <c r="SXJ3" s="18">
        <v>137524</v>
      </c>
      <c r="SXK3" s="18">
        <v>137531</v>
      </c>
      <c r="SXL3" s="18">
        <v>137538</v>
      </c>
      <c r="SXM3" s="18">
        <v>137545</v>
      </c>
      <c r="SXN3" s="18">
        <v>137552</v>
      </c>
      <c r="SXO3" s="18">
        <v>137559</v>
      </c>
      <c r="SXP3" s="18">
        <v>137566</v>
      </c>
      <c r="SXQ3" s="18">
        <v>137573</v>
      </c>
      <c r="SXR3" s="18">
        <v>137580</v>
      </c>
      <c r="SXS3" s="18">
        <v>137587</v>
      </c>
      <c r="SXT3" s="18">
        <v>137594</v>
      </c>
      <c r="SXU3" s="18">
        <v>137601</v>
      </c>
      <c r="SXV3" s="18">
        <v>137608</v>
      </c>
      <c r="SXW3" s="18">
        <v>137615</v>
      </c>
      <c r="SXX3" s="18">
        <v>137622</v>
      </c>
      <c r="SXY3" s="18">
        <v>137629</v>
      </c>
      <c r="SXZ3" s="18">
        <v>137636</v>
      </c>
      <c r="SYA3" s="18">
        <v>137643</v>
      </c>
      <c r="SYB3" s="18">
        <v>137650</v>
      </c>
      <c r="SYC3" s="18">
        <v>137657</v>
      </c>
      <c r="SYD3" s="18">
        <v>137664</v>
      </c>
      <c r="SYE3" s="18">
        <v>137671</v>
      </c>
      <c r="SYF3" s="18">
        <v>137678</v>
      </c>
      <c r="SYG3" s="18">
        <v>137685</v>
      </c>
      <c r="SYH3" s="18">
        <v>137692</v>
      </c>
      <c r="SYI3" s="18">
        <v>137699</v>
      </c>
      <c r="SYJ3" s="18">
        <v>137706</v>
      </c>
      <c r="SYK3" s="18">
        <v>137713</v>
      </c>
      <c r="SYL3" s="18">
        <v>137720</v>
      </c>
      <c r="SYM3" s="18">
        <v>137727</v>
      </c>
      <c r="SYN3" s="18">
        <v>137734</v>
      </c>
      <c r="SYO3" s="18">
        <v>137741</v>
      </c>
      <c r="SYP3" s="18">
        <v>137748</v>
      </c>
      <c r="SYQ3" s="18">
        <v>137755</v>
      </c>
      <c r="SYR3" s="18">
        <v>137762</v>
      </c>
      <c r="SYS3" s="18">
        <v>137769</v>
      </c>
      <c r="SYT3" s="18">
        <v>137776</v>
      </c>
      <c r="SYU3" s="18">
        <v>137783</v>
      </c>
      <c r="SYV3" s="18">
        <v>137790</v>
      </c>
      <c r="SYW3" s="18">
        <v>137797</v>
      </c>
      <c r="SYX3" s="18">
        <v>137804</v>
      </c>
      <c r="SYY3" s="18">
        <v>137811</v>
      </c>
      <c r="SYZ3" s="18">
        <v>137818</v>
      </c>
      <c r="SZA3" s="18">
        <v>137825</v>
      </c>
      <c r="SZB3" s="18">
        <v>137832</v>
      </c>
      <c r="SZC3" s="18">
        <v>137839</v>
      </c>
      <c r="SZD3" s="18">
        <v>137846</v>
      </c>
      <c r="SZE3" s="18">
        <v>137853</v>
      </c>
      <c r="SZF3" s="18">
        <v>137860</v>
      </c>
      <c r="SZG3" s="18">
        <v>137867</v>
      </c>
      <c r="SZH3" s="18">
        <v>137874</v>
      </c>
      <c r="SZI3" s="18">
        <v>137881</v>
      </c>
      <c r="SZJ3" s="18">
        <v>137888</v>
      </c>
      <c r="SZK3" s="18">
        <v>137895</v>
      </c>
      <c r="SZL3" s="18">
        <v>137902</v>
      </c>
      <c r="SZM3" s="18">
        <v>137909</v>
      </c>
      <c r="SZN3" s="18">
        <v>137916</v>
      </c>
      <c r="SZO3" s="18">
        <v>137923</v>
      </c>
      <c r="SZP3" s="18">
        <v>137930</v>
      </c>
      <c r="SZQ3" s="18">
        <v>137937</v>
      </c>
      <c r="SZR3" s="18">
        <v>137944</v>
      </c>
      <c r="SZS3" s="18">
        <v>137951</v>
      </c>
      <c r="SZT3" s="18">
        <v>137958</v>
      </c>
      <c r="SZU3" s="18">
        <v>137965</v>
      </c>
      <c r="SZV3" s="18">
        <v>137972</v>
      </c>
      <c r="SZW3" s="18">
        <v>137979</v>
      </c>
      <c r="SZX3" s="18">
        <v>137986</v>
      </c>
      <c r="SZY3" s="18">
        <v>137993</v>
      </c>
      <c r="SZZ3" s="18">
        <v>138000</v>
      </c>
      <c r="TAA3" s="18">
        <v>138007</v>
      </c>
      <c r="TAB3" s="18">
        <v>138014</v>
      </c>
      <c r="TAC3" s="18">
        <v>138021</v>
      </c>
      <c r="TAD3" s="18">
        <v>138028</v>
      </c>
      <c r="TAE3" s="18">
        <v>138035</v>
      </c>
      <c r="TAF3" s="18">
        <v>138042</v>
      </c>
      <c r="TAG3" s="18">
        <v>138049</v>
      </c>
      <c r="TAH3" s="18">
        <v>138056</v>
      </c>
      <c r="TAI3" s="18">
        <v>138063</v>
      </c>
      <c r="TAJ3" s="18">
        <v>138070</v>
      </c>
      <c r="TAK3" s="18">
        <v>138077</v>
      </c>
      <c r="TAL3" s="18">
        <v>138084</v>
      </c>
      <c r="TAM3" s="18">
        <v>138091</v>
      </c>
      <c r="TAN3" s="18">
        <v>138098</v>
      </c>
      <c r="TAO3" s="18">
        <v>138105</v>
      </c>
      <c r="TAP3" s="18">
        <v>138112</v>
      </c>
      <c r="TAQ3" s="18">
        <v>138119</v>
      </c>
      <c r="TAR3" s="18">
        <v>138126</v>
      </c>
      <c r="TAS3" s="18">
        <v>138133</v>
      </c>
      <c r="TAT3" s="18">
        <v>138140</v>
      </c>
      <c r="TAU3" s="18">
        <v>138147</v>
      </c>
      <c r="TAV3" s="18">
        <v>138154</v>
      </c>
      <c r="TAW3" s="18">
        <v>138161</v>
      </c>
      <c r="TAX3" s="18">
        <v>138168</v>
      </c>
      <c r="TAY3" s="18">
        <v>138175</v>
      </c>
      <c r="TAZ3" s="18">
        <v>138182</v>
      </c>
      <c r="TBA3" s="18">
        <v>138189</v>
      </c>
      <c r="TBB3" s="18">
        <v>138196</v>
      </c>
      <c r="TBC3" s="18">
        <v>138203</v>
      </c>
      <c r="TBD3" s="18">
        <v>138210</v>
      </c>
      <c r="TBE3" s="18">
        <v>138217</v>
      </c>
      <c r="TBF3" s="18">
        <v>138224</v>
      </c>
      <c r="TBG3" s="18">
        <v>138231</v>
      </c>
      <c r="TBH3" s="18">
        <v>138238</v>
      </c>
      <c r="TBI3" s="18">
        <v>138245</v>
      </c>
      <c r="TBJ3" s="18">
        <v>138252</v>
      </c>
      <c r="TBK3" s="18">
        <v>138259</v>
      </c>
      <c r="TBL3" s="18">
        <v>138266</v>
      </c>
      <c r="TBM3" s="18">
        <v>138273</v>
      </c>
      <c r="TBN3" s="18">
        <v>138280</v>
      </c>
      <c r="TBO3" s="18">
        <v>138287</v>
      </c>
      <c r="TBP3" s="18">
        <v>138294</v>
      </c>
      <c r="TBQ3" s="18">
        <v>138301</v>
      </c>
      <c r="TBR3" s="18">
        <v>138308</v>
      </c>
      <c r="TBS3" s="18">
        <v>138315</v>
      </c>
      <c r="TBT3" s="18">
        <v>138322</v>
      </c>
      <c r="TBU3" s="18">
        <v>138329</v>
      </c>
      <c r="TBV3" s="18">
        <v>138336</v>
      </c>
      <c r="TBW3" s="18">
        <v>138343</v>
      </c>
      <c r="TBX3" s="18">
        <v>138350</v>
      </c>
      <c r="TBY3" s="18">
        <v>138357</v>
      </c>
      <c r="TBZ3" s="18">
        <v>138364</v>
      </c>
      <c r="TCA3" s="18">
        <v>138371</v>
      </c>
      <c r="TCB3" s="18">
        <v>138378</v>
      </c>
      <c r="TCC3" s="18">
        <v>138385</v>
      </c>
      <c r="TCD3" s="18">
        <v>138392</v>
      </c>
      <c r="TCE3" s="18">
        <v>138399</v>
      </c>
      <c r="TCF3" s="18">
        <v>138406</v>
      </c>
      <c r="TCG3" s="18">
        <v>138413</v>
      </c>
      <c r="TCH3" s="18">
        <v>138420</v>
      </c>
      <c r="TCI3" s="18">
        <v>138427</v>
      </c>
      <c r="TCJ3" s="18">
        <v>138434</v>
      </c>
      <c r="TCK3" s="18">
        <v>138441</v>
      </c>
      <c r="TCL3" s="18">
        <v>138448</v>
      </c>
      <c r="TCM3" s="18">
        <v>138455</v>
      </c>
      <c r="TCN3" s="18">
        <v>138462</v>
      </c>
      <c r="TCO3" s="18">
        <v>138469</v>
      </c>
      <c r="TCP3" s="18">
        <v>138476</v>
      </c>
      <c r="TCQ3" s="18">
        <v>138483</v>
      </c>
      <c r="TCR3" s="18">
        <v>138490</v>
      </c>
      <c r="TCS3" s="18">
        <v>138497</v>
      </c>
      <c r="TCT3" s="18">
        <v>138504</v>
      </c>
      <c r="TCU3" s="18">
        <v>138511</v>
      </c>
      <c r="TCV3" s="18">
        <v>138518</v>
      </c>
      <c r="TCW3" s="18">
        <v>138525</v>
      </c>
      <c r="TCX3" s="18">
        <v>138532</v>
      </c>
      <c r="TCY3" s="18">
        <v>138539</v>
      </c>
      <c r="TCZ3" s="18">
        <v>138546</v>
      </c>
      <c r="TDA3" s="18">
        <v>138553</v>
      </c>
      <c r="TDB3" s="18">
        <v>138560</v>
      </c>
      <c r="TDC3" s="18">
        <v>138567</v>
      </c>
      <c r="TDD3" s="18">
        <v>138574</v>
      </c>
      <c r="TDE3" s="18">
        <v>138581</v>
      </c>
      <c r="TDF3" s="18">
        <v>138588</v>
      </c>
      <c r="TDG3" s="18">
        <v>138595</v>
      </c>
      <c r="TDH3" s="18">
        <v>138602</v>
      </c>
      <c r="TDI3" s="18">
        <v>138609</v>
      </c>
      <c r="TDJ3" s="18">
        <v>138616</v>
      </c>
      <c r="TDK3" s="18">
        <v>138623</v>
      </c>
      <c r="TDL3" s="18">
        <v>138630</v>
      </c>
      <c r="TDM3" s="18">
        <v>138637</v>
      </c>
      <c r="TDN3" s="18">
        <v>138644</v>
      </c>
      <c r="TDO3" s="18">
        <v>138651</v>
      </c>
      <c r="TDP3" s="18">
        <v>138658</v>
      </c>
      <c r="TDQ3" s="18">
        <v>138665</v>
      </c>
      <c r="TDR3" s="18">
        <v>138672</v>
      </c>
      <c r="TDS3" s="18">
        <v>138679</v>
      </c>
      <c r="TDT3" s="18">
        <v>138686</v>
      </c>
      <c r="TDU3" s="18">
        <v>138693</v>
      </c>
      <c r="TDV3" s="18">
        <v>138700</v>
      </c>
      <c r="TDW3" s="18">
        <v>138707</v>
      </c>
      <c r="TDX3" s="18">
        <v>138714</v>
      </c>
      <c r="TDY3" s="18">
        <v>138721</v>
      </c>
      <c r="TDZ3" s="18">
        <v>138728</v>
      </c>
      <c r="TEA3" s="18">
        <v>138735</v>
      </c>
      <c r="TEB3" s="18">
        <v>138742</v>
      </c>
      <c r="TEC3" s="18">
        <v>138749</v>
      </c>
      <c r="TED3" s="18">
        <v>138756</v>
      </c>
      <c r="TEE3" s="18">
        <v>138763</v>
      </c>
      <c r="TEF3" s="18">
        <v>138770</v>
      </c>
      <c r="TEG3" s="18">
        <v>138777</v>
      </c>
      <c r="TEH3" s="18">
        <v>138784</v>
      </c>
      <c r="TEI3" s="18">
        <v>138791</v>
      </c>
      <c r="TEJ3" s="18">
        <v>138798</v>
      </c>
      <c r="TEK3" s="18">
        <v>138805</v>
      </c>
      <c r="TEL3" s="18">
        <v>138812</v>
      </c>
      <c r="TEM3" s="18">
        <v>138819</v>
      </c>
      <c r="TEN3" s="18">
        <v>138826</v>
      </c>
      <c r="TEO3" s="18">
        <v>138833</v>
      </c>
      <c r="TEP3" s="18">
        <v>138840</v>
      </c>
      <c r="TEQ3" s="18">
        <v>138847</v>
      </c>
      <c r="TER3" s="18">
        <v>138854</v>
      </c>
      <c r="TES3" s="18">
        <v>138861</v>
      </c>
      <c r="TET3" s="18">
        <v>138868</v>
      </c>
      <c r="TEU3" s="18">
        <v>138875</v>
      </c>
      <c r="TEV3" s="18">
        <v>138882</v>
      </c>
      <c r="TEW3" s="18">
        <v>138889</v>
      </c>
      <c r="TEX3" s="18">
        <v>138896</v>
      </c>
      <c r="TEY3" s="18">
        <v>138903</v>
      </c>
      <c r="TEZ3" s="18">
        <v>138910</v>
      </c>
      <c r="TFA3" s="18">
        <v>138917</v>
      </c>
      <c r="TFB3" s="18">
        <v>138924</v>
      </c>
      <c r="TFC3" s="18">
        <v>138931</v>
      </c>
      <c r="TFD3" s="18">
        <v>138938</v>
      </c>
      <c r="TFE3" s="18">
        <v>138945</v>
      </c>
      <c r="TFF3" s="18">
        <v>138952</v>
      </c>
      <c r="TFG3" s="18">
        <v>138959</v>
      </c>
      <c r="TFH3" s="18">
        <v>138966</v>
      </c>
      <c r="TFI3" s="18">
        <v>138973</v>
      </c>
      <c r="TFJ3" s="18">
        <v>138980</v>
      </c>
      <c r="TFK3" s="18">
        <v>138987</v>
      </c>
      <c r="TFL3" s="18">
        <v>138994</v>
      </c>
      <c r="TFM3" s="18">
        <v>139001</v>
      </c>
      <c r="TFN3" s="18">
        <v>139008</v>
      </c>
      <c r="TFO3" s="18">
        <v>139015</v>
      </c>
      <c r="TFP3" s="18">
        <v>139022</v>
      </c>
      <c r="TFQ3" s="18">
        <v>139029</v>
      </c>
      <c r="TFR3" s="18">
        <v>139036</v>
      </c>
      <c r="TFS3" s="18">
        <v>139043</v>
      </c>
      <c r="TFT3" s="18">
        <v>139050</v>
      </c>
      <c r="TFU3" s="18">
        <v>139057</v>
      </c>
      <c r="TFV3" s="18">
        <v>139064</v>
      </c>
      <c r="TFW3" s="18">
        <v>139071</v>
      </c>
      <c r="TFX3" s="18">
        <v>139078</v>
      </c>
      <c r="TFY3" s="18">
        <v>139085</v>
      </c>
      <c r="TFZ3" s="18">
        <v>139092</v>
      </c>
      <c r="TGA3" s="18">
        <v>139099</v>
      </c>
      <c r="TGB3" s="18">
        <v>139106</v>
      </c>
      <c r="TGC3" s="18">
        <v>139113</v>
      </c>
      <c r="TGD3" s="18">
        <v>139120</v>
      </c>
      <c r="TGE3" s="18">
        <v>139127</v>
      </c>
      <c r="TGF3" s="18">
        <v>139134</v>
      </c>
      <c r="TGG3" s="18">
        <v>139141</v>
      </c>
      <c r="TGH3" s="18">
        <v>139148</v>
      </c>
      <c r="TGI3" s="18">
        <v>139155</v>
      </c>
      <c r="TGJ3" s="18">
        <v>139162</v>
      </c>
      <c r="TGK3" s="18">
        <v>139169</v>
      </c>
      <c r="TGL3" s="18">
        <v>139176</v>
      </c>
      <c r="TGM3" s="18">
        <v>139183</v>
      </c>
      <c r="TGN3" s="18">
        <v>139190</v>
      </c>
      <c r="TGO3" s="18">
        <v>139197</v>
      </c>
      <c r="TGP3" s="18">
        <v>139204</v>
      </c>
      <c r="TGQ3" s="18">
        <v>139211</v>
      </c>
      <c r="TGR3" s="18">
        <v>139218</v>
      </c>
      <c r="TGS3" s="18">
        <v>139225</v>
      </c>
      <c r="TGT3" s="18">
        <v>139232</v>
      </c>
      <c r="TGU3" s="18">
        <v>139239</v>
      </c>
      <c r="TGV3" s="18">
        <v>139246</v>
      </c>
      <c r="TGW3" s="18">
        <v>139253</v>
      </c>
      <c r="TGX3" s="18">
        <v>139260</v>
      </c>
      <c r="TGY3" s="18">
        <v>139267</v>
      </c>
      <c r="TGZ3" s="18">
        <v>139274</v>
      </c>
      <c r="THA3" s="18">
        <v>139281</v>
      </c>
      <c r="THB3" s="18">
        <v>139288</v>
      </c>
      <c r="THC3" s="18">
        <v>139295</v>
      </c>
      <c r="THD3" s="18">
        <v>139302</v>
      </c>
      <c r="THE3" s="18">
        <v>139309</v>
      </c>
      <c r="THF3" s="18">
        <v>139316</v>
      </c>
      <c r="THG3" s="18">
        <v>139323</v>
      </c>
      <c r="THH3" s="18">
        <v>139330</v>
      </c>
      <c r="THI3" s="18">
        <v>139337</v>
      </c>
      <c r="THJ3" s="18">
        <v>139344</v>
      </c>
      <c r="THK3" s="18">
        <v>139351</v>
      </c>
      <c r="THL3" s="18">
        <v>139358</v>
      </c>
      <c r="THM3" s="18">
        <v>139365</v>
      </c>
      <c r="THN3" s="18">
        <v>139372</v>
      </c>
      <c r="THO3" s="18">
        <v>139379</v>
      </c>
      <c r="THP3" s="18">
        <v>139386</v>
      </c>
      <c r="THQ3" s="18">
        <v>139393</v>
      </c>
      <c r="THR3" s="18">
        <v>139400</v>
      </c>
      <c r="THS3" s="18">
        <v>139407</v>
      </c>
      <c r="THT3" s="18">
        <v>139414</v>
      </c>
      <c r="THU3" s="18">
        <v>139421</v>
      </c>
      <c r="THV3" s="18">
        <v>139428</v>
      </c>
      <c r="THW3" s="18">
        <v>139435</v>
      </c>
      <c r="THX3" s="18">
        <v>139442</v>
      </c>
      <c r="THY3" s="18">
        <v>139449</v>
      </c>
      <c r="THZ3" s="18">
        <v>139456</v>
      </c>
      <c r="TIA3" s="18">
        <v>139463</v>
      </c>
      <c r="TIB3" s="18">
        <v>139470</v>
      </c>
      <c r="TIC3" s="18">
        <v>139477</v>
      </c>
      <c r="TID3" s="18">
        <v>139484</v>
      </c>
      <c r="TIE3" s="18">
        <v>139491</v>
      </c>
      <c r="TIF3" s="18">
        <v>139498</v>
      </c>
      <c r="TIG3" s="18">
        <v>139505</v>
      </c>
      <c r="TIH3" s="18">
        <v>139512</v>
      </c>
      <c r="TII3" s="18">
        <v>139519</v>
      </c>
      <c r="TIJ3" s="18">
        <v>139526</v>
      </c>
      <c r="TIK3" s="18">
        <v>139533</v>
      </c>
      <c r="TIL3" s="18">
        <v>139540</v>
      </c>
      <c r="TIM3" s="18">
        <v>139547</v>
      </c>
      <c r="TIN3" s="18">
        <v>139554</v>
      </c>
      <c r="TIO3" s="18">
        <v>139561</v>
      </c>
      <c r="TIP3" s="18">
        <v>139568</v>
      </c>
      <c r="TIQ3" s="18">
        <v>139575</v>
      </c>
      <c r="TIR3" s="18">
        <v>139582</v>
      </c>
      <c r="TIS3" s="18">
        <v>139589</v>
      </c>
      <c r="TIT3" s="18">
        <v>139596</v>
      </c>
      <c r="TIU3" s="18">
        <v>139603</v>
      </c>
      <c r="TIV3" s="18">
        <v>139610</v>
      </c>
      <c r="TIW3" s="18">
        <v>139617</v>
      </c>
      <c r="TIX3" s="18">
        <v>139624</v>
      </c>
      <c r="TIY3" s="18">
        <v>139631</v>
      </c>
      <c r="TIZ3" s="18">
        <v>139638</v>
      </c>
      <c r="TJA3" s="18">
        <v>139645</v>
      </c>
      <c r="TJB3" s="18">
        <v>139652</v>
      </c>
      <c r="TJC3" s="18">
        <v>139659</v>
      </c>
      <c r="TJD3" s="18">
        <v>139666</v>
      </c>
      <c r="TJE3" s="18">
        <v>139673</v>
      </c>
      <c r="TJF3" s="18">
        <v>139680</v>
      </c>
      <c r="TJG3" s="18">
        <v>139687</v>
      </c>
      <c r="TJH3" s="18">
        <v>139694</v>
      </c>
      <c r="TJI3" s="18">
        <v>139701</v>
      </c>
      <c r="TJJ3" s="18">
        <v>139708</v>
      </c>
      <c r="TJK3" s="18">
        <v>139715</v>
      </c>
      <c r="TJL3" s="18">
        <v>139722</v>
      </c>
      <c r="TJM3" s="18">
        <v>139729</v>
      </c>
      <c r="TJN3" s="18">
        <v>139736</v>
      </c>
      <c r="TJO3" s="18">
        <v>139743</v>
      </c>
      <c r="TJP3" s="18">
        <v>139750</v>
      </c>
      <c r="TJQ3" s="18">
        <v>139757</v>
      </c>
      <c r="TJR3" s="18">
        <v>139764</v>
      </c>
      <c r="TJS3" s="18">
        <v>139771</v>
      </c>
      <c r="TJT3" s="18">
        <v>139778</v>
      </c>
      <c r="TJU3" s="18">
        <v>139785</v>
      </c>
      <c r="TJV3" s="18">
        <v>139792</v>
      </c>
      <c r="TJW3" s="18">
        <v>139799</v>
      </c>
      <c r="TJX3" s="18">
        <v>139806</v>
      </c>
      <c r="TJY3" s="18">
        <v>139813</v>
      </c>
      <c r="TJZ3" s="18">
        <v>139820</v>
      </c>
      <c r="TKA3" s="18">
        <v>139827</v>
      </c>
      <c r="TKB3" s="18">
        <v>139834</v>
      </c>
      <c r="TKC3" s="18">
        <v>139841</v>
      </c>
      <c r="TKD3" s="18">
        <v>139848</v>
      </c>
      <c r="TKE3" s="18">
        <v>139855</v>
      </c>
      <c r="TKF3" s="18">
        <v>139862</v>
      </c>
      <c r="TKG3" s="18">
        <v>139869</v>
      </c>
      <c r="TKH3" s="18">
        <v>139876</v>
      </c>
      <c r="TKI3" s="18">
        <v>139883</v>
      </c>
      <c r="TKJ3" s="18">
        <v>139890</v>
      </c>
      <c r="TKK3" s="18">
        <v>139897</v>
      </c>
      <c r="TKL3" s="18">
        <v>139904</v>
      </c>
      <c r="TKM3" s="18">
        <v>139911</v>
      </c>
      <c r="TKN3" s="18">
        <v>139918</v>
      </c>
      <c r="TKO3" s="18">
        <v>139925</v>
      </c>
      <c r="TKP3" s="18">
        <v>139932</v>
      </c>
      <c r="TKQ3" s="18">
        <v>139939</v>
      </c>
      <c r="TKR3" s="18">
        <v>139946</v>
      </c>
      <c r="TKS3" s="18">
        <v>139953</v>
      </c>
      <c r="TKT3" s="18">
        <v>139960</v>
      </c>
      <c r="TKU3" s="18">
        <v>139967</v>
      </c>
      <c r="TKV3" s="18">
        <v>139974</v>
      </c>
      <c r="TKW3" s="18">
        <v>139981</v>
      </c>
      <c r="TKX3" s="18">
        <v>139988</v>
      </c>
      <c r="TKY3" s="18">
        <v>139995</v>
      </c>
      <c r="TKZ3" s="18">
        <v>140002</v>
      </c>
      <c r="TLA3" s="18">
        <v>140009</v>
      </c>
      <c r="TLB3" s="18">
        <v>140016</v>
      </c>
      <c r="TLC3" s="18">
        <v>140023</v>
      </c>
      <c r="TLD3" s="18">
        <v>140030</v>
      </c>
      <c r="TLE3" s="18">
        <v>140037</v>
      </c>
      <c r="TLF3" s="18">
        <v>140044</v>
      </c>
      <c r="TLG3" s="18">
        <v>140051</v>
      </c>
      <c r="TLH3" s="18">
        <v>140058</v>
      </c>
      <c r="TLI3" s="18">
        <v>140065</v>
      </c>
      <c r="TLJ3" s="18">
        <v>140072</v>
      </c>
      <c r="TLK3" s="18">
        <v>140079</v>
      </c>
      <c r="TLL3" s="18">
        <v>140086</v>
      </c>
      <c r="TLM3" s="18">
        <v>140093</v>
      </c>
      <c r="TLN3" s="18">
        <v>140100</v>
      </c>
      <c r="TLO3" s="18">
        <v>140107</v>
      </c>
      <c r="TLP3" s="18">
        <v>140114</v>
      </c>
      <c r="TLQ3" s="18">
        <v>140121</v>
      </c>
      <c r="TLR3" s="18">
        <v>140128</v>
      </c>
      <c r="TLS3" s="18">
        <v>140135</v>
      </c>
      <c r="TLT3" s="18">
        <v>140142</v>
      </c>
      <c r="TLU3" s="18">
        <v>140149</v>
      </c>
      <c r="TLV3" s="18">
        <v>140156</v>
      </c>
      <c r="TLW3" s="18">
        <v>140163</v>
      </c>
      <c r="TLX3" s="18">
        <v>140170</v>
      </c>
      <c r="TLY3" s="18">
        <v>140177</v>
      </c>
      <c r="TLZ3" s="18">
        <v>140184</v>
      </c>
      <c r="TMA3" s="18">
        <v>140191</v>
      </c>
      <c r="TMB3" s="18">
        <v>140198</v>
      </c>
      <c r="TMC3" s="18">
        <v>140205</v>
      </c>
      <c r="TMD3" s="18">
        <v>140212</v>
      </c>
      <c r="TME3" s="18">
        <v>140219</v>
      </c>
      <c r="TMF3" s="18">
        <v>140226</v>
      </c>
      <c r="TMG3" s="18">
        <v>140233</v>
      </c>
      <c r="TMH3" s="18">
        <v>140240</v>
      </c>
      <c r="TMI3" s="18">
        <v>140247</v>
      </c>
      <c r="TMJ3" s="18">
        <v>140254</v>
      </c>
      <c r="TMK3" s="18">
        <v>140261</v>
      </c>
      <c r="TML3" s="18">
        <v>140268</v>
      </c>
      <c r="TMM3" s="18">
        <v>140275</v>
      </c>
      <c r="TMN3" s="18">
        <v>140282</v>
      </c>
      <c r="TMO3" s="18">
        <v>140289</v>
      </c>
      <c r="TMP3" s="18">
        <v>140296</v>
      </c>
      <c r="TMQ3" s="18">
        <v>140303</v>
      </c>
      <c r="TMR3" s="18">
        <v>140310</v>
      </c>
      <c r="TMS3" s="18">
        <v>140317</v>
      </c>
      <c r="TMT3" s="18">
        <v>140324</v>
      </c>
      <c r="TMU3" s="18">
        <v>140331</v>
      </c>
      <c r="TMV3" s="18">
        <v>140338</v>
      </c>
      <c r="TMW3" s="18">
        <v>140345</v>
      </c>
      <c r="TMX3" s="18">
        <v>140352</v>
      </c>
      <c r="TMY3" s="18">
        <v>140359</v>
      </c>
      <c r="TMZ3" s="18">
        <v>140366</v>
      </c>
      <c r="TNA3" s="18">
        <v>140373</v>
      </c>
      <c r="TNB3" s="18">
        <v>140380</v>
      </c>
      <c r="TNC3" s="18">
        <v>140387</v>
      </c>
      <c r="TND3" s="18">
        <v>140394</v>
      </c>
      <c r="TNE3" s="18">
        <v>140401</v>
      </c>
      <c r="TNF3" s="18">
        <v>140408</v>
      </c>
      <c r="TNG3" s="18">
        <v>140415</v>
      </c>
      <c r="TNH3" s="18">
        <v>140422</v>
      </c>
      <c r="TNI3" s="18">
        <v>140429</v>
      </c>
      <c r="TNJ3" s="18">
        <v>140436</v>
      </c>
      <c r="TNK3" s="18">
        <v>140443</v>
      </c>
      <c r="TNL3" s="18">
        <v>140450</v>
      </c>
      <c r="TNM3" s="18">
        <v>140457</v>
      </c>
      <c r="TNN3" s="18">
        <v>140464</v>
      </c>
      <c r="TNO3" s="18">
        <v>140471</v>
      </c>
      <c r="TNP3" s="18">
        <v>140478</v>
      </c>
      <c r="TNQ3" s="18">
        <v>140485</v>
      </c>
      <c r="TNR3" s="18">
        <v>140492</v>
      </c>
      <c r="TNS3" s="18">
        <v>140499</v>
      </c>
      <c r="TNT3" s="18">
        <v>140506</v>
      </c>
      <c r="TNU3" s="18">
        <v>140513</v>
      </c>
      <c r="TNV3" s="18">
        <v>140520</v>
      </c>
      <c r="TNW3" s="18">
        <v>140527</v>
      </c>
      <c r="TNX3" s="18">
        <v>140534</v>
      </c>
      <c r="TNY3" s="18">
        <v>140541</v>
      </c>
      <c r="TNZ3" s="18">
        <v>140548</v>
      </c>
      <c r="TOA3" s="18">
        <v>140555</v>
      </c>
      <c r="TOB3" s="18">
        <v>140562</v>
      </c>
      <c r="TOC3" s="18">
        <v>140569</v>
      </c>
      <c r="TOD3" s="18">
        <v>140576</v>
      </c>
      <c r="TOE3" s="18">
        <v>140583</v>
      </c>
      <c r="TOF3" s="18">
        <v>140590</v>
      </c>
      <c r="TOG3" s="18">
        <v>140597</v>
      </c>
      <c r="TOH3" s="18">
        <v>140604</v>
      </c>
      <c r="TOI3" s="18">
        <v>140611</v>
      </c>
      <c r="TOJ3" s="18">
        <v>140618</v>
      </c>
      <c r="TOK3" s="18">
        <v>140625</v>
      </c>
      <c r="TOL3" s="18">
        <v>140632</v>
      </c>
      <c r="TOM3" s="18">
        <v>140639</v>
      </c>
      <c r="TON3" s="18">
        <v>140646</v>
      </c>
      <c r="TOO3" s="18">
        <v>140653</v>
      </c>
      <c r="TOP3" s="18">
        <v>140660</v>
      </c>
      <c r="TOQ3" s="18">
        <v>140667</v>
      </c>
      <c r="TOR3" s="18">
        <v>140674</v>
      </c>
      <c r="TOS3" s="18">
        <v>140681</v>
      </c>
      <c r="TOT3" s="18">
        <v>140688</v>
      </c>
      <c r="TOU3" s="18">
        <v>140695</v>
      </c>
      <c r="TOV3" s="18">
        <v>140702</v>
      </c>
      <c r="TOW3" s="18">
        <v>140709</v>
      </c>
      <c r="TOX3" s="18">
        <v>140716</v>
      </c>
      <c r="TOY3" s="18">
        <v>140723</v>
      </c>
      <c r="TOZ3" s="18">
        <v>140730</v>
      </c>
      <c r="TPA3" s="18">
        <v>140737</v>
      </c>
      <c r="TPB3" s="18">
        <v>140744</v>
      </c>
      <c r="TPC3" s="18">
        <v>140751</v>
      </c>
      <c r="TPD3" s="18">
        <v>140758</v>
      </c>
      <c r="TPE3" s="18">
        <v>140765</v>
      </c>
      <c r="TPF3" s="18">
        <v>140772</v>
      </c>
      <c r="TPG3" s="18">
        <v>140779</v>
      </c>
      <c r="TPH3" s="18">
        <v>140786</v>
      </c>
      <c r="TPI3" s="18">
        <v>140793</v>
      </c>
      <c r="TPJ3" s="18">
        <v>140800</v>
      </c>
      <c r="TPK3" s="18">
        <v>140807</v>
      </c>
      <c r="TPL3" s="18">
        <v>140814</v>
      </c>
      <c r="TPM3" s="18">
        <v>140821</v>
      </c>
      <c r="TPN3" s="18">
        <v>140828</v>
      </c>
      <c r="TPO3" s="18">
        <v>140835</v>
      </c>
      <c r="TPP3" s="18">
        <v>140842</v>
      </c>
      <c r="TPQ3" s="18">
        <v>140849</v>
      </c>
      <c r="TPR3" s="18">
        <v>140856</v>
      </c>
      <c r="TPS3" s="18">
        <v>140863</v>
      </c>
      <c r="TPT3" s="18">
        <v>140870</v>
      </c>
      <c r="TPU3" s="18">
        <v>140877</v>
      </c>
      <c r="TPV3" s="18">
        <v>140884</v>
      </c>
      <c r="TPW3" s="18">
        <v>140891</v>
      </c>
      <c r="TPX3" s="18">
        <v>140898</v>
      </c>
      <c r="TPY3" s="18">
        <v>140905</v>
      </c>
      <c r="TPZ3" s="18">
        <v>140912</v>
      </c>
      <c r="TQA3" s="18">
        <v>140919</v>
      </c>
      <c r="TQB3" s="18">
        <v>140926</v>
      </c>
      <c r="TQC3" s="18">
        <v>140933</v>
      </c>
      <c r="TQD3" s="18">
        <v>140940</v>
      </c>
      <c r="TQE3" s="18">
        <v>140947</v>
      </c>
      <c r="TQF3" s="18">
        <v>140954</v>
      </c>
      <c r="TQG3" s="18">
        <v>140961</v>
      </c>
      <c r="TQH3" s="18">
        <v>140968</v>
      </c>
      <c r="TQI3" s="18">
        <v>140975</v>
      </c>
      <c r="TQJ3" s="18">
        <v>140982</v>
      </c>
      <c r="TQK3" s="18">
        <v>140989</v>
      </c>
      <c r="TQL3" s="18">
        <v>140996</v>
      </c>
      <c r="TQM3" s="18">
        <v>141003</v>
      </c>
      <c r="TQN3" s="18">
        <v>141010</v>
      </c>
      <c r="TQO3" s="18">
        <v>141017</v>
      </c>
      <c r="TQP3" s="18">
        <v>141024</v>
      </c>
      <c r="TQQ3" s="18">
        <v>141031</v>
      </c>
      <c r="TQR3" s="18">
        <v>141038</v>
      </c>
      <c r="TQS3" s="18">
        <v>141045</v>
      </c>
      <c r="TQT3" s="18">
        <v>141052</v>
      </c>
      <c r="TQU3" s="18">
        <v>141059</v>
      </c>
      <c r="TQV3" s="18">
        <v>141066</v>
      </c>
      <c r="TQW3" s="18">
        <v>141073</v>
      </c>
      <c r="TQX3" s="18">
        <v>141080</v>
      </c>
      <c r="TQY3" s="18">
        <v>141087</v>
      </c>
      <c r="TQZ3" s="18">
        <v>141094</v>
      </c>
      <c r="TRA3" s="18">
        <v>141101</v>
      </c>
      <c r="TRB3" s="18">
        <v>141108</v>
      </c>
      <c r="TRC3" s="18">
        <v>141115</v>
      </c>
      <c r="TRD3" s="18">
        <v>141122</v>
      </c>
      <c r="TRE3" s="18">
        <v>141129</v>
      </c>
      <c r="TRF3" s="18">
        <v>141136</v>
      </c>
      <c r="TRG3" s="18">
        <v>141143</v>
      </c>
      <c r="TRH3" s="18">
        <v>141150</v>
      </c>
      <c r="TRI3" s="18">
        <v>141157</v>
      </c>
      <c r="TRJ3" s="18">
        <v>141164</v>
      </c>
      <c r="TRK3" s="18">
        <v>141171</v>
      </c>
      <c r="TRL3" s="18">
        <v>141178</v>
      </c>
      <c r="TRM3" s="18">
        <v>141185</v>
      </c>
      <c r="TRN3" s="18">
        <v>141192</v>
      </c>
      <c r="TRO3" s="18">
        <v>141199</v>
      </c>
      <c r="TRP3" s="18">
        <v>141206</v>
      </c>
      <c r="TRQ3" s="18">
        <v>141213</v>
      </c>
      <c r="TRR3" s="18">
        <v>141220</v>
      </c>
      <c r="TRS3" s="18">
        <v>141227</v>
      </c>
      <c r="TRT3" s="18">
        <v>141234</v>
      </c>
      <c r="TRU3" s="18">
        <v>141241</v>
      </c>
      <c r="TRV3" s="18">
        <v>141248</v>
      </c>
      <c r="TRW3" s="18">
        <v>141255</v>
      </c>
      <c r="TRX3" s="18">
        <v>141262</v>
      </c>
      <c r="TRY3" s="18">
        <v>141269</v>
      </c>
      <c r="TRZ3" s="18">
        <v>141276</v>
      </c>
      <c r="TSA3" s="18">
        <v>141283</v>
      </c>
      <c r="TSB3" s="18">
        <v>141290</v>
      </c>
      <c r="TSC3" s="18">
        <v>141297</v>
      </c>
      <c r="TSD3" s="18">
        <v>141304</v>
      </c>
      <c r="TSE3" s="18">
        <v>141311</v>
      </c>
      <c r="TSF3" s="18">
        <v>141318</v>
      </c>
      <c r="TSG3" s="18">
        <v>141325</v>
      </c>
      <c r="TSH3" s="18">
        <v>141332</v>
      </c>
      <c r="TSI3" s="18">
        <v>141339</v>
      </c>
      <c r="TSJ3" s="18">
        <v>141346</v>
      </c>
      <c r="TSK3" s="18">
        <v>141353</v>
      </c>
      <c r="TSL3" s="18">
        <v>141360</v>
      </c>
      <c r="TSM3" s="18">
        <v>141367</v>
      </c>
      <c r="TSN3" s="18">
        <v>141374</v>
      </c>
      <c r="TSO3" s="18">
        <v>141381</v>
      </c>
      <c r="TSP3" s="18">
        <v>141388</v>
      </c>
      <c r="TSQ3" s="18">
        <v>141395</v>
      </c>
      <c r="TSR3" s="18">
        <v>141402</v>
      </c>
      <c r="TSS3" s="18">
        <v>141409</v>
      </c>
      <c r="TST3" s="18">
        <v>141416</v>
      </c>
      <c r="TSU3" s="18">
        <v>141423</v>
      </c>
      <c r="TSV3" s="18">
        <v>141430</v>
      </c>
      <c r="TSW3" s="18">
        <v>141437</v>
      </c>
      <c r="TSX3" s="18">
        <v>141444</v>
      </c>
      <c r="TSY3" s="18">
        <v>141451</v>
      </c>
      <c r="TSZ3" s="18">
        <v>141458</v>
      </c>
      <c r="TTA3" s="18">
        <v>141465</v>
      </c>
      <c r="TTB3" s="18">
        <v>141472</v>
      </c>
      <c r="TTC3" s="18">
        <v>141479</v>
      </c>
      <c r="TTD3" s="18">
        <v>141486</v>
      </c>
      <c r="TTE3" s="18">
        <v>141493</v>
      </c>
      <c r="TTF3" s="18">
        <v>141500</v>
      </c>
      <c r="TTG3" s="18">
        <v>141507</v>
      </c>
      <c r="TTH3" s="18">
        <v>141514</v>
      </c>
      <c r="TTI3" s="18">
        <v>141521</v>
      </c>
      <c r="TTJ3" s="18">
        <v>141528</v>
      </c>
      <c r="TTK3" s="18">
        <v>141535</v>
      </c>
      <c r="TTL3" s="18">
        <v>141542</v>
      </c>
      <c r="TTM3" s="18">
        <v>141549</v>
      </c>
      <c r="TTN3" s="18">
        <v>141556</v>
      </c>
      <c r="TTO3" s="18">
        <v>141563</v>
      </c>
      <c r="TTP3" s="18">
        <v>141570</v>
      </c>
      <c r="TTQ3" s="18">
        <v>141577</v>
      </c>
      <c r="TTR3" s="18">
        <v>141584</v>
      </c>
      <c r="TTS3" s="18">
        <v>141591</v>
      </c>
      <c r="TTT3" s="18">
        <v>141598</v>
      </c>
      <c r="TTU3" s="18">
        <v>141605</v>
      </c>
      <c r="TTV3" s="18">
        <v>141612</v>
      </c>
      <c r="TTW3" s="18">
        <v>141619</v>
      </c>
      <c r="TTX3" s="18">
        <v>141626</v>
      </c>
      <c r="TTY3" s="18">
        <v>141633</v>
      </c>
      <c r="TTZ3" s="18">
        <v>141640</v>
      </c>
      <c r="TUA3" s="18">
        <v>141647</v>
      </c>
      <c r="TUB3" s="18">
        <v>141654</v>
      </c>
      <c r="TUC3" s="18">
        <v>141661</v>
      </c>
      <c r="TUD3" s="18">
        <v>141668</v>
      </c>
      <c r="TUE3" s="18">
        <v>141675</v>
      </c>
      <c r="TUF3" s="18">
        <v>141682</v>
      </c>
      <c r="TUG3" s="18">
        <v>141689</v>
      </c>
      <c r="TUH3" s="18">
        <v>141696</v>
      </c>
      <c r="TUI3" s="18">
        <v>141703</v>
      </c>
      <c r="TUJ3" s="18">
        <v>141710</v>
      </c>
      <c r="TUK3" s="18">
        <v>141717</v>
      </c>
      <c r="TUL3" s="18">
        <v>141724</v>
      </c>
      <c r="TUM3" s="18">
        <v>141731</v>
      </c>
      <c r="TUN3" s="18">
        <v>141738</v>
      </c>
      <c r="TUO3" s="18">
        <v>141745</v>
      </c>
      <c r="TUP3" s="18">
        <v>141752</v>
      </c>
      <c r="TUQ3" s="18">
        <v>141759</v>
      </c>
      <c r="TUR3" s="18">
        <v>141766</v>
      </c>
      <c r="TUS3" s="18">
        <v>141773</v>
      </c>
      <c r="TUT3" s="18">
        <v>141780</v>
      </c>
      <c r="TUU3" s="18">
        <v>141787</v>
      </c>
      <c r="TUV3" s="18">
        <v>141794</v>
      </c>
      <c r="TUW3" s="18">
        <v>141801</v>
      </c>
      <c r="TUX3" s="18">
        <v>141808</v>
      </c>
      <c r="TUY3" s="18">
        <v>141815</v>
      </c>
      <c r="TUZ3" s="18">
        <v>141822</v>
      </c>
      <c r="TVA3" s="18">
        <v>141829</v>
      </c>
      <c r="TVB3" s="18">
        <v>141836</v>
      </c>
      <c r="TVC3" s="18">
        <v>141843</v>
      </c>
      <c r="TVD3" s="18">
        <v>141850</v>
      </c>
      <c r="TVE3" s="18">
        <v>141857</v>
      </c>
      <c r="TVF3" s="18">
        <v>141864</v>
      </c>
      <c r="TVG3" s="18">
        <v>141871</v>
      </c>
      <c r="TVH3" s="18">
        <v>141878</v>
      </c>
      <c r="TVI3" s="18">
        <v>141885</v>
      </c>
      <c r="TVJ3" s="18">
        <v>141892</v>
      </c>
      <c r="TVK3" s="18">
        <v>141899</v>
      </c>
      <c r="TVL3" s="18">
        <v>141906</v>
      </c>
      <c r="TVM3" s="18">
        <v>141913</v>
      </c>
      <c r="TVN3" s="18">
        <v>141920</v>
      </c>
      <c r="TVO3" s="18">
        <v>141927</v>
      </c>
      <c r="TVP3" s="18">
        <v>141934</v>
      </c>
      <c r="TVQ3" s="18">
        <v>141941</v>
      </c>
      <c r="TVR3" s="18">
        <v>141948</v>
      </c>
      <c r="TVS3" s="18">
        <v>141955</v>
      </c>
      <c r="TVT3" s="18">
        <v>141962</v>
      </c>
      <c r="TVU3" s="18">
        <v>141969</v>
      </c>
      <c r="TVV3" s="18">
        <v>141976</v>
      </c>
      <c r="TVW3" s="18">
        <v>141983</v>
      </c>
      <c r="TVX3" s="18">
        <v>141990</v>
      </c>
      <c r="TVY3" s="18">
        <v>141997</v>
      </c>
      <c r="TVZ3" s="18">
        <v>142004</v>
      </c>
      <c r="TWA3" s="18">
        <v>142011</v>
      </c>
      <c r="TWB3" s="18">
        <v>142018</v>
      </c>
      <c r="TWC3" s="18">
        <v>142025</v>
      </c>
      <c r="TWD3" s="18">
        <v>142032</v>
      </c>
      <c r="TWE3" s="18">
        <v>142039</v>
      </c>
      <c r="TWF3" s="18">
        <v>142046</v>
      </c>
      <c r="TWG3" s="18">
        <v>142053</v>
      </c>
      <c r="TWH3" s="18">
        <v>142060</v>
      </c>
      <c r="TWI3" s="18">
        <v>142067</v>
      </c>
      <c r="TWJ3" s="18">
        <v>142074</v>
      </c>
      <c r="TWK3" s="18">
        <v>142081</v>
      </c>
      <c r="TWL3" s="18">
        <v>142088</v>
      </c>
      <c r="TWM3" s="18">
        <v>142095</v>
      </c>
      <c r="TWN3" s="18">
        <v>142102</v>
      </c>
      <c r="TWO3" s="18">
        <v>142109</v>
      </c>
      <c r="TWP3" s="18">
        <v>142116</v>
      </c>
      <c r="TWQ3" s="18">
        <v>142123</v>
      </c>
      <c r="TWR3" s="18">
        <v>142130</v>
      </c>
      <c r="TWS3" s="18">
        <v>142137</v>
      </c>
      <c r="TWT3" s="18">
        <v>142144</v>
      </c>
      <c r="TWU3" s="18">
        <v>142151</v>
      </c>
      <c r="TWV3" s="18">
        <v>142158</v>
      </c>
      <c r="TWW3" s="18">
        <v>142165</v>
      </c>
      <c r="TWX3" s="18">
        <v>142172</v>
      </c>
      <c r="TWY3" s="18">
        <v>142179</v>
      </c>
      <c r="TWZ3" s="18">
        <v>142186</v>
      </c>
      <c r="TXA3" s="18">
        <v>142193</v>
      </c>
      <c r="TXB3" s="18">
        <v>142200</v>
      </c>
      <c r="TXC3" s="18">
        <v>142207</v>
      </c>
      <c r="TXD3" s="18">
        <v>142214</v>
      </c>
      <c r="TXE3" s="18">
        <v>142221</v>
      </c>
      <c r="TXF3" s="18">
        <v>142228</v>
      </c>
      <c r="TXG3" s="18">
        <v>142235</v>
      </c>
      <c r="TXH3" s="18">
        <v>142242</v>
      </c>
      <c r="TXI3" s="18">
        <v>142249</v>
      </c>
      <c r="TXJ3" s="18">
        <v>142256</v>
      </c>
      <c r="TXK3" s="18">
        <v>142263</v>
      </c>
      <c r="TXL3" s="18">
        <v>142270</v>
      </c>
      <c r="TXM3" s="18">
        <v>142277</v>
      </c>
      <c r="TXN3" s="18">
        <v>142284</v>
      </c>
      <c r="TXO3" s="18">
        <v>142291</v>
      </c>
      <c r="TXP3" s="18">
        <v>142298</v>
      </c>
      <c r="TXQ3" s="18">
        <v>142305</v>
      </c>
      <c r="TXR3" s="18">
        <v>142312</v>
      </c>
      <c r="TXS3" s="18">
        <v>142319</v>
      </c>
      <c r="TXT3" s="18">
        <v>142326</v>
      </c>
      <c r="TXU3" s="18">
        <v>142333</v>
      </c>
      <c r="TXV3" s="18">
        <v>142340</v>
      </c>
      <c r="TXW3" s="18">
        <v>142347</v>
      </c>
      <c r="TXX3" s="18">
        <v>142354</v>
      </c>
      <c r="TXY3" s="18">
        <v>142361</v>
      </c>
      <c r="TXZ3" s="18">
        <v>142368</v>
      </c>
      <c r="TYA3" s="18">
        <v>142375</v>
      </c>
      <c r="TYB3" s="18">
        <v>142382</v>
      </c>
      <c r="TYC3" s="18">
        <v>142389</v>
      </c>
      <c r="TYD3" s="18">
        <v>142396</v>
      </c>
      <c r="TYE3" s="18">
        <v>142403</v>
      </c>
      <c r="TYF3" s="18">
        <v>142410</v>
      </c>
      <c r="TYG3" s="18">
        <v>142417</v>
      </c>
      <c r="TYH3" s="18">
        <v>142424</v>
      </c>
      <c r="TYI3" s="18">
        <v>142431</v>
      </c>
      <c r="TYJ3" s="18">
        <v>142438</v>
      </c>
      <c r="TYK3" s="18">
        <v>142445</v>
      </c>
      <c r="TYL3" s="18">
        <v>142452</v>
      </c>
      <c r="TYM3" s="18">
        <v>142459</v>
      </c>
      <c r="TYN3" s="18">
        <v>142466</v>
      </c>
      <c r="TYO3" s="18">
        <v>142473</v>
      </c>
      <c r="TYP3" s="18">
        <v>142480</v>
      </c>
      <c r="TYQ3" s="18">
        <v>142487</v>
      </c>
      <c r="TYR3" s="18">
        <v>142494</v>
      </c>
      <c r="TYS3" s="18">
        <v>142501</v>
      </c>
      <c r="TYT3" s="18">
        <v>142508</v>
      </c>
      <c r="TYU3" s="18">
        <v>142515</v>
      </c>
      <c r="TYV3" s="18">
        <v>142522</v>
      </c>
      <c r="TYW3" s="18">
        <v>142529</v>
      </c>
      <c r="TYX3" s="18">
        <v>142536</v>
      </c>
      <c r="TYY3" s="18">
        <v>142543</v>
      </c>
      <c r="TYZ3" s="18">
        <v>142550</v>
      </c>
      <c r="TZA3" s="18">
        <v>142557</v>
      </c>
      <c r="TZB3" s="18">
        <v>142564</v>
      </c>
      <c r="TZC3" s="18">
        <v>142571</v>
      </c>
      <c r="TZD3" s="18">
        <v>142578</v>
      </c>
      <c r="TZE3" s="18">
        <v>142585</v>
      </c>
      <c r="TZF3" s="18">
        <v>142592</v>
      </c>
      <c r="TZG3" s="18">
        <v>142599</v>
      </c>
      <c r="TZH3" s="18">
        <v>142606</v>
      </c>
      <c r="TZI3" s="18">
        <v>142613</v>
      </c>
      <c r="TZJ3" s="18">
        <v>142620</v>
      </c>
      <c r="TZK3" s="18">
        <v>142627</v>
      </c>
      <c r="TZL3" s="18">
        <v>142634</v>
      </c>
      <c r="TZM3" s="18">
        <v>142641</v>
      </c>
      <c r="TZN3" s="18">
        <v>142648</v>
      </c>
      <c r="TZO3" s="18">
        <v>142655</v>
      </c>
      <c r="TZP3" s="18">
        <v>142662</v>
      </c>
      <c r="TZQ3" s="18">
        <v>142669</v>
      </c>
      <c r="TZR3" s="18">
        <v>142676</v>
      </c>
      <c r="TZS3" s="18">
        <v>142683</v>
      </c>
      <c r="TZT3" s="18">
        <v>142690</v>
      </c>
      <c r="TZU3" s="18">
        <v>142697</v>
      </c>
      <c r="TZV3" s="18">
        <v>142704</v>
      </c>
      <c r="TZW3" s="18">
        <v>142711</v>
      </c>
      <c r="TZX3" s="18">
        <v>142718</v>
      </c>
      <c r="TZY3" s="18">
        <v>142725</v>
      </c>
      <c r="TZZ3" s="18">
        <v>142732</v>
      </c>
      <c r="UAA3" s="18">
        <v>142739</v>
      </c>
      <c r="UAB3" s="18">
        <v>142746</v>
      </c>
      <c r="UAC3" s="18">
        <v>142753</v>
      </c>
      <c r="UAD3" s="18">
        <v>142760</v>
      </c>
      <c r="UAE3" s="18">
        <v>142767</v>
      </c>
      <c r="UAF3" s="18">
        <v>142774</v>
      </c>
      <c r="UAG3" s="18">
        <v>142781</v>
      </c>
      <c r="UAH3" s="18">
        <v>142788</v>
      </c>
      <c r="UAI3" s="18">
        <v>142795</v>
      </c>
      <c r="UAJ3" s="18">
        <v>142802</v>
      </c>
      <c r="UAK3" s="18">
        <v>142809</v>
      </c>
      <c r="UAL3" s="18">
        <v>142816</v>
      </c>
      <c r="UAM3" s="18">
        <v>142823</v>
      </c>
      <c r="UAN3" s="18">
        <v>142830</v>
      </c>
      <c r="UAO3" s="18">
        <v>142837</v>
      </c>
      <c r="UAP3" s="18">
        <v>142844</v>
      </c>
      <c r="UAQ3" s="18">
        <v>142851</v>
      </c>
      <c r="UAR3" s="18">
        <v>142858</v>
      </c>
      <c r="UAS3" s="18">
        <v>142865</v>
      </c>
      <c r="UAT3" s="18">
        <v>142872</v>
      </c>
      <c r="UAU3" s="18">
        <v>142879</v>
      </c>
      <c r="UAV3" s="18">
        <v>142886</v>
      </c>
      <c r="UAW3" s="18">
        <v>142893</v>
      </c>
      <c r="UAX3" s="18">
        <v>142900</v>
      </c>
      <c r="UAY3" s="18">
        <v>142907</v>
      </c>
      <c r="UAZ3" s="18">
        <v>142914</v>
      </c>
      <c r="UBA3" s="18">
        <v>142921</v>
      </c>
      <c r="UBB3" s="18">
        <v>142928</v>
      </c>
      <c r="UBC3" s="18">
        <v>142935</v>
      </c>
      <c r="UBD3" s="18">
        <v>142942</v>
      </c>
      <c r="UBE3" s="18">
        <v>142949</v>
      </c>
      <c r="UBF3" s="18">
        <v>142956</v>
      </c>
      <c r="UBG3" s="18">
        <v>142963</v>
      </c>
      <c r="UBH3" s="18">
        <v>142970</v>
      </c>
      <c r="UBI3" s="18">
        <v>142977</v>
      </c>
      <c r="UBJ3" s="18">
        <v>142984</v>
      </c>
      <c r="UBK3" s="18">
        <v>142991</v>
      </c>
      <c r="UBL3" s="18">
        <v>142998</v>
      </c>
      <c r="UBM3" s="18">
        <v>143005</v>
      </c>
      <c r="UBN3" s="18">
        <v>143012</v>
      </c>
      <c r="UBO3" s="18">
        <v>143019</v>
      </c>
      <c r="UBP3" s="18">
        <v>143026</v>
      </c>
      <c r="UBQ3" s="18">
        <v>143033</v>
      </c>
      <c r="UBR3" s="18">
        <v>143040</v>
      </c>
      <c r="UBS3" s="18">
        <v>143047</v>
      </c>
      <c r="UBT3" s="18">
        <v>143054</v>
      </c>
      <c r="UBU3" s="18">
        <v>143061</v>
      </c>
      <c r="UBV3" s="18">
        <v>143068</v>
      </c>
      <c r="UBW3" s="18">
        <v>143075</v>
      </c>
      <c r="UBX3" s="18">
        <v>143082</v>
      </c>
      <c r="UBY3" s="18">
        <v>143089</v>
      </c>
      <c r="UBZ3" s="18">
        <v>143096</v>
      </c>
      <c r="UCA3" s="18">
        <v>143103</v>
      </c>
      <c r="UCB3" s="18">
        <v>143110</v>
      </c>
      <c r="UCC3" s="18">
        <v>143117</v>
      </c>
      <c r="UCD3" s="18">
        <v>143124</v>
      </c>
      <c r="UCE3" s="18">
        <v>143131</v>
      </c>
      <c r="UCF3" s="18">
        <v>143138</v>
      </c>
      <c r="UCG3" s="18">
        <v>143145</v>
      </c>
      <c r="UCH3" s="18">
        <v>143152</v>
      </c>
      <c r="UCI3" s="18">
        <v>143159</v>
      </c>
      <c r="UCJ3" s="18">
        <v>143166</v>
      </c>
      <c r="UCK3" s="18">
        <v>143173</v>
      </c>
      <c r="UCL3" s="18">
        <v>143180</v>
      </c>
      <c r="UCM3" s="18">
        <v>143187</v>
      </c>
      <c r="UCN3" s="18">
        <v>143194</v>
      </c>
      <c r="UCO3" s="18">
        <v>143201</v>
      </c>
      <c r="UCP3" s="18">
        <v>143208</v>
      </c>
      <c r="UCQ3" s="18">
        <v>143215</v>
      </c>
      <c r="UCR3" s="18">
        <v>143222</v>
      </c>
      <c r="UCS3" s="18">
        <v>143229</v>
      </c>
      <c r="UCT3" s="18">
        <v>143236</v>
      </c>
      <c r="UCU3" s="18">
        <v>143243</v>
      </c>
      <c r="UCV3" s="18">
        <v>143250</v>
      </c>
      <c r="UCW3" s="18">
        <v>143257</v>
      </c>
      <c r="UCX3" s="18">
        <v>143264</v>
      </c>
      <c r="UCY3" s="18">
        <v>143271</v>
      </c>
      <c r="UCZ3" s="18">
        <v>143278</v>
      </c>
      <c r="UDA3" s="18">
        <v>143285</v>
      </c>
      <c r="UDB3" s="18">
        <v>143292</v>
      </c>
      <c r="UDC3" s="18">
        <v>143299</v>
      </c>
      <c r="UDD3" s="18">
        <v>143306</v>
      </c>
      <c r="UDE3" s="18">
        <v>143313</v>
      </c>
      <c r="UDF3" s="18">
        <v>143320</v>
      </c>
      <c r="UDG3" s="18">
        <v>143327</v>
      </c>
      <c r="UDH3" s="18">
        <v>143334</v>
      </c>
      <c r="UDI3" s="18">
        <v>143341</v>
      </c>
      <c r="UDJ3" s="18">
        <v>143348</v>
      </c>
      <c r="UDK3" s="18">
        <v>143355</v>
      </c>
      <c r="UDL3" s="18">
        <v>143362</v>
      </c>
      <c r="UDM3" s="18">
        <v>143369</v>
      </c>
      <c r="UDN3" s="18">
        <v>143376</v>
      </c>
      <c r="UDO3" s="18">
        <v>143383</v>
      </c>
      <c r="UDP3" s="18">
        <v>143390</v>
      </c>
      <c r="UDQ3" s="18">
        <v>143397</v>
      </c>
      <c r="UDR3" s="18">
        <v>143404</v>
      </c>
      <c r="UDS3" s="18">
        <v>143411</v>
      </c>
      <c r="UDT3" s="18">
        <v>143418</v>
      </c>
      <c r="UDU3" s="18">
        <v>143425</v>
      </c>
      <c r="UDV3" s="18">
        <v>143432</v>
      </c>
      <c r="UDW3" s="18">
        <v>143439</v>
      </c>
      <c r="UDX3" s="18">
        <v>143446</v>
      </c>
      <c r="UDY3" s="18">
        <v>143453</v>
      </c>
      <c r="UDZ3" s="18">
        <v>143460</v>
      </c>
      <c r="UEA3" s="18">
        <v>143467</v>
      </c>
      <c r="UEB3" s="18">
        <v>143474</v>
      </c>
      <c r="UEC3" s="18">
        <v>143481</v>
      </c>
      <c r="UED3" s="18">
        <v>143488</v>
      </c>
      <c r="UEE3" s="18">
        <v>143495</v>
      </c>
      <c r="UEF3" s="18">
        <v>143502</v>
      </c>
      <c r="UEG3" s="18">
        <v>143509</v>
      </c>
      <c r="UEH3" s="18">
        <v>143516</v>
      </c>
      <c r="UEI3" s="18">
        <v>143523</v>
      </c>
      <c r="UEJ3" s="18">
        <v>143530</v>
      </c>
      <c r="UEK3" s="18">
        <v>143537</v>
      </c>
      <c r="UEL3" s="18">
        <v>143544</v>
      </c>
      <c r="UEM3" s="18">
        <v>143551</v>
      </c>
      <c r="UEN3" s="18">
        <v>143558</v>
      </c>
      <c r="UEO3" s="18">
        <v>143565</v>
      </c>
      <c r="UEP3" s="18">
        <v>143572</v>
      </c>
      <c r="UEQ3" s="18">
        <v>143579</v>
      </c>
      <c r="UER3" s="18">
        <v>143586</v>
      </c>
      <c r="UES3" s="18">
        <v>143593</v>
      </c>
      <c r="UET3" s="18">
        <v>143600</v>
      </c>
      <c r="UEU3" s="18">
        <v>143607</v>
      </c>
      <c r="UEV3" s="18">
        <v>143614</v>
      </c>
      <c r="UEW3" s="18">
        <v>143621</v>
      </c>
      <c r="UEX3" s="18">
        <v>143628</v>
      </c>
      <c r="UEY3" s="18">
        <v>143635</v>
      </c>
      <c r="UEZ3" s="18">
        <v>143642</v>
      </c>
      <c r="UFA3" s="18">
        <v>143649</v>
      </c>
      <c r="UFB3" s="18">
        <v>143656</v>
      </c>
      <c r="UFC3" s="18">
        <v>143663</v>
      </c>
      <c r="UFD3" s="18">
        <v>143670</v>
      </c>
      <c r="UFE3" s="18">
        <v>143677</v>
      </c>
      <c r="UFF3" s="18">
        <v>143684</v>
      </c>
      <c r="UFG3" s="18">
        <v>143691</v>
      </c>
      <c r="UFH3" s="18">
        <v>143698</v>
      </c>
      <c r="UFI3" s="18">
        <v>143705</v>
      </c>
      <c r="UFJ3" s="18">
        <v>143712</v>
      </c>
      <c r="UFK3" s="18">
        <v>143719</v>
      </c>
      <c r="UFL3" s="18">
        <v>143726</v>
      </c>
      <c r="UFM3" s="18">
        <v>143733</v>
      </c>
      <c r="UFN3" s="18">
        <v>143740</v>
      </c>
      <c r="UFO3" s="18">
        <v>143747</v>
      </c>
      <c r="UFP3" s="18">
        <v>143754</v>
      </c>
      <c r="UFQ3" s="18">
        <v>143761</v>
      </c>
      <c r="UFR3" s="18">
        <v>143768</v>
      </c>
      <c r="UFS3" s="18">
        <v>143775</v>
      </c>
      <c r="UFT3" s="18">
        <v>143782</v>
      </c>
      <c r="UFU3" s="18">
        <v>143789</v>
      </c>
      <c r="UFV3" s="18">
        <v>143796</v>
      </c>
      <c r="UFW3" s="18">
        <v>143803</v>
      </c>
      <c r="UFX3" s="18">
        <v>143810</v>
      </c>
      <c r="UFY3" s="18">
        <v>143817</v>
      </c>
      <c r="UFZ3" s="18">
        <v>143824</v>
      </c>
      <c r="UGA3" s="18">
        <v>143831</v>
      </c>
      <c r="UGB3" s="18">
        <v>143838</v>
      </c>
      <c r="UGC3" s="18">
        <v>143845</v>
      </c>
      <c r="UGD3" s="18">
        <v>143852</v>
      </c>
      <c r="UGE3" s="18">
        <v>143859</v>
      </c>
      <c r="UGF3" s="18">
        <v>143866</v>
      </c>
      <c r="UGG3" s="18">
        <v>143873</v>
      </c>
      <c r="UGH3" s="18">
        <v>143880</v>
      </c>
      <c r="UGI3" s="18">
        <v>143887</v>
      </c>
      <c r="UGJ3" s="18">
        <v>143894</v>
      </c>
      <c r="UGK3" s="18">
        <v>143901</v>
      </c>
      <c r="UGL3" s="18">
        <v>143908</v>
      </c>
      <c r="UGM3" s="18">
        <v>143915</v>
      </c>
      <c r="UGN3" s="18">
        <v>143922</v>
      </c>
      <c r="UGO3" s="18">
        <v>143929</v>
      </c>
      <c r="UGP3" s="18">
        <v>143936</v>
      </c>
      <c r="UGQ3" s="18">
        <v>143943</v>
      </c>
      <c r="UGR3" s="18">
        <v>143950</v>
      </c>
      <c r="UGS3" s="18">
        <v>143957</v>
      </c>
      <c r="UGT3" s="18">
        <v>143964</v>
      </c>
      <c r="UGU3" s="18">
        <v>143971</v>
      </c>
      <c r="UGV3" s="18">
        <v>143978</v>
      </c>
      <c r="UGW3" s="18">
        <v>143985</v>
      </c>
      <c r="UGX3" s="18">
        <v>143992</v>
      </c>
      <c r="UGY3" s="18">
        <v>143999</v>
      </c>
      <c r="UGZ3" s="18">
        <v>144006</v>
      </c>
      <c r="UHA3" s="18">
        <v>144013</v>
      </c>
      <c r="UHB3" s="18">
        <v>144020</v>
      </c>
      <c r="UHC3" s="18">
        <v>144027</v>
      </c>
      <c r="UHD3" s="18">
        <v>144034</v>
      </c>
      <c r="UHE3" s="18">
        <v>144041</v>
      </c>
      <c r="UHF3" s="18">
        <v>144048</v>
      </c>
      <c r="UHG3" s="18">
        <v>144055</v>
      </c>
      <c r="UHH3" s="18">
        <v>144062</v>
      </c>
      <c r="UHI3" s="18">
        <v>144069</v>
      </c>
      <c r="UHJ3" s="18">
        <v>144076</v>
      </c>
      <c r="UHK3" s="18">
        <v>144083</v>
      </c>
      <c r="UHL3" s="18">
        <v>144090</v>
      </c>
      <c r="UHM3" s="18">
        <v>144097</v>
      </c>
      <c r="UHN3" s="18">
        <v>144104</v>
      </c>
      <c r="UHO3" s="18">
        <v>144111</v>
      </c>
      <c r="UHP3" s="18">
        <v>144118</v>
      </c>
      <c r="UHQ3" s="18">
        <v>144125</v>
      </c>
      <c r="UHR3" s="18">
        <v>144132</v>
      </c>
      <c r="UHS3" s="18">
        <v>144139</v>
      </c>
      <c r="UHT3" s="18">
        <v>144146</v>
      </c>
      <c r="UHU3" s="18">
        <v>144153</v>
      </c>
      <c r="UHV3" s="18">
        <v>144160</v>
      </c>
      <c r="UHW3" s="18">
        <v>144167</v>
      </c>
      <c r="UHX3" s="18">
        <v>144174</v>
      </c>
      <c r="UHY3" s="18">
        <v>144181</v>
      </c>
      <c r="UHZ3" s="18">
        <v>144188</v>
      </c>
      <c r="UIA3" s="18">
        <v>144195</v>
      </c>
      <c r="UIB3" s="18">
        <v>144202</v>
      </c>
      <c r="UIC3" s="18">
        <v>144209</v>
      </c>
      <c r="UID3" s="18">
        <v>144216</v>
      </c>
      <c r="UIE3" s="18">
        <v>144223</v>
      </c>
      <c r="UIF3" s="18">
        <v>144230</v>
      </c>
      <c r="UIG3" s="18">
        <v>144237</v>
      </c>
      <c r="UIH3" s="18">
        <v>144244</v>
      </c>
      <c r="UII3" s="18">
        <v>144251</v>
      </c>
      <c r="UIJ3" s="18">
        <v>144258</v>
      </c>
      <c r="UIK3" s="18">
        <v>144265</v>
      </c>
      <c r="UIL3" s="18">
        <v>144272</v>
      </c>
      <c r="UIM3" s="18">
        <v>144279</v>
      </c>
      <c r="UIN3" s="18">
        <v>144286</v>
      </c>
      <c r="UIO3" s="18">
        <v>144293</v>
      </c>
      <c r="UIP3" s="18">
        <v>144300</v>
      </c>
      <c r="UIQ3" s="18">
        <v>144307</v>
      </c>
      <c r="UIR3" s="18">
        <v>144314</v>
      </c>
      <c r="UIS3" s="18">
        <v>144321</v>
      </c>
      <c r="UIT3" s="18">
        <v>144328</v>
      </c>
      <c r="UIU3" s="18">
        <v>144335</v>
      </c>
      <c r="UIV3" s="18">
        <v>144342</v>
      </c>
      <c r="UIW3" s="18">
        <v>144349</v>
      </c>
      <c r="UIX3" s="18">
        <v>144356</v>
      </c>
      <c r="UIY3" s="18">
        <v>144363</v>
      </c>
      <c r="UIZ3" s="18">
        <v>144370</v>
      </c>
      <c r="UJA3" s="18">
        <v>144377</v>
      </c>
      <c r="UJB3" s="18">
        <v>144384</v>
      </c>
      <c r="UJC3" s="18">
        <v>144391</v>
      </c>
      <c r="UJD3" s="18">
        <v>144398</v>
      </c>
      <c r="UJE3" s="18">
        <v>144405</v>
      </c>
      <c r="UJF3" s="18">
        <v>144412</v>
      </c>
      <c r="UJG3" s="18">
        <v>144419</v>
      </c>
      <c r="UJH3" s="18">
        <v>144426</v>
      </c>
      <c r="UJI3" s="18">
        <v>144433</v>
      </c>
      <c r="UJJ3" s="18">
        <v>144440</v>
      </c>
      <c r="UJK3" s="18">
        <v>144447</v>
      </c>
      <c r="UJL3" s="18">
        <v>144454</v>
      </c>
      <c r="UJM3" s="18">
        <v>144461</v>
      </c>
      <c r="UJN3" s="18">
        <v>144468</v>
      </c>
      <c r="UJO3" s="18">
        <v>144475</v>
      </c>
      <c r="UJP3" s="18">
        <v>144482</v>
      </c>
      <c r="UJQ3" s="18">
        <v>144489</v>
      </c>
      <c r="UJR3" s="18">
        <v>144496</v>
      </c>
      <c r="UJS3" s="18">
        <v>144503</v>
      </c>
      <c r="UJT3" s="18">
        <v>144510</v>
      </c>
      <c r="UJU3" s="18">
        <v>144517</v>
      </c>
      <c r="UJV3" s="18">
        <v>144524</v>
      </c>
      <c r="UJW3" s="18">
        <v>144531</v>
      </c>
      <c r="UJX3" s="18">
        <v>144538</v>
      </c>
      <c r="UJY3" s="18">
        <v>144545</v>
      </c>
      <c r="UJZ3" s="18">
        <v>144552</v>
      </c>
      <c r="UKA3" s="18">
        <v>144559</v>
      </c>
      <c r="UKB3" s="18">
        <v>144566</v>
      </c>
      <c r="UKC3" s="18">
        <v>144573</v>
      </c>
      <c r="UKD3" s="18">
        <v>144580</v>
      </c>
      <c r="UKE3" s="18">
        <v>144587</v>
      </c>
      <c r="UKF3" s="18">
        <v>144594</v>
      </c>
      <c r="UKG3" s="18">
        <v>144601</v>
      </c>
      <c r="UKH3" s="18">
        <v>144608</v>
      </c>
      <c r="UKI3" s="18">
        <v>144615</v>
      </c>
      <c r="UKJ3" s="18">
        <v>144622</v>
      </c>
      <c r="UKK3" s="18">
        <v>144629</v>
      </c>
      <c r="UKL3" s="18">
        <v>144636</v>
      </c>
      <c r="UKM3" s="18">
        <v>144643</v>
      </c>
      <c r="UKN3" s="18">
        <v>144650</v>
      </c>
      <c r="UKO3" s="18">
        <v>144657</v>
      </c>
      <c r="UKP3" s="18">
        <v>144664</v>
      </c>
      <c r="UKQ3" s="18">
        <v>144671</v>
      </c>
      <c r="UKR3" s="18">
        <v>144678</v>
      </c>
      <c r="UKS3" s="18">
        <v>144685</v>
      </c>
      <c r="UKT3" s="18">
        <v>144692</v>
      </c>
      <c r="UKU3" s="18">
        <v>144699</v>
      </c>
      <c r="UKV3" s="18">
        <v>144706</v>
      </c>
      <c r="UKW3" s="18">
        <v>144713</v>
      </c>
      <c r="UKX3" s="18">
        <v>144720</v>
      </c>
      <c r="UKY3" s="18">
        <v>144727</v>
      </c>
      <c r="UKZ3" s="18">
        <v>144734</v>
      </c>
      <c r="ULA3" s="18">
        <v>144741</v>
      </c>
      <c r="ULB3" s="18">
        <v>144748</v>
      </c>
      <c r="ULC3" s="18">
        <v>144755</v>
      </c>
      <c r="ULD3" s="18">
        <v>144762</v>
      </c>
      <c r="ULE3" s="18">
        <v>144769</v>
      </c>
      <c r="ULF3" s="18">
        <v>144776</v>
      </c>
      <c r="ULG3" s="18">
        <v>144783</v>
      </c>
      <c r="ULH3" s="18">
        <v>144790</v>
      </c>
      <c r="ULI3" s="18">
        <v>144797</v>
      </c>
      <c r="ULJ3" s="18">
        <v>144804</v>
      </c>
      <c r="ULK3" s="18">
        <v>144811</v>
      </c>
      <c r="ULL3" s="18">
        <v>144818</v>
      </c>
      <c r="ULM3" s="18">
        <v>144825</v>
      </c>
      <c r="ULN3" s="18">
        <v>144832</v>
      </c>
      <c r="ULO3" s="18">
        <v>144839</v>
      </c>
      <c r="ULP3" s="18">
        <v>144846</v>
      </c>
      <c r="ULQ3" s="18">
        <v>144853</v>
      </c>
      <c r="ULR3" s="18">
        <v>144860</v>
      </c>
      <c r="ULS3" s="18">
        <v>144867</v>
      </c>
      <c r="ULT3" s="18">
        <v>144874</v>
      </c>
      <c r="ULU3" s="18">
        <v>144881</v>
      </c>
      <c r="ULV3" s="18">
        <v>144888</v>
      </c>
      <c r="ULW3" s="18">
        <v>144895</v>
      </c>
      <c r="ULX3" s="18">
        <v>144902</v>
      </c>
      <c r="ULY3" s="18">
        <v>144909</v>
      </c>
      <c r="ULZ3" s="18">
        <v>144916</v>
      </c>
      <c r="UMA3" s="18">
        <v>144923</v>
      </c>
      <c r="UMB3" s="18">
        <v>144930</v>
      </c>
      <c r="UMC3" s="18">
        <v>144937</v>
      </c>
      <c r="UMD3" s="18">
        <v>144944</v>
      </c>
      <c r="UME3" s="18">
        <v>144951</v>
      </c>
      <c r="UMF3" s="18">
        <v>144958</v>
      </c>
      <c r="UMG3" s="18">
        <v>144965</v>
      </c>
      <c r="UMH3" s="18">
        <v>144972</v>
      </c>
      <c r="UMI3" s="18">
        <v>144979</v>
      </c>
      <c r="UMJ3" s="18">
        <v>144986</v>
      </c>
      <c r="UMK3" s="18">
        <v>144993</v>
      </c>
      <c r="UML3" s="18">
        <v>145000</v>
      </c>
      <c r="UMM3" s="18">
        <v>145007</v>
      </c>
      <c r="UMN3" s="18">
        <v>145014</v>
      </c>
      <c r="UMO3" s="18">
        <v>145021</v>
      </c>
      <c r="UMP3" s="18">
        <v>145028</v>
      </c>
      <c r="UMQ3" s="18">
        <v>145035</v>
      </c>
      <c r="UMR3" s="18">
        <v>145042</v>
      </c>
      <c r="UMS3" s="18">
        <v>145049</v>
      </c>
      <c r="UMT3" s="18">
        <v>145056</v>
      </c>
      <c r="UMU3" s="18">
        <v>145063</v>
      </c>
      <c r="UMV3" s="18">
        <v>145070</v>
      </c>
      <c r="UMW3" s="18">
        <v>145077</v>
      </c>
      <c r="UMX3" s="18">
        <v>145084</v>
      </c>
      <c r="UMY3" s="18">
        <v>145091</v>
      </c>
      <c r="UMZ3" s="18">
        <v>145098</v>
      </c>
      <c r="UNA3" s="18">
        <v>145105</v>
      </c>
      <c r="UNB3" s="18">
        <v>145112</v>
      </c>
      <c r="UNC3" s="18">
        <v>145119</v>
      </c>
      <c r="UND3" s="18">
        <v>145126</v>
      </c>
      <c r="UNE3" s="18">
        <v>145133</v>
      </c>
      <c r="UNF3" s="18">
        <v>145140</v>
      </c>
      <c r="UNG3" s="18">
        <v>145147</v>
      </c>
      <c r="UNH3" s="18">
        <v>145154</v>
      </c>
      <c r="UNI3" s="18">
        <v>145161</v>
      </c>
      <c r="UNJ3" s="18">
        <v>145168</v>
      </c>
      <c r="UNK3" s="18">
        <v>145175</v>
      </c>
      <c r="UNL3" s="18">
        <v>145182</v>
      </c>
      <c r="UNM3" s="18">
        <v>145189</v>
      </c>
      <c r="UNN3" s="18">
        <v>145196</v>
      </c>
      <c r="UNO3" s="18">
        <v>145203</v>
      </c>
      <c r="UNP3" s="18">
        <v>145210</v>
      </c>
      <c r="UNQ3" s="18">
        <v>145217</v>
      </c>
      <c r="UNR3" s="18">
        <v>145224</v>
      </c>
      <c r="UNS3" s="18">
        <v>145231</v>
      </c>
      <c r="UNT3" s="18">
        <v>145238</v>
      </c>
      <c r="UNU3" s="18">
        <v>145245</v>
      </c>
      <c r="UNV3" s="18">
        <v>145252</v>
      </c>
      <c r="UNW3" s="18">
        <v>145259</v>
      </c>
      <c r="UNX3" s="18">
        <v>145266</v>
      </c>
      <c r="UNY3" s="18">
        <v>145273</v>
      </c>
      <c r="UNZ3" s="18">
        <v>145280</v>
      </c>
      <c r="UOA3" s="18">
        <v>145287</v>
      </c>
      <c r="UOB3" s="18">
        <v>145294</v>
      </c>
      <c r="UOC3" s="18">
        <v>145301</v>
      </c>
      <c r="UOD3" s="18">
        <v>145308</v>
      </c>
      <c r="UOE3" s="18">
        <v>145315</v>
      </c>
      <c r="UOF3" s="18">
        <v>145322</v>
      </c>
      <c r="UOG3" s="18">
        <v>145329</v>
      </c>
      <c r="UOH3" s="18">
        <v>145336</v>
      </c>
      <c r="UOI3" s="18">
        <v>145343</v>
      </c>
      <c r="UOJ3" s="18">
        <v>145350</v>
      </c>
      <c r="UOK3" s="18">
        <v>145357</v>
      </c>
      <c r="UOL3" s="18">
        <v>145364</v>
      </c>
      <c r="UOM3" s="18">
        <v>145371</v>
      </c>
      <c r="UON3" s="18">
        <v>145378</v>
      </c>
      <c r="UOO3" s="18">
        <v>145385</v>
      </c>
      <c r="UOP3" s="18">
        <v>145392</v>
      </c>
      <c r="UOQ3" s="18">
        <v>145399</v>
      </c>
      <c r="UOR3" s="18">
        <v>145406</v>
      </c>
      <c r="UOS3" s="18">
        <v>145413</v>
      </c>
      <c r="UOT3" s="18">
        <v>145420</v>
      </c>
      <c r="UOU3" s="18">
        <v>145427</v>
      </c>
      <c r="UOV3" s="18">
        <v>145434</v>
      </c>
      <c r="UOW3" s="18">
        <v>145441</v>
      </c>
      <c r="UOX3" s="18">
        <v>145448</v>
      </c>
      <c r="UOY3" s="18">
        <v>145455</v>
      </c>
      <c r="UOZ3" s="18">
        <v>145462</v>
      </c>
      <c r="UPA3" s="18">
        <v>145469</v>
      </c>
      <c r="UPB3" s="18">
        <v>145476</v>
      </c>
      <c r="UPC3" s="18">
        <v>145483</v>
      </c>
      <c r="UPD3" s="18">
        <v>145490</v>
      </c>
      <c r="UPE3" s="18">
        <v>145497</v>
      </c>
      <c r="UPF3" s="18">
        <v>145504</v>
      </c>
      <c r="UPG3" s="18">
        <v>145511</v>
      </c>
      <c r="UPH3" s="18">
        <v>145518</v>
      </c>
      <c r="UPI3" s="18">
        <v>145525</v>
      </c>
      <c r="UPJ3" s="18">
        <v>145532</v>
      </c>
      <c r="UPK3" s="18">
        <v>145539</v>
      </c>
      <c r="UPL3" s="18">
        <v>145546</v>
      </c>
      <c r="UPM3" s="18">
        <v>145553</v>
      </c>
      <c r="UPN3" s="18">
        <v>145560</v>
      </c>
      <c r="UPO3" s="18">
        <v>145567</v>
      </c>
      <c r="UPP3" s="18">
        <v>145574</v>
      </c>
      <c r="UPQ3" s="18">
        <v>145581</v>
      </c>
      <c r="UPR3" s="18">
        <v>145588</v>
      </c>
      <c r="UPS3" s="18">
        <v>145595</v>
      </c>
      <c r="UPT3" s="18">
        <v>145602</v>
      </c>
      <c r="UPU3" s="18">
        <v>145609</v>
      </c>
      <c r="UPV3" s="18">
        <v>145616</v>
      </c>
      <c r="UPW3" s="18">
        <v>145623</v>
      </c>
      <c r="UPX3" s="18">
        <v>145630</v>
      </c>
      <c r="UPY3" s="18">
        <v>145637</v>
      </c>
      <c r="UPZ3" s="18">
        <v>145644</v>
      </c>
      <c r="UQA3" s="18">
        <v>145651</v>
      </c>
      <c r="UQB3" s="18">
        <v>145658</v>
      </c>
      <c r="UQC3" s="18">
        <v>145665</v>
      </c>
      <c r="UQD3" s="18">
        <v>145672</v>
      </c>
      <c r="UQE3" s="18">
        <v>145679</v>
      </c>
      <c r="UQF3" s="18">
        <v>145686</v>
      </c>
      <c r="UQG3" s="18">
        <v>145693</v>
      </c>
      <c r="UQH3" s="18">
        <v>145700</v>
      </c>
      <c r="UQI3" s="18">
        <v>145707</v>
      </c>
      <c r="UQJ3" s="18">
        <v>145714</v>
      </c>
      <c r="UQK3" s="18">
        <v>145721</v>
      </c>
      <c r="UQL3" s="18">
        <v>145728</v>
      </c>
      <c r="UQM3" s="18">
        <v>145735</v>
      </c>
      <c r="UQN3" s="18">
        <v>145742</v>
      </c>
      <c r="UQO3" s="18">
        <v>145749</v>
      </c>
      <c r="UQP3" s="18">
        <v>145756</v>
      </c>
      <c r="UQQ3" s="18">
        <v>145763</v>
      </c>
      <c r="UQR3" s="18">
        <v>145770</v>
      </c>
      <c r="UQS3" s="18">
        <v>145777</v>
      </c>
      <c r="UQT3" s="18">
        <v>145784</v>
      </c>
      <c r="UQU3" s="18">
        <v>145791</v>
      </c>
      <c r="UQV3" s="18">
        <v>145798</v>
      </c>
      <c r="UQW3" s="18">
        <v>145805</v>
      </c>
      <c r="UQX3" s="18">
        <v>145812</v>
      </c>
      <c r="UQY3" s="18">
        <v>145819</v>
      </c>
      <c r="UQZ3" s="18">
        <v>145826</v>
      </c>
      <c r="URA3" s="18">
        <v>145833</v>
      </c>
      <c r="URB3" s="18">
        <v>145840</v>
      </c>
      <c r="URC3" s="18">
        <v>145847</v>
      </c>
      <c r="URD3" s="18">
        <v>145854</v>
      </c>
      <c r="URE3" s="18">
        <v>145861</v>
      </c>
      <c r="URF3" s="18">
        <v>145868</v>
      </c>
      <c r="URG3" s="18">
        <v>145875</v>
      </c>
      <c r="URH3" s="18">
        <v>145882</v>
      </c>
      <c r="URI3" s="18">
        <v>145889</v>
      </c>
      <c r="URJ3" s="18">
        <v>145896</v>
      </c>
      <c r="URK3" s="18">
        <v>145903</v>
      </c>
      <c r="URL3" s="18">
        <v>145910</v>
      </c>
      <c r="URM3" s="18">
        <v>145917</v>
      </c>
      <c r="URN3" s="18">
        <v>145924</v>
      </c>
      <c r="URO3" s="18">
        <v>145931</v>
      </c>
      <c r="URP3" s="18">
        <v>145938</v>
      </c>
      <c r="URQ3" s="18">
        <v>145945</v>
      </c>
      <c r="URR3" s="18">
        <v>145952</v>
      </c>
      <c r="URS3" s="18">
        <v>145959</v>
      </c>
      <c r="URT3" s="18">
        <v>145966</v>
      </c>
      <c r="URU3" s="18">
        <v>145973</v>
      </c>
      <c r="URV3" s="18">
        <v>145980</v>
      </c>
      <c r="URW3" s="18">
        <v>145987</v>
      </c>
      <c r="URX3" s="18">
        <v>145994</v>
      </c>
      <c r="URY3" s="18">
        <v>146001</v>
      </c>
      <c r="URZ3" s="18">
        <v>146008</v>
      </c>
      <c r="USA3" s="18">
        <v>146015</v>
      </c>
      <c r="USB3" s="18">
        <v>146022</v>
      </c>
      <c r="USC3" s="18">
        <v>146029</v>
      </c>
      <c r="USD3" s="18">
        <v>146036</v>
      </c>
      <c r="USE3" s="18">
        <v>146043</v>
      </c>
      <c r="USF3" s="18">
        <v>146050</v>
      </c>
      <c r="USG3" s="18">
        <v>146057</v>
      </c>
      <c r="USH3" s="18">
        <v>146064</v>
      </c>
      <c r="USI3" s="18">
        <v>146071</v>
      </c>
      <c r="USJ3" s="18">
        <v>146078</v>
      </c>
      <c r="USK3" s="18">
        <v>146085</v>
      </c>
      <c r="USL3" s="18">
        <v>146092</v>
      </c>
      <c r="USM3" s="18">
        <v>146099</v>
      </c>
      <c r="USN3" s="18">
        <v>146106</v>
      </c>
      <c r="USO3" s="18">
        <v>146113</v>
      </c>
      <c r="USP3" s="18">
        <v>146120</v>
      </c>
      <c r="USQ3" s="18">
        <v>146127</v>
      </c>
      <c r="USR3" s="18">
        <v>146134</v>
      </c>
      <c r="USS3" s="18">
        <v>146141</v>
      </c>
      <c r="UST3" s="18">
        <v>146148</v>
      </c>
      <c r="USU3" s="18">
        <v>146155</v>
      </c>
      <c r="USV3" s="18">
        <v>146162</v>
      </c>
      <c r="USW3" s="18">
        <v>146169</v>
      </c>
      <c r="USX3" s="18">
        <v>146176</v>
      </c>
      <c r="USY3" s="18">
        <v>146183</v>
      </c>
      <c r="USZ3" s="18">
        <v>146190</v>
      </c>
      <c r="UTA3" s="18">
        <v>146197</v>
      </c>
      <c r="UTB3" s="18">
        <v>146204</v>
      </c>
      <c r="UTC3" s="18">
        <v>146211</v>
      </c>
      <c r="UTD3" s="18">
        <v>146218</v>
      </c>
      <c r="UTE3" s="18">
        <v>146225</v>
      </c>
      <c r="UTF3" s="18">
        <v>146232</v>
      </c>
      <c r="UTG3" s="18">
        <v>146239</v>
      </c>
      <c r="UTH3" s="18">
        <v>146246</v>
      </c>
      <c r="UTI3" s="18">
        <v>146253</v>
      </c>
      <c r="UTJ3" s="18">
        <v>146260</v>
      </c>
      <c r="UTK3" s="18">
        <v>146267</v>
      </c>
      <c r="UTL3" s="18">
        <v>146274</v>
      </c>
      <c r="UTM3" s="18">
        <v>146281</v>
      </c>
      <c r="UTN3" s="18">
        <v>146288</v>
      </c>
      <c r="UTO3" s="18">
        <v>146295</v>
      </c>
      <c r="UTP3" s="18">
        <v>146302</v>
      </c>
      <c r="UTQ3" s="18">
        <v>146309</v>
      </c>
      <c r="UTR3" s="18">
        <v>146316</v>
      </c>
      <c r="UTS3" s="18">
        <v>146323</v>
      </c>
      <c r="UTT3" s="18">
        <v>146330</v>
      </c>
      <c r="UTU3" s="18">
        <v>146337</v>
      </c>
      <c r="UTV3" s="18">
        <v>146344</v>
      </c>
      <c r="UTW3" s="18">
        <v>146351</v>
      </c>
      <c r="UTX3" s="18">
        <v>146358</v>
      </c>
      <c r="UTY3" s="18">
        <v>146365</v>
      </c>
      <c r="UTZ3" s="18">
        <v>146372</v>
      </c>
      <c r="UUA3" s="18">
        <v>146379</v>
      </c>
      <c r="UUB3" s="18">
        <v>146386</v>
      </c>
      <c r="UUC3" s="18">
        <v>146393</v>
      </c>
      <c r="UUD3" s="18">
        <v>146400</v>
      </c>
      <c r="UUE3" s="18">
        <v>146407</v>
      </c>
      <c r="UUF3" s="18">
        <v>146414</v>
      </c>
      <c r="UUG3" s="18">
        <v>146421</v>
      </c>
      <c r="UUH3" s="18">
        <v>146428</v>
      </c>
      <c r="UUI3" s="18">
        <v>146435</v>
      </c>
      <c r="UUJ3" s="18">
        <v>146442</v>
      </c>
      <c r="UUK3" s="18">
        <v>146449</v>
      </c>
      <c r="UUL3" s="18">
        <v>146456</v>
      </c>
      <c r="UUM3" s="18">
        <v>146463</v>
      </c>
      <c r="UUN3" s="18">
        <v>146470</v>
      </c>
      <c r="UUO3" s="18">
        <v>146477</v>
      </c>
      <c r="UUP3" s="18">
        <v>146484</v>
      </c>
      <c r="UUQ3" s="18">
        <v>146491</v>
      </c>
      <c r="UUR3" s="18">
        <v>146498</v>
      </c>
      <c r="UUS3" s="18">
        <v>146505</v>
      </c>
      <c r="UUT3" s="18">
        <v>146512</v>
      </c>
      <c r="UUU3" s="18">
        <v>146519</v>
      </c>
      <c r="UUV3" s="18">
        <v>146526</v>
      </c>
      <c r="UUW3" s="18">
        <v>146533</v>
      </c>
      <c r="UUX3" s="18">
        <v>146540</v>
      </c>
      <c r="UUY3" s="18">
        <v>146547</v>
      </c>
      <c r="UUZ3" s="18">
        <v>146554</v>
      </c>
      <c r="UVA3" s="18">
        <v>146561</v>
      </c>
      <c r="UVB3" s="18">
        <v>146568</v>
      </c>
      <c r="UVC3" s="18">
        <v>146575</v>
      </c>
      <c r="UVD3" s="18">
        <v>146582</v>
      </c>
      <c r="UVE3" s="18">
        <v>146589</v>
      </c>
      <c r="UVF3" s="18">
        <v>146596</v>
      </c>
      <c r="UVG3" s="18">
        <v>146603</v>
      </c>
      <c r="UVH3" s="18">
        <v>146610</v>
      </c>
      <c r="UVI3" s="18">
        <v>146617</v>
      </c>
      <c r="UVJ3" s="18">
        <v>146624</v>
      </c>
      <c r="UVK3" s="18">
        <v>146631</v>
      </c>
      <c r="UVL3" s="18">
        <v>146638</v>
      </c>
      <c r="UVM3" s="18">
        <v>146645</v>
      </c>
      <c r="UVN3" s="18">
        <v>146652</v>
      </c>
      <c r="UVO3" s="18">
        <v>146659</v>
      </c>
      <c r="UVP3" s="18">
        <v>146666</v>
      </c>
      <c r="UVQ3" s="18">
        <v>146673</v>
      </c>
      <c r="UVR3" s="18">
        <v>146680</v>
      </c>
      <c r="UVS3" s="18">
        <v>146687</v>
      </c>
      <c r="UVT3" s="18">
        <v>146694</v>
      </c>
      <c r="UVU3" s="18">
        <v>146701</v>
      </c>
      <c r="UVV3" s="18">
        <v>146708</v>
      </c>
      <c r="UVW3" s="18">
        <v>146715</v>
      </c>
      <c r="UVX3" s="18">
        <v>146722</v>
      </c>
      <c r="UVY3" s="18">
        <v>146729</v>
      </c>
      <c r="UVZ3" s="18">
        <v>146736</v>
      </c>
      <c r="UWA3" s="18">
        <v>146743</v>
      </c>
      <c r="UWB3" s="18">
        <v>146750</v>
      </c>
      <c r="UWC3" s="18">
        <v>146757</v>
      </c>
      <c r="UWD3" s="18">
        <v>146764</v>
      </c>
      <c r="UWE3" s="18">
        <v>146771</v>
      </c>
      <c r="UWF3" s="18">
        <v>146778</v>
      </c>
      <c r="UWG3" s="18">
        <v>146785</v>
      </c>
      <c r="UWH3" s="18">
        <v>146792</v>
      </c>
      <c r="UWI3" s="18">
        <v>146799</v>
      </c>
      <c r="UWJ3" s="18">
        <v>146806</v>
      </c>
      <c r="UWK3" s="18">
        <v>146813</v>
      </c>
      <c r="UWL3" s="18">
        <v>146820</v>
      </c>
      <c r="UWM3" s="18">
        <v>146827</v>
      </c>
      <c r="UWN3" s="18">
        <v>146834</v>
      </c>
      <c r="UWO3" s="18">
        <v>146841</v>
      </c>
      <c r="UWP3" s="18">
        <v>146848</v>
      </c>
      <c r="UWQ3" s="18">
        <v>146855</v>
      </c>
      <c r="UWR3" s="18">
        <v>146862</v>
      </c>
      <c r="UWS3" s="18">
        <v>146869</v>
      </c>
      <c r="UWT3" s="18">
        <v>146876</v>
      </c>
      <c r="UWU3" s="18">
        <v>146883</v>
      </c>
      <c r="UWV3" s="18">
        <v>146890</v>
      </c>
      <c r="UWW3" s="18">
        <v>146897</v>
      </c>
      <c r="UWX3" s="18">
        <v>146904</v>
      </c>
      <c r="UWY3" s="18">
        <v>146911</v>
      </c>
      <c r="UWZ3" s="18">
        <v>146918</v>
      </c>
      <c r="UXA3" s="18">
        <v>146925</v>
      </c>
      <c r="UXB3" s="18">
        <v>146932</v>
      </c>
      <c r="UXC3" s="18">
        <v>146939</v>
      </c>
      <c r="UXD3" s="18">
        <v>146946</v>
      </c>
      <c r="UXE3" s="18">
        <v>146953</v>
      </c>
      <c r="UXF3" s="18">
        <v>146960</v>
      </c>
      <c r="UXG3" s="18">
        <v>146967</v>
      </c>
      <c r="UXH3" s="18">
        <v>146974</v>
      </c>
      <c r="UXI3" s="18">
        <v>146981</v>
      </c>
      <c r="UXJ3" s="18">
        <v>146988</v>
      </c>
      <c r="UXK3" s="18">
        <v>146995</v>
      </c>
      <c r="UXL3" s="18">
        <v>147002</v>
      </c>
      <c r="UXM3" s="18">
        <v>147009</v>
      </c>
      <c r="UXN3" s="18">
        <v>147016</v>
      </c>
      <c r="UXO3" s="18">
        <v>147023</v>
      </c>
      <c r="UXP3" s="18">
        <v>147030</v>
      </c>
      <c r="UXQ3" s="18">
        <v>147037</v>
      </c>
      <c r="UXR3" s="18">
        <v>147044</v>
      </c>
      <c r="UXS3" s="18">
        <v>147051</v>
      </c>
      <c r="UXT3" s="18">
        <v>147058</v>
      </c>
      <c r="UXU3" s="18">
        <v>147065</v>
      </c>
      <c r="UXV3" s="18">
        <v>147072</v>
      </c>
      <c r="UXW3" s="18">
        <v>147079</v>
      </c>
      <c r="UXX3" s="18">
        <v>147086</v>
      </c>
      <c r="UXY3" s="18">
        <v>147093</v>
      </c>
      <c r="UXZ3" s="18">
        <v>147100</v>
      </c>
      <c r="UYA3" s="18">
        <v>147107</v>
      </c>
      <c r="UYB3" s="18">
        <v>147114</v>
      </c>
      <c r="UYC3" s="18">
        <v>147121</v>
      </c>
      <c r="UYD3" s="18">
        <v>147128</v>
      </c>
      <c r="UYE3" s="18">
        <v>147135</v>
      </c>
      <c r="UYF3" s="18">
        <v>147142</v>
      </c>
      <c r="UYG3" s="18">
        <v>147149</v>
      </c>
      <c r="UYH3" s="18">
        <v>147156</v>
      </c>
      <c r="UYI3" s="18">
        <v>147163</v>
      </c>
      <c r="UYJ3" s="18">
        <v>147170</v>
      </c>
      <c r="UYK3" s="18">
        <v>147177</v>
      </c>
      <c r="UYL3" s="18">
        <v>147184</v>
      </c>
      <c r="UYM3" s="18">
        <v>147191</v>
      </c>
      <c r="UYN3" s="18">
        <v>147198</v>
      </c>
      <c r="UYO3" s="18">
        <v>147205</v>
      </c>
      <c r="UYP3" s="18">
        <v>147212</v>
      </c>
      <c r="UYQ3" s="18">
        <v>147219</v>
      </c>
      <c r="UYR3" s="18">
        <v>147226</v>
      </c>
      <c r="UYS3" s="18">
        <v>147233</v>
      </c>
      <c r="UYT3" s="18">
        <v>147240</v>
      </c>
      <c r="UYU3" s="18">
        <v>147247</v>
      </c>
      <c r="UYV3" s="18">
        <v>147254</v>
      </c>
      <c r="UYW3" s="18">
        <v>147261</v>
      </c>
      <c r="UYX3" s="18">
        <v>147268</v>
      </c>
      <c r="UYY3" s="18">
        <v>147275</v>
      </c>
      <c r="UYZ3" s="18">
        <v>147282</v>
      </c>
      <c r="UZA3" s="18">
        <v>147289</v>
      </c>
      <c r="UZB3" s="18">
        <v>147296</v>
      </c>
      <c r="UZC3" s="18">
        <v>147303</v>
      </c>
      <c r="UZD3" s="18">
        <v>147310</v>
      </c>
      <c r="UZE3" s="18">
        <v>147317</v>
      </c>
      <c r="UZF3" s="18">
        <v>147324</v>
      </c>
      <c r="UZG3" s="18">
        <v>147331</v>
      </c>
      <c r="UZH3" s="18">
        <v>147338</v>
      </c>
      <c r="UZI3" s="18">
        <v>147345</v>
      </c>
      <c r="UZJ3" s="18">
        <v>147352</v>
      </c>
      <c r="UZK3" s="18">
        <v>147359</v>
      </c>
      <c r="UZL3" s="18">
        <v>147366</v>
      </c>
      <c r="UZM3" s="18">
        <v>147373</v>
      </c>
      <c r="UZN3" s="18">
        <v>147380</v>
      </c>
      <c r="UZO3" s="18">
        <v>147387</v>
      </c>
      <c r="UZP3" s="18">
        <v>147394</v>
      </c>
      <c r="UZQ3" s="18">
        <v>147401</v>
      </c>
      <c r="UZR3" s="18">
        <v>147408</v>
      </c>
      <c r="UZS3" s="18">
        <v>147415</v>
      </c>
      <c r="UZT3" s="18">
        <v>147422</v>
      </c>
      <c r="UZU3" s="18">
        <v>147429</v>
      </c>
      <c r="UZV3" s="18">
        <v>147436</v>
      </c>
      <c r="UZW3" s="18">
        <v>147443</v>
      </c>
      <c r="UZX3" s="18">
        <v>147450</v>
      </c>
      <c r="UZY3" s="18">
        <v>147457</v>
      </c>
      <c r="UZZ3" s="18">
        <v>147464</v>
      </c>
      <c r="VAA3" s="18">
        <v>147471</v>
      </c>
      <c r="VAB3" s="18">
        <v>147478</v>
      </c>
      <c r="VAC3" s="18">
        <v>147485</v>
      </c>
      <c r="VAD3" s="18">
        <v>147492</v>
      </c>
      <c r="VAE3" s="18">
        <v>147499</v>
      </c>
      <c r="VAF3" s="18">
        <v>147506</v>
      </c>
      <c r="VAG3" s="18">
        <v>147513</v>
      </c>
      <c r="VAH3" s="18">
        <v>147520</v>
      </c>
      <c r="VAI3" s="18">
        <v>147527</v>
      </c>
      <c r="VAJ3" s="18">
        <v>147534</v>
      </c>
      <c r="VAK3" s="18">
        <v>147541</v>
      </c>
      <c r="VAL3" s="18">
        <v>147548</v>
      </c>
      <c r="VAM3" s="18">
        <v>147555</v>
      </c>
      <c r="VAN3" s="18">
        <v>147562</v>
      </c>
      <c r="VAO3" s="18">
        <v>147569</v>
      </c>
      <c r="VAP3" s="18">
        <v>147576</v>
      </c>
      <c r="VAQ3" s="18">
        <v>147583</v>
      </c>
      <c r="VAR3" s="18">
        <v>147590</v>
      </c>
      <c r="VAS3" s="18">
        <v>147597</v>
      </c>
      <c r="VAT3" s="18">
        <v>147604</v>
      </c>
      <c r="VAU3" s="18">
        <v>147611</v>
      </c>
      <c r="VAV3" s="18">
        <v>147618</v>
      </c>
      <c r="VAW3" s="18">
        <v>147625</v>
      </c>
      <c r="VAX3" s="18">
        <v>147632</v>
      </c>
      <c r="VAY3" s="18">
        <v>147639</v>
      </c>
      <c r="VAZ3" s="18">
        <v>147646</v>
      </c>
      <c r="VBA3" s="18">
        <v>147653</v>
      </c>
      <c r="VBB3" s="18">
        <v>147660</v>
      </c>
      <c r="VBC3" s="18">
        <v>147667</v>
      </c>
      <c r="VBD3" s="18">
        <v>147674</v>
      </c>
      <c r="VBE3" s="18">
        <v>147681</v>
      </c>
      <c r="VBF3" s="18">
        <v>147688</v>
      </c>
      <c r="VBG3" s="18">
        <v>147695</v>
      </c>
      <c r="VBH3" s="18">
        <v>147702</v>
      </c>
      <c r="VBI3" s="18">
        <v>147709</v>
      </c>
      <c r="VBJ3" s="18">
        <v>147716</v>
      </c>
      <c r="VBK3" s="18">
        <v>147723</v>
      </c>
      <c r="VBL3" s="18">
        <v>147730</v>
      </c>
      <c r="VBM3" s="18">
        <v>147737</v>
      </c>
      <c r="VBN3" s="18">
        <v>147744</v>
      </c>
      <c r="VBO3" s="18">
        <v>147751</v>
      </c>
      <c r="VBP3" s="18">
        <v>147758</v>
      </c>
      <c r="VBQ3" s="18">
        <v>147765</v>
      </c>
      <c r="VBR3" s="18">
        <v>147772</v>
      </c>
      <c r="VBS3" s="18">
        <v>147779</v>
      </c>
      <c r="VBT3" s="18">
        <v>147786</v>
      </c>
      <c r="VBU3" s="18">
        <v>147793</v>
      </c>
      <c r="VBV3" s="18">
        <v>147800</v>
      </c>
      <c r="VBW3" s="18">
        <v>147807</v>
      </c>
      <c r="VBX3" s="18">
        <v>147814</v>
      </c>
      <c r="VBY3" s="18">
        <v>147821</v>
      </c>
      <c r="VBZ3" s="18">
        <v>147828</v>
      </c>
      <c r="VCA3" s="18">
        <v>147835</v>
      </c>
      <c r="VCB3" s="18">
        <v>147842</v>
      </c>
      <c r="VCC3" s="18">
        <v>147849</v>
      </c>
      <c r="VCD3" s="18">
        <v>147856</v>
      </c>
      <c r="VCE3" s="18">
        <v>147863</v>
      </c>
      <c r="VCF3" s="18">
        <v>147870</v>
      </c>
      <c r="VCG3" s="18">
        <v>147877</v>
      </c>
      <c r="VCH3" s="18">
        <v>147884</v>
      </c>
      <c r="VCI3" s="18">
        <v>147891</v>
      </c>
      <c r="VCJ3" s="18">
        <v>147898</v>
      </c>
      <c r="VCK3" s="18">
        <v>147905</v>
      </c>
      <c r="VCL3" s="18">
        <v>147912</v>
      </c>
      <c r="VCM3" s="18">
        <v>147919</v>
      </c>
      <c r="VCN3" s="18">
        <v>147926</v>
      </c>
      <c r="VCO3" s="18">
        <v>147933</v>
      </c>
      <c r="VCP3" s="18">
        <v>147940</v>
      </c>
      <c r="VCQ3" s="18">
        <v>147947</v>
      </c>
      <c r="VCR3" s="18">
        <v>147954</v>
      </c>
      <c r="VCS3" s="18">
        <v>147961</v>
      </c>
      <c r="VCT3" s="18">
        <v>147968</v>
      </c>
      <c r="VCU3" s="18">
        <v>147975</v>
      </c>
      <c r="VCV3" s="18">
        <v>147982</v>
      </c>
      <c r="VCW3" s="18">
        <v>147989</v>
      </c>
      <c r="VCX3" s="18">
        <v>147996</v>
      </c>
      <c r="VCY3" s="18">
        <v>148003</v>
      </c>
      <c r="VCZ3" s="18">
        <v>148010</v>
      </c>
      <c r="VDA3" s="18">
        <v>148017</v>
      </c>
      <c r="VDB3" s="18">
        <v>148024</v>
      </c>
      <c r="VDC3" s="18">
        <v>148031</v>
      </c>
      <c r="VDD3" s="18">
        <v>148038</v>
      </c>
      <c r="VDE3" s="18">
        <v>148045</v>
      </c>
      <c r="VDF3" s="18">
        <v>148052</v>
      </c>
      <c r="VDG3" s="18">
        <v>148059</v>
      </c>
      <c r="VDH3" s="18">
        <v>148066</v>
      </c>
      <c r="VDI3" s="18">
        <v>148073</v>
      </c>
      <c r="VDJ3" s="18">
        <v>148080</v>
      </c>
      <c r="VDK3" s="18">
        <v>148087</v>
      </c>
      <c r="VDL3" s="18">
        <v>148094</v>
      </c>
      <c r="VDM3" s="18">
        <v>148101</v>
      </c>
      <c r="VDN3" s="18">
        <v>148108</v>
      </c>
      <c r="VDO3" s="18">
        <v>148115</v>
      </c>
      <c r="VDP3" s="18">
        <v>148122</v>
      </c>
      <c r="VDQ3" s="18">
        <v>148129</v>
      </c>
      <c r="VDR3" s="18">
        <v>148136</v>
      </c>
      <c r="VDS3" s="18">
        <v>148143</v>
      </c>
      <c r="VDT3" s="18">
        <v>148150</v>
      </c>
      <c r="VDU3" s="18">
        <v>148157</v>
      </c>
      <c r="VDV3" s="18">
        <v>148164</v>
      </c>
      <c r="VDW3" s="18">
        <v>148171</v>
      </c>
      <c r="VDX3" s="18">
        <v>148178</v>
      </c>
      <c r="VDY3" s="18">
        <v>148185</v>
      </c>
      <c r="VDZ3" s="18">
        <v>148192</v>
      </c>
      <c r="VEA3" s="18">
        <v>148199</v>
      </c>
      <c r="VEB3" s="18">
        <v>148206</v>
      </c>
      <c r="VEC3" s="18">
        <v>148213</v>
      </c>
      <c r="VED3" s="18">
        <v>148220</v>
      </c>
      <c r="VEE3" s="18">
        <v>148227</v>
      </c>
      <c r="VEF3" s="18">
        <v>148234</v>
      </c>
      <c r="VEG3" s="18">
        <v>148241</v>
      </c>
      <c r="VEH3" s="18">
        <v>148248</v>
      </c>
      <c r="VEI3" s="18">
        <v>148255</v>
      </c>
      <c r="VEJ3" s="18">
        <v>148262</v>
      </c>
      <c r="VEK3" s="18">
        <v>148269</v>
      </c>
      <c r="VEL3" s="18">
        <v>148276</v>
      </c>
      <c r="VEM3" s="18">
        <v>148283</v>
      </c>
      <c r="VEN3" s="18">
        <v>148290</v>
      </c>
      <c r="VEO3" s="18">
        <v>148297</v>
      </c>
      <c r="VEP3" s="18">
        <v>148304</v>
      </c>
      <c r="VEQ3" s="18">
        <v>148311</v>
      </c>
      <c r="VER3" s="18">
        <v>148318</v>
      </c>
      <c r="VES3" s="18">
        <v>148325</v>
      </c>
      <c r="VET3" s="18">
        <v>148332</v>
      </c>
      <c r="VEU3" s="18">
        <v>148339</v>
      </c>
      <c r="VEV3" s="18">
        <v>148346</v>
      </c>
      <c r="VEW3" s="18">
        <v>148353</v>
      </c>
      <c r="VEX3" s="18">
        <v>148360</v>
      </c>
      <c r="VEY3" s="18">
        <v>148367</v>
      </c>
      <c r="VEZ3" s="18">
        <v>148374</v>
      </c>
      <c r="VFA3" s="18">
        <v>148381</v>
      </c>
      <c r="VFB3" s="18">
        <v>148388</v>
      </c>
      <c r="VFC3" s="18">
        <v>148395</v>
      </c>
      <c r="VFD3" s="18">
        <v>148402</v>
      </c>
      <c r="VFE3" s="18">
        <v>148409</v>
      </c>
      <c r="VFF3" s="18">
        <v>148416</v>
      </c>
      <c r="VFG3" s="18">
        <v>148423</v>
      </c>
      <c r="VFH3" s="18">
        <v>148430</v>
      </c>
      <c r="VFI3" s="18">
        <v>148437</v>
      </c>
      <c r="VFJ3" s="18">
        <v>148444</v>
      </c>
      <c r="VFK3" s="18">
        <v>148451</v>
      </c>
      <c r="VFL3" s="18">
        <v>148458</v>
      </c>
      <c r="VFM3" s="18">
        <v>148465</v>
      </c>
      <c r="VFN3" s="18">
        <v>148472</v>
      </c>
      <c r="VFO3" s="18">
        <v>148479</v>
      </c>
      <c r="VFP3" s="18">
        <v>148486</v>
      </c>
      <c r="VFQ3" s="18">
        <v>148493</v>
      </c>
      <c r="VFR3" s="18">
        <v>148500</v>
      </c>
      <c r="VFS3" s="18">
        <v>148507</v>
      </c>
      <c r="VFT3" s="18">
        <v>148514</v>
      </c>
      <c r="VFU3" s="18">
        <v>148521</v>
      </c>
      <c r="VFV3" s="18">
        <v>148528</v>
      </c>
      <c r="VFW3" s="18">
        <v>148535</v>
      </c>
      <c r="VFX3" s="18">
        <v>148542</v>
      </c>
      <c r="VFY3" s="18">
        <v>148549</v>
      </c>
      <c r="VFZ3" s="18">
        <v>148556</v>
      </c>
      <c r="VGA3" s="18">
        <v>148563</v>
      </c>
      <c r="VGB3" s="18">
        <v>148570</v>
      </c>
      <c r="VGC3" s="18">
        <v>148577</v>
      </c>
      <c r="VGD3" s="18">
        <v>148584</v>
      </c>
      <c r="VGE3" s="18">
        <v>148591</v>
      </c>
      <c r="VGF3" s="18">
        <v>148598</v>
      </c>
      <c r="VGG3" s="18">
        <v>148605</v>
      </c>
      <c r="VGH3" s="18">
        <v>148612</v>
      </c>
      <c r="VGI3" s="18">
        <v>148619</v>
      </c>
      <c r="VGJ3" s="18">
        <v>148626</v>
      </c>
      <c r="VGK3" s="18">
        <v>148633</v>
      </c>
      <c r="VGL3" s="18">
        <v>148640</v>
      </c>
      <c r="VGM3" s="18">
        <v>148647</v>
      </c>
      <c r="VGN3" s="18">
        <v>148654</v>
      </c>
      <c r="VGO3" s="18">
        <v>148661</v>
      </c>
      <c r="VGP3" s="18">
        <v>148668</v>
      </c>
      <c r="VGQ3" s="18">
        <v>148675</v>
      </c>
      <c r="VGR3" s="18">
        <v>148682</v>
      </c>
      <c r="VGS3" s="18">
        <v>148689</v>
      </c>
      <c r="VGT3" s="18">
        <v>148696</v>
      </c>
      <c r="VGU3" s="18">
        <v>148703</v>
      </c>
      <c r="VGV3" s="18">
        <v>148710</v>
      </c>
      <c r="VGW3" s="18">
        <v>148717</v>
      </c>
      <c r="VGX3" s="18">
        <v>148724</v>
      </c>
      <c r="VGY3" s="18">
        <v>148731</v>
      </c>
      <c r="VGZ3" s="18">
        <v>148738</v>
      </c>
      <c r="VHA3" s="18">
        <v>148745</v>
      </c>
      <c r="VHB3" s="18">
        <v>148752</v>
      </c>
      <c r="VHC3" s="18">
        <v>148759</v>
      </c>
      <c r="VHD3" s="18">
        <v>148766</v>
      </c>
      <c r="VHE3" s="18">
        <v>148773</v>
      </c>
      <c r="VHF3" s="18">
        <v>148780</v>
      </c>
      <c r="VHG3" s="18">
        <v>148787</v>
      </c>
      <c r="VHH3" s="18">
        <v>148794</v>
      </c>
      <c r="VHI3" s="18">
        <v>148801</v>
      </c>
      <c r="VHJ3" s="18">
        <v>148808</v>
      </c>
      <c r="VHK3" s="18">
        <v>148815</v>
      </c>
      <c r="VHL3" s="18">
        <v>148822</v>
      </c>
      <c r="VHM3" s="18">
        <v>148829</v>
      </c>
      <c r="VHN3" s="18">
        <v>148836</v>
      </c>
      <c r="VHO3" s="18">
        <v>148843</v>
      </c>
      <c r="VHP3" s="18">
        <v>148850</v>
      </c>
      <c r="VHQ3" s="18">
        <v>148857</v>
      </c>
      <c r="VHR3" s="18">
        <v>148864</v>
      </c>
      <c r="VHS3" s="18">
        <v>148871</v>
      </c>
      <c r="VHT3" s="18">
        <v>148878</v>
      </c>
      <c r="VHU3" s="18">
        <v>148885</v>
      </c>
      <c r="VHV3" s="18">
        <v>148892</v>
      </c>
      <c r="VHW3" s="18">
        <v>148899</v>
      </c>
      <c r="VHX3" s="18">
        <v>148906</v>
      </c>
      <c r="VHY3" s="18">
        <v>148913</v>
      </c>
      <c r="VHZ3" s="18">
        <v>148920</v>
      </c>
      <c r="VIA3" s="18">
        <v>148927</v>
      </c>
      <c r="VIB3" s="18">
        <v>148934</v>
      </c>
      <c r="VIC3" s="18">
        <v>148941</v>
      </c>
      <c r="VID3" s="18">
        <v>148948</v>
      </c>
      <c r="VIE3" s="18">
        <v>148955</v>
      </c>
      <c r="VIF3" s="18">
        <v>148962</v>
      </c>
      <c r="VIG3" s="18">
        <v>148969</v>
      </c>
      <c r="VIH3" s="18">
        <v>148976</v>
      </c>
      <c r="VII3" s="18">
        <v>148983</v>
      </c>
      <c r="VIJ3" s="18">
        <v>148990</v>
      </c>
      <c r="VIK3" s="18">
        <v>148997</v>
      </c>
      <c r="VIL3" s="18">
        <v>149004</v>
      </c>
      <c r="VIM3" s="18">
        <v>149011</v>
      </c>
      <c r="VIN3" s="18">
        <v>149018</v>
      </c>
      <c r="VIO3" s="18">
        <v>149025</v>
      </c>
      <c r="VIP3" s="18">
        <v>149032</v>
      </c>
      <c r="VIQ3" s="18">
        <v>149039</v>
      </c>
      <c r="VIR3" s="18">
        <v>149046</v>
      </c>
      <c r="VIS3" s="18">
        <v>149053</v>
      </c>
      <c r="VIT3" s="18">
        <v>149060</v>
      </c>
      <c r="VIU3" s="18">
        <v>149067</v>
      </c>
      <c r="VIV3" s="18">
        <v>149074</v>
      </c>
      <c r="VIW3" s="18">
        <v>149081</v>
      </c>
      <c r="VIX3" s="18">
        <v>149088</v>
      </c>
      <c r="VIY3" s="18">
        <v>149095</v>
      </c>
      <c r="VIZ3" s="18">
        <v>149102</v>
      </c>
      <c r="VJA3" s="18">
        <v>149109</v>
      </c>
      <c r="VJB3" s="18">
        <v>149116</v>
      </c>
      <c r="VJC3" s="18">
        <v>149123</v>
      </c>
      <c r="VJD3" s="18">
        <v>149130</v>
      </c>
      <c r="VJE3" s="18">
        <v>149137</v>
      </c>
      <c r="VJF3" s="18">
        <v>149144</v>
      </c>
      <c r="VJG3" s="18">
        <v>149151</v>
      </c>
      <c r="VJH3" s="18">
        <v>149158</v>
      </c>
      <c r="VJI3" s="18">
        <v>149165</v>
      </c>
      <c r="VJJ3" s="18">
        <v>149172</v>
      </c>
      <c r="VJK3" s="18">
        <v>149179</v>
      </c>
      <c r="VJL3" s="18">
        <v>149186</v>
      </c>
      <c r="VJM3" s="18">
        <v>149193</v>
      </c>
      <c r="VJN3" s="18">
        <v>149200</v>
      </c>
      <c r="VJO3" s="18">
        <v>149207</v>
      </c>
      <c r="VJP3" s="18">
        <v>149214</v>
      </c>
      <c r="VJQ3" s="18">
        <v>149221</v>
      </c>
      <c r="VJR3" s="18">
        <v>149228</v>
      </c>
      <c r="VJS3" s="18">
        <v>149235</v>
      </c>
      <c r="VJT3" s="18">
        <v>149242</v>
      </c>
      <c r="VJU3" s="18">
        <v>149249</v>
      </c>
      <c r="VJV3" s="18">
        <v>149256</v>
      </c>
      <c r="VJW3" s="18">
        <v>149263</v>
      </c>
      <c r="VJX3" s="18">
        <v>149270</v>
      </c>
      <c r="VJY3" s="18">
        <v>149277</v>
      </c>
      <c r="VJZ3" s="18">
        <v>149284</v>
      </c>
      <c r="VKA3" s="18">
        <v>149291</v>
      </c>
      <c r="VKB3" s="18">
        <v>149298</v>
      </c>
      <c r="VKC3" s="18">
        <v>149305</v>
      </c>
      <c r="VKD3" s="18">
        <v>149312</v>
      </c>
      <c r="VKE3" s="18">
        <v>149319</v>
      </c>
      <c r="VKF3" s="18">
        <v>149326</v>
      </c>
      <c r="VKG3" s="18">
        <v>149333</v>
      </c>
      <c r="VKH3" s="18">
        <v>149340</v>
      </c>
      <c r="VKI3" s="18">
        <v>149347</v>
      </c>
      <c r="VKJ3" s="18">
        <v>149354</v>
      </c>
      <c r="VKK3" s="18">
        <v>149361</v>
      </c>
      <c r="VKL3" s="18">
        <v>149368</v>
      </c>
      <c r="VKM3" s="18">
        <v>149375</v>
      </c>
      <c r="VKN3" s="18">
        <v>149382</v>
      </c>
      <c r="VKO3" s="18">
        <v>149389</v>
      </c>
      <c r="VKP3" s="18">
        <v>149396</v>
      </c>
      <c r="VKQ3" s="18">
        <v>149403</v>
      </c>
      <c r="VKR3" s="18">
        <v>149410</v>
      </c>
      <c r="VKS3" s="18">
        <v>149417</v>
      </c>
      <c r="VKT3" s="18">
        <v>149424</v>
      </c>
      <c r="VKU3" s="18">
        <v>149431</v>
      </c>
      <c r="VKV3" s="18">
        <v>149438</v>
      </c>
      <c r="VKW3" s="18">
        <v>149445</v>
      </c>
      <c r="VKX3" s="18">
        <v>149452</v>
      </c>
      <c r="VKY3" s="18">
        <v>149459</v>
      </c>
      <c r="VKZ3" s="18">
        <v>149466</v>
      </c>
      <c r="VLA3" s="18">
        <v>149473</v>
      </c>
      <c r="VLB3" s="18">
        <v>149480</v>
      </c>
      <c r="VLC3" s="18">
        <v>149487</v>
      </c>
      <c r="VLD3" s="18">
        <v>149494</v>
      </c>
      <c r="VLE3" s="18">
        <v>149501</v>
      </c>
      <c r="VLF3" s="18">
        <v>149508</v>
      </c>
      <c r="VLG3" s="18">
        <v>149515</v>
      </c>
      <c r="VLH3" s="18">
        <v>149522</v>
      </c>
      <c r="VLI3" s="18">
        <v>149529</v>
      </c>
      <c r="VLJ3" s="18">
        <v>149536</v>
      </c>
      <c r="VLK3" s="18">
        <v>149543</v>
      </c>
      <c r="VLL3" s="18">
        <v>149550</v>
      </c>
      <c r="VLM3" s="18">
        <v>149557</v>
      </c>
      <c r="VLN3" s="18">
        <v>149564</v>
      </c>
      <c r="VLO3" s="18">
        <v>149571</v>
      </c>
      <c r="VLP3" s="18">
        <v>149578</v>
      </c>
      <c r="VLQ3" s="18">
        <v>149585</v>
      </c>
      <c r="VLR3" s="18">
        <v>149592</v>
      </c>
      <c r="VLS3" s="18">
        <v>149599</v>
      </c>
      <c r="VLT3" s="18">
        <v>149606</v>
      </c>
      <c r="VLU3" s="18">
        <v>149613</v>
      </c>
      <c r="VLV3" s="18">
        <v>149620</v>
      </c>
      <c r="VLW3" s="18">
        <v>149627</v>
      </c>
      <c r="VLX3" s="18">
        <v>149634</v>
      </c>
      <c r="VLY3" s="18">
        <v>149641</v>
      </c>
      <c r="VLZ3" s="18">
        <v>149648</v>
      </c>
      <c r="VMA3" s="18">
        <v>149655</v>
      </c>
      <c r="VMB3" s="18">
        <v>149662</v>
      </c>
      <c r="VMC3" s="18">
        <v>149669</v>
      </c>
      <c r="VMD3" s="18">
        <v>149676</v>
      </c>
      <c r="VME3" s="18">
        <v>149683</v>
      </c>
      <c r="VMF3" s="18">
        <v>149690</v>
      </c>
      <c r="VMG3" s="18">
        <v>149697</v>
      </c>
      <c r="VMH3" s="18">
        <v>149704</v>
      </c>
      <c r="VMI3" s="18">
        <v>149711</v>
      </c>
      <c r="VMJ3" s="18">
        <v>149718</v>
      </c>
      <c r="VMK3" s="18">
        <v>149725</v>
      </c>
      <c r="VML3" s="18">
        <v>149732</v>
      </c>
      <c r="VMM3" s="18">
        <v>149739</v>
      </c>
      <c r="VMN3" s="18">
        <v>149746</v>
      </c>
      <c r="VMO3" s="18">
        <v>149753</v>
      </c>
      <c r="VMP3" s="18">
        <v>149760</v>
      </c>
      <c r="VMQ3" s="18">
        <v>149767</v>
      </c>
      <c r="VMR3" s="18">
        <v>149774</v>
      </c>
      <c r="VMS3" s="18">
        <v>149781</v>
      </c>
      <c r="VMT3" s="18">
        <v>149788</v>
      </c>
      <c r="VMU3" s="18">
        <v>149795</v>
      </c>
      <c r="VMV3" s="18">
        <v>149802</v>
      </c>
      <c r="VMW3" s="18">
        <v>149809</v>
      </c>
      <c r="VMX3" s="18">
        <v>149816</v>
      </c>
      <c r="VMY3" s="18">
        <v>149823</v>
      </c>
      <c r="VMZ3" s="18">
        <v>149830</v>
      </c>
      <c r="VNA3" s="18">
        <v>149837</v>
      </c>
      <c r="VNB3" s="18">
        <v>149844</v>
      </c>
      <c r="VNC3" s="18">
        <v>149851</v>
      </c>
      <c r="VND3" s="18">
        <v>149858</v>
      </c>
      <c r="VNE3" s="18">
        <v>149865</v>
      </c>
      <c r="VNF3" s="18">
        <v>149872</v>
      </c>
      <c r="VNG3" s="18">
        <v>149879</v>
      </c>
      <c r="VNH3" s="18">
        <v>149886</v>
      </c>
      <c r="VNI3" s="18">
        <v>149893</v>
      </c>
      <c r="VNJ3" s="18">
        <v>149900</v>
      </c>
      <c r="VNK3" s="18">
        <v>149907</v>
      </c>
      <c r="VNL3" s="18">
        <v>149914</v>
      </c>
      <c r="VNM3" s="18">
        <v>149921</v>
      </c>
      <c r="VNN3" s="18">
        <v>149928</v>
      </c>
      <c r="VNO3" s="18">
        <v>149935</v>
      </c>
      <c r="VNP3" s="18">
        <v>149942</v>
      </c>
      <c r="VNQ3" s="18">
        <v>149949</v>
      </c>
      <c r="VNR3" s="18">
        <v>149956</v>
      </c>
      <c r="VNS3" s="18">
        <v>149963</v>
      </c>
      <c r="VNT3" s="18">
        <v>149970</v>
      </c>
      <c r="VNU3" s="18">
        <v>149977</v>
      </c>
      <c r="VNV3" s="18">
        <v>149984</v>
      </c>
      <c r="VNW3" s="18">
        <v>149991</v>
      </c>
      <c r="VNX3" s="18">
        <v>149998</v>
      </c>
      <c r="VNY3" s="18">
        <v>150005</v>
      </c>
      <c r="VNZ3" s="18">
        <v>150012</v>
      </c>
      <c r="VOA3" s="18">
        <v>150019</v>
      </c>
      <c r="VOB3" s="18">
        <v>150026</v>
      </c>
      <c r="VOC3" s="18">
        <v>150033</v>
      </c>
      <c r="VOD3" s="18">
        <v>150040</v>
      </c>
      <c r="VOE3" s="18">
        <v>150047</v>
      </c>
      <c r="VOF3" s="18">
        <v>150054</v>
      </c>
      <c r="VOG3" s="18">
        <v>150061</v>
      </c>
      <c r="VOH3" s="18">
        <v>150068</v>
      </c>
      <c r="VOI3" s="18">
        <v>150075</v>
      </c>
      <c r="VOJ3" s="18">
        <v>150082</v>
      </c>
      <c r="VOK3" s="18">
        <v>150089</v>
      </c>
      <c r="VOL3" s="18">
        <v>150096</v>
      </c>
      <c r="VOM3" s="18">
        <v>150103</v>
      </c>
      <c r="VON3" s="18">
        <v>150110</v>
      </c>
      <c r="VOO3" s="18">
        <v>150117</v>
      </c>
      <c r="VOP3" s="18">
        <v>150124</v>
      </c>
      <c r="VOQ3" s="18">
        <v>150131</v>
      </c>
      <c r="VOR3" s="18">
        <v>150138</v>
      </c>
      <c r="VOS3" s="18">
        <v>150145</v>
      </c>
      <c r="VOT3" s="18">
        <v>150152</v>
      </c>
      <c r="VOU3" s="18">
        <v>150159</v>
      </c>
      <c r="VOV3" s="18">
        <v>150166</v>
      </c>
      <c r="VOW3" s="18">
        <v>150173</v>
      </c>
      <c r="VOX3" s="18">
        <v>150180</v>
      </c>
      <c r="VOY3" s="18">
        <v>150187</v>
      </c>
      <c r="VOZ3" s="18">
        <v>150194</v>
      </c>
      <c r="VPA3" s="18">
        <v>150201</v>
      </c>
      <c r="VPB3" s="18">
        <v>150208</v>
      </c>
      <c r="VPC3" s="18">
        <v>150215</v>
      </c>
      <c r="VPD3" s="18">
        <v>150222</v>
      </c>
      <c r="VPE3" s="18">
        <v>150229</v>
      </c>
      <c r="VPF3" s="18">
        <v>150236</v>
      </c>
      <c r="VPG3" s="18">
        <v>150243</v>
      </c>
      <c r="VPH3" s="18">
        <v>150250</v>
      </c>
      <c r="VPI3" s="18">
        <v>150257</v>
      </c>
      <c r="VPJ3" s="18">
        <v>150264</v>
      </c>
      <c r="VPK3" s="18">
        <v>150271</v>
      </c>
      <c r="VPL3" s="18">
        <v>150278</v>
      </c>
      <c r="VPM3" s="18">
        <v>150285</v>
      </c>
      <c r="VPN3" s="18">
        <v>150292</v>
      </c>
      <c r="VPO3" s="18">
        <v>150299</v>
      </c>
      <c r="VPP3" s="18">
        <v>150306</v>
      </c>
      <c r="VPQ3" s="18">
        <v>150313</v>
      </c>
      <c r="VPR3" s="18">
        <v>150320</v>
      </c>
      <c r="VPS3" s="18">
        <v>150327</v>
      </c>
      <c r="VPT3" s="18">
        <v>150334</v>
      </c>
      <c r="VPU3" s="18">
        <v>150341</v>
      </c>
      <c r="VPV3" s="18">
        <v>150348</v>
      </c>
      <c r="VPW3" s="18">
        <v>150355</v>
      </c>
      <c r="VPX3" s="18">
        <v>150362</v>
      </c>
      <c r="VPY3" s="18">
        <v>150369</v>
      </c>
      <c r="VPZ3" s="18">
        <v>150376</v>
      </c>
      <c r="VQA3" s="18">
        <v>150383</v>
      </c>
      <c r="VQB3" s="18">
        <v>150390</v>
      </c>
      <c r="VQC3" s="18">
        <v>150397</v>
      </c>
      <c r="VQD3" s="18">
        <v>150404</v>
      </c>
      <c r="VQE3" s="18">
        <v>150411</v>
      </c>
      <c r="VQF3" s="18">
        <v>150418</v>
      </c>
      <c r="VQG3" s="18">
        <v>150425</v>
      </c>
      <c r="VQH3" s="18">
        <v>150432</v>
      </c>
      <c r="VQI3" s="18">
        <v>150439</v>
      </c>
      <c r="VQJ3" s="18">
        <v>150446</v>
      </c>
      <c r="VQK3" s="18">
        <v>150453</v>
      </c>
      <c r="VQL3" s="18">
        <v>150460</v>
      </c>
      <c r="VQM3" s="18">
        <v>150467</v>
      </c>
      <c r="VQN3" s="18">
        <v>150474</v>
      </c>
      <c r="VQO3" s="18">
        <v>150481</v>
      </c>
      <c r="VQP3" s="18">
        <v>150488</v>
      </c>
      <c r="VQQ3" s="18">
        <v>150495</v>
      </c>
      <c r="VQR3" s="18">
        <v>150502</v>
      </c>
      <c r="VQS3" s="18">
        <v>150509</v>
      </c>
      <c r="VQT3" s="18">
        <v>150516</v>
      </c>
      <c r="VQU3" s="18">
        <v>150523</v>
      </c>
      <c r="VQV3" s="18">
        <v>150530</v>
      </c>
      <c r="VQW3" s="18">
        <v>150537</v>
      </c>
      <c r="VQX3" s="18">
        <v>150544</v>
      </c>
      <c r="VQY3" s="18">
        <v>150551</v>
      </c>
      <c r="VQZ3" s="18">
        <v>150558</v>
      </c>
      <c r="VRA3" s="18">
        <v>150565</v>
      </c>
      <c r="VRB3" s="18">
        <v>150572</v>
      </c>
      <c r="VRC3" s="18">
        <v>150579</v>
      </c>
      <c r="VRD3" s="18">
        <v>150586</v>
      </c>
      <c r="VRE3" s="18">
        <v>150593</v>
      </c>
      <c r="VRF3" s="18">
        <v>150600</v>
      </c>
      <c r="VRG3" s="18">
        <v>150607</v>
      </c>
      <c r="VRH3" s="18">
        <v>150614</v>
      </c>
      <c r="VRI3" s="18">
        <v>150621</v>
      </c>
      <c r="VRJ3" s="18">
        <v>150628</v>
      </c>
      <c r="VRK3" s="18">
        <v>150635</v>
      </c>
      <c r="VRL3" s="18">
        <v>150642</v>
      </c>
      <c r="VRM3" s="18">
        <v>150649</v>
      </c>
      <c r="VRN3" s="18">
        <v>150656</v>
      </c>
      <c r="VRO3" s="18">
        <v>150663</v>
      </c>
      <c r="VRP3" s="18">
        <v>150670</v>
      </c>
      <c r="VRQ3" s="18">
        <v>150677</v>
      </c>
      <c r="VRR3" s="18">
        <v>150684</v>
      </c>
      <c r="VRS3" s="18">
        <v>150691</v>
      </c>
      <c r="VRT3" s="18">
        <v>150698</v>
      </c>
      <c r="VRU3" s="18">
        <v>150705</v>
      </c>
      <c r="VRV3" s="18">
        <v>150712</v>
      </c>
      <c r="VRW3" s="18">
        <v>150719</v>
      </c>
      <c r="VRX3" s="18">
        <v>150726</v>
      </c>
      <c r="VRY3" s="18">
        <v>150733</v>
      </c>
      <c r="VRZ3" s="18">
        <v>150740</v>
      </c>
      <c r="VSA3" s="18">
        <v>150747</v>
      </c>
      <c r="VSB3" s="18">
        <v>150754</v>
      </c>
      <c r="VSC3" s="18">
        <v>150761</v>
      </c>
      <c r="VSD3" s="18">
        <v>150768</v>
      </c>
      <c r="VSE3" s="18">
        <v>150775</v>
      </c>
      <c r="VSF3" s="18">
        <v>150782</v>
      </c>
      <c r="VSG3" s="18">
        <v>150789</v>
      </c>
      <c r="VSH3" s="18">
        <v>150796</v>
      </c>
      <c r="VSI3" s="18">
        <v>150803</v>
      </c>
      <c r="VSJ3" s="18">
        <v>150810</v>
      </c>
      <c r="VSK3" s="18">
        <v>150817</v>
      </c>
      <c r="VSL3" s="18">
        <v>150824</v>
      </c>
      <c r="VSM3" s="18">
        <v>150831</v>
      </c>
      <c r="VSN3" s="18">
        <v>150838</v>
      </c>
      <c r="VSO3" s="18">
        <v>150845</v>
      </c>
      <c r="VSP3" s="18">
        <v>150852</v>
      </c>
      <c r="VSQ3" s="18">
        <v>150859</v>
      </c>
      <c r="VSR3" s="18">
        <v>150866</v>
      </c>
      <c r="VSS3" s="18">
        <v>150873</v>
      </c>
      <c r="VST3" s="18">
        <v>150880</v>
      </c>
      <c r="VSU3" s="18">
        <v>150887</v>
      </c>
      <c r="VSV3" s="18">
        <v>150894</v>
      </c>
      <c r="VSW3" s="18">
        <v>150901</v>
      </c>
      <c r="VSX3" s="18">
        <v>150908</v>
      </c>
      <c r="VSY3" s="18">
        <v>150915</v>
      </c>
      <c r="VSZ3" s="18">
        <v>150922</v>
      </c>
      <c r="VTA3" s="18">
        <v>150929</v>
      </c>
      <c r="VTB3" s="18">
        <v>150936</v>
      </c>
      <c r="VTC3" s="18">
        <v>150943</v>
      </c>
      <c r="VTD3" s="18">
        <v>150950</v>
      </c>
      <c r="VTE3" s="18">
        <v>150957</v>
      </c>
      <c r="VTF3" s="18">
        <v>150964</v>
      </c>
      <c r="VTG3" s="18">
        <v>150971</v>
      </c>
      <c r="VTH3" s="18">
        <v>150978</v>
      </c>
      <c r="VTI3" s="18">
        <v>150985</v>
      </c>
      <c r="VTJ3" s="18">
        <v>150992</v>
      </c>
      <c r="VTK3" s="18">
        <v>150999</v>
      </c>
      <c r="VTL3" s="18">
        <v>151006</v>
      </c>
      <c r="VTM3" s="18">
        <v>151013</v>
      </c>
      <c r="VTN3" s="18">
        <v>151020</v>
      </c>
      <c r="VTO3" s="18">
        <v>151027</v>
      </c>
      <c r="VTP3" s="18">
        <v>151034</v>
      </c>
      <c r="VTQ3" s="18">
        <v>151041</v>
      </c>
      <c r="VTR3" s="18">
        <v>151048</v>
      </c>
      <c r="VTS3" s="18">
        <v>151055</v>
      </c>
      <c r="VTT3" s="18">
        <v>151062</v>
      </c>
      <c r="VTU3" s="18">
        <v>151069</v>
      </c>
      <c r="VTV3" s="18">
        <v>151076</v>
      </c>
      <c r="VTW3" s="18">
        <v>151083</v>
      </c>
      <c r="VTX3" s="18">
        <v>151090</v>
      </c>
      <c r="VTY3" s="18">
        <v>151097</v>
      </c>
      <c r="VTZ3" s="18">
        <v>151104</v>
      </c>
      <c r="VUA3" s="18">
        <v>151111</v>
      </c>
      <c r="VUB3" s="18">
        <v>151118</v>
      </c>
      <c r="VUC3" s="18">
        <v>151125</v>
      </c>
      <c r="VUD3" s="18">
        <v>151132</v>
      </c>
      <c r="VUE3" s="18">
        <v>151139</v>
      </c>
      <c r="VUF3" s="18">
        <v>151146</v>
      </c>
      <c r="VUG3" s="18">
        <v>151153</v>
      </c>
      <c r="VUH3" s="18">
        <v>151160</v>
      </c>
      <c r="VUI3" s="18">
        <v>151167</v>
      </c>
      <c r="VUJ3" s="18">
        <v>151174</v>
      </c>
      <c r="VUK3" s="18">
        <v>151181</v>
      </c>
      <c r="VUL3" s="18">
        <v>151188</v>
      </c>
      <c r="VUM3" s="18">
        <v>151195</v>
      </c>
      <c r="VUN3" s="18">
        <v>151202</v>
      </c>
      <c r="VUO3" s="18">
        <v>151209</v>
      </c>
      <c r="VUP3" s="18">
        <v>151216</v>
      </c>
      <c r="VUQ3" s="18">
        <v>151223</v>
      </c>
      <c r="VUR3" s="18">
        <v>151230</v>
      </c>
      <c r="VUS3" s="18">
        <v>151237</v>
      </c>
      <c r="VUT3" s="18">
        <v>151244</v>
      </c>
      <c r="VUU3" s="18">
        <v>151251</v>
      </c>
      <c r="VUV3" s="18">
        <v>151258</v>
      </c>
      <c r="VUW3" s="18">
        <v>151265</v>
      </c>
      <c r="VUX3" s="18">
        <v>151272</v>
      </c>
      <c r="VUY3" s="18">
        <v>151279</v>
      </c>
      <c r="VUZ3" s="18">
        <v>151286</v>
      </c>
      <c r="VVA3" s="18">
        <v>151293</v>
      </c>
      <c r="VVB3" s="18">
        <v>151300</v>
      </c>
      <c r="VVC3" s="18">
        <v>151307</v>
      </c>
      <c r="VVD3" s="18">
        <v>151314</v>
      </c>
      <c r="VVE3" s="18">
        <v>151321</v>
      </c>
      <c r="VVF3" s="18">
        <v>151328</v>
      </c>
      <c r="VVG3" s="18">
        <v>151335</v>
      </c>
      <c r="VVH3" s="18">
        <v>151342</v>
      </c>
      <c r="VVI3" s="18">
        <v>151349</v>
      </c>
      <c r="VVJ3" s="18">
        <v>151356</v>
      </c>
      <c r="VVK3" s="18">
        <v>151363</v>
      </c>
      <c r="VVL3" s="18">
        <v>151370</v>
      </c>
      <c r="VVM3" s="18">
        <v>151377</v>
      </c>
      <c r="VVN3" s="18">
        <v>151384</v>
      </c>
      <c r="VVO3" s="18">
        <v>151391</v>
      </c>
      <c r="VVP3" s="18">
        <v>151398</v>
      </c>
      <c r="VVQ3" s="18">
        <v>151405</v>
      </c>
      <c r="VVR3" s="18">
        <v>151412</v>
      </c>
      <c r="VVS3" s="18">
        <v>151419</v>
      </c>
      <c r="VVT3" s="18">
        <v>151426</v>
      </c>
      <c r="VVU3" s="18">
        <v>151433</v>
      </c>
      <c r="VVV3" s="18">
        <v>151440</v>
      </c>
      <c r="VVW3" s="18">
        <v>151447</v>
      </c>
      <c r="VVX3" s="18">
        <v>151454</v>
      </c>
      <c r="VVY3" s="18">
        <v>151461</v>
      </c>
      <c r="VVZ3" s="18">
        <v>151468</v>
      </c>
      <c r="VWA3" s="18">
        <v>151475</v>
      </c>
      <c r="VWB3" s="18">
        <v>151482</v>
      </c>
      <c r="VWC3" s="18">
        <v>151489</v>
      </c>
      <c r="VWD3" s="18">
        <v>151496</v>
      </c>
      <c r="VWE3" s="18">
        <v>151503</v>
      </c>
      <c r="VWF3" s="18">
        <v>151510</v>
      </c>
      <c r="VWG3" s="18">
        <v>151517</v>
      </c>
      <c r="VWH3" s="18">
        <v>151524</v>
      </c>
      <c r="VWI3" s="18">
        <v>151531</v>
      </c>
      <c r="VWJ3" s="18">
        <v>151538</v>
      </c>
      <c r="VWK3" s="18">
        <v>151545</v>
      </c>
      <c r="VWL3" s="18">
        <v>151552</v>
      </c>
      <c r="VWM3" s="18">
        <v>151559</v>
      </c>
      <c r="VWN3" s="18">
        <v>151566</v>
      </c>
      <c r="VWO3" s="18">
        <v>151573</v>
      </c>
      <c r="VWP3" s="18">
        <v>151580</v>
      </c>
      <c r="VWQ3" s="18">
        <v>151587</v>
      </c>
      <c r="VWR3" s="18">
        <v>151594</v>
      </c>
      <c r="VWS3" s="18">
        <v>151601</v>
      </c>
      <c r="VWT3" s="18">
        <v>151608</v>
      </c>
      <c r="VWU3" s="18">
        <v>151615</v>
      </c>
      <c r="VWV3" s="18">
        <v>151622</v>
      </c>
      <c r="VWW3" s="18">
        <v>151629</v>
      </c>
      <c r="VWX3" s="18">
        <v>151636</v>
      </c>
      <c r="VWY3" s="18">
        <v>151643</v>
      </c>
      <c r="VWZ3" s="18">
        <v>151650</v>
      </c>
      <c r="VXA3" s="18">
        <v>151657</v>
      </c>
      <c r="VXB3" s="18">
        <v>151664</v>
      </c>
      <c r="VXC3" s="18">
        <v>151671</v>
      </c>
      <c r="VXD3" s="18">
        <v>151678</v>
      </c>
      <c r="VXE3" s="18">
        <v>151685</v>
      </c>
      <c r="VXF3" s="18">
        <v>151692</v>
      </c>
      <c r="VXG3" s="18">
        <v>151699</v>
      </c>
      <c r="VXH3" s="18">
        <v>151706</v>
      </c>
      <c r="VXI3" s="18">
        <v>151713</v>
      </c>
      <c r="VXJ3" s="18">
        <v>151720</v>
      </c>
      <c r="VXK3" s="18">
        <v>151727</v>
      </c>
      <c r="VXL3" s="18">
        <v>151734</v>
      </c>
      <c r="VXM3" s="18">
        <v>151741</v>
      </c>
      <c r="VXN3" s="18">
        <v>151748</v>
      </c>
      <c r="VXO3" s="18">
        <v>151755</v>
      </c>
      <c r="VXP3" s="18">
        <v>151762</v>
      </c>
      <c r="VXQ3" s="18">
        <v>151769</v>
      </c>
      <c r="VXR3" s="18">
        <v>151776</v>
      </c>
      <c r="VXS3" s="18">
        <v>151783</v>
      </c>
      <c r="VXT3" s="18">
        <v>151790</v>
      </c>
      <c r="VXU3" s="18">
        <v>151797</v>
      </c>
      <c r="VXV3" s="18">
        <v>151804</v>
      </c>
      <c r="VXW3" s="18">
        <v>151811</v>
      </c>
      <c r="VXX3" s="18">
        <v>151818</v>
      </c>
      <c r="VXY3" s="18">
        <v>151825</v>
      </c>
      <c r="VXZ3" s="18">
        <v>151832</v>
      </c>
      <c r="VYA3" s="18">
        <v>151839</v>
      </c>
      <c r="VYB3" s="18">
        <v>151846</v>
      </c>
      <c r="VYC3" s="18">
        <v>151853</v>
      </c>
      <c r="VYD3" s="18">
        <v>151860</v>
      </c>
      <c r="VYE3" s="18">
        <v>151867</v>
      </c>
      <c r="VYF3" s="18">
        <v>151874</v>
      </c>
      <c r="VYG3" s="18">
        <v>151881</v>
      </c>
      <c r="VYH3" s="18">
        <v>151888</v>
      </c>
      <c r="VYI3" s="18">
        <v>151895</v>
      </c>
      <c r="VYJ3" s="18">
        <v>151902</v>
      </c>
      <c r="VYK3" s="18">
        <v>151909</v>
      </c>
      <c r="VYL3" s="18">
        <v>151916</v>
      </c>
      <c r="VYM3" s="18">
        <v>151923</v>
      </c>
      <c r="VYN3" s="18">
        <v>151930</v>
      </c>
      <c r="VYO3" s="18">
        <v>151937</v>
      </c>
      <c r="VYP3" s="18">
        <v>151944</v>
      </c>
      <c r="VYQ3" s="18">
        <v>151951</v>
      </c>
      <c r="VYR3" s="18">
        <v>151958</v>
      </c>
      <c r="VYS3" s="18">
        <v>151965</v>
      </c>
      <c r="VYT3" s="18">
        <v>151972</v>
      </c>
      <c r="VYU3" s="18">
        <v>151979</v>
      </c>
      <c r="VYV3" s="18">
        <v>151986</v>
      </c>
      <c r="VYW3" s="18">
        <v>151993</v>
      </c>
      <c r="VYX3" s="18">
        <v>152000</v>
      </c>
      <c r="VYY3" s="18">
        <v>152007</v>
      </c>
      <c r="VYZ3" s="18">
        <v>152014</v>
      </c>
      <c r="VZA3" s="18">
        <v>152021</v>
      </c>
      <c r="VZB3" s="18">
        <v>152028</v>
      </c>
      <c r="VZC3" s="18">
        <v>152035</v>
      </c>
      <c r="VZD3" s="18">
        <v>152042</v>
      </c>
      <c r="VZE3" s="18">
        <v>152049</v>
      </c>
      <c r="VZF3" s="18">
        <v>152056</v>
      </c>
      <c r="VZG3" s="18">
        <v>152063</v>
      </c>
      <c r="VZH3" s="18">
        <v>152070</v>
      </c>
      <c r="VZI3" s="18">
        <v>152077</v>
      </c>
      <c r="VZJ3" s="18">
        <v>152084</v>
      </c>
      <c r="VZK3" s="18">
        <v>152091</v>
      </c>
      <c r="VZL3" s="18">
        <v>152098</v>
      </c>
      <c r="VZM3" s="18">
        <v>152105</v>
      </c>
      <c r="VZN3" s="18">
        <v>152112</v>
      </c>
      <c r="VZO3" s="18">
        <v>152119</v>
      </c>
      <c r="VZP3" s="18">
        <v>152126</v>
      </c>
      <c r="VZQ3" s="18">
        <v>152133</v>
      </c>
      <c r="VZR3" s="18">
        <v>152140</v>
      </c>
      <c r="VZS3" s="18">
        <v>152147</v>
      </c>
      <c r="VZT3" s="18">
        <v>152154</v>
      </c>
      <c r="VZU3" s="18">
        <v>152161</v>
      </c>
      <c r="VZV3" s="18">
        <v>152168</v>
      </c>
      <c r="VZW3" s="18">
        <v>152175</v>
      </c>
      <c r="VZX3" s="18">
        <v>152182</v>
      </c>
      <c r="VZY3" s="18">
        <v>152189</v>
      </c>
      <c r="VZZ3" s="18">
        <v>152196</v>
      </c>
      <c r="WAA3" s="18">
        <v>152203</v>
      </c>
      <c r="WAB3" s="18">
        <v>152210</v>
      </c>
      <c r="WAC3" s="18">
        <v>152217</v>
      </c>
      <c r="WAD3" s="18">
        <v>152224</v>
      </c>
      <c r="WAE3" s="18">
        <v>152231</v>
      </c>
      <c r="WAF3" s="18">
        <v>152238</v>
      </c>
      <c r="WAG3" s="18">
        <v>152245</v>
      </c>
      <c r="WAH3" s="18">
        <v>152252</v>
      </c>
      <c r="WAI3" s="18">
        <v>152259</v>
      </c>
      <c r="WAJ3" s="18">
        <v>152266</v>
      </c>
      <c r="WAK3" s="18">
        <v>152273</v>
      </c>
      <c r="WAL3" s="18">
        <v>152280</v>
      </c>
      <c r="WAM3" s="18">
        <v>152287</v>
      </c>
      <c r="WAN3" s="18">
        <v>152294</v>
      </c>
      <c r="WAO3" s="18">
        <v>152301</v>
      </c>
      <c r="WAP3" s="18">
        <v>152308</v>
      </c>
      <c r="WAQ3" s="18">
        <v>152315</v>
      </c>
      <c r="WAR3" s="18">
        <v>152322</v>
      </c>
      <c r="WAS3" s="18">
        <v>152329</v>
      </c>
      <c r="WAT3" s="18">
        <v>152336</v>
      </c>
      <c r="WAU3" s="18">
        <v>152343</v>
      </c>
      <c r="WAV3" s="18">
        <v>152350</v>
      </c>
      <c r="WAW3" s="18">
        <v>152357</v>
      </c>
      <c r="WAX3" s="18">
        <v>152364</v>
      </c>
      <c r="WAY3" s="18">
        <v>152371</v>
      </c>
      <c r="WAZ3" s="18">
        <v>152378</v>
      </c>
      <c r="WBA3" s="18">
        <v>152385</v>
      </c>
      <c r="WBB3" s="18">
        <v>152392</v>
      </c>
      <c r="WBC3" s="18">
        <v>152399</v>
      </c>
      <c r="WBD3" s="18">
        <v>152406</v>
      </c>
      <c r="WBE3" s="18">
        <v>152413</v>
      </c>
      <c r="WBF3" s="18">
        <v>152420</v>
      </c>
      <c r="WBG3" s="18">
        <v>152427</v>
      </c>
      <c r="WBH3" s="18">
        <v>152434</v>
      </c>
      <c r="WBI3" s="18">
        <v>152441</v>
      </c>
      <c r="WBJ3" s="18">
        <v>152448</v>
      </c>
      <c r="WBK3" s="18">
        <v>152455</v>
      </c>
      <c r="WBL3" s="18">
        <v>152462</v>
      </c>
      <c r="WBM3" s="18">
        <v>152469</v>
      </c>
      <c r="WBN3" s="18">
        <v>152476</v>
      </c>
      <c r="WBO3" s="18">
        <v>152483</v>
      </c>
      <c r="WBP3" s="18">
        <v>152490</v>
      </c>
      <c r="WBQ3" s="18">
        <v>152497</v>
      </c>
      <c r="WBR3" s="18">
        <v>152504</v>
      </c>
      <c r="WBS3" s="18">
        <v>152511</v>
      </c>
      <c r="WBT3" s="18">
        <v>152518</v>
      </c>
      <c r="WBU3" s="18">
        <v>152525</v>
      </c>
      <c r="WBV3" s="18">
        <v>152532</v>
      </c>
      <c r="WBW3" s="18">
        <v>152539</v>
      </c>
      <c r="WBX3" s="18">
        <v>152546</v>
      </c>
      <c r="WBY3" s="18">
        <v>152553</v>
      </c>
      <c r="WBZ3" s="18">
        <v>152560</v>
      </c>
      <c r="WCA3" s="18">
        <v>152567</v>
      </c>
      <c r="WCB3" s="18">
        <v>152574</v>
      </c>
      <c r="WCC3" s="18">
        <v>152581</v>
      </c>
      <c r="WCD3" s="18">
        <v>152588</v>
      </c>
      <c r="WCE3" s="18">
        <v>152595</v>
      </c>
      <c r="WCF3" s="18">
        <v>152602</v>
      </c>
      <c r="WCG3" s="18">
        <v>152609</v>
      </c>
      <c r="WCH3" s="18">
        <v>152616</v>
      </c>
      <c r="WCI3" s="18">
        <v>152623</v>
      </c>
      <c r="WCJ3" s="18">
        <v>152630</v>
      </c>
      <c r="WCK3" s="18">
        <v>152637</v>
      </c>
      <c r="WCL3" s="18">
        <v>152644</v>
      </c>
      <c r="WCM3" s="18">
        <v>152651</v>
      </c>
      <c r="WCN3" s="18">
        <v>152658</v>
      </c>
      <c r="WCO3" s="18">
        <v>152665</v>
      </c>
      <c r="WCP3" s="18">
        <v>152672</v>
      </c>
      <c r="WCQ3" s="18">
        <v>152679</v>
      </c>
      <c r="WCR3" s="18">
        <v>152686</v>
      </c>
      <c r="WCS3" s="18">
        <v>152693</v>
      </c>
      <c r="WCT3" s="18">
        <v>152700</v>
      </c>
      <c r="WCU3" s="18">
        <v>152707</v>
      </c>
      <c r="WCV3" s="18">
        <v>152714</v>
      </c>
      <c r="WCW3" s="18">
        <v>152721</v>
      </c>
      <c r="WCX3" s="18">
        <v>152728</v>
      </c>
      <c r="WCY3" s="18">
        <v>152735</v>
      </c>
      <c r="WCZ3" s="18">
        <v>152742</v>
      </c>
      <c r="WDA3" s="18">
        <v>152749</v>
      </c>
      <c r="WDB3" s="18">
        <v>152756</v>
      </c>
      <c r="WDC3" s="18">
        <v>152763</v>
      </c>
      <c r="WDD3" s="18">
        <v>152770</v>
      </c>
      <c r="WDE3" s="18">
        <v>152777</v>
      </c>
      <c r="WDF3" s="18">
        <v>152784</v>
      </c>
      <c r="WDG3" s="18">
        <v>152791</v>
      </c>
      <c r="WDH3" s="18">
        <v>152798</v>
      </c>
      <c r="WDI3" s="18">
        <v>152805</v>
      </c>
      <c r="WDJ3" s="18">
        <v>152812</v>
      </c>
      <c r="WDK3" s="18">
        <v>152819</v>
      </c>
      <c r="WDL3" s="18">
        <v>152826</v>
      </c>
      <c r="WDM3" s="18">
        <v>152833</v>
      </c>
      <c r="WDN3" s="18">
        <v>152840</v>
      </c>
      <c r="WDO3" s="18">
        <v>152847</v>
      </c>
      <c r="WDP3" s="18">
        <v>152854</v>
      </c>
      <c r="WDQ3" s="18">
        <v>152861</v>
      </c>
      <c r="WDR3" s="18">
        <v>152868</v>
      </c>
      <c r="WDS3" s="18">
        <v>152875</v>
      </c>
      <c r="WDT3" s="18">
        <v>152882</v>
      </c>
      <c r="WDU3" s="18">
        <v>152889</v>
      </c>
      <c r="WDV3" s="18">
        <v>152896</v>
      </c>
      <c r="WDW3" s="18">
        <v>152903</v>
      </c>
      <c r="WDX3" s="18">
        <v>152910</v>
      </c>
      <c r="WDY3" s="18">
        <v>152917</v>
      </c>
      <c r="WDZ3" s="18">
        <v>152924</v>
      </c>
      <c r="WEA3" s="18">
        <v>152931</v>
      </c>
      <c r="WEB3" s="18">
        <v>152938</v>
      </c>
      <c r="WEC3" s="18">
        <v>152945</v>
      </c>
      <c r="WED3" s="18">
        <v>152952</v>
      </c>
      <c r="WEE3" s="18">
        <v>152959</v>
      </c>
      <c r="WEF3" s="18">
        <v>152966</v>
      </c>
      <c r="WEG3" s="18">
        <v>152973</v>
      </c>
      <c r="WEH3" s="18">
        <v>152980</v>
      </c>
      <c r="WEI3" s="18">
        <v>152987</v>
      </c>
      <c r="WEJ3" s="18">
        <v>152994</v>
      </c>
      <c r="WEK3" s="18">
        <v>153001</v>
      </c>
      <c r="WEL3" s="18">
        <v>153008</v>
      </c>
      <c r="WEM3" s="18">
        <v>153015</v>
      </c>
      <c r="WEN3" s="18">
        <v>153022</v>
      </c>
      <c r="WEO3" s="18">
        <v>153029</v>
      </c>
      <c r="WEP3" s="18">
        <v>153036</v>
      </c>
      <c r="WEQ3" s="18">
        <v>153043</v>
      </c>
      <c r="WER3" s="18">
        <v>153050</v>
      </c>
      <c r="WES3" s="18">
        <v>153057</v>
      </c>
      <c r="WET3" s="18">
        <v>153064</v>
      </c>
      <c r="WEU3" s="18">
        <v>153071</v>
      </c>
      <c r="WEV3" s="18">
        <v>153078</v>
      </c>
      <c r="WEW3" s="18">
        <v>153085</v>
      </c>
      <c r="WEX3" s="18">
        <v>153092</v>
      </c>
      <c r="WEY3" s="18">
        <v>153099</v>
      </c>
      <c r="WEZ3" s="18">
        <v>153106</v>
      </c>
      <c r="WFA3" s="18">
        <v>153113</v>
      </c>
      <c r="WFB3" s="18">
        <v>153120</v>
      </c>
      <c r="WFC3" s="18">
        <v>153127</v>
      </c>
      <c r="WFD3" s="18">
        <v>153134</v>
      </c>
      <c r="WFE3" s="18">
        <v>153141</v>
      </c>
      <c r="WFF3" s="18">
        <v>153148</v>
      </c>
      <c r="WFG3" s="18">
        <v>153155</v>
      </c>
      <c r="WFH3" s="18">
        <v>153162</v>
      </c>
      <c r="WFI3" s="18">
        <v>153169</v>
      </c>
      <c r="WFJ3" s="18">
        <v>153176</v>
      </c>
      <c r="WFK3" s="18">
        <v>153183</v>
      </c>
      <c r="WFL3" s="18">
        <v>153190</v>
      </c>
      <c r="WFM3" s="18">
        <v>153197</v>
      </c>
      <c r="WFN3" s="18">
        <v>153204</v>
      </c>
      <c r="WFO3" s="18">
        <v>153211</v>
      </c>
      <c r="WFP3" s="18">
        <v>153218</v>
      </c>
      <c r="WFQ3" s="18">
        <v>153225</v>
      </c>
      <c r="WFR3" s="18">
        <v>153232</v>
      </c>
      <c r="WFS3" s="18">
        <v>153239</v>
      </c>
      <c r="WFT3" s="18">
        <v>153246</v>
      </c>
      <c r="WFU3" s="18">
        <v>153253</v>
      </c>
      <c r="WFV3" s="18">
        <v>153260</v>
      </c>
      <c r="WFW3" s="18">
        <v>153267</v>
      </c>
      <c r="WFX3" s="18">
        <v>153274</v>
      </c>
      <c r="WFY3" s="18">
        <v>153281</v>
      </c>
      <c r="WFZ3" s="18">
        <v>153288</v>
      </c>
      <c r="WGA3" s="18">
        <v>153295</v>
      </c>
      <c r="WGB3" s="18">
        <v>153302</v>
      </c>
      <c r="WGC3" s="18">
        <v>153309</v>
      </c>
      <c r="WGD3" s="18">
        <v>153316</v>
      </c>
      <c r="WGE3" s="18">
        <v>153323</v>
      </c>
      <c r="WGF3" s="18">
        <v>153330</v>
      </c>
      <c r="WGG3" s="18">
        <v>153337</v>
      </c>
      <c r="WGH3" s="18">
        <v>153344</v>
      </c>
      <c r="WGI3" s="18">
        <v>153351</v>
      </c>
      <c r="WGJ3" s="18">
        <v>153358</v>
      </c>
      <c r="WGK3" s="18">
        <v>153365</v>
      </c>
      <c r="WGL3" s="18">
        <v>153372</v>
      </c>
      <c r="WGM3" s="18">
        <v>153379</v>
      </c>
      <c r="WGN3" s="18">
        <v>153386</v>
      </c>
      <c r="WGO3" s="18">
        <v>153393</v>
      </c>
      <c r="WGP3" s="18">
        <v>153400</v>
      </c>
      <c r="WGQ3" s="18">
        <v>153407</v>
      </c>
      <c r="WGR3" s="18">
        <v>153414</v>
      </c>
      <c r="WGS3" s="18">
        <v>153421</v>
      </c>
      <c r="WGT3" s="18">
        <v>153428</v>
      </c>
      <c r="WGU3" s="18">
        <v>153435</v>
      </c>
      <c r="WGV3" s="18">
        <v>153442</v>
      </c>
      <c r="WGW3" s="18">
        <v>153449</v>
      </c>
      <c r="WGX3" s="18">
        <v>153456</v>
      </c>
      <c r="WGY3" s="18">
        <v>153463</v>
      </c>
      <c r="WGZ3" s="18">
        <v>153470</v>
      </c>
      <c r="WHA3" s="18">
        <v>153477</v>
      </c>
      <c r="WHB3" s="18">
        <v>153484</v>
      </c>
      <c r="WHC3" s="18">
        <v>153491</v>
      </c>
      <c r="WHD3" s="18">
        <v>153498</v>
      </c>
      <c r="WHE3" s="18">
        <v>153505</v>
      </c>
      <c r="WHF3" s="18">
        <v>153512</v>
      </c>
      <c r="WHG3" s="18">
        <v>153519</v>
      </c>
      <c r="WHH3" s="18">
        <v>153526</v>
      </c>
      <c r="WHI3" s="18">
        <v>153533</v>
      </c>
      <c r="WHJ3" s="18">
        <v>153540</v>
      </c>
      <c r="WHK3" s="18">
        <v>153547</v>
      </c>
      <c r="WHL3" s="18">
        <v>153554</v>
      </c>
      <c r="WHM3" s="18">
        <v>153561</v>
      </c>
      <c r="WHN3" s="18">
        <v>153568</v>
      </c>
      <c r="WHO3" s="18">
        <v>153575</v>
      </c>
      <c r="WHP3" s="18">
        <v>153582</v>
      </c>
      <c r="WHQ3" s="18">
        <v>153589</v>
      </c>
      <c r="WHR3" s="18">
        <v>153596</v>
      </c>
      <c r="WHS3" s="18">
        <v>153603</v>
      </c>
      <c r="WHT3" s="18">
        <v>153610</v>
      </c>
      <c r="WHU3" s="18">
        <v>153617</v>
      </c>
      <c r="WHV3" s="18">
        <v>153624</v>
      </c>
      <c r="WHW3" s="18">
        <v>153631</v>
      </c>
      <c r="WHX3" s="18">
        <v>153638</v>
      </c>
      <c r="WHY3" s="18">
        <v>153645</v>
      </c>
      <c r="WHZ3" s="18">
        <v>153652</v>
      </c>
      <c r="WIA3" s="18">
        <v>153659</v>
      </c>
      <c r="WIB3" s="18">
        <v>153666</v>
      </c>
      <c r="WIC3" s="18">
        <v>153673</v>
      </c>
      <c r="WID3" s="18">
        <v>153680</v>
      </c>
      <c r="WIE3" s="18">
        <v>153687</v>
      </c>
      <c r="WIF3" s="18">
        <v>153694</v>
      </c>
      <c r="WIG3" s="18">
        <v>153701</v>
      </c>
      <c r="WIH3" s="18">
        <v>153708</v>
      </c>
      <c r="WII3" s="18">
        <v>153715</v>
      </c>
      <c r="WIJ3" s="18">
        <v>153722</v>
      </c>
      <c r="WIK3" s="18">
        <v>153729</v>
      </c>
      <c r="WIL3" s="18">
        <v>153736</v>
      </c>
      <c r="WIM3" s="18">
        <v>153743</v>
      </c>
      <c r="WIN3" s="18">
        <v>153750</v>
      </c>
      <c r="WIO3" s="18">
        <v>153757</v>
      </c>
      <c r="WIP3" s="18">
        <v>153764</v>
      </c>
      <c r="WIQ3" s="18">
        <v>153771</v>
      </c>
      <c r="WIR3" s="18">
        <v>153778</v>
      </c>
      <c r="WIS3" s="18">
        <v>153785</v>
      </c>
      <c r="WIT3" s="18">
        <v>153792</v>
      </c>
      <c r="WIU3" s="18">
        <v>153799</v>
      </c>
      <c r="WIV3" s="18">
        <v>153806</v>
      </c>
      <c r="WIW3" s="18">
        <v>153813</v>
      </c>
      <c r="WIX3" s="18">
        <v>153820</v>
      </c>
      <c r="WIY3" s="18">
        <v>153827</v>
      </c>
      <c r="WIZ3" s="18">
        <v>153834</v>
      </c>
      <c r="WJA3" s="18">
        <v>153841</v>
      </c>
      <c r="WJB3" s="18">
        <v>153848</v>
      </c>
      <c r="WJC3" s="18">
        <v>153855</v>
      </c>
      <c r="WJD3" s="18">
        <v>153862</v>
      </c>
      <c r="WJE3" s="18">
        <v>153869</v>
      </c>
      <c r="WJF3" s="18">
        <v>153876</v>
      </c>
      <c r="WJG3" s="18">
        <v>153883</v>
      </c>
      <c r="WJH3" s="18">
        <v>153890</v>
      </c>
      <c r="WJI3" s="18">
        <v>153897</v>
      </c>
      <c r="WJJ3" s="18">
        <v>153904</v>
      </c>
      <c r="WJK3" s="18">
        <v>153911</v>
      </c>
      <c r="WJL3" s="18">
        <v>153918</v>
      </c>
      <c r="WJM3" s="18">
        <v>153925</v>
      </c>
      <c r="WJN3" s="18">
        <v>153932</v>
      </c>
      <c r="WJO3" s="18">
        <v>153939</v>
      </c>
      <c r="WJP3" s="18">
        <v>153946</v>
      </c>
      <c r="WJQ3" s="18">
        <v>153953</v>
      </c>
      <c r="WJR3" s="18">
        <v>153960</v>
      </c>
      <c r="WJS3" s="18">
        <v>153967</v>
      </c>
      <c r="WJT3" s="18">
        <v>153974</v>
      </c>
      <c r="WJU3" s="18">
        <v>153981</v>
      </c>
      <c r="WJV3" s="18">
        <v>153988</v>
      </c>
      <c r="WJW3" s="18">
        <v>153995</v>
      </c>
      <c r="WJX3" s="18">
        <v>154002</v>
      </c>
      <c r="WJY3" s="18">
        <v>154009</v>
      </c>
      <c r="WJZ3" s="18">
        <v>154016</v>
      </c>
      <c r="WKA3" s="18">
        <v>154023</v>
      </c>
      <c r="WKB3" s="18">
        <v>154030</v>
      </c>
      <c r="WKC3" s="18">
        <v>154037</v>
      </c>
      <c r="WKD3" s="18">
        <v>154044</v>
      </c>
      <c r="WKE3" s="18">
        <v>154051</v>
      </c>
      <c r="WKF3" s="18">
        <v>154058</v>
      </c>
      <c r="WKG3" s="18">
        <v>154065</v>
      </c>
      <c r="WKH3" s="18">
        <v>154072</v>
      </c>
      <c r="WKI3" s="18">
        <v>154079</v>
      </c>
      <c r="WKJ3" s="18">
        <v>154086</v>
      </c>
      <c r="WKK3" s="18">
        <v>154093</v>
      </c>
      <c r="WKL3" s="18">
        <v>154100</v>
      </c>
      <c r="WKM3" s="18">
        <v>154107</v>
      </c>
      <c r="WKN3" s="18">
        <v>154114</v>
      </c>
      <c r="WKO3" s="18">
        <v>154121</v>
      </c>
      <c r="WKP3" s="18">
        <v>154128</v>
      </c>
      <c r="WKQ3" s="18">
        <v>154135</v>
      </c>
      <c r="WKR3" s="18">
        <v>154142</v>
      </c>
      <c r="WKS3" s="18">
        <v>154149</v>
      </c>
      <c r="WKT3" s="18">
        <v>154156</v>
      </c>
      <c r="WKU3" s="18">
        <v>154163</v>
      </c>
      <c r="WKV3" s="18">
        <v>154170</v>
      </c>
      <c r="WKW3" s="18">
        <v>154177</v>
      </c>
      <c r="WKX3" s="18">
        <v>154184</v>
      </c>
      <c r="WKY3" s="18">
        <v>154191</v>
      </c>
      <c r="WKZ3" s="18">
        <v>154198</v>
      </c>
      <c r="WLA3" s="18">
        <v>154205</v>
      </c>
      <c r="WLB3" s="18">
        <v>154212</v>
      </c>
      <c r="WLC3" s="18">
        <v>154219</v>
      </c>
      <c r="WLD3" s="18">
        <v>154226</v>
      </c>
      <c r="WLE3" s="18">
        <v>154233</v>
      </c>
      <c r="WLF3" s="18">
        <v>154240</v>
      </c>
      <c r="WLG3" s="18">
        <v>154247</v>
      </c>
      <c r="WLH3" s="18">
        <v>154254</v>
      </c>
      <c r="WLI3" s="18">
        <v>154261</v>
      </c>
      <c r="WLJ3" s="18">
        <v>154268</v>
      </c>
      <c r="WLK3" s="18">
        <v>154275</v>
      </c>
      <c r="WLL3" s="18">
        <v>154282</v>
      </c>
      <c r="WLM3" s="18">
        <v>154289</v>
      </c>
      <c r="WLN3" s="18">
        <v>154296</v>
      </c>
      <c r="WLO3" s="18">
        <v>154303</v>
      </c>
      <c r="WLP3" s="18">
        <v>154310</v>
      </c>
      <c r="WLQ3" s="18">
        <v>154317</v>
      </c>
      <c r="WLR3" s="18">
        <v>154324</v>
      </c>
      <c r="WLS3" s="18">
        <v>154331</v>
      </c>
      <c r="WLT3" s="18">
        <v>154338</v>
      </c>
      <c r="WLU3" s="18">
        <v>154345</v>
      </c>
      <c r="WLV3" s="18">
        <v>154352</v>
      </c>
      <c r="WLW3" s="18">
        <v>154359</v>
      </c>
      <c r="WLX3" s="18">
        <v>154366</v>
      </c>
      <c r="WLY3" s="18">
        <v>154373</v>
      </c>
      <c r="WLZ3" s="18">
        <v>154380</v>
      </c>
      <c r="WMA3" s="18">
        <v>154387</v>
      </c>
      <c r="WMB3" s="18">
        <v>154394</v>
      </c>
      <c r="WMC3" s="18">
        <v>154401</v>
      </c>
      <c r="WMD3" s="18">
        <v>154408</v>
      </c>
      <c r="WME3" s="18">
        <v>154415</v>
      </c>
      <c r="WMF3" s="18">
        <v>154422</v>
      </c>
      <c r="WMG3" s="18">
        <v>154429</v>
      </c>
      <c r="WMH3" s="18">
        <v>154436</v>
      </c>
      <c r="WMI3" s="18">
        <v>154443</v>
      </c>
      <c r="WMJ3" s="18">
        <v>154450</v>
      </c>
      <c r="WMK3" s="18">
        <v>154457</v>
      </c>
      <c r="WML3" s="18">
        <v>154464</v>
      </c>
      <c r="WMM3" s="18">
        <v>154471</v>
      </c>
      <c r="WMN3" s="18">
        <v>154478</v>
      </c>
      <c r="WMO3" s="18">
        <v>154485</v>
      </c>
      <c r="WMP3" s="18">
        <v>154492</v>
      </c>
      <c r="WMQ3" s="18">
        <v>154499</v>
      </c>
      <c r="WMR3" s="18">
        <v>154506</v>
      </c>
      <c r="WMS3" s="18">
        <v>154513</v>
      </c>
      <c r="WMT3" s="18">
        <v>154520</v>
      </c>
      <c r="WMU3" s="18">
        <v>154527</v>
      </c>
      <c r="WMV3" s="18">
        <v>154534</v>
      </c>
      <c r="WMW3" s="18">
        <v>154541</v>
      </c>
      <c r="WMX3" s="18">
        <v>154548</v>
      </c>
      <c r="WMY3" s="18">
        <v>154555</v>
      </c>
      <c r="WMZ3" s="18">
        <v>154562</v>
      </c>
      <c r="WNA3" s="18">
        <v>154569</v>
      </c>
      <c r="WNB3" s="18">
        <v>154576</v>
      </c>
      <c r="WNC3" s="18">
        <v>154583</v>
      </c>
      <c r="WND3" s="18">
        <v>154590</v>
      </c>
      <c r="WNE3" s="18">
        <v>154597</v>
      </c>
      <c r="WNF3" s="18">
        <v>154604</v>
      </c>
      <c r="WNG3" s="18">
        <v>154611</v>
      </c>
      <c r="WNH3" s="18">
        <v>154618</v>
      </c>
      <c r="WNI3" s="18">
        <v>154625</v>
      </c>
      <c r="WNJ3" s="18">
        <v>154632</v>
      </c>
      <c r="WNK3" s="18">
        <v>154639</v>
      </c>
      <c r="WNL3" s="18">
        <v>154646</v>
      </c>
      <c r="WNM3" s="18">
        <v>154653</v>
      </c>
      <c r="WNN3" s="18">
        <v>154660</v>
      </c>
      <c r="WNO3" s="18">
        <v>154667</v>
      </c>
      <c r="WNP3" s="18">
        <v>154674</v>
      </c>
      <c r="WNQ3" s="18">
        <v>154681</v>
      </c>
      <c r="WNR3" s="18">
        <v>154688</v>
      </c>
      <c r="WNS3" s="18">
        <v>154695</v>
      </c>
      <c r="WNT3" s="18">
        <v>154702</v>
      </c>
      <c r="WNU3" s="18">
        <v>154709</v>
      </c>
      <c r="WNV3" s="18">
        <v>154716</v>
      </c>
      <c r="WNW3" s="18">
        <v>154723</v>
      </c>
      <c r="WNX3" s="18">
        <v>154730</v>
      </c>
      <c r="WNY3" s="18">
        <v>154737</v>
      </c>
      <c r="WNZ3" s="18">
        <v>154744</v>
      </c>
      <c r="WOA3" s="18">
        <v>154751</v>
      </c>
      <c r="WOB3" s="18">
        <v>154758</v>
      </c>
      <c r="WOC3" s="18">
        <v>154765</v>
      </c>
      <c r="WOD3" s="18">
        <v>154772</v>
      </c>
      <c r="WOE3" s="18">
        <v>154779</v>
      </c>
      <c r="WOF3" s="18">
        <v>154786</v>
      </c>
      <c r="WOG3" s="18">
        <v>154793</v>
      </c>
      <c r="WOH3" s="18">
        <v>154800</v>
      </c>
      <c r="WOI3" s="18">
        <v>154807</v>
      </c>
      <c r="WOJ3" s="18">
        <v>154814</v>
      </c>
      <c r="WOK3" s="18">
        <v>154821</v>
      </c>
      <c r="WOL3" s="18">
        <v>154828</v>
      </c>
      <c r="WOM3" s="18">
        <v>154835</v>
      </c>
      <c r="WON3" s="18">
        <v>154842</v>
      </c>
      <c r="WOO3" s="18">
        <v>154849</v>
      </c>
      <c r="WOP3" s="18">
        <v>154856</v>
      </c>
      <c r="WOQ3" s="18">
        <v>154863</v>
      </c>
      <c r="WOR3" s="18">
        <v>154870</v>
      </c>
      <c r="WOS3" s="18">
        <v>154877</v>
      </c>
      <c r="WOT3" s="18">
        <v>154884</v>
      </c>
      <c r="WOU3" s="18">
        <v>154891</v>
      </c>
      <c r="WOV3" s="18">
        <v>154898</v>
      </c>
      <c r="WOW3" s="18">
        <v>154905</v>
      </c>
      <c r="WOX3" s="18">
        <v>154912</v>
      </c>
      <c r="WOY3" s="18">
        <v>154919</v>
      </c>
      <c r="WOZ3" s="18">
        <v>154926</v>
      </c>
      <c r="WPA3" s="18">
        <v>154933</v>
      </c>
      <c r="WPB3" s="18">
        <v>154940</v>
      </c>
      <c r="WPC3" s="18">
        <v>154947</v>
      </c>
      <c r="WPD3" s="18">
        <v>154954</v>
      </c>
      <c r="WPE3" s="18">
        <v>154961</v>
      </c>
      <c r="WPF3" s="18">
        <v>154968</v>
      </c>
      <c r="WPG3" s="18">
        <v>154975</v>
      </c>
      <c r="WPH3" s="18">
        <v>154982</v>
      </c>
      <c r="WPI3" s="18">
        <v>154989</v>
      </c>
      <c r="WPJ3" s="18">
        <v>154996</v>
      </c>
      <c r="WPK3" s="18">
        <v>155003</v>
      </c>
      <c r="WPL3" s="18">
        <v>155010</v>
      </c>
      <c r="WPM3" s="18">
        <v>155017</v>
      </c>
      <c r="WPN3" s="18">
        <v>155024</v>
      </c>
      <c r="WPO3" s="18">
        <v>155031</v>
      </c>
      <c r="WPP3" s="18">
        <v>155038</v>
      </c>
      <c r="WPQ3" s="18">
        <v>155045</v>
      </c>
      <c r="WPR3" s="18">
        <v>155052</v>
      </c>
      <c r="WPS3" s="18">
        <v>155059</v>
      </c>
      <c r="WPT3" s="18">
        <v>155066</v>
      </c>
      <c r="WPU3" s="18">
        <v>155073</v>
      </c>
      <c r="WPV3" s="18">
        <v>155080</v>
      </c>
      <c r="WPW3" s="18">
        <v>155087</v>
      </c>
      <c r="WPX3" s="18">
        <v>155094</v>
      </c>
      <c r="WPY3" s="18">
        <v>155101</v>
      </c>
      <c r="WPZ3" s="18">
        <v>155108</v>
      </c>
      <c r="WQA3" s="18">
        <v>155115</v>
      </c>
      <c r="WQB3" s="18">
        <v>155122</v>
      </c>
      <c r="WQC3" s="18">
        <v>155129</v>
      </c>
      <c r="WQD3" s="18">
        <v>155136</v>
      </c>
      <c r="WQE3" s="18">
        <v>155143</v>
      </c>
      <c r="WQF3" s="18">
        <v>155150</v>
      </c>
      <c r="WQG3" s="18">
        <v>155157</v>
      </c>
      <c r="WQH3" s="18">
        <v>155164</v>
      </c>
      <c r="WQI3" s="18">
        <v>155171</v>
      </c>
      <c r="WQJ3" s="18">
        <v>155178</v>
      </c>
      <c r="WQK3" s="18">
        <v>155185</v>
      </c>
      <c r="WQL3" s="18">
        <v>155192</v>
      </c>
      <c r="WQM3" s="18">
        <v>155199</v>
      </c>
      <c r="WQN3" s="18">
        <v>155206</v>
      </c>
      <c r="WQO3" s="18">
        <v>155213</v>
      </c>
      <c r="WQP3" s="18">
        <v>155220</v>
      </c>
      <c r="WQQ3" s="18">
        <v>155227</v>
      </c>
      <c r="WQR3" s="18">
        <v>155234</v>
      </c>
      <c r="WQS3" s="18">
        <v>155241</v>
      </c>
      <c r="WQT3" s="18">
        <v>155248</v>
      </c>
      <c r="WQU3" s="18">
        <v>155255</v>
      </c>
      <c r="WQV3" s="18">
        <v>155262</v>
      </c>
      <c r="WQW3" s="18">
        <v>155269</v>
      </c>
      <c r="WQX3" s="18">
        <v>155276</v>
      </c>
      <c r="WQY3" s="18">
        <v>155283</v>
      </c>
      <c r="WQZ3" s="18">
        <v>155290</v>
      </c>
      <c r="WRA3" s="18">
        <v>155297</v>
      </c>
      <c r="WRB3" s="18">
        <v>155304</v>
      </c>
      <c r="WRC3" s="18">
        <v>155311</v>
      </c>
      <c r="WRD3" s="18">
        <v>155318</v>
      </c>
      <c r="WRE3" s="18">
        <v>155325</v>
      </c>
      <c r="WRF3" s="18">
        <v>155332</v>
      </c>
      <c r="WRG3" s="18">
        <v>155339</v>
      </c>
      <c r="WRH3" s="18">
        <v>155346</v>
      </c>
      <c r="WRI3" s="18">
        <v>155353</v>
      </c>
      <c r="WRJ3" s="18">
        <v>155360</v>
      </c>
      <c r="WRK3" s="18">
        <v>155367</v>
      </c>
      <c r="WRL3" s="18">
        <v>155374</v>
      </c>
      <c r="WRM3" s="18">
        <v>155381</v>
      </c>
      <c r="WRN3" s="18">
        <v>155388</v>
      </c>
      <c r="WRO3" s="18">
        <v>155395</v>
      </c>
      <c r="WRP3" s="18">
        <v>155402</v>
      </c>
      <c r="WRQ3" s="18">
        <v>155409</v>
      </c>
      <c r="WRR3" s="18">
        <v>155416</v>
      </c>
      <c r="WRS3" s="18">
        <v>155423</v>
      </c>
      <c r="WRT3" s="18">
        <v>155430</v>
      </c>
      <c r="WRU3" s="18">
        <v>155437</v>
      </c>
      <c r="WRV3" s="18">
        <v>155444</v>
      </c>
      <c r="WRW3" s="18">
        <v>155451</v>
      </c>
      <c r="WRX3" s="18">
        <v>155458</v>
      </c>
      <c r="WRY3" s="18">
        <v>155465</v>
      </c>
      <c r="WRZ3" s="18">
        <v>155472</v>
      </c>
      <c r="WSA3" s="18">
        <v>155479</v>
      </c>
      <c r="WSB3" s="18">
        <v>155486</v>
      </c>
      <c r="WSC3" s="18">
        <v>155493</v>
      </c>
      <c r="WSD3" s="18">
        <v>155500</v>
      </c>
      <c r="WSE3" s="18">
        <v>155507</v>
      </c>
      <c r="WSF3" s="18">
        <v>155514</v>
      </c>
      <c r="WSG3" s="18">
        <v>155521</v>
      </c>
      <c r="WSH3" s="18">
        <v>155528</v>
      </c>
      <c r="WSI3" s="18">
        <v>155535</v>
      </c>
      <c r="WSJ3" s="18">
        <v>155542</v>
      </c>
      <c r="WSK3" s="18">
        <v>155549</v>
      </c>
      <c r="WSL3" s="18">
        <v>155556</v>
      </c>
      <c r="WSM3" s="18">
        <v>155563</v>
      </c>
      <c r="WSN3" s="18">
        <v>155570</v>
      </c>
      <c r="WSO3" s="18">
        <v>155577</v>
      </c>
      <c r="WSP3" s="18">
        <v>155584</v>
      </c>
      <c r="WSQ3" s="18">
        <v>155591</v>
      </c>
      <c r="WSR3" s="18">
        <v>155598</v>
      </c>
      <c r="WSS3" s="18">
        <v>155605</v>
      </c>
      <c r="WST3" s="18">
        <v>155612</v>
      </c>
      <c r="WSU3" s="18">
        <v>155619</v>
      </c>
      <c r="WSV3" s="18">
        <v>155626</v>
      </c>
      <c r="WSW3" s="18">
        <v>155633</v>
      </c>
      <c r="WSX3" s="18">
        <v>155640</v>
      </c>
      <c r="WSY3" s="18">
        <v>155647</v>
      </c>
      <c r="WSZ3" s="18">
        <v>155654</v>
      </c>
      <c r="WTA3" s="18">
        <v>155661</v>
      </c>
      <c r="WTB3" s="18">
        <v>155668</v>
      </c>
      <c r="WTC3" s="18">
        <v>155675</v>
      </c>
      <c r="WTD3" s="18">
        <v>155682</v>
      </c>
      <c r="WTE3" s="18">
        <v>155689</v>
      </c>
      <c r="WTF3" s="18">
        <v>155696</v>
      </c>
      <c r="WTG3" s="18">
        <v>155703</v>
      </c>
      <c r="WTH3" s="18">
        <v>155710</v>
      </c>
      <c r="WTI3" s="18">
        <v>155717</v>
      </c>
      <c r="WTJ3" s="18">
        <v>155724</v>
      </c>
      <c r="WTK3" s="18">
        <v>155731</v>
      </c>
      <c r="WTL3" s="18">
        <v>155738</v>
      </c>
      <c r="WTM3" s="18">
        <v>155745</v>
      </c>
      <c r="WTN3" s="18">
        <v>155752</v>
      </c>
      <c r="WTO3" s="18">
        <v>155759</v>
      </c>
      <c r="WTP3" s="18">
        <v>155766</v>
      </c>
      <c r="WTQ3" s="18">
        <v>155773</v>
      </c>
      <c r="WTR3" s="18">
        <v>155780</v>
      </c>
      <c r="WTS3" s="18">
        <v>155787</v>
      </c>
      <c r="WTT3" s="18">
        <v>155794</v>
      </c>
      <c r="WTU3" s="18">
        <v>155801</v>
      </c>
      <c r="WTV3" s="18">
        <v>155808</v>
      </c>
      <c r="WTW3" s="18">
        <v>155815</v>
      </c>
      <c r="WTX3" s="18">
        <v>155822</v>
      </c>
      <c r="WTY3" s="18">
        <v>155829</v>
      </c>
      <c r="WTZ3" s="18">
        <v>155836</v>
      </c>
      <c r="WUA3" s="18">
        <v>155843</v>
      </c>
      <c r="WUB3" s="18">
        <v>155850</v>
      </c>
      <c r="WUC3" s="18">
        <v>155857</v>
      </c>
      <c r="WUD3" s="18">
        <v>155864</v>
      </c>
      <c r="WUE3" s="18">
        <v>155871</v>
      </c>
      <c r="WUF3" s="18">
        <v>155878</v>
      </c>
      <c r="WUG3" s="18">
        <v>155885</v>
      </c>
      <c r="WUH3" s="18">
        <v>155892</v>
      </c>
      <c r="WUI3" s="18">
        <v>155899</v>
      </c>
      <c r="WUJ3" s="18">
        <v>155906</v>
      </c>
      <c r="WUK3" s="18">
        <v>155913</v>
      </c>
      <c r="WUL3" s="18">
        <v>155920</v>
      </c>
      <c r="WUM3" s="18">
        <v>155927</v>
      </c>
      <c r="WUN3" s="18">
        <v>155934</v>
      </c>
      <c r="WUO3" s="18">
        <v>155941</v>
      </c>
      <c r="WUP3" s="18">
        <v>155948</v>
      </c>
      <c r="WUQ3" s="18">
        <v>155955</v>
      </c>
      <c r="WUR3" s="18">
        <v>155962</v>
      </c>
      <c r="WUS3" s="18">
        <v>155969</v>
      </c>
      <c r="WUT3" s="18">
        <v>155976</v>
      </c>
      <c r="WUU3" s="18">
        <v>155983</v>
      </c>
      <c r="WUV3" s="18">
        <v>155990</v>
      </c>
      <c r="WUW3" s="18">
        <v>155997</v>
      </c>
      <c r="WUX3" s="18">
        <v>156004</v>
      </c>
      <c r="WUY3" s="18">
        <v>156011</v>
      </c>
      <c r="WUZ3" s="18">
        <v>156018</v>
      </c>
      <c r="WVA3" s="18">
        <v>156025</v>
      </c>
      <c r="WVB3" s="18">
        <v>156032</v>
      </c>
      <c r="WVC3" s="18">
        <v>156039</v>
      </c>
      <c r="WVD3" s="18">
        <v>156046</v>
      </c>
      <c r="WVE3" s="18">
        <v>156053</v>
      </c>
      <c r="WVF3" s="18">
        <v>156060</v>
      </c>
      <c r="WVG3" s="18">
        <v>156067</v>
      </c>
      <c r="WVH3" s="18">
        <v>156074</v>
      </c>
      <c r="WVI3" s="18">
        <v>156081</v>
      </c>
      <c r="WVJ3" s="18">
        <v>156088</v>
      </c>
      <c r="WVK3" s="18">
        <v>156095</v>
      </c>
      <c r="WVL3" s="18">
        <v>156102</v>
      </c>
      <c r="WVM3" s="18">
        <v>156109</v>
      </c>
      <c r="WVN3" s="18">
        <v>156116</v>
      </c>
      <c r="WVO3" s="18">
        <v>156123</v>
      </c>
      <c r="WVP3" s="18">
        <v>156130</v>
      </c>
      <c r="WVQ3" s="18">
        <v>156137</v>
      </c>
      <c r="WVR3" s="18">
        <v>156144</v>
      </c>
      <c r="WVS3" s="18">
        <v>156151</v>
      </c>
      <c r="WVT3" s="18">
        <v>156158</v>
      </c>
      <c r="WVU3" s="18">
        <v>156165</v>
      </c>
      <c r="WVV3" s="18">
        <v>156172</v>
      </c>
      <c r="WVW3" s="18">
        <v>156179</v>
      </c>
      <c r="WVX3" s="18">
        <v>156186</v>
      </c>
      <c r="WVY3" s="18">
        <v>156193</v>
      </c>
      <c r="WVZ3" s="18">
        <v>156200</v>
      </c>
      <c r="WWA3" s="18">
        <v>156207</v>
      </c>
      <c r="WWB3" s="18">
        <v>156214</v>
      </c>
      <c r="WWC3" s="18">
        <v>156221</v>
      </c>
      <c r="WWD3" s="18">
        <v>156228</v>
      </c>
      <c r="WWE3" s="18">
        <v>156235</v>
      </c>
      <c r="WWF3" s="18">
        <v>156242</v>
      </c>
      <c r="WWG3" s="18">
        <v>156249</v>
      </c>
      <c r="WWH3" s="18">
        <v>156256</v>
      </c>
      <c r="WWI3" s="18">
        <v>156263</v>
      </c>
      <c r="WWJ3" s="18">
        <v>156270</v>
      </c>
      <c r="WWK3" s="18">
        <v>156277</v>
      </c>
      <c r="WWL3" s="18">
        <v>156284</v>
      </c>
      <c r="WWM3" s="18">
        <v>156291</v>
      </c>
      <c r="WWN3" s="18">
        <v>156298</v>
      </c>
      <c r="WWO3" s="18">
        <v>156305</v>
      </c>
      <c r="WWP3" s="18">
        <v>156312</v>
      </c>
      <c r="WWQ3" s="18">
        <v>156319</v>
      </c>
      <c r="WWR3" s="18">
        <v>156326</v>
      </c>
      <c r="WWS3" s="18">
        <v>156333</v>
      </c>
      <c r="WWT3" s="18">
        <v>156340</v>
      </c>
      <c r="WWU3" s="18">
        <v>156347</v>
      </c>
      <c r="WWV3" s="18">
        <v>156354</v>
      </c>
      <c r="WWW3" s="18">
        <v>156361</v>
      </c>
      <c r="WWX3" s="18">
        <v>156368</v>
      </c>
      <c r="WWY3" s="18">
        <v>156375</v>
      </c>
      <c r="WWZ3" s="18">
        <v>156382</v>
      </c>
      <c r="WXA3" s="18">
        <v>156389</v>
      </c>
      <c r="WXB3" s="18">
        <v>156396</v>
      </c>
      <c r="WXC3" s="18">
        <v>156403</v>
      </c>
      <c r="WXD3" s="18">
        <v>156410</v>
      </c>
      <c r="WXE3" s="18">
        <v>156417</v>
      </c>
      <c r="WXF3" s="18">
        <v>156424</v>
      </c>
      <c r="WXG3" s="18">
        <v>156431</v>
      </c>
      <c r="WXH3" s="18">
        <v>156438</v>
      </c>
      <c r="WXI3" s="18">
        <v>156445</v>
      </c>
      <c r="WXJ3" s="18">
        <v>156452</v>
      </c>
      <c r="WXK3" s="18">
        <v>156459</v>
      </c>
      <c r="WXL3" s="18">
        <v>156466</v>
      </c>
      <c r="WXM3" s="18">
        <v>156473</v>
      </c>
      <c r="WXN3" s="18">
        <v>156480</v>
      </c>
      <c r="WXO3" s="18">
        <v>156487</v>
      </c>
      <c r="WXP3" s="18">
        <v>156494</v>
      </c>
      <c r="WXQ3" s="18">
        <v>156501</v>
      </c>
      <c r="WXR3" s="18">
        <v>156508</v>
      </c>
      <c r="WXS3" s="18">
        <v>156515</v>
      </c>
      <c r="WXT3" s="18">
        <v>156522</v>
      </c>
      <c r="WXU3" s="18">
        <v>156529</v>
      </c>
      <c r="WXV3" s="18">
        <v>156536</v>
      </c>
      <c r="WXW3" s="18">
        <v>156543</v>
      </c>
      <c r="WXX3" s="18">
        <v>156550</v>
      </c>
      <c r="WXY3" s="18">
        <v>156557</v>
      </c>
      <c r="WXZ3" s="18">
        <v>156564</v>
      </c>
      <c r="WYA3" s="18">
        <v>156571</v>
      </c>
      <c r="WYB3" s="18">
        <v>156578</v>
      </c>
      <c r="WYC3" s="18">
        <v>156585</v>
      </c>
      <c r="WYD3" s="18">
        <v>156592</v>
      </c>
      <c r="WYE3" s="18">
        <v>156599</v>
      </c>
      <c r="WYF3" s="18">
        <v>156606</v>
      </c>
      <c r="WYG3" s="18">
        <v>156613</v>
      </c>
      <c r="WYH3" s="18">
        <v>156620</v>
      </c>
      <c r="WYI3" s="18">
        <v>156627</v>
      </c>
      <c r="WYJ3" s="18">
        <v>156634</v>
      </c>
      <c r="WYK3" s="18">
        <v>156641</v>
      </c>
      <c r="WYL3" s="18">
        <v>156648</v>
      </c>
      <c r="WYM3" s="18">
        <v>156655</v>
      </c>
      <c r="WYN3" s="18">
        <v>156662</v>
      </c>
      <c r="WYO3" s="18">
        <v>156669</v>
      </c>
      <c r="WYP3" s="18">
        <v>156676</v>
      </c>
      <c r="WYQ3" s="18">
        <v>156683</v>
      </c>
      <c r="WYR3" s="18">
        <v>156690</v>
      </c>
      <c r="WYS3" s="18">
        <v>156697</v>
      </c>
      <c r="WYT3" s="18">
        <v>156704</v>
      </c>
      <c r="WYU3" s="18">
        <v>156711</v>
      </c>
      <c r="WYV3" s="18">
        <v>156718</v>
      </c>
      <c r="WYW3" s="18">
        <v>156725</v>
      </c>
      <c r="WYX3" s="18">
        <v>156732</v>
      </c>
      <c r="WYY3" s="18">
        <v>156739</v>
      </c>
      <c r="WYZ3" s="18">
        <v>156746</v>
      </c>
      <c r="WZA3" s="18">
        <v>156753</v>
      </c>
      <c r="WZB3" s="18">
        <v>156760</v>
      </c>
      <c r="WZC3" s="18">
        <v>156767</v>
      </c>
      <c r="WZD3" s="18">
        <v>156774</v>
      </c>
      <c r="WZE3" s="18">
        <v>156781</v>
      </c>
      <c r="WZF3" s="18">
        <v>156788</v>
      </c>
      <c r="WZG3" s="18">
        <v>156795</v>
      </c>
      <c r="WZH3" s="18">
        <v>156802</v>
      </c>
      <c r="WZI3" s="18">
        <v>156809</v>
      </c>
      <c r="WZJ3" s="18">
        <v>156816</v>
      </c>
      <c r="WZK3" s="18">
        <v>156823</v>
      </c>
      <c r="WZL3" s="18">
        <v>156830</v>
      </c>
      <c r="WZM3" s="18">
        <v>156837</v>
      </c>
      <c r="WZN3" s="18">
        <v>156844</v>
      </c>
      <c r="WZO3" s="18">
        <v>156851</v>
      </c>
      <c r="WZP3" s="18">
        <v>156858</v>
      </c>
      <c r="WZQ3" s="18">
        <v>156865</v>
      </c>
      <c r="WZR3" s="18">
        <v>156872</v>
      </c>
      <c r="WZS3" s="18">
        <v>156879</v>
      </c>
      <c r="WZT3" s="18">
        <v>156886</v>
      </c>
      <c r="WZU3" s="18">
        <v>156893</v>
      </c>
      <c r="WZV3" s="18">
        <v>156900</v>
      </c>
      <c r="WZW3" s="18">
        <v>156907</v>
      </c>
      <c r="WZX3" s="18">
        <v>156914</v>
      </c>
      <c r="WZY3" s="18">
        <v>156921</v>
      </c>
      <c r="WZZ3" s="18">
        <v>156928</v>
      </c>
      <c r="XAA3" s="18">
        <v>156935</v>
      </c>
      <c r="XAB3" s="18">
        <v>156942</v>
      </c>
      <c r="XAC3" s="18">
        <v>156949</v>
      </c>
      <c r="XAD3" s="18">
        <v>156956</v>
      </c>
      <c r="XAE3" s="18">
        <v>156963</v>
      </c>
      <c r="XAF3" s="18">
        <v>156970</v>
      </c>
      <c r="XAG3" s="18">
        <v>156977</v>
      </c>
      <c r="XAH3" s="18">
        <v>156984</v>
      </c>
      <c r="XAI3" s="18">
        <v>156991</v>
      </c>
      <c r="XAJ3" s="18">
        <v>156998</v>
      </c>
      <c r="XAK3" s="18">
        <v>157005</v>
      </c>
      <c r="XAL3" s="18">
        <v>157012</v>
      </c>
      <c r="XAM3" s="18">
        <v>157019</v>
      </c>
      <c r="XAN3" s="18">
        <v>157026</v>
      </c>
      <c r="XAO3" s="18">
        <v>157033</v>
      </c>
      <c r="XAP3" s="18">
        <v>157040</v>
      </c>
      <c r="XAQ3" s="18">
        <v>157047</v>
      </c>
      <c r="XAR3" s="18">
        <v>157054</v>
      </c>
      <c r="XAS3" s="18">
        <v>157061</v>
      </c>
      <c r="XAT3" s="18">
        <v>157068</v>
      </c>
      <c r="XAU3" s="18">
        <v>157075</v>
      </c>
      <c r="XAV3" s="18">
        <v>157082</v>
      </c>
      <c r="XAW3" s="18">
        <v>157089</v>
      </c>
      <c r="XAX3" s="18">
        <v>157096</v>
      </c>
      <c r="XAY3" s="18">
        <v>157103</v>
      </c>
      <c r="XAZ3" s="18">
        <v>157110</v>
      </c>
      <c r="XBA3" s="18">
        <v>157117</v>
      </c>
      <c r="XBB3" s="18">
        <v>157124</v>
      </c>
      <c r="XBC3" s="18">
        <v>157131</v>
      </c>
      <c r="XBD3" s="18">
        <v>157138</v>
      </c>
      <c r="XBE3" s="18">
        <v>157145</v>
      </c>
      <c r="XBF3" s="18">
        <v>157152</v>
      </c>
      <c r="XBG3" s="18">
        <v>157159</v>
      </c>
      <c r="XBH3" s="18">
        <v>157166</v>
      </c>
      <c r="XBI3" s="18">
        <v>157173</v>
      </c>
      <c r="XBJ3" s="18">
        <v>157180</v>
      </c>
      <c r="XBK3" s="18">
        <v>157187</v>
      </c>
      <c r="XBL3" s="18">
        <v>157194</v>
      </c>
      <c r="XBM3" s="18">
        <v>157201</v>
      </c>
      <c r="XBN3" s="18">
        <v>157208</v>
      </c>
      <c r="XBO3" s="18">
        <v>157215</v>
      </c>
      <c r="XBP3" s="18">
        <v>157222</v>
      </c>
      <c r="XBQ3" s="18">
        <v>157229</v>
      </c>
      <c r="XBR3" s="18">
        <v>157236</v>
      </c>
      <c r="XBS3" s="18">
        <v>157243</v>
      </c>
      <c r="XBT3" s="18">
        <v>157250</v>
      </c>
      <c r="XBU3" s="18">
        <v>157257</v>
      </c>
      <c r="XBV3" s="18">
        <v>157264</v>
      </c>
      <c r="XBW3" s="18">
        <v>157271</v>
      </c>
      <c r="XBX3" s="18">
        <v>157278</v>
      </c>
      <c r="XBY3" s="18">
        <v>157285</v>
      </c>
      <c r="XBZ3" s="18">
        <v>157292</v>
      </c>
      <c r="XCA3" s="18">
        <v>157299</v>
      </c>
      <c r="XCB3" s="18">
        <v>157306</v>
      </c>
      <c r="XCC3" s="18">
        <v>157313</v>
      </c>
      <c r="XCD3" s="18">
        <v>157320</v>
      </c>
      <c r="XCE3" s="18">
        <v>157327</v>
      </c>
      <c r="XCF3" s="18">
        <v>157334</v>
      </c>
      <c r="XCG3" s="18">
        <v>157341</v>
      </c>
      <c r="XCH3" s="18">
        <v>157348</v>
      </c>
      <c r="XCI3" s="18">
        <v>157355</v>
      </c>
      <c r="XCJ3" s="18">
        <v>157362</v>
      </c>
      <c r="XCK3" s="18">
        <v>157369</v>
      </c>
      <c r="XCL3" s="18">
        <v>157376</v>
      </c>
      <c r="XCM3" s="18">
        <v>157383</v>
      </c>
      <c r="XCN3" s="18">
        <v>157390</v>
      </c>
      <c r="XCO3" s="18">
        <v>157397</v>
      </c>
      <c r="XCP3" s="18">
        <v>157404</v>
      </c>
      <c r="XCQ3" s="18">
        <v>157411</v>
      </c>
      <c r="XCR3" s="18">
        <v>157418</v>
      </c>
      <c r="XCS3" s="18">
        <v>157425</v>
      </c>
      <c r="XCT3" s="18">
        <v>157432</v>
      </c>
      <c r="XCU3" s="18">
        <v>157439</v>
      </c>
      <c r="XCV3" s="18">
        <v>157446</v>
      </c>
      <c r="XCW3" s="18">
        <v>157453</v>
      </c>
      <c r="XCX3" s="18">
        <v>157460</v>
      </c>
      <c r="XCY3" s="18">
        <v>157467</v>
      </c>
      <c r="XCZ3" s="18">
        <v>157474</v>
      </c>
      <c r="XDA3" s="18">
        <v>157481</v>
      </c>
      <c r="XDB3" s="18">
        <v>157488</v>
      </c>
      <c r="XDC3" s="18">
        <v>157495</v>
      </c>
      <c r="XDD3" s="18">
        <v>157502</v>
      </c>
      <c r="XDE3" s="18">
        <v>157509</v>
      </c>
      <c r="XDF3" s="18">
        <v>157516</v>
      </c>
      <c r="XDG3" s="18">
        <v>157523</v>
      </c>
      <c r="XDH3" s="18">
        <v>157530</v>
      </c>
      <c r="XDI3" s="18">
        <v>157537</v>
      </c>
      <c r="XDJ3" s="18">
        <v>157544</v>
      </c>
      <c r="XDK3" s="18">
        <v>157551</v>
      </c>
      <c r="XDL3" s="18">
        <v>157558</v>
      </c>
      <c r="XDM3" s="18">
        <v>157565</v>
      </c>
      <c r="XDN3" s="18">
        <v>157572</v>
      </c>
      <c r="XDO3" s="18">
        <v>157579</v>
      </c>
      <c r="XDP3" s="18">
        <v>157586</v>
      </c>
      <c r="XDQ3" s="18">
        <v>157593</v>
      </c>
      <c r="XDR3" s="18">
        <v>157600</v>
      </c>
      <c r="XDS3" s="18">
        <v>157607</v>
      </c>
      <c r="XDT3" s="18">
        <v>157614</v>
      </c>
      <c r="XDU3" s="18">
        <v>157621</v>
      </c>
      <c r="XDV3" s="18">
        <v>157628</v>
      </c>
      <c r="XDW3" s="18">
        <v>157635</v>
      </c>
      <c r="XDX3" s="18">
        <v>157642</v>
      </c>
      <c r="XDY3" s="18">
        <v>157649</v>
      </c>
      <c r="XDZ3" s="18">
        <v>157656</v>
      </c>
      <c r="XEA3" s="18">
        <v>157663</v>
      </c>
      <c r="XEB3" s="18">
        <v>157670</v>
      </c>
      <c r="XEC3" s="18">
        <v>157677</v>
      </c>
      <c r="XED3" s="18">
        <v>157684</v>
      </c>
      <c r="XEE3" s="18">
        <v>157691</v>
      </c>
      <c r="XEF3" s="18">
        <v>157698</v>
      </c>
      <c r="XEG3" s="18">
        <v>157705</v>
      </c>
      <c r="XEH3" s="18">
        <v>157712</v>
      </c>
      <c r="XEI3" s="18">
        <v>157719</v>
      </c>
      <c r="XEJ3" s="18">
        <v>157726</v>
      </c>
      <c r="XEK3" s="18">
        <v>157733</v>
      </c>
      <c r="XEL3" s="18">
        <v>157740</v>
      </c>
      <c r="XEM3" s="18">
        <v>157747</v>
      </c>
      <c r="XEN3" s="18">
        <v>157754</v>
      </c>
      <c r="XEO3" s="18">
        <v>157761</v>
      </c>
      <c r="XEP3" s="18">
        <v>157768</v>
      </c>
      <c r="XEQ3" s="18">
        <v>157775</v>
      </c>
      <c r="XER3" s="18">
        <v>157782</v>
      </c>
      <c r="XES3" s="18">
        <v>157789</v>
      </c>
      <c r="XET3" s="18">
        <v>157796</v>
      </c>
      <c r="XEU3" s="18">
        <v>157803</v>
      </c>
      <c r="XEV3" s="18">
        <v>157810</v>
      </c>
      <c r="XEW3" s="18">
        <v>157817</v>
      </c>
      <c r="XEX3" s="18">
        <v>157824</v>
      </c>
      <c r="XEY3" s="18">
        <v>157831</v>
      </c>
      <c r="XEZ3" s="18">
        <v>157838</v>
      </c>
      <c r="XFA3" s="18">
        <v>157845</v>
      </c>
      <c r="XFB3" s="18">
        <v>157852</v>
      </c>
      <c r="XFC3" s="18">
        <v>157859</v>
      </c>
      <c r="XFD3" s="18">
        <v>157866</v>
      </c>
    </row>
    <row r="4" spans="2:16384" ht="15.75" customHeight="1" x14ac:dyDescent="0.3">
      <c r="B4" s="154"/>
      <c r="C4" s="156"/>
      <c r="D4" s="156"/>
      <c r="E4" s="156"/>
      <c r="F4" s="156"/>
      <c r="G4" s="156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16384" ht="30" customHeight="1" x14ac:dyDescent="0.3">
      <c r="B5" s="116" t="s">
        <v>435</v>
      </c>
      <c r="C5" s="7">
        <v>1</v>
      </c>
      <c r="D5" s="7">
        <v>3</v>
      </c>
      <c r="E5" s="7">
        <v>1</v>
      </c>
      <c r="F5" s="7">
        <v>0</v>
      </c>
      <c r="G5" s="8">
        <v>1</v>
      </c>
      <c r="W5" s="19"/>
      <c r="X5" s="19"/>
      <c r="Y5" s="19"/>
    </row>
    <row r="6" spans="2:16384" ht="30" customHeight="1" x14ac:dyDescent="0.3">
      <c r="B6" s="116" t="s">
        <v>438</v>
      </c>
      <c r="C6" s="7">
        <v>1</v>
      </c>
      <c r="D6" s="7">
        <v>4</v>
      </c>
      <c r="E6" s="7">
        <v>1</v>
      </c>
      <c r="F6" s="7">
        <v>0</v>
      </c>
      <c r="G6" s="8">
        <v>0.9</v>
      </c>
      <c r="W6" s="19"/>
      <c r="X6" s="19"/>
      <c r="Y6" s="19"/>
    </row>
    <row r="7" spans="2:16384" ht="30" customHeight="1" x14ac:dyDescent="0.3">
      <c r="B7" s="116" t="s">
        <v>437</v>
      </c>
      <c r="C7" s="7">
        <v>2</v>
      </c>
      <c r="D7" s="7">
        <v>3</v>
      </c>
      <c r="E7" s="7">
        <v>0</v>
      </c>
      <c r="F7" s="7">
        <v>0</v>
      </c>
      <c r="G7" s="8">
        <v>0.1</v>
      </c>
      <c r="W7" s="19"/>
      <c r="X7" s="19"/>
      <c r="Y7" s="19"/>
    </row>
    <row r="8" spans="2:16384" ht="30" customHeight="1" x14ac:dyDescent="0.3">
      <c r="B8" s="116" t="s">
        <v>436</v>
      </c>
      <c r="C8" s="7">
        <v>4</v>
      </c>
      <c r="D8" s="7">
        <v>3</v>
      </c>
      <c r="E8" s="7">
        <v>0</v>
      </c>
      <c r="F8" s="7">
        <v>0</v>
      </c>
      <c r="G8" s="8"/>
      <c r="W8" s="19"/>
      <c r="X8" s="19"/>
      <c r="Y8" s="19"/>
    </row>
    <row r="9" spans="2:16384" ht="30" customHeight="1" x14ac:dyDescent="0.3">
      <c r="B9" s="116" t="s">
        <v>439</v>
      </c>
      <c r="C9" s="7">
        <v>4</v>
      </c>
      <c r="D9" s="7">
        <v>4</v>
      </c>
      <c r="E9" s="7">
        <v>0</v>
      </c>
      <c r="F9" s="7">
        <v>0</v>
      </c>
      <c r="G9" s="8"/>
      <c r="W9" s="19"/>
      <c r="X9" s="19"/>
      <c r="Y9" s="19"/>
    </row>
    <row r="10" spans="2:16384" ht="30" customHeight="1" x14ac:dyDescent="0.3">
      <c r="B10" s="116" t="s">
        <v>31</v>
      </c>
      <c r="C10" s="7">
        <v>7</v>
      </c>
      <c r="D10" s="7">
        <v>5</v>
      </c>
      <c r="E10" s="7">
        <v>0</v>
      </c>
      <c r="F10" s="7">
        <v>0</v>
      </c>
      <c r="G10" s="8"/>
      <c r="W10" s="19"/>
      <c r="X10" s="19"/>
      <c r="Y10" s="19"/>
    </row>
    <row r="11" spans="2:16384" ht="30" customHeight="1" x14ac:dyDescent="0.3">
      <c r="B11" s="116" t="s">
        <v>440</v>
      </c>
      <c r="C11" s="7">
        <v>7</v>
      </c>
      <c r="D11" s="7">
        <v>5</v>
      </c>
      <c r="E11" s="7">
        <v>0</v>
      </c>
      <c r="F11" s="7">
        <v>0</v>
      </c>
      <c r="G11" s="8"/>
      <c r="W11" s="19"/>
      <c r="X11" s="19"/>
      <c r="Y11" s="19"/>
    </row>
    <row r="12" spans="2:16384" ht="30" customHeight="1" x14ac:dyDescent="0.3">
      <c r="B12" s="116" t="s">
        <v>34</v>
      </c>
      <c r="C12" s="7">
        <v>7</v>
      </c>
      <c r="D12" s="7">
        <v>1</v>
      </c>
      <c r="E12" s="7">
        <v>0</v>
      </c>
      <c r="F12" s="7">
        <v>0</v>
      </c>
      <c r="G12" s="8"/>
      <c r="W12" s="19"/>
      <c r="X12" s="19"/>
      <c r="Y12" s="19"/>
    </row>
    <row r="13" spans="2:16384" ht="30" customHeight="1" x14ac:dyDescent="0.3">
      <c r="B13" s="116" t="s">
        <v>29</v>
      </c>
      <c r="C13" s="7">
        <v>1</v>
      </c>
      <c r="D13" s="7">
        <v>12</v>
      </c>
      <c r="E13" s="7">
        <v>0</v>
      </c>
      <c r="F13" s="7">
        <v>0</v>
      </c>
      <c r="G13" s="8">
        <v>0.2</v>
      </c>
      <c r="W13" s="19"/>
      <c r="X13" s="19"/>
      <c r="Y13" s="19"/>
    </row>
    <row r="14" spans="2:16384" ht="30" customHeight="1" x14ac:dyDescent="0.3">
      <c r="B14" s="116" t="s">
        <v>30</v>
      </c>
      <c r="C14" s="7">
        <v>6</v>
      </c>
      <c r="D14" s="7">
        <v>10</v>
      </c>
      <c r="E14" s="7">
        <v>0</v>
      </c>
      <c r="F14" s="7">
        <v>0</v>
      </c>
      <c r="G14" s="8"/>
      <c r="W14" s="19"/>
      <c r="X14" s="19"/>
      <c r="Y14" s="19"/>
    </row>
    <row r="15" spans="2:16384" ht="30" customHeight="1" x14ac:dyDescent="0.3">
      <c r="B15" s="116" t="s">
        <v>32</v>
      </c>
      <c r="C15" s="7">
        <v>12</v>
      </c>
      <c r="D15" s="7">
        <v>4</v>
      </c>
      <c r="E15" s="7">
        <v>0</v>
      </c>
      <c r="F15" s="7">
        <v>0</v>
      </c>
      <c r="G15" s="8"/>
      <c r="W15" s="19"/>
      <c r="X15" s="19"/>
      <c r="Y15" s="19"/>
    </row>
    <row r="16" spans="2:16384" ht="30" customHeight="1" x14ac:dyDescent="0.3">
      <c r="B16" s="116" t="s">
        <v>33</v>
      </c>
      <c r="C16" s="7">
        <v>15</v>
      </c>
      <c r="D16" s="7">
        <v>1</v>
      </c>
      <c r="E16" s="7">
        <v>0</v>
      </c>
      <c r="F16" s="7">
        <v>0</v>
      </c>
      <c r="G16" s="8"/>
      <c r="W16" s="19"/>
      <c r="X16" s="19"/>
      <c r="Y16" s="19"/>
    </row>
    <row r="17" spans="2:7" ht="30" hidden="1" customHeight="1" x14ac:dyDescent="0.35">
      <c r="B17" s="6" t="s">
        <v>1</v>
      </c>
      <c r="C17" s="7">
        <v>0</v>
      </c>
      <c r="D17" s="7">
        <v>0</v>
      </c>
      <c r="E17" s="7">
        <v>0</v>
      </c>
      <c r="F17" s="7">
        <v>0</v>
      </c>
      <c r="G17" s="8">
        <v>0.6</v>
      </c>
    </row>
    <row r="18" spans="2:7" ht="30" hidden="1" customHeight="1" x14ac:dyDescent="0.35">
      <c r="B18" s="6" t="s">
        <v>2</v>
      </c>
      <c r="C18" s="7">
        <v>0</v>
      </c>
      <c r="D18" s="7">
        <v>0</v>
      </c>
      <c r="E18" s="7">
        <v>0</v>
      </c>
      <c r="F18" s="7">
        <v>0</v>
      </c>
      <c r="G18" s="8">
        <v>0</v>
      </c>
    </row>
    <row r="19" spans="2:7" ht="30" hidden="1" customHeight="1" x14ac:dyDescent="0.35">
      <c r="B19" s="6" t="s">
        <v>3</v>
      </c>
      <c r="C19" s="7">
        <v>0</v>
      </c>
      <c r="D19" s="7">
        <v>0</v>
      </c>
      <c r="E19" s="7">
        <v>0</v>
      </c>
      <c r="F19" s="7">
        <v>0</v>
      </c>
      <c r="G19" s="8">
        <v>0.5</v>
      </c>
    </row>
    <row r="20" spans="2:7" ht="30" hidden="1" customHeight="1" x14ac:dyDescent="0.35">
      <c r="B20" s="6" t="s">
        <v>4</v>
      </c>
      <c r="C20" s="7">
        <v>0</v>
      </c>
      <c r="D20" s="7">
        <v>0</v>
      </c>
      <c r="E20" s="7">
        <v>0</v>
      </c>
      <c r="F20" s="7">
        <v>0</v>
      </c>
      <c r="G20" s="8">
        <v>0</v>
      </c>
    </row>
    <row r="21" spans="2:7" ht="30" hidden="1" customHeight="1" x14ac:dyDescent="0.35">
      <c r="B21" s="6" t="s">
        <v>5</v>
      </c>
      <c r="C21" s="7">
        <v>0</v>
      </c>
      <c r="D21" s="7">
        <v>0</v>
      </c>
      <c r="E21" s="7">
        <v>0</v>
      </c>
      <c r="F21" s="7">
        <v>0</v>
      </c>
      <c r="G21" s="8">
        <v>0.01</v>
      </c>
    </row>
    <row r="22" spans="2:7" ht="30" hidden="1" customHeight="1" x14ac:dyDescent="0.35">
      <c r="B22" s="6" t="s">
        <v>6</v>
      </c>
      <c r="C22" s="7">
        <v>0</v>
      </c>
      <c r="D22" s="7">
        <v>0</v>
      </c>
      <c r="E22" s="7">
        <v>0</v>
      </c>
      <c r="F22" s="7">
        <v>0</v>
      </c>
      <c r="G22" s="8">
        <v>0.8</v>
      </c>
    </row>
    <row r="23" spans="2:7" ht="30" hidden="1" customHeight="1" x14ac:dyDescent="0.35">
      <c r="B23" s="6" t="s">
        <v>7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 x14ac:dyDescent="0.35">
      <c r="B24" s="6" t="s">
        <v>8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 x14ac:dyDescent="0.35">
      <c r="B25" s="6" t="s">
        <v>9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 x14ac:dyDescent="0.35">
      <c r="B26" s="6" t="s">
        <v>10</v>
      </c>
      <c r="C26" s="7">
        <v>0</v>
      </c>
      <c r="D26" s="7">
        <v>0</v>
      </c>
      <c r="E26" s="7">
        <v>0</v>
      </c>
      <c r="F26" s="7">
        <v>0</v>
      </c>
      <c r="G26" s="8">
        <v>0</v>
      </c>
    </row>
    <row r="27" spans="2:7" ht="30" hidden="1" customHeight="1" x14ac:dyDescent="0.35">
      <c r="B27" s="6" t="s">
        <v>11</v>
      </c>
      <c r="C27" s="7">
        <v>0</v>
      </c>
      <c r="D27" s="7">
        <v>0</v>
      </c>
      <c r="E27" s="7">
        <v>0</v>
      </c>
      <c r="F27" s="7">
        <v>0</v>
      </c>
      <c r="G27" s="8">
        <v>0.44</v>
      </c>
    </row>
    <row r="28" spans="2:7" ht="30" hidden="1" customHeight="1" x14ac:dyDescent="0.35">
      <c r="B28" s="6" t="s">
        <v>12</v>
      </c>
      <c r="C28" s="7">
        <v>0</v>
      </c>
      <c r="D28" s="7">
        <v>0</v>
      </c>
      <c r="E28" s="7">
        <v>0</v>
      </c>
      <c r="F28" s="7">
        <v>0</v>
      </c>
      <c r="G28" s="8">
        <v>0</v>
      </c>
    </row>
    <row r="29" spans="2:7" ht="30" hidden="1" customHeight="1" x14ac:dyDescent="0.35">
      <c r="B29" s="6" t="s">
        <v>13</v>
      </c>
      <c r="C29" s="7">
        <v>0</v>
      </c>
      <c r="D29" s="7">
        <v>0</v>
      </c>
      <c r="E29" s="7">
        <v>0</v>
      </c>
      <c r="F29" s="7">
        <v>0</v>
      </c>
      <c r="G29" s="8">
        <v>0.12</v>
      </c>
    </row>
    <row r="30" spans="2:7" ht="30" hidden="1" customHeight="1" x14ac:dyDescent="0.35">
      <c r="B30" s="6" t="s">
        <v>14</v>
      </c>
      <c r="C30" s="7">
        <v>0</v>
      </c>
      <c r="D30" s="7">
        <v>0</v>
      </c>
      <c r="E30" s="7">
        <v>0</v>
      </c>
      <c r="F30" s="7">
        <v>0</v>
      </c>
      <c r="G30" s="8">
        <v>0.05</v>
      </c>
    </row>
    <row r="31" spans="2:7" ht="30" hidden="1" customHeight="1" x14ac:dyDescent="0.35">
      <c r="B31" s="6" t="s">
        <v>15</v>
      </c>
      <c r="C31" s="7">
        <v>0</v>
      </c>
      <c r="D31" s="7">
        <v>0</v>
      </c>
      <c r="E31" s="7">
        <v>0</v>
      </c>
      <c r="F31" s="7">
        <v>0</v>
      </c>
      <c r="G31" s="8">
        <v>0</v>
      </c>
    </row>
    <row r="32" spans="2:7" ht="30" hidden="1" customHeight="1" x14ac:dyDescent="0.35">
      <c r="B32" s="6" t="s">
        <v>16</v>
      </c>
      <c r="C32" s="7">
        <v>0</v>
      </c>
      <c r="D32" s="7">
        <v>0</v>
      </c>
      <c r="E32" s="7">
        <v>0</v>
      </c>
      <c r="F32" s="7">
        <v>0</v>
      </c>
      <c r="G32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2">
    <cfRule type="expression" dxfId="51" priority="1">
      <formula>PercentComplete</formula>
    </cfRule>
    <cfRule type="expression" dxfId="50" priority="3">
      <formula>PercentCompleteBeyond</formula>
    </cfRule>
    <cfRule type="expression" dxfId="49" priority="4">
      <formula>Actual</formula>
    </cfRule>
    <cfRule type="expression" dxfId="48" priority="5">
      <formula>ActualBeyond</formula>
    </cfRule>
    <cfRule type="expression" dxfId="47" priority="6">
      <formula>Plan</formula>
    </cfRule>
    <cfRule type="expression" dxfId="46" priority="7">
      <formula>H$4=period_selected</formula>
    </cfRule>
    <cfRule type="expression" dxfId="45" priority="11">
      <formula>MOD(COLUMN(),2)</formula>
    </cfRule>
    <cfRule type="expression" dxfId="44" priority="12">
      <formula>MOD(COLUMN(),2)=0</formula>
    </cfRule>
  </conditionalFormatting>
  <conditionalFormatting sqref="B33:BO33">
    <cfRule type="expression" dxfId="43" priority="2">
      <formula>TRUE</formula>
    </cfRule>
  </conditionalFormatting>
  <conditionalFormatting sqref="H4:BO4">
    <cfRule type="expression" dxfId="42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:XFD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67"/>
  <sheetViews>
    <sheetView tabSelected="1" zoomScaleNormal="100" workbookViewId="0">
      <selection activeCell="D159" sqref="D159"/>
    </sheetView>
  </sheetViews>
  <sheetFormatPr defaultColWidth="0" defaultRowHeight="14.4" customHeight="1" zeroHeight="1" x14ac:dyDescent="0.3"/>
  <cols>
    <col min="1" max="1" width="51.21875" style="20" customWidth="1"/>
    <col min="2" max="2" width="9.77734375" style="20" customWidth="1"/>
    <col min="3" max="3" width="10.5546875" style="20" customWidth="1"/>
    <col min="4" max="4" width="5.21875" style="20" customWidth="1"/>
    <col min="5" max="5" width="9.77734375" style="20" customWidth="1"/>
    <col min="6" max="6" width="70.33203125" style="20" customWidth="1"/>
    <col min="7" max="7" width="0" style="20" hidden="1" customWidth="1"/>
    <col min="8" max="16384" width="8.88671875" style="20" hidden="1"/>
  </cols>
  <sheetData>
    <row r="1" spans="1:6" x14ac:dyDescent="0.3">
      <c r="A1" s="20" t="s">
        <v>36</v>
      </c>
      <c r="B1" s="21" t="s">
        <v>37</v>
      </c>
      <c r="C1" s="21" t="s">
        <v>38</v>
      </c>
      <c r="D1" s="21" t="s">
        <v>39</v>
      </c>
      <c r="E1" s="21" t="s">
        <v>40</v>
      </c>
      <c r="F1" s="20" t="s">
        <v>41</v>
      </c>
    </row>
    <row r="2" spans="1:6" hidden="1" x14ac:dyDescent="0.3">
      <c r="A2" s="28" t="s">
        <v>74</v>
      </c>
      <c r="B2" s="22">
        <v>42992</v>
      </c>
      <c r="C2" s="22">
        <v>42993</v>
      </c>
      <c r="D2" s="23">
        <v>1.5</v>
      </c>
      <c r="E2" s="22">
        <v>43006</v>
      </c>
      <c r="F2" s="32" t="s">
        <v>79</v>
      </c>
    </row>
    <row r="3" spans="1:6" hidden="1" x14ac:dyDescent="0.3">
      <c r="A3" s="25" t="s">
        <v>60</v>
      </c>
      <c r="B3" s="22">
        <v>42986</v>
      </c>
      <c r="C3" s="22">
        <v>42999</v>
      </c>
      <c r="D3" s="23">
        <v>1.5</v>
      </c>
      <c r="E3" s="22">
        <v>43006</v>
      </c>
      <c r="F3" s="32" t="s">
        <v>81</v>
      </c>
    </row>
    <row r="4" spans="1:6" hidden="1" x14ac:dyDescent="0.3">
      <c r="A4" s="20" t="s">
        <v>42</v>
      </c>
      <c r="B4" s="22">
        <v>42983</v>
      </c>
      <c r="C4" s="22">
        <v>42983</v>
      </c>
      <c r="D4" s="23">
        <v>1</v>
      </c>
      <c r="E4" s="22">
        <v>42984</v>
      </c>
    </row>
    <row r="5" spans="1:6" hidden="1" x14ac:dyDescent="0.3">
      <c r="A5" s="20" t="s">
        <v>43</v>
      </c>
      <c r="B5" s="22">
        <v>42983</v>
      </c>
      <c r="C5" s="22">
        <v>42983</v>
      </c>
      <c r="D5" s="23">
        <v>1</v>
      </c>
      <c r="E5" s="22">
        <v>42992</v>
      </c>
      <c r="F5" s="20" t="s">
        <v>44</v>
      </c>
    </row>
    <row r="6" spans="1:6" hidden="1" x14ac:dyDescent="0.3">
      <c r="A6" s="20" t="s">
        <v>45</v>
      </c>
      <c r="B6" s="22">
        <v>42983</v>
      </c>
      <c r="C6" s="22">
        <v>42983</v>
      </c>
      <c r="D6" s="23">
        <v>1</v>
      </c>
      <c r="E6" s="22">
        <v>42984</v>
      </c>
    </row>
    <row r="7" spans="1:6" hidden="1" x14ac:dyDescent="0.3">
      <c r="A7" s="20" t="s">
        <v>47</v>
      </c>
      <c r="B7" s="22">
        <v>42983</v>
      </c>
      <c r="C7" s="22">
        <v>42984</v>
      </c>
      <c r="D7" s="23">
        <v>1</v>
      </c>
      <c r="E7" s="22">
        <v>42986</v>
      </c>
      <c r="F7" s="24" t="s">
        <v>59</v>
      </c>
    </row>
    <row r="8" spans="1:6" hidden="1" x14ac:dyDescent="0.3">
      <c r="A8" s="20" t="s">
        <v>46</v>
      </c>
      <c r="B8" s="22">
        <v>42983</v>
      </c>
      <c r="C8" s="22">
        <v>42990</v>
      </c>
      <c r="D8" s="23">
        <v>1</v>
      </c>
      <c r="E8" s="22">
        <v>42990</v>
      </c>
    </row>
    <row r="9" spans="1:6" hidden="1" x14ac:dyDescent="0.3">
      <c r="A9" s="20" t="s">
        <v>50</v>
      </c>
      <c r="B9" s="22">
        <v>42983</v>
      </c>
      <c r="C9" s="22">
        <v>42990</v>
      </c>
      <c r="D9" s="23">
        <v>1</v>
      </c>
      <c r="E9" s="22">
        <v>42991</v>
      </c>
      <c r="F9" s="26" t="s">
        <v>66</v>
      </c>
    </row>
    <row r="10" spans="1:6" hidden="1" x14ac:dyDescent="0.3">
      <c r="A10" s="29" t="s">
        <v>75</v>
      </c>
      <c r="B10" s="22">
        <v>42990</v>
      </c>
      <c r="C10" s="22">
        <v>42992</v>
      </c>
      <c r="D10" s="23">
        <v>1</v>
      </c>
      <c r="E10" s="22">
        <v>43027</v>
      </c>
      <c r="F10" s="31" t="s">
        <v>77</v>
      </c>
    </row>
    <row r="11" spans="1:6" hidden="1" x14ac:dyDescent="0.3">
      <c r="A11" s="20" t="s">
        <v>54</v>
      </c>
      <c r="B11" s="22">
        <v>42984</v>
      </c>
      <c r="C11" s="22">
        <v>42992</v>
      </c>
      <c r="D11" s="23">
        <v>1</v>
      </c>
      <c r="E11" s="22">
        <v>42992</v>
      </c>
      <c r="F11" s="25" t="s">
        <v>64</v>
      </c>
    </row>
    <row r="12" spans="1:6" hidden="1" x14ac:dyDescent="0.3">
      <c r="A12" s="20" t="s">
        <v>51</v>
      </c>
      <c r="B12" s="22">
        <v>42983</v>
      </c>
      <c r="C12" s="22">
        <v>42992</v>
      </c>
      <c r="D12" s="23">
        <v>1</v>
      </c>
      <c r="E12" s="22">
        <v>42992</v>
      </c>
      <c r="F12" s="20" t="s">
        <v>52</v>
      </c>
    </row>
    <row r="13" spans="1:6" hidden="1" x14ac:dyDescent="0.3">
      <c r="A13" s="26" t="s">
        <v>67</v>
      </c>
      <c r="B13" s="22">
        <v>42990</v>
      </c>
      <c r="C13" s="22">
        <v>42993</v>
      </c>
      <c r="D13" s="23">
        <v>1</v>
      </c>
      <c r="E13" s="22">
        <v>43006</v>
      </c>
      <c r="F13" s="26" t="s">
        <v>68</v>
      </c>
    </row>
    <row r="14" spans="1:6" hidden="1" x14ac:dyDescent="0.3">
      <c r="A14" s="30" t="s">
        <v>76</v>
      </c>
      <c r="B14" s="22">
        <v>42998</v>
      </c>
      <c r="C14" s="22">
        <v>42998</v>
      </c>
      <c r="D14" s="23">
        <v>1</v>
      </c>
      <c r="E14" s="22">
        <v>43006</v>
      </c>
    </row>
    <row r="15" spans="1:6" hidden="1" x14ac:dyDescent="0.3">
      <c r="A15" s="20" t="s">
        <v>48</v>
      </c>
      <c r="B15" s="22">
        <v>42983</v>
      </c>
      <c r="C15" s="22">
        <v>42991</v>
      </c>
      <c r="D15" s="23">
        <v>1</v>
      </c>
      <c r="E15" s="22">
        <v>42999</v>
      </c>
      <c r="F15" s="28" t="s">
        <v>70</v>
      </c>
    </row>
    <row r="16" spans="1:6" hidden="1" x14ac:dyDescent="0.3">
      <c r="A16" s="20" t="s">
        <v>49</v>
      </c>
      <c r="B16" s="22">
        <v>42983</v>
      </c>
      <c r="C16" s="22">
        <v>42991</v>
      </c>
      <c r="D16" s="23">
        <v>1</v>
      </c>
      <c r="E16" s="22">
        <v>42999</v>
      </c>
      <c r="F16" s="28" t="s">
        <v>73</v>
      </c>
    </row>
    <row r="17" spans="1:6" hidden="1" x14ac:dyDescent="0.3">
      <c r="A17" s="32" t="s">
        <v>78</v>
      </c>
      <c r="B17" s="22">
        <v>43021</v>
      </c>
      <c r="C17" s="22">
        <v>43021</v>
      </c>
      <c r="D17" s="23">
        <v>1</v>
      </c>
      <c r="E17" s="22">
        <v>43027</v>
      </c>
    </row>
    <row r="18" spans="1:6" hidden="1" x14ac:dyDescent="0.3">
      <c r="A18" s="32" t="s">
        <v>83</v>
      </c>
      <c r="B18" s="22">
        <v>43021</v>
      </c>
      <c r="C18" s="22">
        <v>43021</v>
      </c>
      <c r="D18" s="23">
        <v>1</v>
      </c>
      <c r="E18" s="22">
        <v>43027</v>
      </c>
      <c r="F18" s="32"/>
    </row>
    <row r="19" spans="1:6" hidden="1" x14ac:dyDescent="0.3">
      <c r="A19" s="32" t="s">
        <v>84</v>
      </c>
      <c r="B19" s="22">
        <v>43021</v>
      </c>
      <c r="C19" s="22">
        <v>43024</v>
      </c>
      <c r="D19" s="23">
        <v>1</v>
      </c>
      <c r="E19" s="22">
        <v>43027</v>
      </c>
      <c r="F19" s="32" t="s">
        <v>85</v>
      </c>
    </row>
    <row r="20" spans="1:6" hidden="1" x14ac:dyDescent="0.3">
      <c r="A20" s="34" t="s">
        <v>89</v>
      </c>
      <c r="B20" s="22">
        <v>43021</v>
      </c>
      <c r="C20" s="22">
        <v>43024</v>
      </c>
      <c r="D20" s="23">
        <v>1</v>
      </c>
      <c r="E20" s="22">
        <v>43027</v>
      </c>
      <c r="F20" s="32"/>
    </row>
    <row r="21" spans="1:6" hidden="1" x14ac:dyDescent="0.3">
      <c r="A21" s="34" t="s">
        <v>88</v>
      </c>
      <c r="B21" s="22">
        <v>43021</v>
      </c>
      <c r="C21" s="22">
        <v>43027</v>
      </c>
      <c r="D21" s="23">
        <v>1</v>
      </c>
      <c r="E21" s="22">
        <v>43023</v>
      </c>
      <c r="F21" s="32"/>
    </row>
    <row r="22" spans="1:6" hidden="1" x14ac:dyDescent="0.3">
      <c r="A22" s="33" t="s">
        <v>86</v>
      </c>
      <c r="B22" s="22">
        <v>43021</v>
      </c>
      <c r="C22" s="22">
        <v>43027</v>
      </c>
      <c r="D22" s="23">
        <v>1</v>
      </c>
      <c r="E22" s="22">
        <v>43027</v>
      </c>
      <c r="F22" s="33" t="s">
        <v>87</v>
      </c>
    </row>
    <row r="23" spans="1:6" hidden="1" x14ac:dyDescent="0.3">
      <c r="A23" s="35" t="s">
        <v>92</v>
      </c>
      <c r="B23" s="22">
        <v>43024</v>
      </c>
      <c r="C23" s="22">
        <v>43025</v>
      </c>
      <c r="D23" s="23">
        <v>1</v>
      </c>
      <c r="E23" s="22">
        <v>43034</v>
      </c>
      <c r="F23" s="36" t="s">
        <v>93</v>
      </c>
    </row>
    <row r="24" spans="1:6" hidden="1" x14ac:dyDescent="0.3">
      <c r="A24" s="37" t="s">
        <v>94</v>
      </c>
      <c r="B24" s="22">
        <v>43026</v>
      </c>
      <c r="C24" s="22">
        <v>43027</v>
      </c>
      <c r="D24" s="23">
        <v>1</v>
      </c>
      <c r="E24" s="22">
        <v>43034</v>
      </c>
      <c r="F24" s="38" t="s">
        <v>95</v>
      </c>
    </row>
    <row r="25" spans="1:6" hidden="1" x14ac:dyDescent="0.3">
      <c r="A25" s="35" t="s">
        <v>91</v>
      </c>
      <c r="B25" s="22">
        <v>43024</v>
      </c>
      <c r="C25" s="22">
        <v>43026</v>
      </c>
      <c r="D25" s="23">
        <v>1</v>
      </c>
      <c r="E25" s="22">
        <v>43034</v>
      </c>
      <c r="F25" s="32"/>
    </row>
    <row r="26" spans="1:6" hidden="1" x14ac:dyDescent="0.3">
      <c r="A26" s="34" t="s">
        <v>90</v>
      </c>
      <c r="B26" s="22">
        <v>43021</v>
      </c>
      <c r="C26" s="22">
        <v>43024</v>
      </c>
      <c r="D26" s="23">
        <v>1</v>
      </c>
      <c r="E26" s="22">
        <v>43027</v>
      </c>
      <c r="F26" s="32"/>
    </row>
    <row r="27" spans="1:6" hidden="1" x14ac:dyDescent="0.3">
      <c r="A27" s="44" t="s">
        <v>116</v>
      </c>
      <c r="B27" s="22">
        <v>43109</v>
      </c>
      <c r="C27" s="22">
        <v>43118</v>
      </c>
      <c r="D27" s="23">
        <v>1</v>
      </c>
      <c r="E27" s="22">
        <v>43118</v>
      </c>
      <c r="F27" s="32"/>
    </row>
    <row r="28" spans="1:6" hidden="1" x14ac:dyDescent="0.3">
      <c r="A28" s="38" t="s">
        <v>96</v>
      </c>
      <c r="B28" s="22">
        <v>43109</v>
      </c>
      <c r="C28" s="22">
        <v>43118</v>
      </c>
      <c r="D28" s="23">
        <v>1</v>
      </c>
      <c r="E28" s="22">
        <v>43118</v>
      </c>
      <c r="F28" s="32"/>
    </row>
    <row r="29" spans="1:6" hidden="1" x14ac:dyDescent="0.3">
      <c r="A29" s="27" t="s">
        <v>69</v>
      </c>
      <c r="B29" s="22">
        <v>43109</v>
      </c>
      <c r="C29" s="22">
        <v>43118</v>
      </c>
      <c r="D29" s="23">
        <v>1.5</v>
      </c>
      <c r="E29" s="22">
        <v>43125</v>
      </c>
      <c r="F29" s="54"/>
    </row>
    <row r="30" spans="1:6" hidden="1" x14ac:dyDescent="0.3">
      <c r="A30" s="94" t="s">
        <v>196</v>
      </c>
      <c r="B30" s="22">
        <v>43140</v>
      </c>
      <c r="C30" s="80">
        <v>43159</v>
      </c>
      <c r="D30" s="23">
        <v>0.5</v>
      </c>
      <c r="E30" s="22">
        <v>43228</v>
      </c>
      <c r="F30" s="88"/>
    </row>
    <row r="31" spans="1:6" hidden="1" x14ac:dyDescent="0.3">
      <c r="A31" s="25" t="s">
        <v>61</v>
      </c>
      <c r="B31" s="22">
        <v>42986</v>
      </c>
      <c r="C31" s="22">
        <v>43060</v>
      </c>
      <c r="D31" s="23">
        <v>1.5</v>
      </c>
      <c r="E31" s="22">
        <v>43040</v>
      </c>
      <c r="F31" s="25" t="s">
        <v>62</v>
      </c>
    </row>
    <row r="32" spans="1:6" hidden="1" x14ac:dyDescent="0.3">
      <c r="A32" s="28" t="s">
        <v>71</v>
      </c>
      <c r="B32" s="22">
        <v>43109</v>
      </c>
      <c r="C32" s="22">
        <v>43118</v>
      </c>
      <c r="D32" s="23">
        <v>1.5</v>
      </c>
      <c r="E32" s="22">
        <v>43125</v>
      </c>
      <c r="F32" s="56" t="s">
        <v>72</v>
      </c>
    </row>
    <row r="33" spans="1:6" hidden="1" x14ac:dyDescent="0.3">
      <c r="A33" s="68" t="s">
        <v>147</v>
      </c>
      <c r="B33" s="22">
        <v>43124</v>
      </c>
      <c r="C33" s="22">
        <v>43125</v>
      </c>
      <c r="D33" s="23">
        <v>1</v>
      </c>
      <c r="E33" s="22">
        <v>43132</v>
      </c>
      <c r="F33" s="69" t="s">
        <v>146</v>
      </c>
    </row>
    <row r="34" spans="1:6" hidden="1" x14ac:dyDescent="0.3">
      <c r="A34" s="68" t="s">
        <v>145</v>
      </c>
      <c r="B34" s="22">
        <v>43124</v>
      </c>
      <c r="C34" s="22">
        <v>43124</v>
      </c>
      <c r="D34" s="23">
        <v>1</v>
      </c>
      <c r="E34" s="22">
        <v>43125</v>
      </c>
      <c r="F34" s="59"/>
    </row>
    <row r="35" spans="1:6" hidden="1" x14ac:dyDescent="0.3">
      <c r="A35" s="67" t="s">
        <v>144</v>
      </c>
      <c r="B35" s="22">
        <v>43122</v>
      </c>
      <c r="C35" s="22">
        <v>43122</v>
      </c>
      <c r="D35" s="23">
        <v>1</v>
      </c>
      <c r="E35" s="22">
        <v>43125</v>
      </c>
      <c r="F35" s="59"/>
    </row>
    <row r="36" spans="1:6" hidden="1" x14ac:dyDescent="0.3">
      <c r="A36" s="48" t="s">
        <v>123</v>
      </c>
      <c r="B36" s="22">
        <v>43112</v>
      </c>
      <c r="C36" s="22">
        <v>43118</v>
      </c>
      <c r="D36" s="23">
        <v>1</v>
      </c>
      <c r="E36" s="22">
        <v>43125</v>
      </c>
      <c r="F36" s="59"/>
    </row>
    <row r="37" spans="1:6" hidden="1" x14ac:dyDescent="0.3">
      <c r="A37" s="53" t="s">
        <v>132</v>
      </c>
      <c r="B37" s="22">
        <v>43117</v>
      </c>
      <c r="C37" s="22">
        <v>43117</v>
      </c>
      <c r="D37" s="23">
        <v>1</v>
      </c>
      <c r="E37" s="22">
        <v>43125</v>
      </c>
      <c r="F37" s="59"/>
    </row>
    <row r="38" spans="1:6" hidden="1" x14ac:dyDescent="0.3">
      <c r="A38" s="39" t="s">
        <v>97</v>
      </c>
      <c r="B38" s="22">
        <v>43109</v>
      </c>
      <c r="C38" s="22">
        <v>43118</v>
      </c>
      <c r="D38" s="23">
        <v>1.5</v>
      </c>
      <c r="E38" s="22">
        <v>43125</v>
      </c>
      <c r="F38" s="60" t="s">
        <v>122</v>
      </c>
    </row>
    <row r="39" spans="1:6" hidden="1" x14ac:dyDescent="0.3">
      <c r="A39" s="65" t="s">
        <v>137</v>
      </c>
      <c r="B39" s="22">
        <v>43119</v>
      </c>
      <c r="C39" s="22">
        <v>43122</v>
      </c>
      <c r="D39" s="23">
        <v>1</v>
      </c>
      <c r="E39" s="22">
        <v>43125</v>
      </c>
      <c r="F39" s="59"/>
    </row>
    <row r="40" spans="1:6" hidden="1" x14ac:dyDescent="0.3">
      <c r="A40" s="45" t="s">
        <v>117</v>
      </c>
      <c r="B40" s="22">
        <v>43109</v>
      </c>
      <c r="C40" s="22">
        <v>43118</v>
      </c>
      <c r="D40" s="23">
        <v>1</v>
      </c>
      <c r="E40" s="22">
        <v>43118</v>
      </c>
      <c r="F40" s="32"/>
    </row>
    <row r="41" spans="1:6" hidden="1" x14ac:dyDescent="0.3">
      <c r="A41" s="66" t="s">
        <v>139</v>
      </c>
      <c r="B41" s="22">
        <v>43119</v>
      </c>
      <c r="C41" s="22">
        <v>43122</v>
      </c>
      <c r="D41" s="23">
        <v>1</v>
      </c>
      <c r="E41" s="22">
        <v>43125</v>
      </c>
    </row>
    <row r="42" spans="1:6" hidden="1" x14ac:dyDescent="0.3">
      <c r="A42" s="46" t="s">
        <v>118</v>
      </c>
      <c r="B42" s="22">
        <f ca="1">TODAY()</f>
        <v>43248</v>
      </c>
      <c r="C42" s="22">
        <v>43118</v>
      </c>
      <c r="D42" s="23">
        <v>1</v>
      </c>
      <c r="E42" s="22">
        <v>43118</v>
      </c>
      <c r="F42" s="32"/>
    </row>
    <row r="43" spans="1:6" hidden="1" x14ac:dyDescent="0.3">
      <c r="A43" s="65" t="s">
        <v>140</v>
      </c>
      <c r="B43" s="22">
        <v>43119</v>
      </c>
      <c r="C43" s="22">
        <v>43119</v>
      </c>
      <c r="D43" s="23">
        <v>1</v>
      </c>
      <c r="E43" s="22">
        <v>43125</v>
      </c>
      <c r="F43" s="66" t="s">
        <v>141</v>
      </c>
    </row>
    <row r="44" spans="1:6" hidden="1" x14ac:dyDescent="0.3">
      <c r="A44" s="47" t="s">
        <v>120</v>
      </c>
      <c r="B44" s="22">
        <f ca="1">TODAY()</f>
        <v>43248</v>
      </c>
      <c r="C44" s="22">
        <v>43118</v>
      </c>
      <c r="D44" s="23">
        <v>1</v>
      </c>
      <c r="E44" s="22">
        <v>43118</v>
      </c>
      <c r="F44" s="32"/>
    </row>
    <row r="45" spans="1:6" hidden="1" x14ac:dyDescent="0.3">
      <c r="A45" s="47" t="s">
        <v>121</v>
      </c>
      <c r="B45" s="22">
        <f ca="1">TODAY()</f>
        <v>43248</v>
      </c>
      <c r="C45" s="22">
        <v>43118</v>
      </c>
      <c r="D45" s="23">
        <v>1</v>
      </c>
      <c r="E45" s="22">
        <v>43118</v>
      </c>
      <c r="F45" s="32"/>
    </row>
    <row r="46" spans="1:6" hidden="1" x14ac:dyDescent="0.3">
      <c r="A46" s="67" t="s">
        <v>142</v>
      </c>
      <c r="B46" s="22">
        <v>43122</v>
      </c>
      <c r="C46" s="22">
        <v>43122</v>
      </c>
      <c r="D46" s="23">
        <v>1</v>
      </c>
      <c r="E46" s="22">
        <v>43125</v>
      </c>
      <c r="F46" s="59"/>
    </row>
    <row r="47" spans="1:6" hidden="1" x14ac:dyDescent="0.3">
      <c r="A47" s="48" t="s">
        <v>124</v>
      </c>
      <c r="B47" s="22">
        <f ca="1">TODAY()</f>
        <v>43248</v>
      </c>
      <c r="C47" s="22"/>
      <c r="D47" s="23">
        <v>1</v>
      </c>
      <c r="E47" s="22">
        <v>43118</v>
      </c>
      <c r="F47" s="32"/>
    </row>
    <row r="48" spans="1:6" hidden="1" x14ac:dyDescent="0.3">
      <c r="A48" s="48" t="s">
        <v>125</v>
      </c>
      <c r="B48" s="22"/>
      <c r="C48" s="22"/>
      <c r="D48" s="23">
        <v>1</v>
      </c>
      <c r="E48" s="22">
        <v>43118</v>
      </c>
      <c r="F48" s="32"/>
    </row>
    <row r="49" spans="1:6" hidden="1" x14ac:dyDescent="0.3">
      <c r="A49" s="49" t="s">
        <v>126</v>
      </c>
      <c r="B49" s="22">
        <v>43112</v>
      </c>
      <c r="C49" s="22">
        <v>43118</v>
      </c>
      <c r="D49" s="23">
        <v>1</v>
      </c>
      <c r="E49" s="22">
        <v>43118</v>
      </c>
      <c r="F49" s="32"/>
    </row>
    <row r="50" spans="1:6" hidden="1" x14ac:dyDescent="0.3">
      <c r="A50" s="50" t="s">
        <v>127</v>
      </c>
      <c r="B50" s="22">
        <v>43115</v>
      </c>
      <c r="C50" s="22">
        <v>43117</v>
      </c>
      <c r="D50" s="23">
        <v>1</v>
      </c>
      <c r="E50" s="22">
        <v>43118</v>
      </c>
      <c r="F50" s="61">
        <v>0.60416666666666663</v>
      </c>
    </row>
    <row r="51" spans="1:6" hidden="1" x14ac:dyDescent="0.3">
      <c r="A51" s="51" t="s">
        <v>128</v>
      </c>
      <c r="B51" s="22">
        <v>43115</v>
      </c>
      <c r="C51" s="22">
        <v>43118</v>
      </c>
      <c r="D51" s="23">
        <v>1</v>
      </c>
      <c r="E51" s="22">
        <v>43118</v>
      </c>
      <c r="F51" s="59"/>
    </row>
    <row r="52" spans="1:6" hidden="1" x14ac:dyDescent="0.3">
      <c r="A52" s="51" t="s">
        <v>129</v>
      </c>
      <c r="B52" s="22">
        <v>43116</v>
      </c>
      <c r="C52" s="22">
        <v>43116</v>
      </c>
      <c r="D52" s="23">
        <v>1</v>
      </c>
      <c r="E52" s="22">
        <v>43118</v>
      </c>
      <c r="F52" s="32"/>
    </row>
    <row r="53" spans="1:6" hidden="1" x14ac:dyDescent="0.3">
      <c r="A53" s="52" t="s">
        <v>130</v>
      </c>
      <c r="B53" s="22">
        <v>43116</v>
      </c>
      <c r="C53" s="22">
        <v>43116</v>
      </c>
      <c r="D53" s="23">
        <v>1</v>
      </c>
      <c r="E53" s="22">
        <v>43118</v>
      </c>
      <c r="F53" s="32"/>
    </row>
    <row r="54" spans="1:6" hidden="1" x14ac:dyDescent="0.3">
      <c r="A54" s="52" t="s">
        <v>131</v>
      </c>
      <c r="B54" s="22">
        <v>43116</v>
      </c>
      <c r="C54" s="22">
        <v>43116</v>
      </c>
      <c r="D54" s="23">
        <v>1</v>
      </c>
      <c r="E54" s="22">
        <v>43118</v>
      </c>
      <c r="F54" s="32"/>
    </row>
    <row r="55" spans="1:6" hidden="1" x14ac:dyDescent="0.3">
      <c r="A55" s="47" t="s">
        <v>119</v>
      </c>
      <c r="B55" s="22">
        <v>43112</v>
      </c>
      <c r="C55" s="22">
        <v>43118</v>
      </c>
      <c r="D55" s="23">
        <v>1</v>
      </c>
      <c r="E55" s="22">
        <v>43125</v>
      </c>
      <c r="F55" s="62" t="s">
        <v>134</v>
      </c>
    </row>
    <row r="56" spans="1:6" hidden="1" x14ac:dyDescent="0.3">
      <c r="A56" s="53" t="s">
        <v>133</v>
      </c>
      <c r="B56" s="22">
        <v>43117</v>
      </c>
      <c r="C56" s="22">
        <v>43118</v>
      </c>
      <c r="D56" s="23">
        <v>1</v>
      </c>
      <c r="E56" s="22">
        <v>43118</v>
      </c>
      <c r="F56" s="59"/>
    </row>
    <row r="57" spans="1:6" hidden="1" x14ac:dyDescent="0.3">
      <c r="A57" s="63" t="s">
        <v>135</v>
      </c>
      <c r="B57" s="22">
        <v>43117</v>
      </c>
      <c r="C57" s="22">
        <v>43118</v>
      </c>
      <c r="D57" s="23">
        <v>1.5</v>
      </c>
      <c r="E57" s="22">
        <v>43125</v>
      </c>
      <c r="F57" s="59"/>
    </row>
    <row r="58" spans="1:6" hidden="1" x14ac:dyDescent="0.3">
      <c r="A58" s="64" t="s">
        <v>136</v>
      </c>
      <c r="B58" s="22">
        <v>43117</v>
      </c>
      <c r="C58" s="22">
        <v>43117</v>
      </c>
      <c r="D58" s="23">
        <v>1</v>
      </c>
      <c r="E58" s="22">
        <v>43118</v>
      </c>
      <c r="F58" s="59"/>
    </row>
    <row r="59" spans="1:6" hidden="1" x14ac:dyDescent="0.3">
      <c r="A59" s="68" t="s">
        <v>153</v>
      </c>
      <c r="B59" s="22">
        <v>43124</v>
      </c>
      <c r="C59" s="22">
        <v>43124</v>
      </c>
      <c r="D59" s="23">
        <v>1</v>
      </c>
      <c r="E59" s="22">
        <v>43125</v>
      </c>
      <c r="F59" s="59"/>
    </row>
    <row r="60" spans="1:6" hidden="1" x14ac:dyDescent="0.3">
      <c r="A60" s="20" t="s">
        <v>53</v>
      </c>
      <c r="B60" s="22">
        <v>43109</v>
      </c>
      <c r="C60" s="22">
        <v>43118</v>
      </c>
      <c r="D60" s="23">
        <v>1.5</v>
      </c>
      <c r="E60" s="22">
        <v>43125</v>
      </c>
      <c r="F60" s="58" t="s">
        <v>63</v>
      </c>
    </row>
    <row r="61" spans="1:6" hidden="1" x14ac:dyDescent="0.3">
      <c r="A61" s="68" t="s">
        <v>149</v>
      </c>
      <c r="B61" s="22">
        <v>43124</v>
      </c>
      <c r="C61" s="22">
        <v>43124</v>
      </c>
      <c r="D61" s="23">
        <v>1</v>
      </c>
      <c r="E61" s="22">
        <v>43125</v>
      </c>
      <c r="F61" s="59" t="s">
        <v>80</v>
      </c>
    </row>
    <row r="62" spans="1:6" hidden="1" x14ac:dyDescent="0.3">
      <c r="A62" s="68" t="s">
        <v>150</v>
      </c>
      <c r="B62" s="22">
        <v>43124</v>
      </c>
      <c r="C62" s="22">
        <v>43124</v>
      </c>
      <c r="D62" s="23">
        <v>1</v>
      </c>
      <c r="E62" s="22">
        <v>43125</v>
      </c>
      <c r="F62" s="59"/>
    </row>
    <row r="63" spans="1:6" hidden="1" x14ac:dyDescent="0.3">
      <c r="A63" s="67" t="s">
        <v>143</v>
      </c>
      <c r="B63" s="22">
        <v>43122</v>
      </c>
      <c r="C63" s="22">
        <v>43124</v>
      </c>
      <c r="D63" s="23">
        <v>1</v>
      </c>
      <c r="E63" s="22">
        <v>43125</v>
      </c>
      <c r="F63" s="59"/>
    </row>
    <row r="64" spans="1:6" hidden="1" x14ac:dyDescent="0.3">
      <c r="A64" s="20" t="s">
        <v>58</v>
      </c>
      <c r="B64" s="22">
        <v>43109</v>
      </c>
      <c r="C64" s="22">
        <v>43118</v>
      </c>
      <c r="D64" s="23">
        <v>1.5</v>
      </c>
      <c r="E64" s="22">
        <v>43125</v>
      </c>
      <c r="F64" s="58" t="s">
        <v>65</v>
      </c>
    </row>
    <row r="65" spans="1:6" hidden="1" x14ac:dyDescent="0.3">
      <c r="A65" s="68" t="s">
        <v>152</v>
      </c>
      <c r="B65" s="22">
        <v>43124</v>
      </c>
      <c r="C65" s="22">
        <v>43125</v>
      </c>
      <c r="D65" s="23">
        <v>1.5</v>
      </c>
      <c r="E65" s="22">
        <v>43132</v>
      </c>
      <c r="F65" s="59"/>
    </row>
    <row r="66" spans="1:6" hidden="1" x14ac:dyDescent="0.3">
      <c r="A66" s="20" t="s">
        <v>55</v>
      </c>
      <c r="B66" s="22">
        <v>43124</v>
      </c>
      <c r="C66" s="22">
        <v>43126</v>
      </c>
      <c r="D66" s="23">
        <v>1</v>
      </c>
      <c r="E66" s="22">
        <v>43132</v>
      </c>
      <c r="F66" s="59" t="s">
        <v>82</v>
      </c>
    </row>
    <row r="67" spans="1:6" hidden="1" x14ac:dyDescent="0.3">
      <c r="A67" s="68" t="s">
        <v>151</v>
      </c>
      <c r="B67" s="22">
        <v>43124</v>
      </c>
      <c r="C67" s="22">
        <v>43156</v>
      </c>
      <c r="D67" s="23">
        <v>0.5</v>
      </c>
      <c r="E67" s="22">
        <v>43228</v>
      </c>
      <c r="F67" s="59"/>
    </row>
    <row r="68" spans="1:6" hidden="1" x14ac:dyDescent="0.3">
      <c r="A68" s="71" t="s">
        <v>154</v>
      </c>
      <c r="B68" s="22">
        <v>43125</v>
      </c>
      <c r="C68" s="22">
        <v>43136</v>
      </c>
      <c r="D68" s="23">
        <v>1.5</v>
      </c>
      <c r="E68" s="22">
        <v>43139</v>
      </c>
      <c r="F68" s="72" t="s">
        <v>155</v>
      </c>
    </row>
    <row r="69" spans="1:6" hidden="1" x14ac:dyDescent="0.3">
      <c r="A69" s="39" t="s">
        <v>98</v>
      </c>
      <c r="B69" s="22">
        <v>43124</v>
      </c>
      <c r="C69" s="22">
        <v>43124</v>
      </c>
      <c r="D69" s="70">
        <v>1.5</v>
      </c>
      <c r="E69" s="22">
        <v>43125</v>
      </c>
      <c r="F69" s="69" t="s">
        <v>148</v>
      </c>
    </row>
    <row r="70" spans="1:6" hidden="1" x14ac:dyDescent="0.3">
      <c r="A70" s="65" t="s">
        <v>138</v>
      </c>
      <c r="B70" s="22">
        <v>43119</v>
      </c>
      <c r="C70" s="22">
        <v>43136</v>
      </c>
      <c r="D70" s="23">
        <v>1</v>
      </c>
      <c r="E70" s="22">
        <v>43139</v>
      </c>
      <c r="F70" s="59"/>
    </row>
    <row r="71" spans="1:6" hidden="1" x14ac:dyDescent="0.3">
      <c r="A71" s="20" t="s">
        <v>56</v>
      </c>
      <c r="B71" s="22">
        <v>43124</v>
      </c>
      <c r="C71" s="22">
        <v>43136</v>
      </c>
      <c r="D71" s="23">
        <v>1</v>
      </c>
      <c r="E71" s="22">
        <v>43139</v>
      </c>
      <c r="F71" s="57" t="s">
        <v>57</v>
      </c>
    </row>
    <row r="72" spans="1:6" hidden="1" x14ac:dyDescent="0.3">
      <c r="A72" s="71" t="s">
        <v>156</v>
      </c>
      <c r="B72" s="22">
        <v>43125</v>
      </c>
      <c r="C72" s="22">
        <v>43126</v>
      </c>
      <c r="D72" s="23">
        <v>1</v>
      </c>
      <c r="E72" s="22">
        <v>43132</v>
      </c>
      <c r="F72" s="59"/>
    </row>
    <row r="73" spans="1:6" hidden="1" x14ac:dyDescent="0.3">
      <c r="A73" s="73" t="s">
        <v>157</v>
      </c>
      <c r="B73" s="22">
        <v>43129</v>
      </c>
      <c r="C73" s="22">
        <v>43143</v>
      </c>
      <c r="D73" s="23">
        <v>1</v>
      </c>
      <c r="E73" s="22">
        <v>43160</v>
      </c>
      <c r="F73" s="74" t="s">
        <v>158</v>
      </c>
    </row>
    <row r="74" spans="1:6" hidden="1" x14ac:dyDescent="0.3">
      <c r="A74" s="75" t="s">
        <v>159</v>
      </c>
      <c r="B74" s="22">
        <v>43131</v>
      </c>
      <c r="C74" s="22">
        <v>43131</v>
      </c>
      <c r="D74" s="23">
        <v>1</v>
      </c>
      <c r="E74" s="22">
        <v>43132</v>
      </c>
      <c r="F74" s="59"/>
    </row>
    <row r="75" spans="1:6" hidden="1" x14ac:dyDescent="0.3">
      <c r="A75" s="75" t="s">
        <v>160</v>
      </c>
      <c r="B75" s="22">
        <v>43131</v>
      </c>
      <c r="C75" s="22">
        <v>43131</v>
      </c>
      <c r="D75" s="23">
        <v>1</v>
      </c>
      <c r="E75" s="22">
        <v>43132</v>
      </c>
      <c r="F75" s="59"/>
    </row>
    <row r="76" spans="1:6" hidden="1" x14ac:dyDescent="0.3">
      <c r="A76" s="75" t="s">
        <v>161</v>
      </c>
      <c r="B76" s="22">
        <v>43129</v>
      </c>
      <c r="C76" s="22">
        <v>43137</v>
      </c>
      <c r="D76" s="23">
        <v>1</v>
      </c>
      <c r="E76" s="22">
        <v>43139</v>
      </c>
      <c r="F76" s="59"/>
    </row>
    <row r="77" spans="1:6" hidden="1" x14ac:dyDescent="0.3">
      <c r="A77" s="76" t="s">
        <v>90</v>
      </c>
      <c r="B77" s="22">
        <v>43132</v>
      </c>
      <c r="C77" s="22">
        <v>43133</v>
      </c>
      <c r="D77" s="23">
        <v>1</v>
      </c>
      <c r="E77" s="22">
        <v>43139</v>
      </c>
      <c r="F77" s="59"/>
    </row>
    <row r="78" spans="1:6" hidden="1" x14ac:dyDescent="0.3">
      <c r="A78" s="76" t="s">
        <v>162</v>
      </c>
      <c r="B78" s="22">
        <v>43132</v>
      </c>
      <c r="C78" s="22">
        <v>43133</v>
      </c>
      <c r="D78" s="23">
        <v>1</v>
      </c>
      <c r="E78" s="22">
        <v>43139</v>
      </c>
      <c r="F78" s="59"/>
    </row>
    <row r="79" spans="1:6" hidden="1" x14ac:dyDescent="0.3">
      <c r="A79" s="76" t="s">
        <v>163</v>
      </c>
      <c r="B79" s="22">
        <v>43132</v>
      </c>
      <c r="C79" s="22">
        <v>43136</v>
      </c>
      <c r="D79" s="23">
        <v>1.5</v>
      </c>
      <c r="E79" s="22">
        <v>43139</v>
      </c>
      <c r="F79" s="59"/>
    </row>
    <row r="80" spans="1:6" hidden="1" x14ac:dyDescent="0.3">
      <c r="A80" s="77" t="s">
        <v>164</v>
      </c>
      <c r="B80" s="22">
        <v>43132</v>
      </c>
      <c r="C80" s="22">
        <v>43132</v>
      </c>
      <c r="D80" s="23">
        <v>1</v>
      </c>
      <c r="E80" s="22">
        <v>43139</v>
      </c>
      <c r="F80" s="59"/>
    </row>
    <row r="81" spans="1:6" hidden="1" x14ac:dyDescent="0.3">
      <c r="A81" s="77" t="s">
        <v>165</v>
      </c>
      <c r="B81" s="22">
        <v>43132</v>
      </c>
      <c r="C81" s="22">
        <v>43132</v>
      </c>
      <c r="D81" s="23">
        <v>1.5</v>
      </c>
      <c r="E81" s="22">
        <v>43139</v>
      </c>
      <c r="F81" s="59"/>
    </row>
    <row r="82" spans="1:6" hidden="1" x14ac:dyDescent="0.3">
      <c r="A82" s="78" t="s">
        <v>166</v>
      </c>
      <c r="B82" s="22">
        <v>43132</v>
      </c>
      <c r="C82" s="22">
        <v>43136</v>
      </c>
      <c r="D82" s="23">
        <v>1.5</v>
      </c>
      <c r="E82" s="22">
        <v>43139</v>
      </c>
      <c r="F82" s="81" t="s">
        <v>170</v>
      </c>
    </row>
    <row r="83" spans="1:6" hidden="1" x14ac:dyDescent="0.3">
      <c r="A83" s="79" t="s">
        <v>167</v>
      </c>
      <c r="B83" s="22">
        <v>43133</v>
      </c>
      <c r="C83" s="22">
        <v>43133</v>
      </c>
      <c r="D83" s="23">
        <v>1</v>
      </c>
      <c r="E83" s="22">
        <v>43139</v>
      </c>
      <c r="F83" s="59"/>
    </row>
    <row r="84" spans="1:6" hidden="1" x14ac:dyDescent="0.3">
      <c r="A84" s="79" t="s">
        <v>168</v>
      </c>
      <c r="B84" s="22">
        <v>43133</v>
      </c>
      <c r="C84" s="80">
        <v>43133</v>
      </c>
      <c r="D84" s="23">
        <v>1</v>
      </c>
      <c r="E84" s="22">
        <v>43139</v>
      </c>
      <c r="F84" s="59"/>
    </row>
    <row r="85" spans="1:6" hidden="1" x14ac:dyDescent="0.3">
      <c r="A85" s="79" t="s">
        <v>169</v>
      </c>
      <c r="B85" s="22">
        <v>43133</v>
      </c>
      <c r="C85" s="80">
        <v>43136</v>
      </c>
      <c r="D85" s="23">
        <v>1</v>
      </c>
      <c r="E85" s="22">
        <v>43139</v>
      </c>
      <c r="F85" s="88" t="s">
        <v>187</v>
      </c>
    </row>
    <row r="86" spans="1:6" hidden="1" x14ac:dyDescent="0.3">
      <c r="A86" s="82" t="s">
        <v>171</v>
      </c>
      <c r="B86" s="22">
        <v>43134</v>
      </c>
      <c r="C86" s="80">
        <v>43136</v>
      </c>
      <c r="D86" s="23">
        <v>1</v>
      </c>
      <c r="E86" s="22">
        <v>43139</v>
      </c>
      <c r="F86" s="83" t="s">
        <v>172</v>
      </c>
    </row>
    <row r="87" spans="1:6" hidden="1" x14ac:dyDescent="0.3">
      <c r="A87" s="82" t="s">
        <v>173</v>
      </c>
      <c r="B87" s="22">
        <v>43134</v>
      </c>
      <c r="C87" s="80">
        <v>43136</v>
      </c>
      <c r="D87" s="23">
        <v>1.5</v>
      </c>
      <c r="E87" s="22">
        <v>43139</v>
      </c>
      <c r="F87" s="59"/>
    </row>
    <row r="88" spans="1:6" hidden="1" x14ac:dyDescent="0.3">
      <c r="A88" s="84" t="s">
        <v>174</v>
      </c>
      <c r="B88" s="22">
        <v>43135</v>
      </c>
      <c r="C88" s="80">
        <v>43136</v>
      </c>
      <c r="D88" s="23">
        <v>1</v>
      </c>
      <c r="E88" s="22">
        <v>43139</v>
      </c>
      <c r="F88" s="59"/>
    </row>
    <row r="89" spans="1:6" hidden="1" x14ac:dyDescent="0.3">
      <c r="A89" s="84" t="s">
        <v>175</v>
      </c>
      <c r="B89" s="22">
        <v>43136</v>
      </c>
      <c r="C89" s="80">
        <v>43136</v>
      </c>
      <c r="D89" s="23">
        <v>1</v>
      </c>
      <c r="E89" s="22">
        <v>43139</v>
      </c>
      <c r="F89" s="59"/>
    </row>
    <row r="90" spans="1:6" hidden="1" x14ac:dyDescent="0.3">
      <c r="A90" s="84" t="s">
        <v>176</v>
      </c>
      <c r="B90" s="22">
        <v>43136</v>
      </c>
      <c r="C90" s="80">
        <v>43136</v>
      </c>
      <c r="D90" s="23">
        <v>1.5</v>
      </c>
      <c r="E90" s="22">
        <v>43139</v>
      </c>
      <c r="F90" s="88" t="s">
        <v>185</v>
      </c>
    </row>
    <row r="91" spans="1:6" hidden="1" x14ac:dyDescent="0.3">
      <c r="A91" s="84" t="s">
        <v>177</v>
      </c>
      <c r="B91" s="22">
        <v>43136</v>
      </c>
      <c r="C91" s="80">
        <v>43137</v>
      </c>
      <c r="D91" s="23">
        <v>1</v>
      </c>
      <c r="E91" s="22">
        <v>43139</v>
      </c>
      <c r="F91" s="88" t="s">
        <v>186</v>
      </c>
    </row>
    <row r="92" spans="1:6" hidden="1" x14ac:dyDescent="0.3">
      <c r="A92" s="85" t="s">
        <v>178</v>
      </c>
      <c r="B92" s="22">
        <v>43137</v>
      </c>
      <c r="C92" s="80">
        <v>43144</v>
      </c>
      <c r="D92" s="23">
        <v>1</v>
      </c>
      <c r="E92" s="22">
        <v>43139</v>
      </c>
      <c r="F92" s="86" t="s">
        <v>179</v>
      </c>
    </row>
    <row r="93" spans="1:6" hidden="1" x14ac:dyDescent="0.3">
      <c r="A93" s="85" t="s">
        <v>180</v>
      </c>
      <c r="B93" s="22">
        <v>43137</v>
      </c>
      <c r="C93" s="80">
        <v>43137</v>
      </c>
      <c r="D93" s="23">
        <v>1</v>
      </c>
      <c r="E93" s="22">
        <v>43139</v>
      </c>
      <c r="F93" s="59"/>
    </row>
    <row r="94" spans="1:6" hidden="1" x14ac:dyDescent="0.3">
      <c r="A94" s="87" t="s">
        <v>181</v>
      </c>
      <c r="B94" s="22">
        <v>43137</v>
      </c>
      <c r="C94" s="80">
        <v>43137</v>
      </c>
      <c r="D94" s="23">
        <v>1</v>
      </c>
      <c r="E94" s="22">
        <v>43139</v>
      </c>
      <c r="F94" s="88" t="s">
        <v>188</v>
      </c>
    </row>
    <row r="95" spans="1:6" hidden="1" x14ac:dyDescent="0.3">
      <c r="A95" s="87" t="s">
        <v>182</v>
      </c>
      <c r="B95" s="22">
        <v>43137</v>
      </c>
      <c r="C95" s="80">
        <v>43137</v>
      </c>
      <c r="D95" s="23">
        <v>1</v>
      </c>
      <c r="E95" s="22">
        <v>43139</v>
      </c>
      <c r="F95" s="59"/>
    </row>
    <row r="96" spans="1:6" hidden="1" x14ac:dyDescent="0.3">
      <c r="A96" s="87" t="s">
        <v>183</v>
      </c>
      <c r="B96" s="22">
        <v>43137</v>
      </c>
      <c r="C96" s="80">
        <v>43137</v>
      </c>
      <c r="D96" s="23">
        <v>1</v>
      </c>
      <c r="E96" s="22">
        <v>43139</v>
      </c>
      <c r="F96" s="88" t="s">
        <v>184</v>
      </c>
    </row>
    <row r="97" spans="1:6" hidden="1" x14ac:dyDescent="0.3">
      <c r="A97" s="89" t="s">
        <v>189</v>
      </c>
      <c r="B97" s="22">
        <v>43138</v>
      </c>
      <c r="C97" s="80">
        <v>43139</v>
      </c>
      <c r="D97" s="23">
        <v>1</v>
      </c>
      <c r="E97" s="22">
        <v>43139</v>
      </c>
      <c r="F97" s="88"/>
    </row>
    <row r="98" spans="1:6" hidden="1" x14ac:dyDescent="0.3">
      <c r="A98" s="89" t="s">
        <v>190</v>
      </c>
      <c r="B98" s="22">
        <v>43138</v>
      </c>
      <c r="C98" s="80">
        <v>43139</v>
      </c>
      <c r="D98" s="23">
        <v>1</v>
      </c>
      <c r="E98" s="90">
        <v>43139</v>
      </c>
      <c r="F98" s="88"/>
    </row>
    <row r="99" spans="1:6" hidden="1" x14ac:dyDescent="0.3">
      <c r="A99" s="91" t="s">
        <v>192</v>
      </c>
      <c r="B99" s="22">
        <v>43138</v>
      </c>
      <c r="C99" s="80">
        <v>43139</v>
      </c>
      <c r="D99" s="23">
        <v>1</v>
      </c>
      <c r="E99" s="22">
        <v>43139</v>
      </c>
      <c r="F99" s="88"/>
    </row>
    <row r="100" spans="1:6" hidden="1" x14ac:dyDescent="0.3">
      <c r="A100" s="91" t="s">
        <v>191</v>
      </c>
      <c r="B100" s="22">
        <v>43138</v>
      </c>
      <c r="C100" s="80">
        <v>43138</v>
      </c>
      <c r="D100" s="23">
        <v>1</v>
      </c>
      <c r="E100" s="22">
        <v>43139</v>
      </c>
      <c r="F100" s="88"/>
    </row>
    <row r="101" spans="1:6" hidden="1" x14ac:dyDescent="0.3">
      <c r="A101" s="92" t="s">
        <v>193</v>
      </c>
      <c r="B101" s="22">
        <v>43139</v>
      </c>
      <c r="C101" s="80">
        <v>43139</v>
      </c>
      <c r="D101" s="23">
        <v>1</v>
      </c>
      <c r="E101" s="22">
        <v>43144</v>
      </c>
      <c r="F101" s="93" t="s">
        <v>194</v>
      </c>
    </row>
    <row r="102" spans="1:6" hidden="1" x14ac:dyDescent="0.3">
      <c r="A102" s="92" t="s">
        <v>195</v>
      </c>
      <c r="B102" s="22">
        <v>43139</v>
      </c>
      <c r="C102" s="80">
        <v>43140</v>
      </c>
      <c r="D102" s="23">
        <v>1.5</v>
      </c>
      <c r="E102" s="22">
        <v>43144</v>
      </c>
      <c r="F102" s="95" t="s">
        <v>197</v>
      </c>
    </row>
    <row r="103" spans="1:6" x14ac:dyDescent="0.3">
      <c r="A103" s="117" t="s">
        <v>441</v>
      </c>
      <c r="B103" s="22">
        <v>43140</v>
      </c>
      <c r="C103" s="80">
        <v>43145</v>
      </c>
      <c r="D103" s="23">
        <v>0.25</v>
      </c>
      <c r="E103" s="22">
        <v>43242</v>
      </c>
      <c r="F103" s="88"/>
    </row>
    <row r="104" spans="1:6" hidden="1" x14ac:dyDescent="0.3">
      <c r="A104" s="101" t="s">
        <v>315</v>
      </c>
      <c r="B104" s="22">
        <v>43143</v>
      </c>
      <c r="C104" s="22">
        <v>43144</v>
      </c>
      <c r="D104" s="23">
        <v>1</v>
      </c>
      <c r="E104" s="22">
        <v>43160</v>
      </c>
      <c r="F104" s="55" t="s">
        <v>115</v>
      </c>
    </row>
    <row r="105" spans="1:6" hidden="1" x14ac:dyDescent="0.3">
      <c r="A105" s="96" t="s">
        <v>198</v>
      </c>
      <c r="B105" s="22">
        <v>43143</v>
      </c>
      <c r="C105" s="80">
        <v>43144</v>
      </c>
      <c r="D105" s="23">
        <v>1</v>
      </c>
      <c r="E105" s="22">
        <v>43160</v>
      </c>
      <c r="F105" s="59"/>
    </row>
    <row r="106" spans="1:6" hidden="1" x14ac:dyDescent="0.3">
      <c r="A106" s="101" t="s">
        <v>316</v>
      </c>
      <c r="B106" s="22">
        <v>43144</v>
      </c>
      <c r="C106" s="80">
        <v>43145</v>
      </c>
      <c r="D106" s="23">
        <v>0.5</v>
      </c>
      <c r="E106" s="22">
        <v>43228</v>
      </c>
      <c r="F106" s="95"/>
    </row>
    <row r="107" spans="1:6" hidden="1" x14ac:dyDescent="0.3">
      <c r="A107" s="96" t="s">
        <v>250</v>
      </c>
      <c r="B107" s="22">
        <v>43143</v>
      </c>
      <c r="C107" s="80">
        <v>43143</v>
      </c>
      <c r="D107" s="23">
        <v>1</v>
      </c>
      <c r="E107" s="22">
        <v>43160</v>
      </c>
      <c r="F107" s="95" t="s">
        <v>301</v>
      </c>
    </row>
    <row r="108" spans="1:6" hidden="1" x14ac:dyDescent="0.3">
      <c r="A108" s="96" t="s">
        <v>310</v>
      </c>
      <c r="B108" s="22">
        <v>43143</v>
      </c>
      <c r="C108" s="80">
        <v>43144</v>
      </c>
      <c r="D108" s="23">
        <v>1</v>
      </c>
      <c r="E108" s="22">
        <v>43160</v>
      </c>
      <c r="F108" s="95"/>
    </row>
    <row r="109" spans="1:6" hidden="1" x14ac:dyDescent="0.3">
      <c r="A109" s="101" t="s">
        <v>314</v>
      </c>
      <c r="B109" s="22">
        <v>43144</v>
      </c>
      <c r="C109" s="80">
        <v>43144</v>
      </c>
      <c r="D109" s="23">
        <v>1</v>
      </c>
      <c r="E109" s="22">
        <v>43160</v>
      </c>
      <c r="F109" s="95"/>
    </row>
    <row r="110" spans="1:6" hidden="1" x14ac:dyDescent="0.3">
      <c r="A110" s="101" t="s">
        <v>317</v>
      </c>
      <c r="B110" s="22">
        <v>43144</v>
      </c>
      <c r="C110" s="80">
        <v>43144</v>
      </c>
      <c r="D110" s="23">
        <v>1</v>
      </c>
      <c r="E110" s="22">
        <v>43160</v>
      </c>
      <c r="F110" s="95"/>
    </row>
    <row r="111" spans="1:6" hidden="1" x14ac:dyDescent="0.3">
      <c r="A111" s="101" t="s">
        <v>369</v>
      </c>
      <c r="B111" s="22">
        <v>43144</v>
      </c>
      <c r="C111" s="80">
        <v>43144</v>
      </c>
      <c r="D111" s="23">
        <v>1</v>
      </c>
      <c r="E111" s="22">
        <v>43160</v>
      </c>
      <c r="F111" s="95"/>
    </row>
    <row r="112" spans="1:6" hidden="1" x14ac:dyDescent="0.3">
      <c r="A112" s="112" t="s">
        <v>423</v>
      </c>
      <c r="B112" s="22">
        <v>43156</v>
      </c>
      <c r="C112" s="80">
        <v>43157</v>
      </c>
      <c r="D112" s="23">
        <v>1.5</v>
      </c>
      <c r="E112" s="22">
        <v>43228</v>
      </c>
      <c r="F112" s="125" t="s">
        <v>477</v>
      </c>
    </row>
    <row r="113" spans="1:6" hidden="1" x14ac:dyDescent="0.3">
      <c r="A113" s="117" t="s">
        <v>442</v>
      </c>
      <c r="B113" s="22">
        <v>43168</v>
      </c>
      <c r="C113" s="80">
        <v>43168</v>
      </c>
      <c r="D113" s="23">
        <v>1</v>
      </c>
      <c r="E113" s="22">
        <v>43174</v>
      </c>
      <c r="F113" s="95"/>
    </row>
    <row r="114" spans="1:6" x14ac:dyDescent="0.3">
      <c r="A114" s="113" t="s">
        <v>433</v>
      </c>
      <c r="B114" s="22">
        <v>43160</v>
      </c>
      <c r="C114" s="114">
        <v>43160</v>
      </c>
      <c r="D114" s="23">
        <v>0.75</v>
      </c>
      <c r="E114" s="22">
        <v>43242</v>
      </c>
      <c r="F114" s="115" t="s">
        <v>434</v>
      </c>
    </row>
    <row r="115" spans="1:6" hidden="1" x14ac:dyDescent="0.3">
      <c r="A115" s="117" t="s">
        <v>443</v>
      </c>
      <c r="B115" s="22">
        <v>43169</v>
      </c>
      <c r="C115" s="80">
        <v>43171</v>
      </c>
      <c r="D115" s="23">
        <v>1.5</v>
      </c>
      <c r="E115" s="22">
        <v>43174</v>
      </c>
      <c r="F115" s="95"/>
    </row>
    <row r="116" spans="1:6" hidden="1" x14ac:dyDescent="0.3">
      <c r="A116" s="117" t="s">
        <v>444</v>
      </c>
      <c r="B116" s="22">
        <v>43169</v>
      </c>
      <c r="C116" s="80">
        <v>43171</v>
      </c>
      <c r="D116" s="23">
        <v>1</v>
      </c>
      <c r="E116" s="22">
        <v>43228</v>
      </c>
      <c r="F116" s="95"/>
    </row>
    <row r="117" spans="1:6" hidden="1" x14ac:dyDescent="0.3">
      <c r="A117" s="118" t="s">
        <v>445</v>
      </c>
      <c r="B117" s="22">
        <v>43175</v>
      </c>
      <c r="C117" s="80">
        <v>43175</v>
      </c>
      <c r="D117" s="23">
        <v>1</v>
      </c>
      <c r="E117" s="22">
        <v>43181</v>
      </c>
      <c r="F117" s="95"/>
    </row>
    <row r="118" spans="1:6" hidden="1" x14ac:dyDescent="0.3">
      <c r="A118" s="119" t="s">
        <v>446</v>
      </c>
      <c r="B118" s="22">
        <v>43178</v>
      </c>
      <c r="C118" s="80">
        <v>43178</v>
      </c>
      <c r="D118" s="23">
        <v>1.5</v>
      </c>
      <c r="E118" s="22">
        <v>43228</v>
      </c>
      <c r="F118" s="95"/>
    </row>
    <row r="119" spans="1:6" hidden="1" x14ac:dyDescent="0.3">
      <c r="A119" s="120" t="s">
        <v>447</v>
      </c>
      <c r="B119" s="22">
        <v>43215</v>
      </c>
      <c r="C119" s="80">
        <v>43215</v>
      </c>
      <c r="D119" s="23">
        <v>0.5</v>
      </c>
      <c r="E119" s="22">
        <v>43228</v>
      </c>
      <c r="F119" s="95"/>
    </row>
    <row r="120" spans="1:6" hidden="1" x14ac:dyDescent="0.3">
      <c r="A120" s="120" t="s">
        <v>448</v>
      </c>
      <c r="B120" s="22">
        <v>43215</v>
      </c>
      <c r="C120" s="80">
        <v>43215</v>
      </c>
      <c r="D120" s="23">
        <v>1.5</v>
      </c>
      <c r="E120" s="22">
        <v>43228</v>
      </c>
      <c r="F120" s="95"/>
    </row>
    <row r="121" spans="1:6" x14ac:dyDescent="0.3">
      <c r="A121" s="121" t="s">
        <v>449</v>
      </c>
      <c r="B121" s="22">
        <v>43221</v>
      </c>
      <c r="C121" s="80">
        <v>43223</v>
      </c>
      <c r="D121" s="23">
        <v>0</v>
      </c>
      <c r="E121" s="22">
        <v>43242</v>
      </c>
      <c r="F121" s="95"/>
    </row>
    <row r="122" spans="1:6" hidden="1" x14ac:dyDescent="0.3">
      <c r="A122" s="122" t="s">
        <v>450</v>
      </c>
      <c r="B122" s="22">
        <v>43221</v>
      </c>
      <c r="C122" s="80">
        <v>43222</v>
      </c>
      <c r="D122" s="23">
        <v>1</v>
      </c>
      <c r="E122" s="22">
        <v>43228</v>
      </c>
      <c r="F122" s="124" t="s">
        <v>469</v>
      </c>
    </row>
    <row r="123" spans="1:6" hidden="1" x14ac:dyDescent="0.3">
      <c r="A123" s="123" t="s">
        <v>451</v>
      </c>
      <c r="B123" s="22">
        <v>43221</v>
      </c>
      <c r="C123" s="80">
        <v>43222</v>
      </c>
      <c r="D123" s="23">
        <v>1</v>
      </c>
      <c r="E123" s="22">
        <v>43228</v>
      </c>
      <c r="F123" s="95"/>
    </row>
    <row r="124" spans="1:6" hidden="1" x14ac:dyDescent="0.3">
      <c r="A124" s="123" t="s">
        <v>452</v>
      </c>
      <c r="B124" s="22">
        <v>43221</v>
      </c>
      <c r="C124" s="80">
        <v>43222</v>
      </c>
      <c r="D124" s="23">
        <v>1</v>
      </c>
      <c r="E124" s="22">
        <v>43228</v>
      </c>
      <c r="F124" s="59"/>
    </row>
    <row r="125" spans="1:6" hidden="1" x14ac:dyDescent="0.3">
      <c r="A125" s="126" t="s">
        <v>499</v>
      </c>
      <c r="B125" s="22">
        <v>43223</v>
      </c>
      <c r="C125" s="80">
        <v>43224</v>
      </c>
      <c r="D125" s="23">
        <v>1</v>
      </c>
      <c r="E125" s="22">
        <v>43228</v>
      </c>
      <c r="F125" s="59"/>
    </row>
    <row r="126" spans="1:6" hidden="1" x14ac:dyDescent="0.3">
      <c r="A126" s="126" t="s">
        <v>500</v>
      </c>
      <c r="B126" s="22">
        <v>43223</v>
      </c>
      <c r="C126" s="127">
        <v>43223</v>
      </c>
      <c r="D126" s="23">
        <v>1.5</v>
      </c>
      <c r="E126" s="22">
        <v>43228</v>
      </c>
      <c r="F126" s="59"/>
    </row>
    <row r="127" spans="1:6" hidden="1" x14ac:dyDescent="0.3">
      <c r="A127" s="126" t="s">
        <v>501</v>
      </c>
      <c r="B127" s="22">
        <v>43223</v>
      </c>
      <c r="C127" s="127">
        <v>43223</v>
      </c>
      <c r="D127" s="23">
        <v>1</v>
      </c>
      <c r="E127" s="22">
        <v>43228</v>
      </c>
      <c r="F127" s="59"/>
    </row>
    <row r="128" spans="1:6" hidden="1" x14ac:dyDescent="0.3">
      <c r="A128" s="128" t="s">
        <v>502</v>
      </c>
      <c r="B128" s="22">
        <v>43223</v>
      </c>
      <c r="C128" s="80">
        <v>43224</v>
      </c>
      <c r="D128" s="23">
        <v>1</v>
      </c>
      <c r="E128" s="22">
        <v>43228</v>
      </c>
      <c r="F128" s="59"/>
    </row>
    <row r="129" spans="1:6" hidden="1" x14ac:dyDescent="0.3">
      <c r="A129" s="129" t="s">
        <v>505</v>
      </c>
      <c r="B129" s="22">
        <v>43227</v>
      </c>
      <c r="C129" s="80">
        <v>43227</v>
      </c>
      <c r="D129" s="23">
        <v>1</v>
      </c>
      <c r="E129" s="22">
        <v>43228</v>
      </c>
      <c r="F129" s="59"/>
    </row>
    <row r="130" spans="1:6" hidden="1" x14ac:dyDescent="0.3">
      <c r="A130" s="129" t="s">
        <v>506</v>
      </c>
      <c r="B130" s="22">
        <v>43227</v>
      </c>
      <c r="C130" s="80">
        <v>43227</v>
      </c>
      <c r="D130" s="23">
        <v>1</v>
      </c>
      <c r="E130" s="22">
        <v>43228</v>
      </c>
      <c r="F130" s="59"/>
    </row>
    <row r="131" spans="1:6" hidden="1" x14ac:dyDescent="0.3">
      <c r="A131" s="130" t="s">
        <v>523</v>
      </c>
      <c r="B131" s="22">
        <v>43227</v>
      </c>
      <c r="C131" s="80">
        <v>43227</v>
      </c>
      <c r="D131" s="23">
        <v>1</v>
      </c>
      <c r="E131" s="22">
        <v>43228</v>
      </c>
      <c r="F131" s="59"/>
    </row>
    <row r="132" spans="1:6" x14ac:dyDescent="0.3">
      <c r="A132" s="131" t="s">
        <v>524</v>
      </c>
      <c r="B132" s="22">
        <v>43228</v>
      </c>
      <c r="C132" s="80">
        <v>43230</v>
      </c>
      <c r="D132" s="23">
        <v>0</v>
      </c>
      <c r="E132" s="22">
        <v>43242</v>
      </c>
      <c r="F132" s="59"/>
    </row>
    <row r="133" spans="1:6" hidden="1" x14ac:dyDescent="0.3">
      <c r="A133" s="132" t="s">
        <v>553</v>
      </c>
      <c r="B133" s="22">
        <v>43229</v>
      </c>
      <c r="C133" s="80">
        <v>43231</v>
      </c>
      <c r="D133" s="23">
        <v>0.5</v>
      </c>
      <c r="E133" s="22">
        <v>43231</v>
      </c>
      <c r="F133" s="59"/>
    </row>
    <row r="134" spans="1:6" hidden="1" x14ac:dyDescent="0.3">
      <c r="A134" s="135" t="s">
        <v>707</v>
      </c>
      <c r="B134" s="22">
        <v>43231</v>
      </c>
      <c r="C134" s="80">
        <v>43231</v>
      </c>
      <c r="D134" s="23">
        <v>1</v>
      </c>
      <c r="E134" s="22">
        <v>43242</v>
      </c>
      <c r="F134" s="59"/>
    </row>
    <row r="135" spans="1:6" hidden="1" x14ac:dyDescent="0.3">
      <c r="A135" s="136" t="s">
        <v>850</v>
      </c>
      <c r="B135" s="22">
        <v>43236</v>
      </c>
      <c r="C135" s="80">
        <v>43236</v>
      </c>
      <c r="D135" s="23">
        <v>1</v>
      </c>
      <c r="E135" s="22">
        <v>43242</v>
      </c>
      <c r="F135" s="59"/>
    </row>
    <row r="136" spans="1:6" hidden="1" x14ac:dyDescent="0.3">
      <c r="A136" s="136" t="s">
        <v>851</v>
      </c>
      <c r="B136" s="22">
        <v>43236</v>
      </c>
      <c r="C136" s="80">
        <v>43238</v>
      </c>
      <c r="D136" s="23">
        <v>0.5</v>
      </c>
      <c r="E136" s="22">
        <v>43242</v>
      </c>
      <c r="F136" s="59"/>
    </row>
    <row r="137" spans="1:6" hidden="1" x14ac:dyDescent="0.3">
      <c r="A137" s="137" t="s">
        <v>852</v>
      </c>
      <c r="B137" s="22">
        <v>43237</v>
      </c>
      <c r="C137" s="80">
        <v>43237</v>
      </c>
      <c r="D137" s="23">
        <v>1</v>
      </c>
      <c r="E137" s="22">
        <v>43242</v>
      </c>
      <c r="F137" s="59"/>
    </row>
    <row r="138" spans="1:6" hidden="1" x14ac:dyDescent="0.3">
      <c r="A138" s="138" t="s">
        <v>853</v>
      </c>
      <c r="B138" s="22">
        <v>43238</v>
      </c>
      <c r="C138" s="80">
        <v>43242</v>
      </c>
      <c r="D138" s="23">
        <v>1.5</v>
      </c>
      <c r="E138" s="22">
        <v>43242</v>
      </c>
      <c r="F138" s="59"/>
    </row>
    <row r="139" spans="1:6" hidden="1" x14ac:dyDescent="0.3">
      <c r="A139" s="138" t="s">
        <v>995</v>
      </c>
      <c r="B139" s="22">
        <f ca="1">IF(COUNTA($A139)=1,TODAY(),"")</f>
        <v>43248</v>
      </c>
      <c r="C139" s="80">
        <v>43242</v>
      </c>
      <c r="D139" s="23">
        <v>0.5</v>
      </c>
      <c r="E139" s="22">
        <v>43242</v>
      </c>
      <c r="F139" s="59"/>
    </row>
    <row r="140" spans="1:6" hidden="1" x14ac:dyDescent="0.3">
      <c r="A140" s="139" t="s">
        <v>996</v>
      </c>
      <c r="B140" s="22">
        <v>43241</v>
      </c>
      <c r="C140" s="80">
        <v>43241</v>
      </c>
      <c r="D140" s="23">
        <v>1</v>
      </c>
      <c r="E140" s="22">
        <v>43242</v>
      </c>
      <c r="F140" s="59"/>
    </row>
    <row r="141" spans="1:6" hidden="1" x14ac:dyDescent="0.3">
      <c r="A141" s="140" t="s">
        <v>1138</v>
      </c>
      <c r="B141" s="22">
        <v>43241</v>
      </c>
      <c r="C141" s="80">
        <v>43241</v>
      </c>
      <c r="D141" s="23">
        <v>1</v>
      </c>
      <c r="E141" s="22">
        <v>43242</v>
      </c>
      <c r="F141" s="141" t="s">
        <v>1140</v>
      </c>
    </row>
    <row r="142" spans="1:6" hidden="1" x14ac:dyDescent="0.3">
      <c r="A142" s="140" t="s">
        <v>1139</v>
      </c>
      <c r="B142" s="22">
        <v>43241</v>
      </c>
      <c r="C142" s="80">
        <v>43242</v>
      </c>
      <c r="D142" s="23">
        <v>1</v>
      </c>
      <c r="E142" s="22">
        <v>43249</v>
      </c>
      <c r="F142" s="59"/>
    </row>
    <row r="143" spans="1:6" hidden="1" x14ac:dyDescent="0.3">
      <c r="A143" s="143" t="s">
        <v>1146</v>
      </c>
      <c r="B143" s="22">
        <v>43242</v>
      </c>
      <c r="C143" s="80">
        <v>43242</v>
      </c>
      <c r="D143" s="23">
        <v>1</v>
      </c>
      <c r="E143" s="22">
        <v>43249</v>
      </c>
      <c r="F143" s="59"/>
    </row>
    <row r="144" spans="1:6" hidden="1" x14ac:dyDescent="0.3">
      <c r="A144" s="143" t="s">
        <v>1181</v>
      </c>
      <c r="B144" s="22">
        <v>43242</v>
      </c>
      <c r="C144" s="80">
        <v>43242</v>
      </c>
      <c r="D144" s="23">
        <v>1</v>
      </c>
      <c r="E144" s="22">
        <v>43249</v>
      </c>
      <c r="F144" s="59"/>
    </row>
    <row r="145" spans="1:6" hidden="1" x14ac:dyDescent="0.3">
      <c r="A145" s="143" t="s">
        <v>1183</v>
      </c>
      <c r="B145" s="22">
        <v>43242</v>
      </c>
      <c r="C145" s="80">
        <v>43242</v>
      </c>
      <c r="D145" s="23">
        <v>1</v>
      </c>
      <c r="E145" s="22">
        <v>43249</v>
      </c>
      <c r="F145" s="59"/>
    </row>
    <row r="146" spans="1:6" hidden="1" x14ac:dyDescent="0.3">
      <c r="A146" s="143" t="s">
        <v>1184</v>
      </c>
      <c r="B146" s="22">
        <v>43242</v>
      </c>
      <c r="C146" s="80">
        <v>43242</v>
      </c>
      <c r="D146" s="23">
        <v>0.5</v>
      </c>
      <c r="E146" s="22">
        <v>43249</v>
      </c>
      <c r="F146" s="148" t="s">
        <v>1475</v>
      </c>
    </row>
    <row r="147" spans="1:6" hidden="1" x14ac:dyDescent="0.3">
      <c r="A147" s="143" t="s">
        <v>1185</v>
      </c>
      <c r="B147" s="22">
        <v>43242</v>
      </c>
      <c r="C147" s="80">
        <v>43242</v>
      </c>
      <c r="D147" s="23">
        <v>1</v>
      </c>
      <c r="E147" s="22">
        <v>43249</v>
      </c>
      <c r="F147" s="59"/>
    </row>
    <row r="148" spans="1:6" x14ac:dyDescent="0.3">
      <c r="A148" s="143" t="s">
        <v>1186</v>
      </c>
      <c r="B148" s="22">
        <v>43242</v>
      </c>
      <c r="C148" s="80">
        <v>43242</v>
      </c>
      <c r="D148" s="23">
        <v>0.75</v>
      </c>
      <c r="E148" s="22">
        <v>43249</v>
      </c>
      <c r="F148" s="59"/>
    </row>
    <row r="149" spans="1:6" hidden="1" x14ac:dyDescent="0.3">
      <c r="A149" s="147" t="s">
        <v>1474</v>
      </c>
      <c r="B149" s="22">
        <v>43245</v>
      </c>
      <c r="C149" s="80">
        <v>43245</v>
      </c>
      <c r="D149" s="23">
        <v>1</v>
      </c>
      <c r="E149" s="22">
        <v>43249</v>
      </c>
      <c r="F149" s="59"/>
    </row>
    <row r="150" spans="1:6" x14ac:dyDescent="0.3">
      <c r="A150" s="147" t="s">
        <v>1476</v>
      </c>
      <c r="B150" s="22">
        <v>43245</v>
      </c>
      <c r="C150" s="80">
        <v>43248</v>
      </c>
      <c r="D150" s="23">
        <v>0</v>
      </c>
      <c r="E150" s="22">
        <v>43249</v>
      </c>
      <c r="F150" s="59"/>
    </row>
    <row r="151" spans="1:6" hidden="1" x14ac:dyDescent="0.3">
      <c r="A151" s="149" t="s">
        <v>1619</v>
      </c>
      <c r="B151" s="22">
        <v>43246</v>
      </c>
      <c r="C151" s="80">
        <v>43248</v>
      </c>
      <c r="D151" s="23">
        <v>1.5</v>
      </c>
      <c r="E151" s="22">
        <v>43249</v>
      </c>
      <c r="F151" s="59"/>
    </row>
    <row r="152" spans="1:6" hidden="1" x14ac:dyDescent="0.3">
      <c r="A152" s="149" t="s">
        <v>1620</v>
      </c>
      <c r="B152" s="22">
        <v>43246</v>
      </c>
      <c r="C152" s="80">
        <v>43246</v>
      </c>
      <c r="D152" s="23">
        <v>1</v>
      </c>
      <c r="E152" s="22">
        <v>43249</v>
      </c>
      <c r="F152" s="59"/>
    </row>
    <row r="153" spans="1:6" x14ac:dyDescent="0.3">
      <c r="A153" s="149" t="s">
        <v>1621</v>
      </c>
      <c r="B153" s="22">
        <v>43246</v>
      </c>
      <c r="C153" s="80">
        <v>43246</v>
      </c>
      <c r="D153" s="23">
        <v>0</v>
      </c>
      <c r="E153" s="22">
        <v>43249</v>
      </c>
      <c r="F153" s="59"/>
    </row>
    <row r="154" spans="1:6" x14ac:dyDescent="0.3">
      <c r="A154" s="166" t="s">
        <v>1622</v>
      </c>
      <c r="B154" s="22">
        <v>43248</v>
      </c>
      <c r="C154" s="80">
        <v>43248</v>
      </c>
      <c r="D154" s="23">
        <v>0</v>
      </c>
      <c r="E154" s="22">
        <v>43249</v>
      </c>
      <c r="F154" s="59"/>
    </row>
    <row r="155" spans="1:6" x14ac:dyDescent="0.3">
      <c r="A155" s="166" t="s">
        <v>1623</v>
      </c>
      <c r="B155" s="22">
        <v>43248</v>
      </c>
      <c r="C155" s="80">
        <v>43248</v>
      </c>
      <c r="D155" s="23">
        <v>1</v>
      </c>
      <c r="E155" s="22">
        <v>43249</v>
      </c>
      <c r="F155" s="59"/>
    </row>
    <row r="156" spans="1:6" x14ac:dyDescent="0.3">
      <c r="A156" s="166" t="s">
        <v>1624</v>
      </c>
      <c r="B156" s="22">
        <v>43248</v>
      </c>
      <c r="C156" s="80">
        <v>43248</v>
      </c>
      <c r="D156" s="23">
        <v>0.25</v>
      </c>
      <c r="E156" s="22">
        <v>43249</v>
      </c>
      <c r="F156" s="59"/>
    </row>
    <row r="157" spans="1:6" x14ac:dyDescent="0.3">
      <c r="A157" s="166" t="s">
        <v>1626</v>
      </c>
      <c r="B157" s="22">
        <v>43248</v>
      </c>
      <c r="C157" s="80">
        <v>43248</v>
      </c>
      <c r="D157" s="23">
        <v>1</v>
      </c>
      <c r="E157" s="22">
        <v>43249</v>
      </c>
      <c r="F157" s="59"/>
    </row>
    <row r="158" spans="1:6" x14ac:dyDescent="0.3">
      <c r="A158" s="143"/>
      <c r="B158" s="22"/>
      <c r="C158" s="80"/>
      <c r="D158" s="23"/>
      <c r="E158" s="22"/>
      <c r="F158" s="59"/>
    </row>
    <row r="159" spans="1:6" x14ac:dyDescent="0.3">
      <c r="A159" s="143"/>
      <c r="B159" s="22"/>
      <c r="C159" s="80"/>
      <c r="D159" s="23"/>
      <c r="E159" s="22"/>
      <c r="F159" s="59"/>
    </row>
    <row r="160" spans="1:6" x14ac:dyDescent="0.3">
      <c r="A160" s="143"/>
      <c r="B160" s="22"/>
      <c r="C160" s="80"/>
      <c r="D160" s="23"/>
      <c r="E160" s="22"/>
      <c r="F160" s="59"/>
    </row>
    <row r="161" spans="1:6" x14ac:dyDescent="0.3">
      <c r="A161" s="143"/>
      <c r="B161" s="22"/>
      <c r="C161" s="80"/>
      <c r="D161" s="23"/>
      <c r="E161" s="22"/>
      <c r="F161" s="59"/>
    </row>
    <row r="162" spans="1:6" x14ac:dyDescent="0.3">
      <c r="A162" s="123"/>
      <c r="B162" s="22"/>
      <c r="C162" s="80"/>
      <c r="D162" s="23"/>
      <c r="E162" s="22"/>
      <c r="F162" s="59"/>
    </row>
    <row r="163" spans="1:6" x14ac:dyDescent="0.3">
      <c r="B163" s="22"/>
      <c r="C163" s="22"/>
      <c r="D163" s="23"/>
      <c r="E163" s="22"/>
      <c r="F163" s="57"/>
    </row>
    <row r="164" spans="1:6" hidden="1" x14ac:dyDescent="0.3"/>
    <row r="165" spans="1:6" ht="14.4" hidden="1" customHeight="1" x14ac:dyDescent="0.3"/>
    <row r="166" spans="1:6" ht="14.4" hidden="1" customHeight="1" x14ac:dyDescent="0.3"/>
    <row r="167" spans="1:6" ht="14.4" hidden="1" customHeight="1" x14ac:dyDescent="0.3"/>
  </sheetData>
  <conditionalFormatting sqref="D2:D163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1100"/>
  <sheetViews>
    <sheetView topLeftCell="A1084" zoomScale="85" zoomScaleNormal="85" workbookViewId="0">
      <selection activeCell="J1106" sqref="J1106"/>
    </sheetView>
  </sheetViews>
  <sheetFormatPr defaultColWidth="0" defaultRowHeight="14.4" x14ac:dyDescent="0.3"/>
  <cols>
    <col min="1" max="1" width="5.88671875" style="41" customWidth="1"/>
    <col min="2" max="2" width="10.109375" style="41" customWidth="1"/>
    <col min="3" max="4" width="8.109375" style="41" customWidth="1"/>
    <col min="5" max="9" width="4.77734375" style="41" customWidth="1"/>
    <col min="10" max="10" width="11" style="41" customWidth="1"/>
    <col min="11" max="14" width="4.77734375" style="41" customWidth="1"/>
    <col min="15" max="15" width="24.6640625" customWidth="1"/>
    <col min="16" max="16" width="8.109375" customWidth="1"/>
    <col min="17" max="17" width="8.109375" hidden="1" customWidth="1"/>
    <col min="18" max="18" width="8.44140625" hidden="1" customWidth="1"/>
    <col min="19" max="19" width="8.88671875" customWidth="1"/>
    <col min="20" max="20" width="11" style="41" hidden="1" customWidth="1"/>
    <col min="21" max="22" width="11.109375" style="41" hidden="1" customWidth="1"/>
    <col min="23" max="16384" width="8.88671875" hidden="1"/>
  </cols>
  <sheetData>
    <row r="1" spans="1:22" ht="89.4" x14ac:dyDescent="0.3">
      <c r="A1" s="40" t="s">
        <v>522</v>
      </c>
      <c r="B1" s="40" t="s">
        <v>318</v>
      </c>
      <c r="C1" s="40" t="s">
        <v>112</v>
      </c>
      <c r="D1" s="40" t="s">
        <v>99</v>
      </c>
      <c r="E1" s="40" t="s">
        <v>319</v>
      </c>
      <c r="F1" s="40" t="s">
        <v>320</v>
      </c>
      <c r="G1" s="40" t="s">
        <v>100</v>
      </c>
      <c r="H1" s="40" t="s">
        <v>101</v>
      </c>
      <c r="I1" s="40" t="s">
        <v>103</v>
      </c>
      <c r="J1" s="40" t="s">
        <v>322</v>
      </c>
      <c r="K1" s="40" t="s">
        <v>323</v>
      </c>
      <c r="L1" s="40" t="s">
        <v>324</v>
      </c>
      <c r="M1" s="40" t="s">
        <v>325</v>
      </c>
      <c r="N1" s="40" t="s">
        <v>326</v>
      </c>
      <c r="O1" s="42" t="s">
        <v>406</v>
      </c>
      <c r="P1" s="42" t="s">
        <v>405</v>
      </c>
      <c r="Q1" s="42" t="s">
        <v>404</v>
      </c>
      <c r="R1" s="42" t="s">
        <v>102</v>
      </c>
      <c r="S1" s="42" t="s">
        <v>422</v>
      </c>
      <c r="T1"/>
      <c r="U1"/>
      <c r="V1"/>
    </row>
    <row r="2" spans="1:22" x14ac:dyDescent="0.3">
      <c r="A2" s="105">
        <v>1</v>
      </c>
      <c r="B2" s="41">
        <v>24000000</v>
      </c>
      <c r="C2" s="41">
        <v>7.0000000000000001E-3</v>
      </c>
      <c r="D2" s="41">
        <v>0.2</v>
      </c>
      <c r="E2" s="41">
        <v>30</v>
      </c>
      <c r="F2" s="41">
        <v>0</v>
      </c>
      <c r="G2" s="41" t="s">
        <v>104</v>
      </c>
      <c r="H2" s="41">
        <v>3</v>
      </c>
      <c r="I2" s="41">
        <v>1</v>
      </c>
      <c r="J2" s="108">
        <f>POWER(POWER(Table2[[#This Row],[mv]],4)/10,0.25)</f>
        <v>3.9363892763324441E-3</v>
      </c>
      <c r="K2" s="41">
        <v>0</v>
      </c>
      <c r="L2" s="41">
        <v>55</v>
      </c>
      <c r="M2" s="41">
        <v>-1</v>
      </c>
      <c r="N2" s="41">
        <v>4</v>
      </c>
      <c r="O2" s="110" t="s">
        <v>407</v>
      </c>
      <c r="P2" s="109">
        <v>186999</v>
      </c>
      <c r="Q2" s="107">
        <v>43145</v>
      </c>
      <c r="R2" s="111"/>
      <c r="S2" s="110" t="s">
        <v>421</v>
      </c>
      <c r="T2"/>
      <c r="U2"/>
      <c r="V2"/>
    </row>
    <row r="3" spans="1:22" x14ac:dyDescent="0.3">
      <c r="A3" s="105">
        <v>2</v>
      </c>
      <c r="B3" s="41">
        <v>24000000</v>
      </c>
      <c r="C3" s="41">
        <v>7.0000000000000001E-3</v>
      </c>
      <c r="D3" s="41">
        <v>0.5</v>
      </c>
      <c r="E3" s="41">
        <v>30</v>
      </c>
      <c r="F3" s="41">
        <v>0</v>
      </c>
      <c r="G3" s="41" t="s">
        <v>104</v>
      </c>
      <c r="H3" s="41">
        <v>3</v>
      </c>
      <c r="I3" s="41">
        <v>1</v>
      </c>
      <c r="J3" s="108">
        <f>POWER(POWER(Table2[[#This Row],[mv]],4)/10,0.25)</f>
        <v>3.9363892763324441E-3</v>
      </c>
      <c r="K3" s="41">
        <v>0</v>
      </c>
      <c r="L3" s="41">
        <v>55</v>
      </c>
      <c r="M3" s="41">
        <v>-1</v>
      </c>
      <c r="N3" s="41">
        <v>4</v>
      </c>
      <c r="O3" s="110" t="s">
        <v>408</v>
      </c>
      <c r="P3" s="109">
        <v>187000</v>
      </c>
      <c r="Q3" s="107">
        <v>43145</v>
      </c>
      <c r="R3" s="111"/>
      <c r="S3" s="110" t="s">
        <v>421</v>
      </c>
      <c r="T3"/>
      <c r="U3"/>
      <c r="V3"/>
    </row>
    <row r="4" spans="1:22" x14ac:dyDescent="0.3">
      <c r="A4" s="105">
        <v>3</v>
      </c>
      <c r="B4" s="41">
        <v>24000000</v>
      </c>
      <c r="C4" s="41">
        <v>7.0000000000000001E-3</v>
      </c>
      <c r="D4" s="41">
        <v>1</v>
      </c>
      <c r="E4" s="41">
        <v>30</v>
      </c>
      <c r="F4" s="41">
        <v>0</v>
      </c>
      <c r="G4" s="41" t="s">
        <v>104</v>
      </c>
      <c r="H4" s="41">
        <v>3</v>
      </c>
      <c r="I4" s="41">
        <v>1</v>
      </c>
      <c r="J4" s="108">
        <f>POWER(POWER(Table2[[#This Row],[mv]],4)/10,0.25)</f>
        <v>3.9363892763324441E-3</v>
      </c>
      <c r="K4" s="41">
        <v>0</v>
      </c>
      <c r="L4" s="41">
        <v>55</v>
      </c>
      <c r="M4" s="41">
        <v>-1</v>
      </c>
      <c r="N4" s="41">
        <v>4</v>
      </c>
      <c r="O4" s="110" t="s">
        <v>409</v>
      </c>
      <c r="P4" s="109">
        <v>187010</v>
      </c>
      <c r="Q4" s="107">
        <v>43145</v>
      </c>
      <c r="R4" s="111">
        <v>8.0173611111111112E-2</v>
      </c>
      <c r="S4" s="110" t="s">
        <v>421</v>
      </c>
      <c r="T4"/>
      <c r="U4"/>
      <c r="V4"/>
    </row>
    <row r="5" spans="1:22" x14ac:dyDescent="0.3">
      <c r="A5" s="105">
        <v>4</v>
      </c>
      <c r="B5" s="41">
        <v>24000000</v>
      </c>
      <c r="C5" s="41">
        <v>7.0000000000000001E-3</v>
      </c>
      <c r="D5" s="41">
        <v>2</v>
      </c>
      <c r="E5" s="41">
        <v>30</v>
      </c>
      <c r="F5" s="41">
        <v>0</v>
      </c>
      <c r="G5" s="41" t="s">
        <v>104</v>
      </c>
      <c r="H5" s="41">
        <v>3</v>
      </c>
      <c r="I5" s="41">
        <v>1</v>
      </c>
      <c r="J5" s="108">
        <f>POWER(POWER(Table2[[#This Row],[mv]],4)/10,0.25)</f>
        <v>3.9363892763324441E-3</v>
      </c>
      <c r="K5" s="41">
        <v>0</v>
      </c>
      <c r="L5" s="41">
        <v>55</v>
      </c>
      <c r="M5" s="41">
        <v>-1</v>
      </c>
      <c r="N5" s="41">
        <v>4</v>
      </c>
      <c r="O5" s="110" t="s">
        <v>410</v>
      </c>
      <c r="P5" s="109">
        <v>187008</v>
      </c>
      <c r="Q5" s="107">
        <v>43145</v>
      </c>
      <c r="R5" s="111">
        <v>9.3761574074074081E-2</v>
      </c>
      <c r="S5" s="110" t="s">
        <v>421</v>
      </c>
      <c r="T5"/>
      <c r="U5"/>
      <c r="V5"/>
    </row>
    <row r="6" spans="1:22" x14ac:dyDescent="0.3">
      <c r="A6" s="105">
        <v>5</v>
      </c>
      <c r="B6" s="41">
        <v>24000000</v>
      </c>
      <c r="C6" s="41">
        <v>7.0000000000000001E-3</v>
      </c>
      <c r="D6" s="41">
        <v>5</v>
      </c>
      <c r="E6" s="41">
        <v>30</v>
      </c>
      <c r="F6" s="41">
        <v>0</v>
      </c>
      <c r="G6" s="41" t="s">
        <v>104</v>
      </c>
      <c r="H6" s="41">
        <v>3</v>
      </c>
      <c r="I6" s="41">
        <v>1</v>
      </c>
      <c r="J6" s="108">
        <f>POWER(POWER(Table2[[#This Row],[mv]],4)/10,0.25)</f>
        <v>3.9363892763324441E-3</v>
      </c>
      <c r="K6" s="41">
        <v>0</v>
      </c>
      <c r="L6" s="41">
        <v>55</v>
      </c>
      <c r="M6" s="41">
        <v>-1</v>
      </c>
      <c r="N6" s="41">
        <v>4</v>
      </c>
      <c r="O6" s="110" t="s">
        <v>411</v>
      </c>
      <c r="P6" s="109">
        <v>187011</v>
      </c>
      <c r="Q6" s="107">
        <v>43145</v>
      </c>
      <c r="R6" s="111">
        <v>7.9756944444444436E-2</v>
      </c>
      <c r="S6" s="110" t="s">
        <v>421</v>
      </c>
      <c r="T6"/>
      <c r="U6"/>
      <c r="V6"/>
    </row>
    <row r="7" spans="1:22" x14ac:dyDescent="0.3">
      <c r="A7" s="105">
        <v>6</v>
      </c>
      <c r="B7" s="41">
        <v>24000000</v>
      </c>
      <c r="C7" s="41">
        <v>7.0000000000000001E-3</v>
      </c>
      <c r="D7" s="41">
        <v>10</v>
      </c>
      <c r="E7" s="41">
        <v>30</v>
      </c>
      <c r="F7" s="41">
        <v>0</v>
      </c>
      <c r="G7" s="41" t="s">
        <v>104</v>
      </c>
      <c r="H7" s="41">
        <v>3</v>
      </c>
      <c r="I7" s="41">
        <v>1</v>
      </c>
      <c r="J7" s="108">
        <f>POWER(POWER(Table2[[#This Row],[mv]],4)/10,0.25)</f>
        <v>3.9363892763324441E-3</v>
      </c>
      <c r="K7" s="41">
        <v>0</v>
      </c>
      <c r="L7" s="41">
        <v>55</v>
      </c>
      <c r="M7" s="41">
        <v>-1</v>
      </c>
      <c r="N7" s="41">
        <v>4</v>
      </c>
      <c r="O7" s="110" t="s">
        <v>412</v>
      </c>
      <c r="P7" s="109">
        <v>187012</v>
      </c>
      <c r="Q7" s="107">
        <v>43145</v>
      </c>
      <c r="R7" s="111">
        <v>6.6076388888888893E-2</v>
      </c>
      <c r="S7" s="110" t="s">
        <v>421</v>
      </c>
      <c r="T7"/>
      <c r="U7"/>
      <c r="V7"/>
    </row>
    <row r="8" spans="1:22" x14ac:dyDescent="0.3">
      <c r="A8" s="105">
        <v>7</v>
      </c>
      <c r="B8" s="41">
        <v>24000000</v>
      </c>
      <c r="C8" s="41">
        <v>7.0000000000000001E-3</v>
      </c>
      <c r="D8" s="41">
        <v>20</v>
      </c>
      <c r="E8" s="41">
        <v>30</v>
      </c>
      <c r="F8" s="41">
        <v>0</v>
      </c>
      <c r="G8" s="41" t="s">
        <v>104</v>
      </c>
      <c r="H8" s="41">
        <v>3</v>
      </c>
      <c r="I8" s="41">
        <v>1</v>
      </c>
      <c r="J8" s="108">
        <f>POWER(POWER(Table2[[#This Row],[mv]],4)/10,0.25)</f>
        <v>3.9363892763324441E-3</v>
      </c>
      <c r="K8" s="41">
        <v>0</v>
      </c>
      <c r="L8" s="41">
        <v>55</v>
      </c>
      <c r="M8" s="41">
        <v>-1</v>
      </c>
      <c r="N8" s="41">
        <v>4</v>
      </c>
      <c r="O8" s="110" t="s">
        <v>413</v>
      </c>
      <c r="P8" s="109">
        <v>187053</v>
      </c>
      <c r="Q8" s="107">
        <v>43145</v>
      </c>
      <c r="R8" s="111">
        <v>5.7604166666666672E-2</v>
      </c>
      <c r="S8" s="110" t="s">
        <v>421</v>
      </c>
      <c r="T8"/>
      <c r="U8"/>
      <c r="V8"/>
    </row>
    <row r="9" spans="1:22" x14ac:dyDescent="0.3">
      <c r="A9" s="105">
        <v>8</v>
      </c>
      <c r="B9" s="41">
        <v>12000000</v>
      </c>
      <c r="C9" s="41">
        <v>8.3000000000000001E-3</v>
      </c>
      <c r="D9" s="41">
        <v>0.2</v>
      </c>
      <c r="E9" s="41">
        <v>30</v>
      </c>
      <c r="F9" s="41">
        <v>0</v>
      </c>
      <c r="G9" s="41" t="s">
        <v>104</v>
      </c>
      <c r="H9" s="41">
        <v>3</v>
      </c>
      <c r="I9" s="41">
        <v>1</v>
      </c>
      <c r="J9" s="108">
        <f>POWER(POWER(Table2[[#This Row],[mv]],4)/10,0.25)</f>
        <v>4.6674329990798978E-3</v>
      </c>
      <c r="K9" s="41">
        <v>0</v>
      </c>
      <c r="L9" s="41">
        <v>55</v>
      </c>
      <c r="M9" s="41">
        <v>-1</v>
      </c>
      <c r="N9" s="41">
        <v>4</v>
      </c>
      <c r="O9" s="110" t="s">
        <v>414</v>
      </c>
      <c r="P9" s="109">
        <v>187042</v>
      </c>
      <c r="Q9" s="107">
        <v>43158</v>
      </c>
      <c r="R9" s="111">
        <v>3.2245370370370369E-2</v>
      </c>
      <c r="S9" s="110" t="s">
        <v>425</v>
      </c>
      <c r="T9"/>
      <c r="U9"/>
      <c r="V9"/>
    </row>
    <row r="10" spans="1:22" x14ac:dyDescent="0.3">
      <c r="A10" s="105">
        <v>9</v>
      </c>
      <c r="B10" s="41">
        <v>12000000</v>
      </c>
      <c r="C10" s="41">
        <v>8.3000000000000001E-3</v>
      </c>
      <c r="D10" s="41">
        <v>0.5</v>
      </c>
      <c r="E10" s="41">
        <v>30</v>
      </c>
      <c r="F10" s="41">
        <v>0</v>
      </c>
      <c r="G10" s="41" t="s">
        <v>104</v>
      </c>
      <c r="H10" s="41">
        <v>3</v>
      </c>
      <c r="I10" s="41">
        <v>1</v>
      </c>
      <c r="J10" s="108">
        <f>POWER(POWER(Table2[[#This Row],[mv]],4)/10,0.25)</f>
        <v>4.6674329990798978E-3</v>
      </c>
      <c r="K10" s="41">
        <v>0</v>
      </c>
      <c r="L10" s="41">
        <v>55</v>
      </c>
      <c r="M10" s="41">
        <v>-1</v>
      </c>
      <c r="N10" s="41">
        <v>4</v>
      </c>
      <c r="O10" s="110" t="s">
        <v>415</v>
      </c>
      <c r="P10" s="109">
        <v>187835</v>
      </c>
      <c r="Q10" s="107">
        <v>43159</v>
      </c>
      <c r="R10" s="111">
        <v>0.24395833333333336</v>
      </c>
      <c r="S10" s="110" t="s">
        <v>425</v>
      </c>
      <c r="T10"/>
      <c r="U10"/>
      <c r="V10"/>
    </row>
    <row r="11" spans="1:22" x14ac:dyDescent="0.3">
      <c r="A11" s="105">
        <v>10</v>
      </c>
      <c r="B11" s="41">
        <v>12000000</v>
      </c>
      <c r="C11" s="41">
        <v>8.3000000000000001E-3</v>
      </c>
      <c r="D11" s="41">
        <v>1</v>
      </c>
      <c r="E11" s="41">
        <v>30</v>
      </c>
      <c r="F11" s="41">
        <v>0</v>
      </c>
      <c r="G11" s="41" t="s">
        <v>104</v>
      </c>
      <c r="H11" s="41">
        <v>3</v>
      </c>
      <c r="I11" s="41">
        <v>1</v>
      </c>
      <c r="J11" s="108">
        <f>POWER(POWER(Table2[[#This Row],[mv]],4)/10,0.25)</f>
        <v>4.6674329990798978E-3</v>
      </c>
      <c r="K11" s="41">
        <v>0</v>
      </c>
      <c r="L11" s="41">
        <v>55</v>
      </c>
      <c r="M11" s="41">
        <v>-1</v>
      </c>
      <c r="N11" s="41">
        <v>4</v>
      </c>
      <c r="O11" s="110" t="s">
        <v>416</v>
      </c>
      <c r="P11" s="109">
        <v>187835</v>
      </c>
      <c r="Q11" s="107">
        <v>43159</v>
      </c>
      <c r="R11" s="111"/>
      <c r="S11" s="110" t="s">
        <v>425</v>
      </c>
      <c r="T11"/>
      <c r="U11"/>
      <c r="V11"/>
    </row>
    <row r="12" spans="1:22" x14ac:dyDescent="0.3">
      <c r="A12" s="105">
        <v>11</v>
      </c>
      <c r="B12" s="41">
        <v>12000000</v>
      </c>
      <c r="C12" s="41">
        <v>8.3000000000000001E-3</v>
      </c>
      <c r="D12" s="41">
        <v>2</v>
      </c>
      <c r="E12" s="41">
        <v>30</v>
      </c>
      <c r="F12" s="41">
        <v>0</v>
      </c>
      <c r="G12" s="41" t="s">
        <v>104</v>
      </c>
      <c r="H12" s="41">
        <v>3</v>
      </c>
      <c r="I12" s="41">
        <v>1</v>
      </c>
      <c r="J12" s="108">
        <f>POWER(POWER(Table2[[#This Row],[mv]],4)/10,0.25)</f>
        <v>4.6674329990798978E-3</v>
      </c>
      <c r="K12" s="41">
        <v>0</v>
      </c>
      <c r="L12" s="41">
        <v>55</v>
      </c>
      <c r="M12" s="41">
        <v>-1</v>
      </c>
      <c r="N12" s="41">
        <v>4</v>
      </c>
      <c r="O12" s="110" t="s">
        <v>417</v>
      </c>
      <c r="P12" s="109">
        <v>187835</v>
      </c>
      <c r="Q12" s="107">
        <v>43159</v>
      </c>
      <c r="R12" s="111"/>
      <c r="S12" s="110" t="s">
        <v>425</v>
      </c>
      <c r="T12"/>
      <c r="U12"/>
      <c r="V12"/>
    </row>
    <row r="13" spans="1:22" x14ac:dyDescent="0.3">
      <c r="A13" s="105">
        <v>12</v>
      </c>
      <c r="B13" s="41">
        <v>12000000</v>
      </c>
      <c r="C13" s="41">
        <v>8.3000000000000001E-3</v>
      </c>
      <c r="D13" s="41">
        <v>5</v>
      </c>
      <c r="E13" s="41">
        <v>30</v>
      </c>
      <c r="F13" s="41">
        <v>0</v>
      </c>
      <c r="G13" s="41" t="s">
        <v>104</v>
      </c>
      <c r="H13" s="41">
        <v>3</v>
      </c>
      <c r="I13" s="41">
        <v>1</v>
      </c>
      <c r="J13" s="108">
        <f>POWER(POWER(Table2[[#This Row],[mv]],4)/10,0.25)</f>
        <v>4.6674329990798978E-3</v>
      </c>
      <c r="K13" s="41">
        <v>0</v>
      </c>
      <c r="L13" s="41">
        <v>55</v>
      </c>
      <c r="M13" s="41">
        <v>-1</v>
      </c>
      <c r="N13" s="41">
        <v>4</v>
      </c>
      <c r="O13" s="110" t="s">
        <v>418</v>
      </c>
      <c r="P13" s="109">
        <v>187836</v>
      </c>
      <c r="Q13" s="107">
        <v>43159</v>
      </c>
      <c r="R13" s="111">
        <v>0.23957175925925925</v>
      </c>
      <c r="S13" s="110" t="s">
        <v>425</v>
      </c>
      <c r="T13"/>
      <c r="U13"/>
      <c r="V13"/>
    </row>
    <row r="14" spans="1:22" x14ac:dyDescent="0.3">
      <c r="A14" s="105">
        <v>13</v>
      </c>
      <c r="B14" s="41">
        <v>12000000</v>
      </c>
      <c r="C14" s="41">
        <v>8.3000000000000001E-3</v>
      </c>
      <c r="D14" s="41">
        <v>10</v>
      </c>
      <c r="E14" s="41">
        <v>30</v>
      </c>
      <c r="F14" s="41">
        <v>0</v>
      </c>
      <c r="G14" s="41" t="s">
        <v>104</v>
      </c>
      <c r="H14" s="41">
        <v>3</v>
      </c>
      <c r="I14" s="41">
        <v>1</v>
      </c>
      <c r="J14" s="108">
        <f>POWER(POWER(Table2[[#This Row],[mv]],4)/10,0.25)</f>
        <v>4.6674329990798978E-3</v>
      </c>
      <c r="K14" s="41">
        <v>0</v>
      </c>
      <c r="L14" s="41">
        <v>55</v>
      </c>
      <c r="M14" s="41">
        <v>-1</v>
      </c>
      <c r="N14" s="41">
        <v>4</v>
      </c>
      <c r="O14" s="110" t="s">
        <v>419</v>
      </c>
      <c r="P14" s="109">
        <v>187858</v>
      </c>
      <c r="Q14" s="107">
        <v>43159</v>
      </c>
      <c r="R14" s="111">
        <v>3.7581018518518521E-2</v>
      </c>
      <c r="S14" s="110" t="s">
        <v>425</v>
      </c>
      <c r="T14"/>
      <c r="U14"/>
      <c r="V14"/>
    </row>
    <row r="15" spans="1:22" x14ac:dyDescent="0.3">
      <c r="A15" s="105">
        <v>14</v>
      </c>
      <c r="B15" s="41">
        <v>12000000</v>
      </c>
      <c r="C15" s="41">
        <v>8.3000000000000001E-3</v>
      </c>
      <c r="D15" s="41">
        <v>20</v>
      </c>
      <c r="E15" s="41">
        <v>30</v>
      </c>
      <c r="F15" s="41">
        <v>0</v>
      </c>
      <c r="G15" s="41" t="s">
        <v>104</v>
      </c>
      <c r="H15" s="41">
        <v>3</v>
      </c>
      <c r="I15" s="41">
        <v>1</v>
      </c>
      <c r="J15" s="108">
        <f>POWER(POWER(Table2[[#This Row],[mv]],4)/10,0.25)</f>
        <v>4.6674329990798978E-3</v>
      </c>
      <c r="K15" s="41">
        <v>0</v>
      </c>
      <c r="L15" s="41">
        <v>55</v>
      </c>
      <c r="M15" s="41">
        <v>-1</v>
      </c>
      <c r="N15" s="41">
        <v>4</v>
      </c>
      <c r="O15" s="110" t="s">
        <v>420</v>
      </c>
      <c r="P15" s="109">
        <v>187836</v>
      </c>
      <c r="Q15" s="107">
        <v>43159</v>
      </c>
      <c r="R15" s="111"/>
      <c r="S15" s="110" t="s">
        <v>425</v>
      </c>
      <c r="T15"/>
      <c r="U15"/>
      <c r="V15"/>
    </row>
    <row r="16" spans="1:22" x14ac:dyDescent="0.3">
      <c r="A16" s="105">
        <v>15</v>
      </c>
      <c r="B16" s="41">
        <v>24000000</v>
      </c>
      <c r="C16" s="41">
        <v>9.9000000000000008E-3</v>
      </c>
      <c r="D16" s="41">
        <v>0.2</v>
      </c>
      <c r="E16" s="41">
        <v>30</v>
      </c>
      <c r="F16" s="41">
        <v>0</v>
      </c>
      <c r="G16" s="41" t="s">
        <v>104</v>
      </c>
      <c r="H16" s="41">
        <v>1</v>
      </c>
      <c r="I16" s="41">
        <v>1</v>
      </c>
      <c r="J16" s="108">
        <v>5.5659999999999998E-3</v>
      </c>
      <c r="K16" s="41">
        <v>0</v>
      </c>
      <c r="L16" s="41">
        <v>55</v>
      </c>
      <c r="M16" s="41">
        <v>-1</v>
      </c>
      <c r="N16" s="41">
        <v>4</v>
      </c>
      <c r="O16" s="111" t="s">
        <v>426</v>
      </c>
      <c r="P16" s="109">
        <v>190575</v>
      </c>
      <c r="Q16" s="107">
        <v>43221</v>
      </c>
      <c r="R16" s="111"/>
      <c r="S16" s="110" t="s">
        <v>453</v>
      </c>
      <c r="T16"/>
      <c r="U16"/>
      <c r="V16"/>
    </row>
    <row r="17" spans="1:22" x14ac:dyDescent="0.3">
      <c r="A17" s="105">
        <v>16</v>
      </c>
      <c r="B17" s="41">
        <v>24000000</v>
      </c>
      <c r="C17" s="41">
        <v>9.9000000000000008E-3</v>
      </c>
      <c r="D17" s="41">
        <v>0.5</v>
      </c>
      <c r="E17" s="41">
        <v>30</v>
      </c>
      <c r="F17" s="41">
        <v>0</v>
      </c>
      <c r="G17" s="41" t="s">
        <v>104</v>
      </c>
      <c r="H17" s="41">
        <v>1</v>
      </c>
      <c r="I17" s="41">
        <v>1</v>
      </c>
      <c r="J17" s="108">
        <v>5.5659999999999998E-3</v>
      </c>
      <c r="K17" s="41">
        <v>0</v>
      </c>
      <c r="L17" s="41">
        <v>55</v>
      </c>
      <c r="M17" s="41">
        <v>-1</v>
      </c>
      <c r="N17" s="41">
        <v>4</v>
      </c>
      <c r="O17" s="111" t="s">
        <v>427</v>
      </c>
      <c r="P17" s="109">
        <v>190575</v>
      </c>
      <c r="Q17" s="107">
        <v>43221</v>
      </c>
      <c r="R17" s="111">
        <v>2.5717592592592594E-2</v>
      </c>
      <c r="S17" s="110" t="s">
        <v>453</v>
      </c>
      <c r="T17"/>
      <c r="U17"/>
      <c r="V17"/>
    </row>
    <row r="18" spans="1:22" x14ac:dyDescent="0.3">
      <c r="A18" s="105">
        <v>17</v>
      </c>
      <c r="B18" s="41">
        <v>24000000</v>
      </c>
      <c r="C18" s="41">
        <v>9.9000000000000008E-3</v>
      </c>
      <c r="D18" s="41">
        <v>1</v>
      </c>
      <c r="E18" s="41">
        <v>30</v>
      </c>
      <c r="F18" s="41">
        <v>0</v>
      </c>
      <c r="G18" s="41" t="s">
        <v>104</v>
      </c>
      <c r="H18" s="41">
        <v>1</v>
      </c>
      <c r="I18" s="41">
        <v>1</v>
      </c>
      <c r="J18" s="108">
        <v>5.5659999999999998E-3</v>
      </c>
      <c r="K18" s="41">
        <v>0</v>
      </c>
      <c r="L18" s="41">
        <v>55</v>
      </c>
      <c r="M18" s="41">
        <v>-1</v>
      </c>
      <c r="N18" s="41">
        <v>4</v>
      </c>
      <c r="O18" s="111" t="s">
        <v>428</v>
      </c>
      <c r="P18" s="109">
        <v>190571</v>
      </c>
      <c r="Q18" s="107">
        <v>43221</v>
      </c>
      <c r="R18" s="111"/>
      <c r="S18" s="110" t="s">
        <v>453</v>
      </c>
      <c r="T18"/>
      <c r="U18"/>
      <c r="V18"/>
    </row>
    <row r="19" spans="1:22" x14ac:dyDescent="0.3">
      <c r="A19" s="105">
        <v>18</v>
      </c>
      <c r="B19" s="41">
        <v>24000000</v>
      </c>
      <c r="C19" s="41">
        <v>9.9000000000000008E-3</v>
      </c>
      <c r="D19" s="41">
        <v>2</v>
      </c>
      <c r="E19" s="41">
        <v>30</v>
      </c>
      <c r="F19" s="41">
        <v>0</v>
      </c>
      <c r="G19" s="41" t="s">
        <v>104</v>
      </c>
      <c r="H19" s="41">
        <v>1</v>
      </c>
      <c r="I19" s="41">
        <v>1</v>
      </c>
      <c r="J19" s="108">
        <v>5.5659999999999998E-3</v>
      </c>
      <c r="K19" s="41">
        <v>0</v>
      </c>
      <c r="L19" s="41">
        <v>55</v>
      </c>
      <c r="M19" s="41">
        <v>-1</v>
      </c>
      <c r="N19" s="41">
        <v>4</v>
      </c>
      <c r="O19" s="111" t="s">
        <v>429</v>
      </c>
      <c r="P19" s="109">
        <v>190628</v>
      </c>
      <c r="Q19" s="107">
        <v>43221</v>
      </c>
      <c r="R19" s="111"/>
      <c r="S19" s="110" t="s">
        <v>468</v>
      </c>
      <c r="T19"/>
      <c r="U19"/>
      <c r="V19"/>
    </row>
    <row r="20" spans="1:22" x14ac:dyDescent="0.3">
      <c r="A20" s="105">
        <v>19</v>
      </c>
      <c r="B20" s="41">
        <v>24000000</v>
      </c>
      <c r="C20" s="41">
        <v>9.9000000000000008E-3</v>
      </c>
      <c r="D20" s="41">
        <v>5</v>
      </c>
      <c r="E20" s="41">
        <v>30</v>
      </c>
      <c r="F20" s="41">
        <v>0</v>
      </c>
      <c r="G20" s="41" t="s">
        <v>104</v>
      </c>
      <c r="H20" s="41">
        <v>1</v>
      </c>
      <c r="I20" s="41">
        <v>1</v>
      </c>
      <c r="J20" s="108">
        <v>5.5659999999999998E-3</v>
      </c>
      <c r="K20" s="41">
        <v>0</v>
      </c>
      <c r="L20" s="41">
        <v>55</v>
      </c>
      <c r="M20" s="41">
        <v>-1</v>
      </c>
      <c r="N20" s="41">
        <v>4</v>
      </c>
      <c r="O20" s="111" t="s">
        <v>430</v>
      </c>
      <c r="P20" s="109">
        <v>190628</v>
      </c>
      <c r="Q20" s="107">
        <v>43221</v>
      </c>
      <c r="R20" s="111">
        <v>7.1319444444444449E-2</v>
      </c>
      <c r="S20" s="110" t="s">
        <v>468</v>
      </c>
      <c r="T20"/>
      <c r="U20"/>
      <c r="V20"/>
    </row>
    <row r="21" spans="1:22" x14ac:dyDescent="0.3">
      <c r="A21" s="105">
        <v>20</v>
      </c>
      <c r="B21" s="41">
        <v>24000000</v>
      </c>
      <c r="C21" s="41">
        <v>9.9000000000000008E-3</v>
      </c>
      <c r="D21" s="41">
        <v>10</v>
      </c>
      <c r="E21" s="41">
        <v>30</v>
      </c>
      <c r="F21" s="41">
        <v>0</v>
      </c>
      <c r="G21" s="41" t="s">
        <v>104</v>
      </c>
      <c r="H21" s="41">
        <v>1</v>
      </c>
      <c r="I21" s="41">
        <v>1</v>
      </c>
      <c r="J21" s="108">
        <v>5.5659999999999998E-3</v>
      </c>
      <c r="K21" s="41">
        <v>0</v>
      </c>
      <c r="L21" s="41">
        <v>55</v>
      </c>
      <c r="M21" s="41">
        <v>-1</v>
      </c>
      <c r="N21" s="41">
        <v>4</v>
      </c>
      <c r="O21" s="111" t="s">
        <v>431</v>
      </c>
      <c r="P21" s="109">
        <v>190623</v>
      </c>
      <c r="Q21" s="107">
        <v>43222</v>
      </c>
      <c r="R21" s="111"/>
      <c r="S21" s="110" t="s">
        <v>468</v>
      </c>
      <c r="T21"/>
      <c r="U21"/>
      <c r="V21"/>
    </row>
    <row r="22" spans="1:22" x14ac:dyDescent="0.3">
      <c r="A22" s="105">
        <v>21</v>
      </c>
      <c r="B22" s="41">
        <v>24000000</v>
      </c>
      <c r="C22" s="41">
        <v>9.9000000000000008E-3</v>
      </c>
      <c r="D22" s="41">
        <v>20</v>
      </c>
      <c r="E22" s="41">
        <v>30</v>
      </c>
      <c r="F22" s="41">
        <v>0</v>
      </c>
      <c r="G22" s="41" t="s">
        <v>104</v>
      </c>
      <c r="H22" s="41">
        <v>1</v>
      </c>
      <c r="I22" s="41">
        <v>1</v>
      </c>
      <c r="J22" s="108">
        <v>5.5659999999999998E-3</v>
      </c>
      <c r="K22" s="41">
        <v>0</v>
      </c>
      <c r="L22" s="41">
        <v>55</v>
      </c>
      <c r="M22" s="41">
        <v>-1</v>
      </c>
      <c r="N22" s="41">
        <v>4</v>
      </c>
      <c r="O22" s="111" t="s">
        <v>432</v>
      </c>
      <c r="P22" s="109">
        <v>190623</v>
      </c>
      <c r="Q22" s="107">
        <v>43222</v>
      </c>
      <c r="R22" s="111"/>
      <c r="S22" s="110" t="s">
        <v>468</v>
      </c>
      <c r="T22"/>
      <c r="U22"/>
      <c r="V22"/>
    </row>
    <row r="23" spans="1:22" x14ac:dyDescent="0.3">
      <c r="A23" s="105">
        <v>22</v>
      </c>
      <c r="B23" s="41">
        <v>24000000</v>
      </c>
      <c r="C23" s="41">
        <v>7.0000000000000001E-3</v>
      </c>
      <c r="D23" s="41">
        <v>0.2</v>
      </c>
      <c r="E23" s="41">
        <v>30</v>
      </c>
      <c r="F23" s="41">
        <v>0</v>
      </c>
      <c r="G23" s="41" t="s">
        <v>104</v>
      </c>
      <c r="H23" s="41">
        <v>1</v>
      </c>
      <c r="I23" s="41">
        <v>1</v>
      </c>
      <c r="J23" s="108">
        <f>POWER(POWER(Table2[[#This Row],[mv]],4)/10,0.25)</f>
        <v>3.9363892763324441E-3</v>
      </c>
      <c r="K23" s="41">
        <v>0</v>
      </c>
      <c r="L23" s="41">
        <v>55</v>
      </c>
      <c r="M23" s="41">
        <v>-1</v>
      </c>
      <c r="N23" s="41">
        <v>4</v>
      </c>
      <c r="O23" s="110" t="s">
        <v>454</v>
      </c>
      <c r="P23" s="109">
        <v>190624</v>
      </c>
      <c r="Q23" s="107">
        <v>43222</v>
      </c>
      <c r="R23" s="111"/>
      <c r="S23" s="110" t="s">
        <v>468</v>
      </c>
      <c r="T23"/>
      <c r="U23"/>
      <c r="V23"/>
    </row>
    <row r="24" spans="1:22" x14ac:dyDescent="0.3">
      <c r="A24" s="105">
        <v>23</v>
      </c>
      <c r="B24" s="41">
        <v>24000000</v>
      </c>
      <c r="C24" s="41">
        <v>7.0000000000000001E-3</v>
      </c>
      <c r="D24" s="41">
        <v>0.5</v>
      </c>
      <c r="E24" s="41">
        <v>30</v>
      </c>
      <c r="F24" s="41">
        <v>0</v>
      </c>
      <c r="G24" s="41" t="s">
        <v>104</v>
      </c>
      <c r="H24" s="41">
        <v>1</v>
      </c>
      <c r="I24" s="41">
        <v>1</v>
      </c>
      <c r="J24" s="108">
        <f>POWER(POWER(Table2[[#This Row],[mv]],4)/10,0.25)</f>
        <v>3.9363892763324441E-3</v>
      </c>
      <c r="K24" s="41">
        <v>0</v>
      </c>
      <c r="L24" s="41">
        <v>55</v>
      </c>
      <c r="M24" s="41">
        <v>-1</v>
      </c>
      <c r="N24" s="41">
        <v>4</v>
      </c>
      <c r="O24" s="110" t="s">
        <v>455</v>
      </c>
      <c r="P24" s="109">
        <v>190657</v>
      </c>
      <c r="Q24" s="107">
        <v>43223</v>
      </c>
      <c r="R24" s="111"/>
      <c r="S24" s="110" t="s">
        <v>468</v>
      </c>
      <c r="T24"/>
      <c r="U24"/>
      <c r="V24"/>
    </row>
    <row r="25" spans="1:22" x14ac:dyDescent="0.3">
      <c r="A25" s="105">
        <v>24</v>
      </c>
      <c r="B25" s="41">
        <v>24000000</v>
      </c>
      <c r="C25" s="41">
        <v>7.0000000000000001E-3</v>
      </c>
      <c r="D25" s="41">
        <v>1</v>
      </c>
      <c r="E25" s="41">
        <v>30</v>
      </c>
      <c r="F25" s="41">
        <v>0</v>
      </c>
      <c r="G25" s="41" t="s">
        <v>104</v>
      </c>
      <c r="H25" s="41">
        <v>1</v>
      </c>
      <c r="I25" s="41">
        <v>1</v>
      </c>
      <c r="J25" s="108">
        <f>POWER(POWER(Table2[[#This Row],[mv]],4)/10,0.25)</f>
        <v>3.9363892763324441E-3</v>
      </c>
      <c r="K25" s="41">
        <v>0</v>
      </c>
      <c r="L25" s="41">
        <v>55</v>
      </c>
      <c r="M25" s="41">
        <v>-1</v>
      </c>
      <c r="N25" s="41">
        <v>4</v>
      </c>
      <c r="O25" s="110" t="s">
        <v>456</v>
      </c>
      <c r="P25" s="109">
        <v>190629</v>
      </c>
      <c r="Q25" s="107">
        <v>43222</v>
      </c>
      <c r="R25" s="111"/>
      <c r="S25" s="110" t="s">
        <v>468</v>
      </c>
      <c r="T25"/>
      <c r="U25"/>
      <c r="V25"/>
    </row>
    <row r="26" spans="1:22" x14ac:dyDescent="0.3">
      <c r="A26" s="105">
        <v>25</v>
      </c>
      <c r="B26" s="41">
        <v>24000000</v>
      </c>
      <c r="C26" s="41">
        <v>7.0000000000000001E-3</v>
      </c>
      <c r="D26" s="41">
        <v>2</v>
      </c>
      <c r="E26" s="41">
        <v>30</v>
      </c>
      <c r="F26" s="41">
        <v>0</v>
      </c>
      <c r="G26" s="41" t="s">
        <v>104</v>
      </c>
      <c r="H26" s="41">
        <v>1</v>
      </c>
      <c r="I26" s="41">
        <v>1</v>
      </c>
      <c r="J26" s="108">
        <f>POWER(POWER(Table2[[#This Row],[mv]],4)/10,0.25)</f>
        <v>3.9363892763324441E-3</v>
      </c>
      <c r="K26" s="41">
        <v>0</v>
      </c>
      <c r="L26" s="41">
        <v>55</v>
      </c>
      <c r="M26" s="41">
        <v>-1</v>
      </c>
      <c r="N26" s="41">
        <v>4</v>
      </c>
      <c r="O26" s="110" t="s">
        <v>457</v>
      </c>
      <c r="P26" s="109">
        <v>190629</v>
      </c>
      <c r="Q26" s="107">
        <v>43222</v>
      </c>
      <c r="R26" s="111"/>
      <c r="S26" s="110" t="s">
        <v>468</v>
      </c>
      <c r="T26"/>
      <c r="U26"/>
      <c r="V26"/>
    </row>
    <row r="27" spans="1:22" x14ac:dyDescent="0.3">
      <c r="A27" s="105">
        <v>26</v>
      </c>
      <c r="B27" s="41">
        <v>24000000</v>
      </c>
      <c r="C27" s="41">
        <v>7.0000000000000001E-3</v>
      </c>
      <c r="D27" s="41">
        <v>5</v>
      </c>
      <c r="E27" s="41">
        <v>30</v>
      </c>
      <c r="F27" s="41">
        <v>0</v>
      </c>
      <c r="G27" s="41" t="s">
        <v>104</v>
      </c>
      <c r="H27" s="41">
        <v>1</v>
      </c>
      <c r="I27" s="41">
        <v>1</v>
      </c>
      <c r="J27" s="108">
        <f>POWER(POWER(Table2[[#This Row],[mv]],4)/10,0.25)</f>
        <v>3.9363892763324441E-3</v>
      </c>
      <c r="K27" s="41">
        <v>0</v>
      </c>
      <c r="L27" s="41">
        <v>55</v>
      </c>
      <c r="M27" s="41">
        <v>-1</v>
      </c>
      <c r="N27" s="41">
        <v>4</v>
      </c>
      <c r="O27" s="110" t="s">
        <v>458</v>
      </c>
      <c r="P27" s="109">
        <v>190629</v>
      </c>
      <c r="Q27" s="107">
        <v>43222</v>
      </c>
      <c r="R27" s="111"/>
      <c r="S27" s="110" t="s">
        <v>468</v>
      </c>
      <c r="T27"/>
      <c r="U27"/>
      <c r="V27"/>
    </row>
    <row r="28" spans="1:22" x14ac:dyDescent="0.3">
      <c r="A28" s="105">
        <v>27</v>
      </c>
      <c r="B28" s="41">
        <v>24000000</v>
      </c>
      <c r="C28" s="41">
        <v>7.0000000000000001E-3</v>
      </c>
      <c r="D28" s="41">
        <v>10</v>
      </c>
      <c r="E28" s="41">
        <v>30</v>
      </c>
      <c r="F28" s="41">
        <v>0</v>
      </c>
      <c r="G28" s="41" t="s">
        <v>104</v>
      </c>
      <c r="H28" s="41">
        <v>1</v>
      </c>
      <c r="I28" s="41">
        <v>1</v>
      </c>
      <c r="J28" s="108">
        <f>POWER(POWER(Table2[[#This Row],[mv]],4)/10,0.25)</f>
        <v>3.9363892763324441E-3</v>
      </c>
      <c r="K28" s="41">
        <v>0</v>
      </c>
      <c r="L28" s="41">
        <v>55</v>
      </c>
      <c r="M28" s="41">
        <v>-1</v>
      </c>
      <c r="N28" s="41">
        <v>4</v>
      </c>
      <c r="O28" s="110" t="s">
        <v>459</v>
      </c>
      <c r="P28" s="109">
        <v>190629</v>
      </c>
      <c r="Q28" s="107">
        <v>43222</v>
      </c>
      <c r="R28" s="111"/>
      <c r="S28" s="110" t="s">
        <v>468</v>
      </c>
      <c r="T28"/>
      <c r="U28"/>
      <c r="V28"/>
    </row>
    <row r="29" spans="1:22" x14ac:dyDescent="0.3">
      <c r="A29" s="105">
        <v>28</v>
      </c>
      <c r="B29" s="41">
        <v>24000000</v>
      </c>
      <c r="C29" s="41">
        <v>7.0000000000000001E-3</v>
      </c>
      <c r="D29" s="41">
        <v>20</v>
      </c>
      <c r="E29" s="41">
        <v>30</v>
      </c>
      <c r="F29" s="41">
        <v>0</v>
      </c>
      <c r="G29" s="41" t="s">
        <v>104</v>
      </c>
      <c r="H29" s="41">
        <v>1</v>
      </c>
      <c r="I29" s="41">
        <v>1</v>
      </c>
      <c r="J29" s="108">
        <f>POWER(POWER(Table2[[#This Row],[mv]],4)/10,0.25)</f>
        <v>3.9363892763324441E-3</v>
      </c>
      <c r="K29" s="41">
        <v>0</v>
      </c>
      <c r="L29" s="41">
        <v>55</v>
      </c>
      <c r="M29" s="41">
        <v>-1</v>
      </c>
      <c r="N29" s="41">
        <v>4</v>
      </c>
      <c r="O29" s="110" t="s">
        <v>460</v>
      </c>
      <c r="P29" s="109">
        <v>190629</v>
      </c>
      <c r="Q29" s="107">
        <v>43222</v>
      </c>
      <c r="R29" s="111"/>
      <c r="S29" s="110" t="s">
        <v>468</v>
      </c>
      <c r="T29"/>
      <c r="U29"/>
      <c r="V29"/>
    </row>
    <row r="30" spans="1:22" x14ac:dyDescent="0.3">
      <c r="A30" s="105">
        <v>29</v>
      </c>
      <c r="B30" s="41">
        <v>12000000</v>
      </c>
      <c r="C30" s="41">
        <v>8.3000000000000001E-3</v>
      </c>
      <c r="D30" s="41">
        <v>0.2</v>
      </c>
      <c r="E30" s="41">
        <v>30</v>
      </c>
      <c r="F30" s="41">
        <v>0</v>
      </c>
      <c r="G30" s="41" t="s">
        <v>104</v>
      </c>
      <c r="H30" s="41">
        <v>1</v>
      </c>
      <c r="I30" s="41">
        <v>1</v>
      </c>
      <c r="J30" s="108">
        <f>POWER(POWER(Table2[[#This Row],[mv]],4)/10,0.25)</f>
        <v>4.6674329990798978E-3</v>
      </c>
      <c r="K30" s="41">
        <v>0</v>
      </c>
      <c r="L30" s="41">
        <v>55</v>
      </c>
      <c r="M30" s="41">
        <v>-1</v>
      </c>
      <c r="N30" s="41">
        <v>4</v>
      </c>
      <c r="O30" s="110" t="s">
        <v>461</v>
      </c>
      <c r="P30" s="109">
        <v>190631</v>
      </c>
      <c r="Q30" s="107">
        <v>43222</v>
      </c>
      <c r="R30" s="111"/>
      <c r="S30" s="110" t="s">
        <v>468</v>
      </c>
      <c r="T30"/>
      <c r="U30"/>
      <c r="V30"/>
    </row>
    <row r="31" spans="1:22" x14ac:dyDescent="0.3">
      <c r="A31" s="105">
        <v>30</v>
      </c>
      <c r="B31" s="41">
        <v>12000000</v>
      </c>
      <c r="C31" s="41">
        <v>8.3000000000000001E-3</v>
      </c>
      <c r="D31" s="41">
        <v>0.5</v>
      </c>
      <c r="E31" s="41">
        <v>30</v>
      </c>
      <c r="F31" s="41">
        <v>0</v>
      </c>
      <c r="G31" s="41" t="s">
        <v>104</v>
      </c>
      <c r="H31" s="41">
        <v>1</v>
      </c>
      <c r="I31" s="41">
        <v>1</v>
      </c>
      <c r="J31" s="108">
        <f>POWER(POWER(Table2[[#This Row],[mv]],4)/10,0.25)</f>
        <v>4.6674329990798978E-3</v>
      </c>
      <c r="K31" s="41">
        <v>0</v>
      </c>
      <c r="L31" s="41">
        <v>55</v>
      </c>
      <c r="M31" s="41">
        <v>-1</v>
      </c>
      <c r="N31" s="41">
        <v>4</v>
      </c>
      <c r="O31" s="110" t="s">
        <v>462</v>
      </c>
      <c r="P31" s="109">
        <v>190631</v>
      </c>
      <c r="Q31" s="107">
        <v>43222</v>
      </c>
      <c r="R31" s="111"/>
      <c r="S31" s="110" t="s">
        <v>468</v>
      </c>
      <c r="T31"/>
      <c r="U31"/>
      <c r="V31"/>
    </row>
    <row r="32" spans="1:22" x14ac:dyDescent="0.3">
      <c r="A32" s="105">
        <v>31</v>
      </c>
      <c r="B32" s="41">
        <v>12000000</v>
      </c>
      <c r="C32" s="41">
        <v>8.3000000000000001E-3</v>
      </c>
      <c r="D32" s="41">
        <v>1</v>
      </c>
      <c r="E32" s="41">
        <v>30</v>
      </c>
      <c r="F32" s="41">
        <v>0</v>
      </c>
      <c r="G32" s="41" t="s">
        <v>104</v>
      </c>
      <c r="H32" s="41">
        <v>1</v>
      </c>
      <c r="I32" s="41">
        <v>1</v>
      </c>
      <c r="J32" s="108">
        <f>POWER(POWER(Table2[[#This Row],[mv]],4)/10,0.25)</f>
        <v>4.6674329990798978E-3</v>
      </c>
      <c r="K32" s="41">
        <v>0</v>
      </c>
      <c r="L32" s="41">
        <v>55</v>
      </c>
      <c r="M32" s="41">
        <v>-1</v>
      </c>
      <c r="N32" s="41">
        <v>4</v>
      </c>
      <c r="O32" s="110" t="s">
        <v>463</v>
      </c>
      <c r="P32" s="109">
        <v>190631</v>
      </c>
      <c r="Q32" s="107">
        <v>43222</v>
      </c>
      <c r="R32" s="111"/>
      <c r="S32" s="110" t="s">
        <v>468</v>
      </c>
      <c r="T32"/>
      <c r="U32"/>
      <c r="V32"/>
    </row>
    <row r="33" spans="1:22" x14ac:dyDescent="0.3">
      <c r="A33" s="105">
        <v>32</v>
      </c>
      <c r="B33" s="41">
        <v>12000000</v>
      </c>
      <c r="C33" s="41">
        <v>8.3000000000000001E-3</v>
      </c>
      <c r="D33" s="41">
        <v>2</v>
      </c>
      <c r="E33" s="41">
        <v>30</v>
      </c>
      <c r="F33" s="41">
        <v>0</v>
      </c>
      <c r="G33" s="41" t="s">
        <v>104</v>
      </c>
      <c r="H33" s="41">
        <v>1</v>
      </c>
      <c r="I33" s="41">
        <v>1</v>
      </c>
      <c r="J33" s="108">
        <f>POWER(POWER(Table2[[#This Row],[mv]],4)/10,0.25)</f>
        <v>4.6674329990798978E-3</v>
      </c>
      <c r="K33" s="41">
        <v>0</v>
      </c>
      <c r="L33" s="41">
        <v>55</v>
      </c>
      <c r="M33" s="41">
        <v>-1</v>
      </c>
      <c r="N33" s="41">
        <v>4</v>
      </c>
      <c r="O33" s="110" t="s">
        <v>464</v>
      </c>
      <c r="P33" s="109">
        <v>190631</v>
      </c>
      <c r="Q33" s="107">
        <v>43222</v>
      </c>
      <c r="R33" s="111"/>
      <c r="S33" s="110" t="s">
        <v>468</v>
      </c>
      <c r="T33"/>
      <c r="U33"/>
      <c r="V33"/>
    </row>
    <row r="34" spans="1:22" x14ac:dyDescent="0.3">
      <c r="A34" s="105">
        <v>33</v>
      </c>
      <c r="B34" s="41">
        <v>12000000</v>
      </c>
      <c r="C34" s="41">
        <v>8.3000000000000001E-3</v>
      </c>
      <c r="D34" s="41">
        <v>5</v>
      </c>
      <c r="E34" s="41">
        <v>30</v>
      </c>
      <c r="F34" s="41">
        <v>0</v>
      </c>
      <c r="G34" s="41" t="s">
        <v>104</v>
      </c>
      <c r="H34" s="41">
        <v>1</v>
      </c>
      <c r="I34" s="41">
        <v>1</v>
      </c>
      <c r="J34" s="108">
        <f>POWER(POWER(Table2[[#This Row],[mv]],4)/10,0.25)</f>
        <v>4.6674329990798978E-3</v>
      </c>
      <c r="K34" s="41">
        <v>0</v>
      </c>
      <c r="L34" s="41">
        <v>55</v>
      </c>
      <c r="M34" s="41">
        <v>-1</v>
      </c>
      <c r="N34" s="41">
        <v>4</v>
      </c>
      <c r="O34" s="110" t="s">
        <v>465</v>
      </c>
      <c r="P34" s="109">
        <v>190631</v>
      </c>
      <c r="Q34" s="107">
        <v>43222</v>
      </c>
      <c r="R34" s="111"/>
      <c r="S34" s="110" t="s">
        <v>468</v>
      </c>
      <c r="T34"/>
      <c r="U34"/>
      <c r="V34"/>
    </row>
    <row r="35" spans="1:22" x14ac:dyDescent="0.3">
      <c r="A35" s="105">
        <v>34</v>
      </c>
      <c r="B35" s="41">
        <v>12000000</v>
      </c>
      <c r="C35" s="41">
        <v>8.3000000000000001E-3</v>
      </c>
      <c r="D35" s="41">
        <v>10</v>
      </c>
      <c r="E35" s="41">
        <v>30</v>
      </c>
      <c r="F35" s="41">
        <v>0</v>
      </c>
      <c r="G35" s="41" t="s">
        <v>104</v>
      </c>
      <c r="H35" s="41">
        <v>1</v>
      </c>
      <c r="I35" s="41">
        <v>1</v>
      </c>
      <c r="J35" s="108">
        <f>POWER(POWER(Table2[[#This Row],[mv]],4)/10,0.25)</f>
        <v>4.6674329990798978E-3</v>
      </c>
      <c r="K35" s="41">
        <v>0</v>
      </c>
      <c r="L35" s="41">
        <v>55</v>
      </c>
      <c r="M35" s="41">
        <v>-1</v>
      </c>
      <c r="N35" s="41">
        <v>4</v>
      </c>
      <c r="O35" s="110" t="s">
        <v>466</v>
      </c>
      <c r="P35" s="109">
        <v>190631</v>
      </c>
      <c r="Q35" s="107">
        <v>43222</v>
      </c>
      <c r="R35" s="111"/>
      <c r="S35" s="110" t="s">
        <v>468</v>
      </c>
      <c r="T35"/>
      <c r="U35"/>
      <c r="V35"/>
    </row>
    <row r="36" spans="1:22" x14ac:dyDescent="0.3">
      <c r="A36" s="105">
        <v>35</v>
      </c>
      <c r="B36" s="41">
        <v>12000000</v>
      </c>
      <c r="C36" s="41">
        <v>8.3000000000000001E-3</v>
      </c>
      <c r="D36" s="41">
        <v>20</v>
      </c>
      <c r="E36" s="41">
        <v>30</v>
      </c>
      <c r="F36" s="41">
        <v>0</v>
      </c>
      <c r="G36" s="41" t="s">
        <v>104</v>
      </c>
      <c r="H36" s="41">
        <v>1</v>
      </c>
      <c r="I36" s="41">
        <v>1</v>
      </c>
      <c r="J36" s="108">
        <f>POWER(POWER(Table2[[#This Row],[mv]],4)/10,0.25)</f>
        <v>4.6674329990798978E-3</v>
      </c>
      <c r="K36" s="41">
        <v>0</v>
      </c>
      <c r="L36" s="41">
        <v>55</v>
      </c>
      <c r="M36" s="41">
        <v>-1</v>
      </c>
      <c r="N36" s="41">
        <v>4</v>
      </c>
      <c r="O36" s="110" t="s">
        <v>467</v>
      </c>
      <c r="P36" s="109">
        <v>190631</v>
      </c>
      <c r="Q36" s="107">
        <v>43222</v>
      </c>
      <c r="R36" s="111"/>
      <c r="S36" s="110" t="s">
        <v>468</v>
      </c>
      <c r="T36"/>
      <c r="U36"/>
      <c r="V36"/>
    </row>
    <row r="37" spans="1:22" x14ac:dyDescent="0.3">
      <c r="A37" s="105">
        <v>36</v>
      </c>
      <c r="B37" s="41">
        <v>24000000</v>
      </c>
      <c r="C37" s="41">
        <v>5.8999999999999999E-3</v>
      </c>
      <c r="D37" s="41">
        <v>0.2</v>
      </c>
      <c r="E37" s="41">
        <v>30</v>
      </c>
      <c r="F37" s="41">
        <v>0</v>
      </c>
      <c r="G37" s="41" t="s">
        <v>104</v>
      </c>
      <c r="H37" s="41">
        <v>1</v>
      </c>
      <c r="I37" s="41">
        <v>1</v>
      </c>
      <c r="J37" s="108">
        <f>POWER(POWER(Table2[[#This Row],[mv]],4)/10,0.25)</f>
        <v>3.3178138186230597E-3</v>
      </c>
      <c r="K37" s="41">
        <v>0</v>
      </c>
      <c r="L37" s="41">
        <v>55</v>
      </c>
      <c r="M37" s="41">
        <v>-1</v>
      </c>
      <c r="N37" s="41">
        <v>4</v>
      </c>
      <c r="O37" s="110" t="s">
        <v>470</v>
      </c>
      <c r="P37" s="109">
        <v>190647</v>
      </c>
      <c r="Q37" s="107">
        <v>43222</v>
      </c>
      <c r="R37" s="111"/>
      <c r="S37" s="110" t="s">
        <v>468</v>
      </c>
      <c r="T37"/>
      <c r="U37"/>
      <c r="V37"/>
    </row>
    <row r="38" spans="1:22" x14ac:dyDescent="0.3">
      <c r="A38" s="105">
        <v>37</v>
      </c>
      <c r="B38" s="41">
        <v>24000000</v>
      </c>
      <c r="C38" s="41">
        <v>5.8999999999999999E-3</v>
      </c>
      <c r="D38" s="41">
        <v>0.5</v>
      </c>
      <c r="E38" s="41">
        <v>30</v>
      </c>
      <c r="F38" s="41">
        <v>0</v>
      </c>
      <c r="G38" s="41" t="s">
        <v>104</v>
      </c>
      <c r="H38" s="41">
        <v>1</v>
      </c>
      <c r="I38" s="41">
        <v>1</v>
      </c>
      <c r="J38" s="108">
        <f>POWER(POWER(Table2[[#This Row],[mv]],4)/10,0.25)</f>
        <v>3.3178138186230597E-3</v>
      </c>
      <c r="K38" s="41">
        <v>0</v>
      </c>
      <c r="L38" s="41">
        <v>55</v>
      </c>
      <c r="M38" s="41">
        <v>-1</v>
      </c>
      <c r="N38" s="41">
        <v>4</v>
      </c>
      <c r="O38" s="110" t="s">
        <v>471</v>
      </c>
      <c r="P38" s="109">
        <v>190647</v>
      </c>
      <c r="Q38" s="107">
        <v>43222</v>
      </c>
      <c r="R38" s="111"/>
      <c r="S38" s="110" t="s">
        <v>468</v>
      </c>
      <c r="T38"/>
      <c r="U38"/>
      <c r="V38"/>
    </row>
    <row r="39" spans="1:22" x14ac:dyDescent="0.3">
      <c r="A39" s="105">
        <v>38</v>
      </c>
      <c r="B39" s="41">
        <v>24000000</v>
      </c>
      <c r="C39" s="41">
        <v>5.8999999999999999E-3</v>
      </c>
      <c r="D39" s="41">
        <v>1</v>
      </c>
      <c r="E39" s="41">
        <v>30</v>
      </c>
      <c r="F39" s="41">
        <v>0</v>
      </c>
      <c r="G39" s="41" t="s">
        <v>104</v>
      </c>
      <c r="H39" s="41">
        <v>1</v>
      </c>
      <c r="I39" s="41">
        <v>1</v>
      </c>
      <c r="J39" s="108">
        <f>POWER(POWER(Table2[[#This Row],[mv]],4)/10,0.25)</f>
        <v>3.3178138186230597E-3</v>
      </c>
      <c r="K39" s="41">
        <v>0</v>
      </c>
      <c r="L39" s="41">
        <v>55</v>
      </c>
      <c r="M39" s="41">
        <v>-1</v>
      </c>
      <c r="N39" s="41">
        <v>4</v>
      </c>
      <c r="O39" s="110" t="s">
        <v>472</v>
      </c>
      <c r="P39" s="109">
        <v>190647</v>
      </c>
      <c r="Q39" s="107">
        <v>43222</v>
      </c>
      <c r="R39" s="111"/>
      <c r="S39" s="110" t="s">
        <v>468</v>
      </c>
      <c r="T39"/>
      <c r="U39"/>
      <c r="V39"/>
    </row>
    <row r="40" spans="1:22" x14ac:dyDescent="0.3">
      <c r="A40" s="105">
        <v>39</v>
      </c>
      <c r="B40" s="41">
        <v>24000000</v>
      </c>
      <c r="C40" s="41">
        <v>5.8999999999999999E-3</v>
      </c>
      <c r="D40" s="41">
        <v>2</v>
      </c>
      <c r="E40" s="41">
        <v>30</v>
      </c>
      <c r="F40" s="41">
        <v>0</v>
      </c>
      <c r="G40" s="41" t="s">
        <v>104</v>
      </c>
      <c r="H40" s="41">
        <v>1</v>
      </c>
      <c r="I40" s="41">
        <v>1</v>
      </c>
      <c r="J40" s="108">
        <f>POWER(POWER(Table2[[#This Row],[mv]],4)/10,0.25)</f>
        <v>3.3178138186230597E-3</v>
      </c>
      <c r="K40" s="41">
        <v>0</v>
      </c>
      <c r="L40" s="41">
        <v>55</v>
      </c>
      <c r="M40" s="41">
        <v>-1</v>
      </c>
      <c r="N40" s="41">
        <v>4</v>
      </c>
      <c r="O40" s="110" t="s">
        <v>473</v>
      </c>
      <c r="P40" s="109">
        <v>190647</v>
      </c>
      <c r="Q40" s="107">
        <v>43222</v>
      </c>
      <c r="R40" s="111"/>
      <c r="S40" s="110" t="s">
        <v>468</v>
      </c>
      <c r="T40"/>
      <c r="U40"/>
      <c r="V40"/>
    </row>
    <row r="41" spans="1:22" x14ac:dyDescent="0.3">
      <c r="A41" s="105">
        <v>40</v>
      </c>
      <c r="B41" s="41">
        <v>24000000</v>
      </c>
      <c r="C41" s="41">
        <v>5.8999999999999999E-3</v>
      </c>
      <c r="D41" s="41">
        <v>5</v>
      </c>
      <c r="E41" s="41">
        <v>30</v>
      </c>
      <c r="F41" s="41">
        <v>0</v>
      </c>
      <c r="G41" s="41" t="s">
        <v>104</v>
      </c>
      <c r="H41" s="41">
        <v>1</v>
      </c>
      <c r="I41" s="41">
        <v>1</v>
      </c>
      <c r="J41" s="108">
        <f>POWER(POWER(Table2[[#This Row],[mv]],4)/10,0.25)</f>
        <v>3.3178138186230597E-3</v>
      </c>
      <c r="K41" s="41">
        <v>0</v>
      </c>
      <c r="L41" s="41">
        <v>55</v>
      </c>
      <c r="M41" s="41">
        <v>-1</v>
      </c>
      <c r="N41" s="41">
        <v>4</v>
      </c>
      <c r="O41" s="110" t="s">
        <v>474</v>
      </c>
      <c r="P41" s="109">
        <v>190647</v>
      </c>
      <c r="Q41" s="107">
        <v>43222</v>
      </c>
      <c r="R41" s="111"/>
      <c r="S41" s="110" t="s">
        <v>468</v>
      </c>
      <c r="T41"/>
      <c r="U41"/>
      <c r="V41"/>
    </row>
    <row r="42" spans="1:22" x14ac:dyDescent="0.3">
      <c r="A42" s="105">
        <v>41</v>
      </c>
      <c r="B42" s="41">
        <v>24000000</v>
      </c>
      <c r="C42" s="41">
        <v>5.8999999999999999E-3</v>
      </c>
      <c r="D42" s="41">
        <v>10</v>
      </c>
      <c r="E42" s="41">
        <v>30</v>
      </c>
      <c r="F42" s="41">
        <v>0</v>
      </c>
      <c r="G42" s="41" t="s">
        <v>104</v>
      </c>
      <c r="H42" s="41">
        <v>1</v>
      </c>
      <c r="I42" s="41">
        <v>1</v>
      </c>
      <c r="J42" s="108">
        <f>POWER(POWER(Table2[[#This Row],[mv]],4)/10,0.25)</f>
        <v>3.3178138186230597E-3</v>
      </c>
      <c r="K42" s="41">
        <v>0</v>
      </c>
      <c r="L42" s="41">
        <v>55</v>
      </c>
      <c r="M42" s="41">
        <v>-1</v>
      </c>
      <c r="N42" s="41">
        <v>4</v>
      </c>
      <c r="O42" s="110" t="s">
        <v>475</v>
      </c>
      <c r="P42" s="109">
        <v>190647</v>
      </c>
      <c r="Q42" s="107">
        <v>43222</v>
      </c>
      <c r="R42" s="111"/>
      <c r="S42" s="110" t="s">
        <v>468</v>
      </c>
      <c r="T42"/>
      <c r="U42"/>
      <c r="V42"/>
    </row>
    <row r="43" spans="1:22" x14ac:dyDescent="0.3">
      <c r="A43" s="105">
        <v>42</v>
      </c>
      <c r="B43" s="41">
        <v>24000000</v>
      </c>
      <c r="C43" s="41">
        <v>5.8999999999999999E-3</v>
      </c>
      <c r="D43" s="41">
        <v>20</v>
      </c>
      <c r="E43" s="41">
        <v>30</v>
      </c>
      <c r="F43" s="41">
        <v>0</v>
      </c>
      <c r="G43" s="41" t="s">
        <v>104</v>
      </c>
      <c r="H43" s="41">
        <v>1</v>
      </c>
      <c r="I43" s="41">
        <v>1</v>
      </c>
      <c r="J43" s="108">
        <f>POWER(POWER(Table2[[#This Row],[mv]],4)/10,0.25)</f>
        <v>3.3178138186230597E-3</v>
      </c>
      <c r="K43" s="41">
        <v>0</v>
      </c>
      <c r="L43" s="41">
        <v>55</v>
      </c>
      <c r="M43" s="41">
        <v>-1</v>
      </c>
      <c r="N43" s="41">
        <v>4</v>
      </c>
      <c r="O43" s="110" t="s">
        <v>476</v>
      </c>
      <c r="P43" s="109">
        <v>190647</v>
      </c>
      <c r="Q43" s="107">
        <v>43222</v>
      </c>
      <c r="R43" s="111"/>
      <c r="S43" s="110" t="s">
        <v>468</v>
      </c>
      <c r="T43"/>
      <c r="U43"/>
      <c r="V43"/>
    </row>
    <row r="44" spans="1:22" x14ac:dyDescent="0.3">
      <c r="A44" s="105">
        <v>43</v>
      </c>
      <c r="B44" s="41">
        <v>24000000</v>
      </c>
      <c r="C44" s="41">
        <v>4.8999999999999998E-3</v>
      </c>
      <c r="D44" s="41">
        <v>0.2</v>
      </c>
      <c r="E44" s="41">
        <v>30</v>
      </c>
      <c r="F44" s="41">
        <v>0</v>
      </c>
      <c r="G44" s="41" t="s">
        <v>104</v>
      </c>
      <c r="H44" s="41">
        <v>1</v>
      </c>
      <c r="I44" s="41">
        <v>1</v>
      </c>
      <c r="J44" s="108">
        <f>POWER(POWER(Table2[[#This Row],[mv]],4)/10,0.25)</f>
        <v>2.7554724934327106E-3</v>
      </c>
      <c r="K44" s="41">
        <v>0</v>
      </c>
      <c r="L44" s="41">
        <v>55</v>
      </c>
      <c r="M44" s="41">
        <v>-1</v>
      </c>
      <c r="N44" s="41">
        <v>4</v>
      </c>
      <c r="O44" s="110" t="s">
        <v>478</v>
      </c>
      <c r="P44" s="109">
        <v>190648</v>
      </c>
      <c r="Q44" s="107">
        <v>43222</v>
      </c>
      <c r="R44" s="111"/>
      <c r="S44" s="110" t="s">
        <v>468</v>
      </c>
      <c r="T44"/>
      <c r="U44"/>
      <c r="V44"/>
    </row>
    <row r="45" spans="1:22" x14ac:dyDescent="0.3">
      <c r="A45" s="105">
        <v>44</v>
      </c>
      <c r="B45" s="41">
        <v>24000000</v>
      </c>
      <c r="C45" s="41">
        <v>4.8999999999999998E-3</v>
      </c>
      <c r="D45" s="41">
        <v>0.5</v>
      </c>
      <c r="E45" s="41">
        <v>30</v>
      </c>
      <c r="F45" s="41">
        <v>0</v>
      </c>
      <c r="G45" s="41" t="s">
        <v>104</v>
      </c>
      <c r="H45" s="41">
        <v>1</v>
      </c>
      <c r="I45" s="41">
        <v>1</v>
      </c>
      <c r="J45" s="108">
        <f>POWER(POWER(Table2[[#This Row],[mv]],4)/10,0.25)</f>
        <v>2.7554724934327106E-3</v>
      </c>
      <c r="K45" s="41">
        <v>0</v>
      </c>
      <c r="L45" s="41">
        <v>55</v>
      </c>
      <c r="M45" s="41">
        <v>-1</v>
      </c>
      <c r="N45" s="41">
        <v>4</v>
      </c>
      <c r="O45" s="110" t="s">
        <v>479</v>
      </c>
      <c r="P45" s="109">
        <v>190648</v>
      </c>
      <c r="Q45" s="107">
        <v>43222</v>
      </c>
      <c r="R45" s="111"/>
      <c r="S45" s="110" t="s">
        <v>468</v>
      </c>
      <c r="T45"/>
      <c r="U45"/>
      <c r="V45"/>
    </row>
    <row r="46" spans="1:22" x14ac:dyDescent="0.3">
      <c r="A46" s="105">
        <v>45</v>
      </c>
      <c r="B46" s="41">
        <v>24000000</v>
      </c>
      <c r="C46" s="41">
        <v>4.8999999999999998E-3</v>
      </c>
      <c r="D46" s="41">
        <v>1</v>
      </c>
      <c r="E46" s="41">
        <v>30</v>
      </c>
      <c r="F46" s="41">
        <v>0</v>
      </c>
      <c r="G46" s="41" t="s">
        <v>104</v>
      </c>
      <c r="H46" s="41">
        <v>1</v>
      </c>
      <c r="I46" s="41">
        <v>1</v>
      </c>
      <c r="J46" s="108">
        <f>POWER(POWER(Table2[[#This Row],[mv]],4)/10,0.25)</f>
        <v>2.7554724934327106E-3</v>
      </c>
      <c r="K46" s="41">
        <v>0</v>
      </c>
      <c r="L46" s="41">
        <v>55</v>
      </c>
      <c r="M46" s="41">
        <v>-1</v>
      </c>
      <c r="N46" s="41">
        <v>4</v>
      </c>
      <c r="O46" s="110" t="s">
        <v>480</v>
      </c>
      <c r="P46" s="109">
        <v>190648</v>
      </c>
      <c r="Q46" s="107">
        <v>43222</v>
      </c>
      <c r="R46" s="111"/>
      <c r="S46" s="110" t="s">
        <v>468</v>
      </c>
      <c r="T46"/>
      <c r="U46"/>
      <c r="V46"/>
    </row>
    <row r="47" spans="1:22" x14ac:dyDescent="0.3">
      <c r="A47" s="105">
        <v>46</v>
      </c>
      <c r="B47" s="41">
        <v>24000000</v>
      </c>
      <c r="C47" s="41">
        <v>4.8999999999999998E-3</v>
      </c>
      <c r="D47" s="41">
        <v>2</v>
      </c>
      <c r="E47" s="41">
        <v>30</v>
      </c>
      <c r="F47" s="41">
        <v>0</v>
      </c>
      <c r="G47" s="41" t="s">
        <v>104</v>
      </c>
      <c r="H47" s="41">
        <v>1</v>
      </c>
      <c r="I47" s="41">
        <v>1</v>
      </c>
      <c r="J47" s="108">
        <f>POWER(POWER(Table2[[#This Row],[mv]],4)/10,0.25)</f>
        <v>2.7554724934327106E-3</v>
      </c>
      <c r="K47" s="41">
        <v>0</v>
      </c>
      <c r="L47" s="41">
        <v>55</v>
      </c>
      <c r="M47" s="41">
        <v>-1</v>
      </c>
      <c r="N47" s="41">
        <v>4</v>
      </c>
      <c r="O47" s="110" t="s">
        <v>481</v>
      </c>
      <c r="P47" s="109">
        <v>190648</v>
      </c>
      <c r="Q47" s="107">
        <v>43222</v>
      </c>
      <c r="R47" s="111"/>
      <c r="S47" s="110" t="s">
        <v>468</v>
      </c>
      <c r="T47"/>
      <c r="U47"/>
      <c r="V47"/>
    </row>
    <row r="48" spans="1:22" x14ac:dyDescent="0.3">
      <c r="A48" s="105">
        <v>47</v>
      </c>
      <c r="B48" s="41">
        <v>24000000</v>
      </c>
      <c r="C48" s="41">
        <v>4.8999999999999998E-3</v>
      </c>
      <c r="D48" s="41">
        <v>5</v>
      </c>
      <c r="E48" s="41">
        <v>30</v>
      </c>
      <c r="F48" s="41">
        <v>0</v>
      </c>
      <c r="G48" s="41" t="s">
        <v>104</v>
      </c>
      <c r="H48" s="41">
        <v>1</v>
      </c>
      <c r="I48" s="41">
        <v>1</v>
      </c>
      <c r="J48" s="108">
        <f>POWER(POWER(Table2[[#This Row],[mv]],4)/10,0.25)</f>
        <v>2.7554724934327106E-3</v>
      </c>
      <c r="K48" s="41">
        <v>0</v>
      </c>
      <c r="L48" s="41">
        <v>55</v>
      </c>
      <c r="M48" s="41">
        <v>-1</v>
      </c>
      <c r="N48" s="41">
        <v>4</v>
      </c>
      <c r="O48" s="110" t="s">
        <v>482</v>
      </c>
      <c r="P48" s="109">
        <v>190648</v>
      </c>
      <c r="Q48" s="107">
        <v>43222</v>
      </c>
      <c r="R48" s="111"/>
      <c r="S48" s="110" t="s">
        <v>468</v>
      </c>
      <c r="T48"/>
      <c r="U48"/>
      <c r="V48"/>
    </row>
    <row r="49" spans="1:22" x14ac:dyDescent="0.3">
      <c r="A49" s="105">
        <v>48</v>
      </c>
      <c r="B49" s="41">
        <v>24000000</v>
      </c>
      <c r="C49" s="41">
        <v>4.8999999999999998E-3</v>
      </c>
      <c r="D49" s="41">
        <v>10</v>
      </c>
      <c r="E49" s="41">
        <v>30</v>
      </c>
      <c r="F49" s="41">
        <v>0</v>
      </c>
      <c r="G49" s="41" t="s">
        <v>104</v>
      </c>
      <c r="H49" s="41">
        <v>1</v>
      </c>
      <c r="I49" s="41">
        <v>1</v>
      </c>
      <c r="J49" s="108">
        <f>POWER(POWER(Table2[[#This Row],[mv]],4)/10,0.25)</f>
        <v>2.7554724934327106E-3</v>
      </c>
      <c r="K49" s="41">
        <v>0</v>
      </c>
      <c r="L49" s="41">
        <v>55</v>
      </c>
      <c r="M49" s="41">
        <v>-1</v>
      </c>
      <c r="N49" s="41">
        <v>4</v>
      </c>
      <c r="O49" s="110" t="s">
        <v>483</v>
      </c>
      <c r="P49" s="109">
        <v>190648</v>
      </c>
      <c r="Q49" s="107">
        <v>43222</v>
      </c>
      <c r="R49" s="111"/>
      <c r="S49" s="110" t="s">
        <v>468</v>
      </c>
      <c r="T49"/>
      <c r="U49"/>
      <c r="V49"/>
    </row>
    <row r="50" spans="1:22" x14ac:dyDescent="0.3">
      <c r="A50" s="105">
        <v>49</v>
      </c>
      <c r="B50" s="41">
        <v>24000000</v>
      </c>
      <c r="C50" s="41">
        <v>4.8999999999999998E-3</v>
      </c>
      <c r="D50" s="41">
        <v>20</v>
      </c>
      <c r="E50" s="41">
        <v>30</v>
      </c>
      <c r="F50" s="41">
        <v>0</v>
      </c>
      <c r="G50" s="41" t="s">
        <v>104</v>
      </c>
      <c r="H50" s="41">
        <v>1</v>
      </c>
      <c r="I50" s="41">
        <v>1</v>
      </c>
      <c r="J50" s="108">
        <f>POWER(POWER(Table2[[#This Row],[mv]],4)/10,0.25)</f>
        <v>2.7554724934327106E-3</v>
      </c>
      <c r="K50" s="41">
        <v>0</v>
      </c>
      <c r="L50" s="41">
        <v>55</v>
      </c>
      <c r="M50" s="41">
        <v>-1</v>
      </c>
      <c r="N50" s="41">
        <v>4</v>
      </c>
      <c r="O50" s="110" t="s">
        <v>484</v>
      </c>
      <c r="P50" s="109">
        <v>190648</v>
      </c>
      <c r="Q50" s="107">
        <v>43222</v>
      </c>
      <c r="R50" s="111"/>
      <c r="S50" s="110" t="s">
        <v>468</v>
      </c>
      <c r="T50"/>
      <c r="U50"/>
      <c r="V50"/>
    </row>
    <row r="51" spans="1:22" x14ac:dyDescent="0.3">
      <c r="A51" s="105">
        <v>50</v>
      </c>
      <c r="B51" s="41">
        <v>24000000</v>
      </c>
      <c r="C51" s="41">
        <f t="shared" ref="C51:C57" si="0">0.007/POWER(8,0.25)</f>
        <v>4.1622249025095237E-3</v>
      </c>
      <c r="D51" s="41">
        <v>0.2</v>
      </c>
      <c r="E51" s="41">
        <v>30</v>
      </c>
      <c r="F51" s="41">
        <v>0</v>
      </c>
      <c r="G51" s="41" t="s">
        <v>104</v>
      </c>
      <c r="H51" s="41">
        <v>1</v>
      </c>
      <c r="I51" s="41">
        <v>1</v>
      </c>
      <c r="J51" s="108">
        <f>POWER(POWER(Table2[[#This Row],[mv]],4)/10,0.25)</f>
        <v>2.3405910674174761E-3</v>
      </c>
      <c r="K51" s="41">
        <v>0</v>
      </c>
      <c r="L51" s="41">
        <v>55</v>
      </c>
      <c r="M51" s="41">
        <v>-1</v>
      </c>
      <c r="N51" s="41">
        <v>4</v>
      </c>
      <c r="O51" s="110" t="s">
        <v>485</v>
      </c>
      <c r="P51" s="109">
        <v>190649</v>
      </c>
      <c r="Q51" s="107">
        <v>43223</v>
      </c>
      <c r="R51" s="111"/>
      <c r="S51" s="110" t="s">
        <v>468</v>
      </c>
      <c r="T51"/>
      <c r="U51"/>
      <c r="V51"/>
    </row>
    <row r="52" spans="1:22" x14ac:dyDescent="0.3">
      <c r="A52" s="105">
        <v>51</v>
      </c>
      <c r="B52" s="41">
        <v>24000000</v>
      </c>
      <c r="C52" s="41">
        <f t="shared" si="0"/>
        <v>4.1622249025095237E-3</v>
      </c>
      <c r="D52" s="41">
        <v>0.5</v>
      </c>
      <c r="E52" s="41">
        <v>30</v>
      </c>
      <c r="F52" s="41">
        <v>0</v>
      </c>
      <c r="G52" s="41" t="s">
        <v>104</v>
      </c>
      <c r="H52" s="41">
        <v>1</v>
      </c>
      <c r="I52" s="41">
        <v>1</v>
      </c>
      <c r="J52" s="108">
        <f>POWER(POWER(Table2[[#This Row],[mv]],4)/10,0.25)</f>
        <v>2.3405910674174761E-3</v>
      </c>
      <c r="K52" s="41">
        <v>0</v>
      </c>
      <c r="L52" s="41">
        <v>55</v>
      </c>
      <c r="M52" s="41">
        <v>-1</v>
      </c>
      <c r="N52" s="41">
        <v>4</v>
      </c>
      <c r="O52" s="110" t="s">
        <v>486</v>
      </c>
      <c r="P52" s="109">
        <v>190649</v>
      </c>
      <c r="Q52" s="107">
        <v>43223</v>
      </c>
      <c r="R52" s="111"/>
      <c r="S52" s="110" t="s">
        <v>468</v>
      </c>
      <c r="T52"/>
      <c r="U52"/>
      <c r="V52"/>
    </row>
    <row r="53" spans="1:22" x14ac:dyDescent="0.3">
      <c r="A53" s="105">
        <v>52</v>
      </c>
      <c r="B53" s="41">
        <v>24000000</v>
      </c>
      <c r="C53" s="41">
        <f t="shared" si="0"/>
        <v>4.1622249025095237E-3</v>
      </c>
      <c r="D53" s="41">
        <v>1</v>
      </c>
      <c r="E53" s="41">
        <v>30</v>
      </c>
      <c r="F53" s="41">
        <v>0</v>
      </c>
      <c r="G53" s="41" t="s">
        <v>104</v>
      </c>
      <c r="H53" s="41">
        <v>1</v>
      </c>
      <c r="I53" s="41">
        <v>1</v>
      </c>
      <c r="J53" s="108">
        <f>POWER(POWER(Table2[[#This Row],[mv]],4)/10,0.25)</f>
        <v>2.3405910674174761E-3</v>
      </c>
      <c r="K53" s="41">
        <v>0</v>
      </c>
      <c r="L53" s="41">
        <v>55</v>
      </c>
      <c r="M53" s="41">
        <v>-1</v>
      </c>
      <c r="N53" s="41">
        <v>4</v>
      </c>
      <c r="O53" s="110" t="s">
        <v>487</v>
      </c>
      <c r="P53" s="109">
        <v>190649</v>
      </c>
      <c r="Q53" s="107">
        <v>43223</v>
      </c>
      <c r="R53" s="111"/>
      <c r="S53" s="110" t="s">
        <v>468</v>
      </c>
      <c r="T53"/>
      <c r="U53"/>
      <c r="V53"/>
    </row>
    <row r="54" spans="1:22" x14ac:dyDescent="0.3">
      <c r="A54" s="105">
        <v>53</v>
      </c>
      <c r="B54" s="41">
        <v>24000000</v>
      </c>
      <c r="C54" s="41">
        <f t="shared" si="0"/>
        <v>4.1622249025095237E-3</v>
      </c>
      <c r="D54" s="41">
        <v>2</v>
      </c>
      <c r="E54" s="41">
        <v>30</v>
      </c>
      <c r="F54" s="41">
        <v>0</v>
      </c>
      <c r="G54" s="41" t="s">
        <v>104</v>
      </c>
      <c r="H54" s="41">
        <v>1</v>
      </c>
      <c r="I54" s="41">
        <v>1</v>
      </c>
      <c r="J54" s="108">
        <f>POWER(POWER(Table2[[#This Row],[mv]],4)/10,0.25)</f>
        <v>2.3405910674174761E-3</v>
      </c>
      <c r="K54" s="41">
        <v>0</v>
      </c>
      <c r="L54" s="41">
        <v>55</v>
      </c>
      <c r="M54" s="41">
        <v>-1</v>
      </c>
      <c r="N54" s="41">
        <v>4</v>
      </c>
      <c r="O54" s="110" t="s">
        <v>488</v>
      </c>
      <c r="P54" s="109">
        <v>190649</v>
      </c>
      <c r="Q54" s="107">
        <v>43223</v>
      </c>
      <c r="R54" s="111"/>
      <c r="S54" s="110" t="s">
        <v>468</v>
      </c>
      <c r="T54"/>
      <c r="U54"/>
      <c r="V54"/>
    </row>
    <row r="55" spans="1:22" x14ac:dyDescent="0.3">
      <c r="A55" s="105">
        <v>54</v>
      </c>
      <c r="B55" s="41">
        <v>24000000</v>
      </c>
      <c r="C55" s="41">
        <f t="shared" si="0"/>
        <v>4.1622249025095237E-3</v>
      </c>
      <c r="D55" s="41">
        <v>5</v>
      </c>
      <c r="E55" s="41">
        <v>30</v>
      </c>
      <c r="F55" s="41">
        <v>0</v>
      </c>
      <c r="G55" s="41" t="s">
        <v>104</v>
      </c>
      <c r="H55" s="41">
        <v>1</v>
      </c>
      <c r="I55" s="41">
        <v>1</v>
      </c>
      <c r="J55" s="108">
        <f>POWER(POWER(Table2[[#This Row],[mv]],4)/10,0.25)</f>
        <v>2.3405910674174761E-3</v>
      </c>
      <c r="K55" s="41">
        <v>0</v>
      </c>
      <c r="L55" s="41">
        <v>55</v>
      </c>
      <c r="M55" s="41">
        <v>-1</v>
      </c>
      <c r="N55" s="41">
        <v>4</v>
      </c>
      <c r="O55" s="110" t="s">
        <v>489</v>
      </c>
      <c r="P55" s="109">
        <v>190649</v>
      </c>
      <c r="Q55" s="107">
        <v>43223</v>
      </c>
      <c r="R55" s="111"/>
      <c r="S55" s="110" t="s">
        <v>468</v>
      </c>
      <c r="T55"/>
      <c r="U55"/>
      <c r="V55"/>
    </row>
    <row r="56" spans="1:22" x14ac:dyDescent="0.3">
      <c r="A56" s="105">
        <v>55</v>
      </c>
      <c r="B56" s="41">
        <v>24000000</v>
      </c>
      <c r="C56" s="41">
        <f t="shared" si="0"/>
        <v>4.1622249025095237E-3</v>
      </c>
      <c r="D56" s="41">
        <v>10</v>
      </c>
      <c r="E56" s="41">
        <v>30</v>
      </c>
      <c r="F56" s="41">
        <v>0</v>
      </c>
      <c r="G56" s="41" t="s">
        <v>104</v>
      </c>
      <c r="H56" s="41">
        <v>1</v>
      </c>
      <c r="I56" s="41">
        <v>1</v>
      </c>
      <c r="J56" s="108">
        <f>POWER(POWER(Table2[[#This Row],[mv]],4)/10,0.25)</f>
        <v>2.3405910674174761E-3</v>
      </c>
      <c r="K56" s="41">
        <v>0</v>
      </c>
      <c r="L56" s="41">
        <v>55</v>
      </c>
      <c r="M56" s="41">
        <v>-1</v>
      </c>
      <c r="N56" s="41">
        <v>4</v>
      </c>
      <c r="O56" s="110" t="s">
        <v>490</v>
      </c>
      <c r="P56" s="109">
        <v>190649</v>
      </c>
      <c r="Q56" s="107">
        <v>43223</v>
      </c>
      <c r="R56" s="111"/>
      <c r="S56" s="110" t="s">
        <v>468</v>
      </c>
      <c r="T56"/>
      <c r="U56"/>
      <c r="V56"/>
    </row>
    <row r="57" spans="1:22" x14ac:dyDescent="0.3">
      <c r="A57" s="105">
        <v>56</v>
      </c>
      <c r="B57" s="41">
        <v>24000000</v>
      </c>
      <c r="C57" s="41">
        <f t="shared" si="0"/>
        <v>4.1622249025095237E-3</v>
      </c>
      <c r="D57" s="41">
        <v>20</v>
      </c>
      <c r="E57" s="41">
        <v>30</v>
      </c>
      <c r="F57" s="41">
        <v>0</v>
      </c>
      <c r="G57" s="41" t="s">
        <v>104</v>
      </c>
      <c r="H57" s="41">
        <v>1</v>
      </c>
      <c r="I57" s="41">
        <v>1</v>
      </c>
      <c r="J57" s="108">
        <f>POWER(POWER(Table2[[#This Row],[mv]],4)/10,0.25)</f>
        <v>2.3405910674174761E-3</v>
      </c>
      <c r="K57" s="41">
        <v>0</v>
      </c>
      <c r="L57" s="41">
        <v>55</v>
      </c>
      <c r="M57" s="41">
        <v>-1</v>
      </c>
      <c r="N57" s="41">
        <v>4</v>
      </c>
      <c r="O57" s="110" t="s">
        <v>491</v>
      </c>
      <c r="P57" s="109">
        <v>190649</v>
      </c>
      <c r="Q57" s="107">
        <v>43223</v>
      </c>
      <c r="R57" s="111"/>
      <c r="S57" s="110" t="s">
        <v>468</v>
      </c>
      <c r="T57"/>
      <c r="U57"/>
      <c r="V57"/>
    </row>
    <row r="58" spans="1:22" x14ac:dyDescent="0.3">
      <c r="A58" s="105">
        <v>57</v>
      </c>
      <c r="B58" s="41">
        <v>24000000</v>
      </c>
      <c r="C58" s="41">
        <f t="shared" ref="C58:C66" si="1">0.007*POWER(8,0.25)</f>
        <v>1.1772549813552004E-2</v>
      </c>
      <c r="D58" s="41">
        <v>0.2</v>
      </c>
      <c r="E58" s="41">
        <v>30</v>
      </c>
      <c r="F58" s="41">
        <v>0</v>
      </c>
      <c r="G58" s="41" t="s">
        <v>104</v>
      </c>
      <c r="H58" s="41">
        <v>1</v>
      </c>
      <c r="I58" s="41">
        <v>1</v>
      </c>
      <c r="J58" s="108">
        <f>POWER(POWER(Table2[[#This Row],[mv]],4)/10,0.25)</f>
        <v>6.6201912630222291E-3</v>
      </c>
      <c r="K58" s="41">
        <v>0</v>
      </c>
      <c r="L58" s="41">
        <v>55</v>
      </c>
      <c r="M58" s="41">
        <v>-1</v>
      </c>
      <c r="N58" s="41">
        <v>4</v>
      </c>
      <c r="O58" s="110" t="s">
        <v>492</v>
      </c>
      <c r="P58" s="109">
        <v>190649</v>
      </c>
      <c r="Q58" s="107">
        <v>43223</v>
      </c>
      <c r="R58" s="111"/>
      <c r="S58" s="110" t="s">
        <v>468</v>
      </c>
      <c r="T58"/>
      <c r="U58"/>
      <c r="V58"/>
    </row>
    <row r="59" spans="1:22" x14ac:dyDescent="0.3">
      <c r="A59" s="105">
        <v>58</v>
      </c>
      <c r="B59" s="41">
        <v>24000000</v>
      </c>
      <c r="C59" s="41">
        <f t="shared" si="1"/>
        <v>1.1772549813552004E-2</v>
      </c>
      <c r="D59" s="41">
        <v>0.5</v>
      </c>
      <c r="E59" s="41">
        <v>30</v>
      </c>
      <c r="F59" s="41">
        <v>0</v>
      </c>
      <c r="G59" s="41" t="s">
        <v>104</v>
      </c>
      <c r="H59" s="41">
        <v>1</v>
      </c>
      <c r="I59" s="41">
        <v>1</v>
      </c>
      <c r="J59" s="108">
        <f>POWER(POWER(Table2[[#This Row],[mv]],4)/10,0.25)</f>
        <v>6.6201912630222291E-3</v>
      </c>
      <c r="K59" s="41">
        <v>0</v>
      </c>
      <c r="L59" s="41">
        <v>55</v>
      </c>
      <c r="M59" s="41">
        <v>-1</v>
      </c>
      <c r="N59" s="41">
        <v>4</v>
      </c>
      <c r="O59" s="110" t="s">
        <v>493</v>
      </c>
      <c r="P59" s="109">
        <v>190649</v>
      </c>
      <c r="Q59" s="107">
        <v>43223</v>
      </c>
      <c r="R59" s="111"/>
      <c r="S59" s="110" t="s">
        <v>468</v>
      </c>
      <c r="T59"/>
      <c r="U59"/>
      <c r="V59"/>
    </row>
    <row r="60" spans="1:22" x14ac:dyDescent="0.3">
      <c r="A60" s="105">
        <v>59</v>
      </c>
      <c r="B60" s="41">
        <v>24000000</v>
      </c>
      <c r="C60" s="41">
        <f t="shared" si="1"/>
        <v>1.1772549813552004E-2</v>
      </c>
      <c r="D60" s="41">
        <v>1</v>
      </c>
      <c r="E60" s="41">
        <v>30</v>
      </c>
      <c r="F60" s="41">
        <v>0</v>
      </c>
      <c r="G60" s="41" t="s">
        <v>104</v>
      </c>
      <c r="H60" s="41">
        <v>1</v>
      </c>
      <c r="I60" s="41">
        <v>1</v>
      </c>
      <c r="J60" s="108">
        <f>POWER(POWER(Table2[[#This Row],[mv]],4)/10,0.25)</f>
        <v>6.6201912630222291E-3</v>
      </c>
      <c r="K60" s="41">
        <v>0</v>
      </c>
      <c r="L60" s="41">
        <v>55</v>
      </c>
      <c r="M60" s="41">
        <v>-1</v>
      </c>
      <c r="N60" s="41">
        <v>4</v>
      </c>
      <c r="O60" s="110" t="s">
        <v>494</v>
      </c>
      <c r="P60" s="109">
        <v>190649</v>
      </c>
      <c r="Q60" s="107">
        <v>43223</v>
      </c>
      <c r="R60" s="111"/>
      <c r="S60" s="110" t="s">
        <v>468</v>
      </c>
      <c r="T60"/>
      <c r="U60"/>
      <c r="V60"/>
    </row>
    <row r="61" spans="1:22" x14ac:dyDescent="0.3">
      <c r="A61" s="105">
        <v>60</v>
      </c>
      <c r="B61" s="41">
        <v>24000000</v>
      </c>
      <c r="C61" s="41">
        <f t="shared" si="1"/>
        <v>1.1772549813552004E-2</v>
      </c>
      <c r="D61" s="41">
        <v>2</v>
      </c>
      <c r="E61" s="41">
        <v>30</v>
      </c>
      <c r="F61" s="41">
        <v>0</v>
      </c>
      <c r="G61" s="41" t="s">
        <v>104</v>
      </c>
      <c r="H61" s="41">
        <v>1</v>
      </c>
      <c r="I61" s="41">
        <v>1</v>
      </c>
      <c r="J61" s="108">
        <f>POWER(POWER(Table2[[#This Row],[mv]],4)/10,0.25)</f>
        <v>6.6201912630222291E-3</v>
      </c>
      <c r="K61" s="41">
        <v>0</v>
      </c>
      <c r="L61" s="41">
        <v>55</v>
      </c>
      <c r="M61" s="41">
        <v>-1</v>
      </c>
      <c r="N61" s="41">
        <v>4</v>
      </c>
      <c r="O61" s="110" t="s">
        <v>495</v>
      </c>
      <c r="P61" s="109">
        <v>190649</v>
      </c>
      <c r="Q61" s="107">
        <v>43223</v>
      </c>
      <c r="R61" s="111"/>
      <c r="S61" s="110" t="s">
        <v>468</v>
      </c>
      <c r="T61"/>
      <c r="U61"/>
      <c r="V61"/>
    </row>
    <row r="62" spans="1:22" x14ac:dyDescent="0.3">
      <c r="A62" s="105">
        <v>61</v>
      </c>
      <c r="B62" s="41">
        <v>24000000</v>
      </c>
      <c r="C62" s="41">
        <f t="shared" si="1"/>
        <v>1.1772549813552004E-2</v>
      </c>
      <c r="D62" s="41">
        <v>5</v>
      </c>
      <c r="E62" s="41">
        <v>30</v>
      </c>
      <c r="F62" s="41">
        <v>0</v>
      </c>
      <c r="G62" s="41" t="s">
        <v>104</v>
      </c>
      <c r="H62" s="41">
        <v>1</v>
      </c>
      <c r="I62" s="41">
        <v>1</v>
      </c>
      <c r="J62" s="108">
        <f>POWER(POWER(Table2[[#This Row],[mv]],4)/10,0.25)</f>
        <v>6.6201912630222291E-3</v>
      </c>
      <c r="K62" s="41">
        <v>0</v>
      </c>
      <c r="L62" s="41">
        <v>55</v>
      </c>
      <c r="M62" s="41">
        <v>-1</v>
      </c>
      <c r="N62" s="41">
        <v>4</v>
      </c>
      <c r="O62" s="110" t="s">
        <v>496</v>
      </c>
      <c r="P62" s="109">
        <v>190649</v>
      </c>
      <c r="Q62" s="107">
        <v>43223</v>
      </c>
      <c r="R62" s="111"/>
      <c r="S62" s="110" t="s">
        <v>468</v>
      </c>
      <c r="T62"/>
      <c r="U62"/>
      <c r="V62"/>
    </row>
    <row r="63" spans="1:22" x14ac:dyDescent="0.3">
      <c r="A63" s="105">
        <v>62</v>
      </c>
      <c r="B63" s="41">
        <v>24000000</v>
      </c>
      <c r="C63" s="41">
        <f t="shared" si="1"/>
        <v>1.1772549813552004E-2</v>
      </c>
      <c r="D63" s="41">
        <v>10</v>
      </c>
      <c r="E63" s="41">
        <v>30</v>
      </c>
      <c r="F63" s="41">
        <v>0</v>
      </c>
      <c r="G63" s="41" t="s">
        <v>104</v>
      </c>
      <c r="H63" s="41">
        <v>1</v>
      </c>
      <c r="I63" s="41">
        <v>1</v>
      </c>
      <c r="J63" s="108">
        <f>POWER(POWER(Table2[[#This Row],[mv]],4)/10,0.25)</f>
        <v>6.6201912630222291E-3</v>
      </c>
      <c r="K63" s="41">
        <v>0</v>
      </c>
      <c r="L63" s="41">
        <v>55</v>
      </c>
      <c r="M63" s="41">
        <v>-1</v>
      </c>
      <c r="N63" s="41">
        <v>4</v>
      </c>
      <c r="O63" s="110" t="s">
        <v>497</v>
      </c>
      <c r="P63" s="109">
        <v>190649</v>
      </c>
      <c r="Q63" s="107">
        <v>43223</v>
      </c>
      <c r="R63" s="111"/>
      <c r="S63" s="110" t="s">
        <v>468</v>
      </c>
      <c r="T63"/>
      <c r="U63"/>
      <c r="V63"/>
    </row>
    <row r="64" spans="1:22" x14ac:dyDescent="0.3">
      <c r="A64" s="105">
        <v>63</v>
      </c>
      <c r="B64" s="41">
        <v>24000000</v>
      </c>
      <c r="C64" s="41">
        <f t="shared" si="1"/>
        <v>1.1772549813552004E-2</v>
      </c>
      <c r="D64" s="41">
        <v>20</v>
      </c>
      <c r="E64" s="41">
        <v>30</v>
      </c>
      <c r="F64" s="41">
        <v>0</v>
      </c>
      <c r="G64" s="41" t="s">
        <v>104</v>
      </c>
      <c r="H64" s="41">
        <v>1</v>
      </c>
      <c r="I64" s="41">
        <v>1</v>
      </c>
      <c r="J64" s="108">
        <f>POWER(POWER(Table2[[#This Row],[mv]],4)/10,0.25)</f>
        <v>6.6201912630222291E-3</v>
      </c>
      <c r="K64" s="41">
        <v>0</v>
      </c>
      <c r="L64" s="41">
        <v>55</v>
      </c>
      <c r="M64" s="41">
        <v>-1</v>
      </c>
      <c r="N64" s="41">
        <v>4</v>
      </c>
      <c r="O64" s="110" t="s">
        <v>498</v>
      </c>
      <c r="P64" s="109">
        <v>190649</v>
      </c>
      <c r="Q64" s="107">
        <v>43223</v>
      </c>
      <c r="R64" s="111"/>
      <c r="S64" s="110" t="s">
        <v>468</v>
      </c>
      <c r="T64"/>
      <c r="U64"/>
      <c r="V64"/>
    </row>
    <row r="65" spans="1:22" x14ac:dyDescent="0.3">
      <c r="A65" s="105">
        <v>64</v>
      </c>
      <c r="B65" s="41">
        <v>24000000</v>
      </c>
      <c r="C65" s="41">
        <f t="shared" si="1"/>
        <v>1.1772549813552004E-2</v>
      </c>
      <c r="D65" s="41">
        <v>0.5</v>
      </c>
      <c r="E65" s="41">
        <v>30</v>
      </c>
      <c r="F65" s="41">
        <v>0</v>
      </c>
      <c r="G65" s="41" t="s">
        <v>104</v>
      </c>
      <c r="H65" s="41">
        <v>2</v>
      </c>
      <c r="I65" s="41">
        <v>1</v>
      </c>
      <c r="J65" s="108">
        <f>POWER(POWER(Table2[[#This Row],[mv]],4)/10,0.25)</f>
        <v>6.6201912630222291E-3</v>
      </c>
      <c r="K65" s="41">
        <v>0</v>
      </c>
      <c r="L65" s="41">
        <v>55</v>
      </c>
      <c r="M65" s="41">
        <v>-1</v>
      </c>
      <c r="N65" s="41">
        <v>4</v>
      </c>
      <c r="O65" s="110" t="s">
        <v>503</v>
      </c>
      <c r="P65" s="109">
        <v>192218</v>
      </c>
      <c r="Q65" s="107"/>
      <c r="R65" s="111"/>
      <c r="S65" s="110" t="s">
        <v>1182</v>
      </c>
      <c r="T65"/>
      <c r="U65"/>
      <c r="V65"/>
    </row>
    <row r="66" spans="1:22" x14ac:dyDescent="0.3">
      <c r="A66" s="105">
        <v>65</v>
      </c>
      <c r="B66" s="41">
        <v>24000000</v>
      </c>
      <c r="C66" s="41">
        <f t="shared" si="1"/>
        <v>1.1772549813552004E-2</v>
      </c>
      <c r="D66" s="41">
        <v>2</v>
      </c>
      <c r="E66" s="41">
        <v>30</v>
      </c>
      <c r="F66" s="41">
        <v>0</v>
      </c>
      <c r="G66" s="41" t="s">
        <v>104</v>
      </c>
      <c r="H66" s="41">
        <v>2</v>
      </c>
      <c r="I66" s="41">
        <v>1</v>
      </c>
      <c r="J66" s="108">
        <f>POWER(POWER(Table2[[#This Row],[mv]],4)/10,0.25)</f>
        <v>6.6201912630222291E-3</v>
      </c>
      <c r="K66" s="41">
        <v>0</v>
      </c>
      <c r="L66" s="41">
        <v>55</v>
      </c>
      <c r="M66" s="41">
        <v>-1</v>
      </c>
      <c r="N66" s="41">
        <v>4</v>
      </c>
      <c r="O66" s="110" t="s">
        <v>504</v>
      </c>
      <c r="P66" s="109">
        <v>192218</v>
      </c>
      <c r="Q66" s="107"/>
      <c r="R66" s="111"/>
      <c r="S66" s="110" t="s">
        <v>1182</v>
      </c>
      <c r="T66"/>
      <c r="U66"/>
      <c r="V66"/>
    </row>
    <row r="67" spans="1:22" x14ac:dyDescent="0.3">
      <c r="A67" s="105">
        <v>66</v>
      </c>
      <c r="B67" s="41">
        <v>24000000</v>
      </c>
      <c r="C67" s="41">
        <v>7.0000000000000001E-3</v>
      </c>
      <c r="D67" s="41">
        <v>0.2</v>
      </c>
      <c r="E67" s="41">
        <v>30</v>
      </c>
      <c r="F67" s="41">
        <v>0</v>
      </c>
      <c r="G67" s="41" t="s">
        <v>507</v>
      </c>
      <c r="H67" s="41">
        <v>1</v>
      </c>
      <c r="I67" s="41">
        <v>1</v>
      </c>
      <c r="J67" s="108">
        <f>POWER(POWER(Table2[[#This Row],[mv]],4)/10,0.25)</f>
        <v>3.9363892763324441E-3</v>
      </c>
      <c r="K67" s="41">
        <v>0</v>
      </c>
      <c r="L67" s="41">
        <v>55</v>
      </c>
      <c r="M67" s="41">
        <v>-1</v>
      </c>
      <c r="N67" s="41">
        <v>4</v>
      </c>
      <c r="O67" s="110" t="s">
        <v>508</v>
      </c>
      <c r="P67" s="109">
        <v>191112</v>
      </c>
      <c r="Q67" s="107"/>
      <c r="R67" s="111"/>
      <c r="S67" s="110" t="s">
        <v>1188</v>
      </c>
      <c r="T67"/>
      <c r="U67"/>
      <c r="V67"/>
    </row>
    <row r="68" spans="1:22" x14ac:dyDescent="0.3">
      <c r="A68" s="105">
        <v>67</v>
      </c>
      <c r="B68" s="41">
        <v>24000000</v>
      </c>
      <c r="C68" s="41">
        <v>7.0000000000000001E-3</v>
      </c>
      <c r="D68" s="41">
        <v>0.5</v>
      </c>
      <c r="E68" s="41">
        <v>30</v>
      </c>
      <c r="F68" s="41">
        <v>0</v>
      </c>
      <c r="G68" s="41" t="s">
        <v>507</v>
      </c>
      <c r="H68" s="41">
        <v>1</v>
      </c>
      <c r="I68" s="41">
        <v>1</v>
      </c>
      <c r="J68" s="108">
        <f>POWER(POWER(Table2[[#This Row],[mv]],4)/10,0.25)</f>
        <v>3.9363892763324441E-3</v>
      </c>
      <c r="K68" s="41">
        <v>0</v>
      </c>
      <c r="L68" s="41">
        <v>55</v>
      </c>
      <c r="M68" s="41">
        <v>-1</v>
      </c>
      <c r="N68" s="41">
        <v>4</v>
      </c>
      <c r="O68" s="110" t="s">
        <v>509</v>
      </c>
      <c r="P68" s="109">
        <v>191112</v>
      </c>
      <c r="Q68" s="107"/>
      <c r="R68" s="111"/>
      <c r="S68" s="110" t="s">
        <v>1188</v>
      </c>
      <c r="T68"/>
      <c r="U68"/>
      <c r="V68"/>
    </row>
    <row r="69" spans="1:22" x14ac:dyDescent="0.3">
      <c r="A69" s="105">
        <v>68</v>
      </c>
      <c r="B69" s="41">
        <v>24000000</v>
      </c>
      <c r="C69" s="41">
        <v>7.0000000000000001E-3</v>
      </c>
      <c r="D69" s="41">
        <v>1</v>
      </c>
      <c r="E69" s="41">
        <v>30</v>
      </c>
      <c r="F69" s="41">
        <v>0</v>
      </c>
      <c r="G69" s="41" t="s">
        <v>507</v>
      </c>
      <c r="H69" s="41">
        <v>1</v>
      </c>
      <c r="I69" s="41">
        <v>1</v>
      </c>
      <c r="J69" s="108">
        <f>POWER(POWER(Table2[[#This Row],[mv]],4)/10,0.25)</f>
        <v>3.9363892763324441E-3</v>
      </c>
      <c r="K69" s="41">
        <v>0</v>
      </c>
      <c r="L69" s="41">
        <v>55</v>
      </c>
      <c r="M69" s="41">
        <v>-1</v>
      </c>
      <c r="N69" s="41">
        <v>4</v>
      </c>
      <c r="O69" s="110" t="s">
        <v>510</v>
      </c>
      <c r="P69" s="109">
        <v>191112</v>
      </c>
      <c r="Q69" s="107"/>
      <c r="R69" s="111"/>
      <c r="S69" s="110" t="s">
        <v>1188</v>
      </c>
      <c r="T69"/>
      <c r="U69"/>
      <c r="V69"/>
    </row>
    <row r="70" spans="1:22" x14ac:dyDescent="0.3">
      <c r="A70" s="105">
        <v>69</v>
      </c>
      <c r="B70" s="41">
        <v>24000000</v>
      </c>
      <c r="C70" s="41">
        <v>7.0000000000000001E-3</v>
      </c>
      <c r="D70" s="41">
        <v>2</v>
      </c>
      <c r="E70" s="41">
        <v>30</v>
      </c>
      <c r="F70" s="41">
        <v>0</v>
      </c>
      <c r="G70" s="41" t="s">
        <v>507</v>
      </c>
      <c r="H70" s="41">
        <v>1</v>
      </c>
      <c r="I70" s="41">
        <v>1</v>
      </c>
      <c r="J70" s="108">
        <f>POWER(POWER(Table2[[#This Row],[mv]],4)/10,0.25)</f>
        <v>3.9363892763324441E-3</v>
      </c>
      <c r="K70" s="41">
        <v>0</v>
      </c>
      <c r="L70" s="41">
        <v>55</v>
      </c>
      <c r="M70" s="41">
        <v>-1</v>
      </c>
      <c r="N70" s="41">
        <v>4</v>
      </c>
      <c r="O70" s="110" t="s">
        <v>511</v>
      </c>
      <c r="P70" s="109">
        <v>191216</v>
      </c>
      <c r="Q70" s="107"/>
      <c r="R70" s="111"/>
      <c r="S70" s="110" t="s">
        <v>1188</v>
      </c>
      <c r="T70"/>
      <c r="U70"/>
      <c r="V70"/>
    </row>
    <row r="71" spans="1:22" x14ac:dyDescent="0.3">
      <c r="A71" s="105">
        <v>70</v>
      </c>
      <c r="B71" s="41">
        <v>24000000</v>
      </c>
      <c r="C71" s="41">
        <v>7.0000000000000001E-3</v>
      </c>
      <c r="D71" s="41">
        <v>5</v>
      </c>
      <c r="E71" s="41">
        <v>30</v>
      </c>
      <c r="F71" s="41">
        <v>0</v>
      </c>
      <c r="G71" s="41" t="s">
        <v>507</v>
      </c>
      <c r="H71" s="41">
        <v>1</v>
      </c>
      <c r="I71" s="41">
        <v>1</v>
      </c>
      <c r="J71" s="108">
        <f>POWER(POWER(Table2[[#This Row],[mv]],4)/10,0.25)</f>
        <v>3.9363892763324441E-3</v>
      </c>
      <c r="K71" s="41">
        <v>0</v>
      </c>
      <c r="L71" s="41">
        <v>55</v>
      </c>
      <c r="M71" s="41">
        <v>-1</v>
      </c>
      <c r="N71" s="41">
        <v>4</v>
      </c>
      <c r="O71" s="110" t="s">
        <v>512</v>
      </c>
      <c r="P71" s="109">
        <v>191216</v>
      </c>
      <c r="Q71" s="107"/>
      <c r="R71" s="111"/>
      <c r="S71" s="110" t="s">
        <v>1188</v>
      </c>
      <c r="T71"/>
      <c r="U71"/>
      <c r="V71"/>
    </row>
    <row r="72" spans="1:22" x14ac:dyDescent="0.3">
      <c r="A72" s="105">
        <v>71</v>
      </c>
      <c r="B72" s="41">
        <v>24000000</v>
      </c>
      <c r="C72" s="41">
        <v>7.0000000000000001E-3</v>
      </c>
      <c r="D72" s="41">
        <v>10</v>
      </c>
      <c r="E72" s="41">
        <v>30</v>
      </c>
      <c r="F72" s="41">
        <v>0</v>
      </c>
      <c r="G72" s="41" t="s">
        <v>507</v>
      </c>
      <c r="H72" s="41">
        <v>1</v>
      </c>
      <c r="I72" s="41">
        <v>1</v>
      </c>
      <c r="J72" s="108">
        <f>POWER(POWER(Table2[[#This Row],[mv]],4)/10,0.25)</f>
        <v>3.9363892763324441E-3</v>
      </c>
      <c r="K72" s="41">
        <v>0</v>
      </c>
      <c r="L72" s="41">
        <v>55</v>
      </c>
      <c r="M72" s="41">
        <v>-1</v>
      </c>
      <c r="N72" s="41">
        <v>4</v>
      </c>
      <c r="O72" s="110" t="s">
        <v>513</v>
      </c>
      <c r="P72" s="109">
        <v>191217</v>
      </c>
      <c r="Q72" s="107"/>
      <c r="R72" s="111"/>
      <c r="S72" s="110" t="s">
        <v>1188</v>
      </c>
      <c r="T72"/>
      <c r="U72"/>
      <c r="V72"/>
    </row>
    <row r="73" spans="1:22" x14ac:dyDescent="0.3">
      <c r="A73" s="105">
        <v>72</v>
      </c>
      <c r="B73" s="41">
        <v>24000000</v>
      </c>
      <c r="C73" s="41">
        <v>7.0000000000000001E-3</v>
      </c>
      <c r="D73" s="41">
        <v>20</v>
      </c>
      <c r="E73" s="41">
        <v>30</v>
      </c>
      <c r="F73" s="41">
        <v>0</v>
      </c>
      <c r="G73" s="41" t="s">
        <v>507</v>
      </c>
      <c r="H73" s="41">
        <v>1</v>
      </c>
      <c r="I73" s="41">
        <v>1</v>
      </c>
      <c r="J73" s="108">
        <f>POWER(POWER(Table2[[#This Row],[mv]],4)/10,0.25)</f>
        <v>3.9363892763324441E-3</v>
      </c>
      <c r="K73" s="41">
        <v>0</v>
      </c>
      <c r="L73" s="41">
        <v>55</v>
      </c>
      <c r="M73" s="41">
        <v>-1</v>
      </c>
      <c r="N73" s="41">
        <v>4</v>
      </c>
      <c r="O73" s="110" t="s">
        <v>514</v>
      </c>
      <c r="P73" s="109">
        <v>191217</v>
      </c>
      <c r="Q73" s="107"/>
      <c r="R73" s="111"/>
      <c r="S73" s="110" t="s">
        <v>1188</v>
      </c>
      <c r="T73"/>
      <c r="U73"/>
      <c r="V73"/>
    </row>
    <row r="74" spans="1:22" x14ac:dyDescent="0.3">
      <c r="A74" s="105">
        <v>73</v>
      </c>
      <c r="B74" s="41">
        <v>24000000</v>
      </c>
      <c r="C74" s="41">
        <v>8.3000000000000001E-3</v>
      </c>
      <c r="D74" s="41">
        <v>0.2</v>
      </c>
      <c r="E74" s="41">
        <v>30</v>
      </c>
      <c r="F74" s="41">
        <v>0</v>
      </c>
      <c r="G74" s="41" t="s">
        <v>507</v>
      </c>
      <c r="H74" s="41">
        <v>1</v>
      </c>
      <c r="I74" s="41">
        <v>1</v>
      </c>
      <c r="J74" s="108">
        <f>POWER(POWER(Table2[[#This Row],[mv]],4)/10,0.25)</f>
        <v>4.6674329990798978E-3</v>
      </c>
      <c r="K74" s="41">
        <v>0</v>
      </c>
      <c r="L74" s="41">
        <v>55</v>
      </c>
      <c r="M74" s="41">
        <v>-1</v>
      </c>
      <c r="N74" s="41">
        <v>4</v>
      </c>
      <c r="O74" s="110" t="s">
        <v>515</v>
      </c>
      <c r="P74" s="109">
        <v>191156</v>
      </c>
      <c r="Q74" s="107"/>
      <c r="R74" s="111"/>
      <c r="S74" s="110" t="s">
        <v>1188</v>
      </c>
      <c r="T74"/>
      <c r="U74"/>
      <c r="V74"/>
    </row>
    <row r="75" spans="1:22" x14ac:dyDescent="0.3">
      <c r="A75" s="105">
        <v>74</v>
      </c>
      <c r="B75" s="41">
        <v>24000000</v>
      </c>
      <c r="C75" s="41">
        <v>8.3000000000000001E-3</v>
      </c>
      <c r="D75" s="41">
        <v>0.5</v>
      </c>
      <c r="E75" s="41">
        <v>30</v>
      </c>
      <c r="F75" s="41">
        <v>0</v>
      </c>
      <c r="G75" s="41" t="s">
        <v>507</v>
      </c>
      <c r="H75" s="41">
        <v>1</v>
      </c>
      <c r="I75" s="41">
        <v>1</v>
      </c>
      <c r="J75" s="108">
        <f>POWER(POWER(Table2[[#This Row],[mv]],4)/10,0.25)</f>
        <v>4.6674329990798978E-3</v>
      </c>
      <c r="K75" s="41">
        <v>0</v>
      </c>
      <c r="L75" s="41">
        <v>55</v>
      </c>
      <c r="M75" s="41">
        <v>-1</v>
      </c>
      <c r="N75" s="41">
        <v>4</v>
      </c>
      <c r="O75" s="110" t="s">
        <v>516</v>
      </c>
      <c r="P75" s="109">
        <v>191156</v>
      </c>
      <c r="Q75" s="107"/>
      <c r="R75" s="111"/>
      <c r="S75" s="110" t="s">
        <v>1188</v>
      </c>
      <c r="T75"/>
      <c r="U75"/>
      <c r="V75"/>
    </row>
    <row r="76" spans="1:22" x14ac:dyDescent="0.3">
      <c r="A76" s="105">
        <v>75</v>
      </c>
      <c r="B76" s="41">
        <v>24000000</v>
      </c>
      <c r="C76" s="41">
        <v>8.3000000000000001E-3</v>
      </c>
      <c r="D76" s="41">
        <v>1</v>
      </c>
      <c r="E76" s="41">
        <v>30</v>
      </c>
      <c r="F76" s="41">
        <v>0</v>
      </c>
      <c r="G76" s="41" t="s">
        <v>507</v>
      </c>
      <c r="H76" s="41">
        <v>1</v>
      </c>
      <c r="I76" s="41">
        <v>1</v>
      </c>
      <c r="J76" s="108">
        <f>POWER(POWER(Table2[[#This Row],[mv]],4)/10,0.25)</f>
        <v>4.6674329990798978E-3</v>
      </c>
      <c r="K76" s="41">
        <v>0</v>
      </c>
      <c r="L76" s="41">
        <v>55</v>
      </c>
      <c r="M76" s="41">
        <v>-1</v>
      </c>
      <c r="N76" s="41">
        <v>4</v>
      </c>
      <c r="O76" s="110" t="s">
        <v>517</v>
      </c>
      <c r="P76" s="109">
        <v>191156</v>
      </c>
      <c r="Q76" s="107"/>
      <c r="R76" s="111"/>
      <c r="S76" s="110" t="s">
        <v>1188</v>
      </c>
      <c r="T76"/>
      <c r="U76"/>
      <c r="V76"/>
    </row>
    <row r="77" spans="1:22" x14ac:dyDescent="0.3">
      <c r="A77" s="105">
        <v>76</v>
      </c>
      <c r="B77" s="41">
        <v>24000000</v>
      </c>
      <c r="C77" s="41">
        <v>8.3000000000000001E-3</v>
      </c>
      <c r="D77" s="41">
        <v>2</v>
      </c>
      <c r="E77" s="41">
        <v>30</v>
      </c>
      <c r="F77" s="41">
        <v>0</v>
      </c>
      <c r="G77" s="41" t="s">
        <v>507</v>
      </c>
      <c r="H77" s="41">
        <v>1</v>
      </c>
      <c r="I77" s="41">
        <v>1</v>
      </c>
      <c r="J77" s="108">
        <f>POWER(POWER(Table2[[#This Row],[mv]],4)/10,0.25)</f>
        <v>4.6674329990798978E-3</v>
      </c>
      <c r="K77" s="41">
        <v>0</v>
      </c>
      <c r="L77" s="41">
        <v>55</v>
      </c>
      <c r="M77" s="41">
        <v>-1</v>
      </c>
      <c r="N77" s="41">
        <v>4</v>
      </c>
      <c r="O77" s="110" t="s">
        <v>518</v>
      </c>
      <c r="P77" s="109">
        <v>191156</v>
      </c>
      <c r="Q77" s="107"/>
      <c r="R77" s="111"/>
      <c r="S77" s="110" t="s">
        <v>1188</v>
      </c>
      <c r="T77"/>
      <c r="U77"/>
      <c r="V77"/>
    </row>
    <row r="78" spans="1:22" x14ac:dyDescent="0.3">
      <c r="A78" s="105">
        <v>77</v>
      </c>
      <c r="B78" s="41">
        <v>24000000</v>
      </c>
      <c r="C78" s="41">
        <v>8.3000000000000001E-3</v>
      </c>
      <c r="D78" s="41">
        <v>5</v>
      </c>
      <c r="E78" s="41">
        <v>30</v>
      </c>
      <c r="F78" s="41">
        <v>0</v>
      </c>
      <c r="G78" s="41" t="s">
        <v>507</v>
      </c>
      <c r="H78" s="41">
        <v>1</v>
      </c>
      <c r="I78" s="41">
        <v>1</v>
      </c>
      <c r="J78" s="108">
        <f>POWER(POWER(Table2[[#This Row],[mv]],4)/10,0.25)</f>
        <v>4.6674329990798978E-3</v>
      </c>
      <c r="K78" s="41">
        <v>0</v>
      </c>
      <c r="L78" s="41">
        <v>55</v>
      </c>
      <c r="M78" s="41">
        <v>-1</v>
      </c>
      <c r="N78" s="41">
        <v>4</v>
      </c>
      <c r="O78" s="110" t="s">
        <v>519</v>
      </c>
      <c r="P78" s="109">
        <v>191156</v>
      </c>
      <c r="Q78" s="107"/>
      <c r="R78" s="111"/>
      <c r="S78" s="110" t="s">
        <v>1188</v>
      </c>
      <c r="T78"/>
      <c r="U78"/>
      <c r="V78"/>
    </row>
    <row r="79" spans="1:22" x14ac:dyDescent="0.3">
      <c r="A79" s="105">
        <v>78</v>
      </c>
      <c r="B79" s="41">
        <v>24000000</v>
      </c>
      <c r="C79" s="41">
        <v>8.3000000000000001E-3</v>
      </c>
      <c r="D79" s="41">
        <v>10</v>
      </c>
      <c r="E79" s="41">
        <v>30</v>
      </c>
      <c r="F79" s="41">
        <v>0</v>
      </c>
      <c r="G79" s="41" t="s">
        <v>507</v>
      </c>
      <c r="H79" s="41">
        <v>1</v>
      </c>
      <c r="I79" s="41">
        <v>1</v>
      </c>
      <c r="J79" s="108">
        <f>POWER(POWER(Table2[[#This Row],[mv]],4)/10,0.25)</f>
        <v>4.6674329990798978E-3</v>
      </c>
      <c r="K79" s="41">
        <v>0</v>
      </c>
      <c r="L79" s="41">
        <v>55</v>
      </c>
      <c r="M79" s="41">
        <v>-1</v>
      </c>
      <c r="N79" s="41">
        <v>4</v>
      </c>
      <c r="O79" s="110" t="s">
        <v>520</v>
      </c>
      <c r="P79" s="109">
        <v>191156</v>
      </c>
      <c r="Q79" s="107"/>
      <c r="R79" s="111"/>
      <c r="S79" s="110" t="s">
        <v>1188</v>
      </c>
      <c r="T79"/>
      <c r="U79"/>
      <c r="V79"/>
    </row>
    <row r="80" spans="1:22" x14ac:dyDescent="0.3">
      <c r="A80" s="105">
        <v>79</v>
      </c>
      <c r="B80" s="41">
        <v>24000000</v>
      </c>
      <c r="C80" s="41">
        <v>8.3000000000000001E-3</v>
      </c>
      <c r="D80" s="41">
        <v>20</v>
      </c>
      <c r="E80" s="41">
        <v>30</v>
      </c>
      <c r="F80" s="41">
        <v>0</v>
      </c>
      <c r="G80" s="41" t="s">
        <v>507</v>
      </c>
      <c r="H80" s="41">
        <v>1</v>
      </c>
      <c r="I80" s="41">
        <v>1</v>
      </c>
      <c r="J80" s="108">
        <f>POWER(POWER(Table2[[#This Row],[mv]],4)/10,0.25)</f>
        <v>4.6674329990798978E-3</v>
      </c>
      <c r="K80" s="41">
        <v>0</v>
      </c>
      <c r="L80" s="41">
        <v>55</v>
      </c>
      <c r="M80" s="41">
        <v>-1</v>
      </c>
      <c r="N80" s="41">
        <v>4</v>
      </c>
      <c r="O80" s="110" t="s">
        <v>521</v>
      </c>
      <c r="P80" s="109">
        <v>191156</v>
      </c>
      <c r="Q80" s="107"/>
      <c r="R80" s="111"/>
      <c r="S80" s="110" t="s">
        <v>1188</v>
      </c>
      <c r="T80"/>
      <c r="U80"/>
      <c r="V80"/>
    </row>
    <row r="81" spans="1:22" x14ac:dyDescent="0.3">
      <c r="A81" s="105">
        <v>80</v>
      </c>
      <c r="B81" s="41">
        <v>24000000</v>
      </c>
      <c r="C81" s="41">
        <v>5.8999999999999999E-3</v>
      </c>
      <c r="D81" s="41">
        <v>0.2</v>
      </c>
      <c r="E81" s="41">
        <v>30</v>
      </c>
      <c r="F81" s="41">
        <v>0</v>
      </c>
      <c r="G81" s="41" t="s">
        <v>507</v>
      </c>
      <c r="H81" s="41">
        <v>1</v>
      </c>
      <c r="I81" s="41">
        <v>1</v>
      </c>
      <c r="J81" s="108">
        <f>POWER(POWER(Table2[[#This Row],[mv]],4)/10,0.25)</f>
        <v>3.3178138186230597E-3</v>
      </c>
      <c r="K81" s="41">
        <v>0</v>
      </c>
      <c r="L81" s="41">
        <v>55</v>
      </c>
      <c r="M81" s="41">
        <v>-1</v>
      </c>
      <c r="N81" s="41">
        <v>4</v>
      </c>
      <c r="O81" s="110" t="s">
        <v>525</v>
      </c>
      <c r="P81" s="109">
        <v>191448</v>
      </c>
      <c r="Q81" s="107"/>
      <c r="R81" s="111"/>
      <c r="S81" s="110" t="s">
        <v>1188</v>
      </c>
      <c r="T81"/>
      <c r="U81"/>
      <c r="V81"/>
    </row>
    <row r="82" spans="1:22" x14ac:dyDescent="0.3">
      <c r="A82" s="105">
        <v>81</v>
      </c>
      <c r="B82" s="41">
        <v>24000000</v>
      </c>
      <c r="C82" s="41">
        <v>5.8999999999999999E-3</v>
      </c>
      <c r="D82" s="41">
        <v>0.5</v>
      </c>
      <c r="E82" s="41">
        <v>30</v>
      </c>
      <c r="F82" s="41">
        <v>0</v>
      </c>
      <c r="G82" s="41" t="s">
        <v>507</v>
      </c>
      <c r="H82" s="41">
        <v>1</v>
      </c>
      <c r="I82" s="41">
        <v>1</v>
      </c>
      <c r="J82" s="108">
        <f>POWER(POWER(Table2[[#This Row],[mv]],4)/10,0.25)</f>
        <v>3.3178138186230597E-3</v>
      </c>
      <c r="K82" s="41">
        <v>0</v>
      </c>
      <c r="L82" s="41">
        <v>55</v>
      </c>
      <c r="M82" s="41">
        <v>-1</v>
      </c>
      <c r="N82" s="41">
        <v>4</v>
      </c>
      <c r="O82" s="110" t="s">
        <v>526</v>
      </c>
      <c r="P82" s="109">
        <v>191448</v>
      </c>
      <c r="Q82" s="107"/>
      <c r="R82" s="111"/>
      <c r="S82" s="110" t="s">
        <v>1188</v>
      </c>
      <c r="T82"/>
      <c r="U82"/>
      <c r="V82"/>
    </row>
    <row r="83" spans="1:22" x14ac:dyDescent="0.3">
      <c r="A83" s="105">
        <v>82</v>
      </c>
      <c r="B83" s="41">
        <v>24000000</v>
      </c>
      <c r="C83" s="41">
        <v>5.8999999999999999E-3</v>
      </c>
      <c r="D83" s="41">
        <v>1</v>
      </c>
      <c r="E83" s="41">
        <v>30</v>
      </c>
      <c r="F83" s="41">
        <v>0</v>
      </c>
      <c r="G83" s="41" t="s">
        <v>507</v>
      </c>
      <c r="H83" s="41">
        <v>1</v>
      </c>
      <c r="I83" s="41">
        <v>1</v>
      </c>
      <c r="J83" s="108">
        <f>POWER(POWER(Table2[[#This Row],[mv]],4)/10,0.25)</f>
        <v>3.3178138186230597E-3</v>
      </c>
      <c r="K83" s="41">
        <v>0</v>
      </c>
      <c r="L83" s="41">
        <v>55</v>
      </c>
      <c r="M83" s="41">
        <v>-1</v>
      </c>
      <c r="N83" s="41">
        <v>4</v>
      </c>
      <c r="O83" s="110" t="s">
        <v>527</v>
      </c>
      <c r="P83" s="109">
        <v>191488</v>
      </c>
      <c r="Q83" s="107"/>
      <c r="R83" s="111"/>
      <c r="S83" s="110" t="s">
        <v>1188</v>
      </c>
      <c r="T83"/>
      <c r="U83"/>
      <c r="V83"/>
    </row>
    <row r="84" spans="1:22" x14ac:dyDescent="0.3">
      <c r="A84" s="105">
        <v>83</v>
      </c>
      <c r="B84" s="41">
        <v>24000000</v>
      </c>
      <c r="C84" s="41">
        <v>5.8999999999999999E-3</v>
      </c>
      <c r="D84" s="41">
        <v>2</v>
      </c>
      <c r="E84" s="41">
        <v>30</v>
      </c>
      <c r="F84" s="41">
        <v>0</v>
      </c>
      <c r="G84" s="41" t="s">
        <v>507</v>
      </c>
      <c r="H84" s="41">
        <v>1</v>
      </c>
      <c r="I84" s="41">
        <v>1</v>
      </c>
      <c r="J84" s="108">
        <f>POWER(POWER(Table2[[#This Row],[mv]],4)/10,0.25)</f>
        <v>3.3178138186230597E-3</v>
      </c>
      <c r="K84" s="41">
        <v>0</v>
      </c>
      <c r="L84" s="41">
        <v>55</v>
      </c>
      <c r="M84" s="41">
        <v>-1</v>
      </c>
      <c r="N84" s="41">
        <v>4</v>
      </c>
      <c r="O84" s="110" t="s">
        <v>528</v>
      </c>
      <c r="P84" s="109">
        <v>191488</v>
      </c>
      <c r="Q84" s="107"/>
      <c r="R84" s="111"/>
      <c r="S84" s="110" t="s">
        <v>1188</v>
      </c>
      <c r="T84"/>
      <c r="U84"/>
      <c r="V84"/>
    </row>
    <row r="85" spans="1:22" x14ac:dyDescent="0.3">
      <c r="A85" s="105">
        <v>84</v>
      </c>
      <c r="B85" s="41">
        <v>24000000</v>
      </c>
      <c r="C85" s="41">
        <v>5.8999999999999999E-3</v>
      </c>
      <c r="D85" s="41">
        <v>5</v>
      </c>
      <c r="E85" s="41">
        <v>30</v>
      </c>
      <c r="F85" s="41">
        <v>0</v>
      </c>
      <c r="G85" s="41" t="s">
        <v>507</v>
      </c>
      <c r="H85" s="41">
        <v>1</v>
      </c>
      <c r="I85" s="41">
        <v>1</v>
      </c>
      <c r="J85" s="108">
        <f>POWER(POWER(Table2[[#This Row],[mv]],4)/10,0.25)</f>
        <v>3.3178138186230597E-3</v>
      </c>
      <c r="K85" s="41">
        <v>0</v>
      </c>
      <c r="L85" s="41">
        <v>55</v>
      </c>
      <c r="M85" s="41">
        <v>-1</v>
      </c>
      <c r="N85" s="41">
        <v>4</v>
      </c>
      <c r="O85" s="110" t="s">
        <v>529</v>
      </c>
      <c r="P85" s="109">
        <v>191488</v>
      </c>
      <c r="Q85" s="107"/>
      <c r="R85" s="111"/>
      <c r="S85" s="110" t="s">
        <v>1188</v>
      </c>
      <c r="T85"/>
      <c r="U85"/>
      <c r="V85"/>
    </row>
    <row r="86" spans="1:22" x14ac:dyDescent="0.3">
      <c r="A86" s="105">
        <v>85</v>
      </c>
      <c r="B86" s="41">
        <v>24000000</v>
      </c>
      <c r="C86" s="41">
        <v>5.8999999999999999E-3</v>
      </c>
      <c r="D86" s="41">
        <v>10</v>
      </c>
      <c r="E86" s="41">
        <v>30</v>
      </c>
      <c r="F86" s="41">
        <v>0</v>
      </c>
      <c r="G86" s="41" t="s">
        <v>507</v>
      </c>
      <c r="H86" s="41">
        <v>1</v>
      </c>
      <c r="I86" s="41">
        <v>1</v>
      </c>
      <c r="J86" s="108">
        <f>POWER(POWER(Table2[[#This Row],[mv]],4)/10,0.25)</f>
        <v>3.3178138186230597E-3</v>
      </c>
      <c r="K86" s="41">
        <v>0</v>
      </c>
      <c r="L86" s="41">
        <v>55</v>
      </c>
      <c r="M86" s="41">
        <v>-1</v>
      </c>
      <c r="N86" s="41">
        <v>4</v>
      </c>
      <c r="O86" s="110" t="s">
        <v>530</v>
      </c>
      <c r="P86" s="109">
        <v>191488</v>
      </c>
      <c r="Q86" s="107"/>
      <c r="R86" s="111"/>
      <c r="S86" s="110" t="s">
        <v>1188</v>
      </c>
      <c r="T86"/>
      <c r="U86"/>
      <c r="V86"/>
    </row>
    <row r="87" spans="1:22" x14ac:dyDescent="0.3">
      <c r="A87" s="105">
        <v>86</v>
      </c>
      <c r="B87" s="41">
        <v>24000000</v>
      </c>
      <c r="C87" s="41">
        <v>5.8999999999999999E-3</v>
      </c>
      <c r="D87" s="41">
        <v>20</v>
      </c>
      <c r="E87" s="41">
        <v>30</v>
      </c>
      <c r="F87" s="41">
        <v>0</v>
      </c>
      <c r="G87" s="41" t="s">
        <v>507</v>
      </c>
      <c r="H87" s="41">
        <v>1</v>
      </c>
      <c r="I87" s="41">
        <v>1</v>
      </c>
      <c r="J87" s="108">
        <f>POWER(POWER(Table2[[#This Row],[mv]],4)/10,0.25)</f>
        <v>3.3178138186230597E-3</v>
      </c>
      <c r="K87" s="41">
        <v>0</v>
      </c>
      <c r="L87" s="41">
        <v>55</v>
      </c>
      <c r="M87" s="41">
        <v>-1</v>
      </c>
      <c r="N87" s="41">
        <v>4</v>
      </c>
      <c r="O87" s="110" t="s">
        <v>531</v>
      </c>
      <c r="P87" s="109">
        <v>191488</v>
      </c>
      <c r="Q87" s="107"/>
      <c r="R87" s="111"/>
      <c r="S87" s="110" t="s">
        <v>1188</v>
      </c>
      <c r="T87"/>
      <c r="U87"/>
      <c r="V87"/>
    </row>
    <row r="88" spans="1:22" x14ac:dyDescent="0.3">
      <c r="A88" s="105">
        <v>87</v>
      </c>
      <c r="B88" s="41">
        <v>24000000</v>
      </c>
      <c r="C88" s="41">
        <v>4.8999999999999998E-3</v>
      </c>
      <c r="D88" s="41">
        <v>0.2</v>
      </c>
      <c r="E88" s="41">
        <v>30</v>
      </c>
      <c r="F88" s="41">
        <v>0</v>
      </c>
      <c r="G88" s="41" t="s">
        <v>507</v>
      </c>
      <c r="H88" s="41">
        <v>1</v>
      </c>
      <c r="I88" s="41">
        <v>1</v>
      </c>
      <c r="J88" s="108">
        <f>POWER(POWER(Table2[[#This Row],[mv]],4)/10,0.25)</f>
        <v>2.7554724934327106E-3</v>
      </c>
      <c r="K88" s="41">
        <v>0</v>
      </c>
      <c r="L88" s="41">
        <v>55</v>
      </c>
      <c r="M88" s="41">
        <v>-1</v>
      </c>
      <c r="N88" s="41">
        <v>4</v>
      </c>
      <c r="O88" s="110" t="s">
        <v>532</v>
      </c>
      <c r="P88" s="109">
        <v>191449</v>
      </c>
      <c r="Q88" s="107"/>
      <c r="R88" s="111"/>
      <c r="S88" s="110" t="s">
        <v>1188</v>
      </c>
      <c r="T88"/>
      <c r="U88"/>
      <c r="V88"/>
    </row>
    <row r="89" spans="1:22" x14ac:dyDescent="0.3">
      <c r="A89" s="105">
        <v>88</v>
      </c>
      <c r="B89" s="41">
        <v>24000000</v>
      </c>
      <c r="C89" s="41">
        <v>4.8999999999999998E-3</v>
      </c>
      <c r="D89" s="41">
        <v>0.5</v>
      </c>
      <c r="E89" s="41">
        <v>30</v>
      </c>
      <c r="F89" s="41">
        <v>0</v>
      </c>
      <c r="G89" s="41" t="s">
        <v>507</v>
      </c>
      <c r="H89" s="41">
        <v>1</v>
      </c>
      <c r="I89" s="41">
        <v>1</v>
      </c>
      <c r="J89" s="108">
        <f>POWER(POWER(Table2[[#This Row],[mv]],4)/10,0.25)</f>
        <v>2.7554724934327106E-3</v>
      </c>
      <c r="K89" s="41">
        <v>0</v>
      </c>
      <c r="L89" s="41">
        <v>55</v>
      </c>
      <c r="M89" s="41">
        <v>-1</v>
      </c>
      <c r="N89" s="41">
        <v>4</v>
      </c>
      <c r="O89" s="110" t="s">
        <v>533</v>
      </c>
      <c r="P89" s="109">
        <v>191449</v>
      </c>
      <c r="Q89" s="107"/>
      <c r="R89" s="111"/>
      <c r="S89" s="110" t="s">
        <v>1188</v>
      </c>
      <c r="T89"/>
      <c r="U89"/>
      <c r="V89"/>
    </row>
    <row r="90" spans="1:22" x14ac:dyDescent="0.3">
      <c r="A90" s="105">
        <v>89</v>
      </c>
      <c r="B90" s="41">
        <v>24000000</v>
      </c>
      <c r="C90" s="41">
        <v>4.8999999999999998E-3</v>
      </c>
      <c r="D90" s="41">
        <v>1</v>
      </c>
      <c r="E90" s="41">
        <v>30</v>
      </c>
      <c r="F90" s="41">
        <v>0</v>
      </c>
      <c r="G90" s="41" t="s">
        <v>507</v>
      </c>
      <c r="H90" s="41">
        <v>1</v>
      </c>
      <c r="I90" s="41">
        <v>1</v>
      </c>
      <c r="J90" s="108">
        <f>POWER(POWER(Table2[[#This Row],[mv]],4)/10,0.25)</f>
        <v>2.7554724934327106E-3</v>
      </c>
      <c r="K90" s="41">
        <v>0</v>
      </c>
      <c r="L90" s="41">
        <v>55</v>
      </c>
      <c r="M90" s="41">
        <v>-1</v>
      </c>
      <c r="N90" s="41">
        <v>4</v>
      </c>
      <c r="O90" s="110" t="s">
        <v>534</v>
      </c>
      <c r="P90" s="109">
        <v>191449</v>
      </c>
      <c r="Q90" s="107"/>
      <c r="R90" s="111"/>
      <c r="S90" s="110" t="s">
        <v>1188</v>
      </c>
      <c r="T90"/>
      <c r="U90"/>
      <c r="V90"/>
    </row>
    <row r="91" spans="1:22" x14ac:dyDescent="0.3">
      <c r="A91" s="105">
        <v>90</v>
      </c>
      <c r="B91" s="41">
        <v>24000000</v>
      </c>
      <c r="C91" s="41">
        <v>4.8999999999999998E-3</v>
      </c>
      <c r="D91" s="41">
        <v>2</v>
      </c>
      <c r="E91" s="41">
        <v>30</v>
      </c>
      <c r="F91" s="41">
        <v>0</v>
      </c>
      <c r="G91" s="41" t="s">
        <v>507</v>
      </c>
      <c r="H91" s="41">
        <v>1</v>
      </c>
      <c r="I91" s="41">
        <v>1</v>
      </c>
      <c r="J91" s="108">
        <f>POWER(POWER(Table2[[#This Row],[mv]],4)/10,0.25)</f>
        <v>2.7554724934327106E-3</v>
      </c>
      <c r="K91" s="41">
        <v>0</v>
      </c>
      <c r="L91" s="41">
        <v>55</v>
      </c>
      <c r="M91" s="41">
        <v>-1</v>
      </c>
      <c r="N91" s="41">
        <v>4</v>
      </c>
      <c r="O91" s="110" t="s">
        <v>535</v>
      </c>
      <c r="P91" s="109">
        <v>191564</v>
      </c>
      <c r="Q91" s="107"/>
      <c r="R91" s="111"/>
      <c r="S91" s="110" t="s">
        <v>1188</v>
      </c>
      <c r="T91"/>
      <c r="U91"/>
      <c r="V91"/>
    </row>
    <row r="92" spans="1:22" x14ac:dyDescent="0.3">
      <c r="A92" s="105">
        <v>91</v>
      </c>
      <c r="B92" s="41">
        <v>24000000</v>
      </c>
      <c r="C92" s="41">
        <v>4.8999999999999998E-3</v>
      </c>
      <c r="D92" s="41">
        <v>5</v>
      </c>
      <c r="E92" s="41">
        <v>30</v>
      </c>
      <c r="F92" s="41">
        <v>0</v>
      </c>
      <c r="G92" s="41" t="s">
        <v>507</v>
      </c>
      <c r="H92" s="41">
        <v>1</v>
      </c>
      <c r="I92" s="41">
        <v>1</v>
      </c>
      <c r="J92" s="108">
        <f>POWER(POWER(Table2[[#This Row],[mv]],4)/10,0.25)</f>
        <v>2.7554724934327106E-3</v>
      </c>
      <c r="K92" s="41">
        <v>0</v>
      </c>
      <c r="L92" s="41">
        <v>55</v>
      </c>
      <c r="M92" s="41">
        <v>-1</v>
      </c>
      <c r="N92" s="41">
        <v>4</v>
      </c>
      <c r="O92" s="110" t="s">
        <v>536</v>
      </c>
      <c r="P92" s="109">
        <v>191564</v>
      </c>
      <c r="Q92" s="107"/>
      <c r="R92" s="111"/>
      <c r="S92" s="110" t="s">
        <v>1188</v>
      </c>
      <c r="T92"/>
      <c r="U92"/>
      <c r="V92"/>
    </row>
    <row r="93" spans="1:22" x14ac:dyDescent="0.3">
      <c r="A93" s="105">
        <v>92</v>
      </c>
      <c r="B93" s="41">
        <v>24000000</v>
      </c>
      <c r="C93" s="41">
        <v>4.8999999999999998E-3</v>
      </c>
      <c r="D93" s="41">
        <v>10</v>
      </c>
      <c r="E93" s="41">
        <v>30</v>
      </c>
      <c r="F93" s="41">
        <v>0</v>
      </c>
      <c r="G93" s="41" t="s">
        <v>507</v>
      </c>
      <c r="H93" s="41">
        <v>1</v>
      </c>
      <c r="I93" s="41">
        <v>1</v>
      </c>
      <c r="J93" s="108">
        <f>POWER(POWER(Table2[[#This Row],[mv]],4)/10,0.25)</f>
        <v>2.7554724934327106E-3</v>
      </c>
      <c r="K93" s="41">
        <v>0</v>
      </c>
      <c r="L93" s="41">
        <v>55</v>
      </c>
      <c r="M93" s="41">
        <v>-1</v>
      </c>
      <c r="N93" s="41">
        <v>4</v>
      </c>
      <c r="O93" s="110" t="s">
        <v>537</v>
      </c>
      <c r="P93" s="109"/>
      <c r="Q93" s="107"/>
      <c r="R93" s="111"/>
      <c r="S93" s="110" t="s">
        <v>1188</v>
      </c>
      <c r="T93"/>
      <c r="U93"/>
      <c r="V93"/>
    </row>
    <row r="94" spans="1:22" x14ac:dyDescent="0.3">
      <c r="A94" s="105">
        <v>93</v>
      </c>
      <c r="B94" s="41">
        <v>24000000</v>
      </c>
      <c r="C94" s="41">
        <v>4.8999999999999998E-3</v>
      </c>
      <c r="D94" s="41">
        <v>20</v>
      </c>
      <c r="E94" s="41">
        <v>30</v>
      </c>
      <c r="F94" s="41">
        <v>0</v>
      </c>
      <c r="G94" s="41" t="s">
        <v>507</v>
      </c>
      <c r="H94" s="41">
        <v>1</v>
      </c>
      <c r="I94" s="41">
        <v>1</v>
      </c>
      <c r="J94" s="108">
        <f>POWER(POWER(Table2[[#This Row],[mv]],4)/10,0.25)</f>
        <v>2.7554724934327106E-3</v>
      </c>
      <c r="K94" s="41">
        <v>0</v>
      </c>
      <c r="L94" s="41">
        <v>55</v>
      </c>
      <c r="M94" s="41">
        <v>-1</v>
      </c>
      <c r="N94" s="41">
        <v>4</v>
      </c>
      <c r="O94" s="110" t="s">
        <v>538</v>
      </c>
      <c r="P94" s="109"/>
      <c r="Q94" s="107"/>
      <c r="R94" s="111"/>
      <c r="S94" s="110" t="s">
        <v>1188</v>
      </c>
      <c r="T94"/>
      <c r="U94"/>
      <c r="V94"/>
    </row>
    <row r="95" spans="1:22" x14ac:dyDescent="0.3">
      <c r="A95" s="105">
        <v>94</v>
      </c>
      <c r="B95" s="41">
        <v>24000000</v>
      </c>
      <c r="C95" s="41">
        <v>4.1622249025095237E-3</v>
      </c>
      <c r="D95" s="41">
        <v>0.2</v>
      </c>
      <c r="E95" s="41">
        <v>30</v>
      </c>
      <c r="F95" s="41">
        <v>0</v>
      </c>
      <c r="G95" s="41" t="s">
        <v>507</v>
      </c>
      <c r="H95" s="41">
        <v>1</v>
      </c>
      <c r="I95" s="41">
        <v>1</v>
      </c>
      <c r="J95" s="108">
        <f>POWER(POWER(Table2[[#This Row],[mv]],4)/10,0.25)</f>
        <v>2.3405910674174761E-3</v>
      </c>
      <c r="K95" s="41">
        <v>0</v>
      </c>
      <c r="L95" s="41">
        <v>55</v>
      </c>
      <c r="M95" s="41">
        <v>-1</v>
      </c>
      <c r="N95" s="41">
        <v>4</v>
      </c>
      <c r="O95" s="110" t="s">
        <v>539</v>
      </c>
      <c r="P95" s="109"/>
      <c r="Q95" s="107"/>
      <c r="R95" s="111"/>
      <c r="S95" s="110" t="s">
        <v>1188</v>
      </c>
      <c r="T95"/>
      <c r="U95"/>
      <c r="V95"/>
    </row>
    <row r="96" spans="1:22" x14ac:dyDescent="0.3">
      <c r="A96" s="105">
        <v>95</v>
      </c>
      <c r="B96" s="41">
        <v>24000000</v>
      </c>
      <c r="C96" s="41">
        <v>4.1622249025095237E-3</v>
      </c>
      <c r="D96" s="41">
        <v>0.5</v>
      </c>
      <c r="E96" s="41">
        <v>30</v>
      </c>
      <c r="F96" s="41">
        <v>0</v>
      </c>
      <c r="G96" s="41" t="s">
        <v>507</v>
      </c>
      <c r="H96" s="41">
        <v>1</v>
      </c>
      <c r="I96" s="41">
        <v>1</v>
      </c>
      <c r="J96" s="108">
        <f>POWER(POWER(Table2[[#This Row],[mv]],4)/10,0.25)</f>
        <v>2.3405910674174761E-3</v>
      </c>
      <c r="K96" s="41">
        <v>0</v>
      </c>
      <c r="L96" s="41">
        <v>55</v>
      </c>
      <c r="M96" s="41">
        <v>-1</v>
      </c>
      <c r="N96" s="41">
        <v>4</v>
      </c>
      <c r="O96" s="110" t="s">
        <v>540</v>
      </c>
      <c r="P96" s="109"/>
      <c r="Q96" s="107"/>
      <c r="R96" s="111"/>
      <c r="S96" s="110" t="s">
        <v>1188</v>
      </c>
      <c r="T96"/>
      <c r="U96"/>
      <c r="V96"/>
    </row>
    <row r="97" spans="1:22" x14ac:dyDescent="0.3">
      <c r="A97" s="105">
        <v>96</v>
      </c>
      <c r="B97" s="41">
        <v>24000000</v>
      </c>
      <c r="C97" s="41">
        <v>4.1622249025095237E-3</v>
      </c>
      <c r="D97" s="41">
        <v>1</v>
      </c>
      <c r="E97" s="41">
        <v>30</v>
      </c>
      <c r="F97" s="41">
        <v>0</v>
      </c>
      <c r="G97" s="41" t="s">
        <v>507</v>
      </c>
      <c r="H97" s="41">
        <v>1</v>
      </c>
      <c r="I97" s="41">
        <v>1</v>
      </c>
      <c r="J97" s="108">
        <f>POWER(POWER(Table2[[#This Row],[mv]],4)/10,0.25)</f>
        <v>2.3405910674174761E-3</v>
      </c>
      <c r="K97" s="41">
        <v>0</v>
      </c>
      <c r="L97" s="41">
        <v>55</v>
      </c>
      <c r="M97" s="41">
        <v>-1</v>
      </c>
      <c r="N97" s="41">
        <v>4</v>
      </c>
      <c r="O97" s="110" t="s">
        <v>541</v>
      </c>
      <c r="P97" s="109"/>
      <c r="Q97" s="107"/>
      <c r="R97" s="111"/>
      <c r="S97" s="110" t="s">
        <v>1188</v>
      </c>
      <c r="T97"/>
      <c r="U97"/>
      <c r="V97"/>
    </row>
    <row r="98" spans="1:22" x14ac:dyDescent="0.3">
      <c r="A98" s="105">
        <v>97</v>
      </c>
      <c r="B98" s="41">
        <v>24000000</v>
      </c>
      <c r="C98" s="41">
        <v>4.1622249025095237E-3</v>
      </c>
      <c r="D98" s="41">
        <v>2</v>
      </c>
      <c r="E98" s="41">
        <v>30</v>
      </c>
      <c r="F98" s="41">
        <v>0</v>
      </c>
      <c r="G98" s="41" t="s">
        <v>507</v>
      </c>
      <c r="H98" s="41">
        <v>1</v>
      </c>
      <c r="I98" s="41">
        <v>1</v>
      </c>
      <c r="J98" s="108">
        <f>POWER(POWER(Table2[[#This Row],[mv]],4)/10,0.25)</f>
        <v>2.3405910674174761E-3</v>
      </c>
      <c r="K98" s="41">
        <v>0</v>
      </c>
      <c r="L98" s="41">
        <v>55</v>
      </c>
      <c r="M98" s="41">
        <v>-1</v>
      </c>
      <c r="N98" s="41">
        <v>4</v>
      </c>
      <c r="O98" s="110" t="s">
        <v>542</v>
      </c>
      <c r="P98" s="109"/>
      <c r="Q98" s="107"/>
      <c r="R98" s="111"/>
      <c r="S98" s="110" t="s">
        <v>1188</v>
      </c>
      <c r="T98"/>
      <c r="U98"/>
      <c r="V98"/>
    </row>
    <row r="99" spans="1:22" x14ac:dyDescent="0.3">
      <c r="A99" s="105">
        <v>98</v>
      </c>
      <c r="B99" s="41">
        <v>24000000</v>
      </c>
      <c r="C99" s="41">
        <v>4.1622249025095237E-3</v>
      </c>
      <c r="D99" s="41">
        <v>5</v>
      </c>
      <c r="E99" s="41">
        <v>30</v>
      </c>
      <c r="F99" s="41">
        <v>0</v>
      </c>
      <c r="G99" s="41" t="s">
        <v>507</v>
      </c>
      <c r="H99" s="41">
        <v>1</v>
      </c>
      <c r="I99" s="41">
        <v>1</v>
      </c>
      <c r="J99" s="108">
        <f>POWER(POWER(Table2[[#This Row],[mv]],4)/10,0.25)</f>
        <v>2.3405910674174761E-3</v>
      </c>
      <c r="K99" s="41">
        <v>0</v>
      </c>
      <c r="L99" s="41">
        <v>55</v>
      </c>
      <c r="M99" s="41">
        <v>-1</v>
      </c>
      <c r="N99" s="41">
        <v>4</v>
      </c>
      <c r="O99" s="110" t="s">
        <v>543</v>
      </c>
      <c r="P99" s="109"/>
      <c r="Q99" s="107"/>
      <c r="R99" s="111"/>
      <c r="S99" s="110" t="s">
        <v>1188</v>
      </c>
      <c r="T99"/>
      <c r="U99"/>
      <c r="V99"/>
    </row>
    <row r="100" spans="1:22" x14ac:dyDescent="0.3">
      <c r="A100" s="105">
        <v>99</v>
      </c>
      <c r="B100" s="41">
        <v>24000000</v>
      </c>
      <c r="C100" s="41">
        <v>4.1622249025095237E-3</v>
      </c>
      <c r="D100" s="41">
        <v>10</v>
      </c>
      <c r="E100" s="41">
        <v>30</v>
      </c>
      <c r="F100" s="41">
        <v>0</v>
      </c>
      <c r="G100" s="41" t="s">
        <v>507</v>
      </c>
      <c r="H100" s="41">
        <v>1</v>
      </c>
      <c r="I100" s="41">
        <v>1</v>
      </c>
      <c r="J100" s="108">
        <f>POWER(POWER(Table2[[#This Row],[mv]],4)/10,0.25)</f>
        <v>2.3405910674174761E-3</v>
      </c>
      <c r="K100" s="41">
        <v>0</v>
      </c>
      <c r="L100" s="41">
        <v>55</v>
      </c>
      <c r="M100" s="41">
        <v>-1</v>
      </c>
      <c r="N100" s="41">
        <v>4</v>
      </c>
      <c r="O100" s="110" t="s">
        <v>544</v>
      </c>
      <c r="P100" s="109"/>
      <c r="Q100" s="107"/>
      <c r="R100" s="111"/>
      <c r="S100" s="110" t="s">
        <v>1188</v>
      </c>
      <c r="T100"/>
      <c r="U100"/>
      <c r="V100"/>
    </row>
    <row r="101" spans="1:22" x14ac:dyDescent="0.3">
      <c r="A101" s="105">
        <v>100</v>
      </c>
      <c r="B101" s="41">
        <v>24000000</v>
      </c>
      <c r="C101" s="41">
        <v>4.1622249025095237E-3</v>
      </c>
      <c r="D101" s="41">
        <v>20</v>
      </c>
      <c r="E101" s="41">
        <v>30</v>
      </c>
      <c r="F101" s="41">
        <v>0</v>
      </c>
      <c r="G101" s="41" t="s">
        <v>507</v>
      </c>
      <c r="H101" s="41">
        <v>1</v>
      </c>
      <c r="I101" s="41">
        <v>1</v>
      </c>
      <c r="J101" s="108">
        <f>POWER(POWER(Table2[[#This Row],[mv]],4)/10,0.25)</f>
        <v>2.3405910674174761E-3</v>
      </c>
      <c r="K101" s="41">
        <v>0</v>
      </c>
      <c r="L101" s="41">
        <v>55</v>
      </c>
      <c r="M101" s="41">
        <v>-1</v>
      </c>
      <c r="N101" s="41">
        <v>4</v>
      </c>
      <c r="O101" s="110" t="s">
        <v>545</v>
      </c>
      <c r="P101" s="109"/>
      <c r="Q101" s="107"/>
      <c r="R101" s="111"/>
      <c r="S101" s="110" t="s">
        <v>1188</v>
      </c>
      <c r="T101"/>
      <c r="U101"/>
      <c r="V101"/>
    </row>
    <row r="102" spans="1:22" x14ac:dyDescent="0.3">
      <c r="A102" s="105">
        <v>101</v>
      </c>
      <c r="B102" s="41">
        <v>24000000</v>
      </c>
      <c r="C102" s="41">
        <v>1.1772549813552004E-2</v>
      </c>
      <c r="D102" s="41">
        <v>0.2</v>
      </c>
      <c r="E102" s="41">
        <v>30</v>
      </c>
      <c r="F102" s="41">
        <v>0</v>
      </c>
      <c r="G102" s="41" t="s">
        <v>507</v>
      </c>
      <c r="H102" s="41">
        <v>1</v>
      </c>
      <c r="I102" s="41">
        <v>1</v>
      </c>
      <c r="J102" s="108">
        <f>POWER(POWER(Table2[[#This Row],[mv]],4)/10,0.25)</f>
        <v>6.6201912630222291E-3</v>
      </c>
      <c r="K102" s="41">
        <v>0</v>
      </c>
      <c r="L102" s="41">
        <v>55</v>
      </c>
      <c r="M102" s="41">
        <v>-1</v>
      </c>
      <c r="N102" s="41">
        <v>4</v>
      </c>
      <c r="O102" s="110" t="s">
        <v>546</v>
      </c>
      <c r="P102" s="109"/>
      <c r="Q102" s="107"/>
      <c r="R102" s="111"/>
      <c r="S102" s="110" t="s">
        <v>1188</v>
      </c>
      <c r="T102"/>
      <c r="U102"/>
      <c r="V102"/>
    </row>
    <row r="103" spans="1:22" x14ac:dyDescent="0.3">
      <c r="A103" s="105">
        <v>102</v>
      </c>
      <c r="B103" s="41">
        <v>24000000</v>
      </c>
      <c r="C103" s="41">
        <v>1.1772549813552004E-2</v>
      </c>
      <c r="D103" s="41">
        <v>0.5</v>
      </c>
      <c r="E103" s="41">
        <v>30</v>
      </c>
      <c r="F103" s="41">
        <v>0</v>
      </c>
      <c r="G103" s="41" t="s">
        <v>507</v>
      </c>
      <c r="H103" s="41">
        <v>1</v>
      </c>
      <c r="I103" s="41">
        <v>1</v>
      </c>
      <c r="J103" s="108">
        <f>POWER(POWER(Table2[[#This Row],[mv]],4)/10,0.25)</f>
        <v>6.6201912630222291E-3</v>
      </c>
      <c r="K103" s="41">
        <v>0</v>
      </c>
      <c r="L103" s="41">
        <v>55</v>
      </c>
      <c r="M103" s="41">
        <v>-1</v>
      </c>
      <c r="N103" s="41">
        <v>4</v>
      </c>
      <c r="O103" s="110" t="s">
        <v>547</v>
      </c>
      <c r="P103" s="109"/>
      <c r="Q103" s="107"/>
      <c r="R103" s="111"/>
      <c r="S103" s="110" t="s">
        <v>1188</v>
      </c>
      <c r="T103"/>
      <c r="U103"/>
      <c r="V103"/>
    </row>
    <row r="104" spans="1:22" x14ac:dyDescent="0.3">
      <c r="A104" s="105">
        <v>103</v>
      </c>
      <c r="B104" s="41">
        <v>24000000</v>
      </c>
      <c r="C104" s="41">
        <v>1.1772549813552004E-2</v>
      </c>
      <c r="D104" s="41">
        <v>1</v>
      </c>
      <c r="E104" s="41">
        <v>30</v>
      </c>
      <c r="F104" s="41">
        <v>0</v>
      </c>
      <c r="G104" s="41" t="s">
        <v>507</v>
      </c>
      <c r="H104" s="41">
        <v>1</v>
      </c>
      <c r="I104" s="41">
        <v>1</v>
      </c>
      <c r="J104" s="108">
        <f>POWER(POWER(Table2[[#This Row],[mv]],4)/10,0.25)</f>
        <v>6.6201912630222291E-3</v>
      </c>
      <c r="K104" s="41">
        <v>0</v>
      </c>
      <c r="L104" s="41">
        <v>55</v>
      </c>
      <c r="M104" s="41">
        <v>-1</v>
      </c>
      <c r="N104" s="41">
        <v>4</v>
      </c>
      <c r="O104" s="110" t="s">
        <v>548</v>
      </c>
      <c r="P104" s="109"/>
      <c r="Q104" s="107"/>
      <c r="R104" s="111"/>
      <c r="S104" s="110" t="s">
        <v>1188</v>
      </c>
      <c r="T104"/>
      <c r="U104"/>
      <c r="V104"/>
    </row>
    <row r="105" spans="1:22" x14ac:dyDescent="0.3">
      <c r="A105" s="105">
        <v>104</v>
      </c>
      <c r="B105" s="41">
        <v>24000000</v>
      </c>
      <c r="C105" s="41">
        <v>1.1772549813552004E-2</v>
      </c>
      <c r="D105" s="41">
        <v>2</v>
      </c>
      <c r="E105" s="41">
        <v>30</v>
      </c>
      <c r="F105" s="41">
        <v>0</v>
      </c>
      <c r="G105" s="41" t="s">
        <v>507</v>
      </c>
      <c r="H105" s="41">
        <v>1</v>
      </c>
      <c r="I105" s="41">
        <v>1</v>
      </c>
      <c r="J105" s="108">
        <f>POWER(POWER(Table2[[#This Row],[mv]],4)/10,0.25)</f>
        <v>6.6201912630222291E-3</v>
      </c>
      <c r="K105" s="41">
        <v>0</v>
      </c>
      <c r="L105" s="41">
        <v>55</v>
      </c>
      <c r="M105" s="41">
        <v>-1</v>
      </c>
      <c r="N105" s="41">
        <v>4</v>
      </c>
      <c r="O105" s="110" t="s">
        <v>549</v>
      </c>
      <c r="P105" s="109"/>
      <c r="Q105" s="107"/>
      <c r="R105" s="111"/>
      <c r="S105" s="110" t="s">
        <v>1188</v>
      </c>
      <c r="T105"/>
      <c r="U105"/>
      <c r="V105"/>
    </row>
    <row r="106" spans="1:22" x14ac:dyDescent="0.3">
      <c r="A106" s="105">
        <v>105</v>
      </c>
      <c r="B106" s="41">
        <v>24000000</v>
      </c>
      <c r="C106" s="41">
        <v>1.1772549813552004E-2</v>
      </c>
      <c r="D106" s="41">
        <v>5</v>
      </c>
      <c r="E106" s="41">
        <v>30</v>
      </c>
      <c r="F106" s="41">
        <v>0</v>
      </c>
      <c r="G106" s="41" t="s">
        <v>507</v>
      </c>
      <c r="H106" s="41">
        <v>1</v>
      </c>
      <c r="I106" s="41">
        <v>1</v>
      </c>
      <c r="J106" s="108">
        <f>POWER(POWER(Table2[[#This Row],[mv]],4)/10,0.25)</f>
        <v>6.6201912630222291E-3</v>
      </c>
      <c r="K106" s="41">
        <v>0</v>
      </c>
      <c r="L106" s="41">
        <v>55</v>
      </c>
      <c r="M106" s="41">
        <v>-1</v>
      </c>
      <c r="N106" s="41">
        <v>4</v>
      </c>
      <c r="O106" s="110" t="s">
        <v>550</v>
      </c>
      <c r="P106" s="109"/>
      <c r="Q106" s="107"/>
      <c r="R106" s="111"/>
      <c r="S106" s="110" t="s">
        <v>1188</v>
      </c>
      <c r="T106"/>
      <c r="U106"/>
      <c r="V106"/>
    </row>
    <row r="107" spans="1:22" x14ac:dyDescent="0.3">
      <c r="A107" s="105">
        <v>106</v>
      </c>
      <c r="B107" s="41">
        <v>24000000</v>
      </c>
      <c r="C107" s="41">
        <v>1.1772549813552004E-2</v>
      </c>
      <c r="D107" s="41">
        <v>10</v>
      </c>
      <c r="E107" s="41">
        <v>30</v>
      </c>
      <c r="F107" s="41">
        <v>0</v>
      </c>
      <c r="G107" s="41" t="s">
        <v>507</v>
      </c>
      <c r="H107" s="41">
        <v>1</v>
      </c>
      <c r="I107" s="41">
        <v>1</v>
      </c>
      <c r="J107" s="108">
        <f>POWER(POWER(Table2[[#This Row],[mv]],4)/10,0.25)</f>
        <v>6.6201912630222291E-3</v>
      </c>
      <c r="K107" s="41">
        <v>0</v>
      </c>
      <c r="L107" s="41">
        <v>55</v>
      </c>
      <c r="M107" s="41">
        <v>-1</v>
      </c>
      <c r="N107" s="41">
        <v>4</v>
      </c>
      <c r="O107" s="110" t="s">
        <v>551</v>
      </c>
      <c r="P107" s="109"/>
      <c r="Q107" s="107"/>
      <c r="R107" s="111"/>
      <c r="S107" s="110" t="s">
        <v>1188</v>
      </c>
      <c r="T107"/>
      <c r="U107"/>
      <c r="V107"/>
    </row>
    <row r="108" spans="1:22" x14ac:dyDescent="0.3">
      <c r="A108" s="105">
        <v>107</v>
      </c>
      <c r="B108" s="41">
        <v>24000000</v>
      </c>
      <c r="C108" s="41">
        <v>1.1772549813552004E-2</v>
      </c>
      <c r="D108" s="41">
        <v>20</v>
      </c>
      <c r="E108" s="41">
        <v>30</v>
      </c>
      <c r="F108" s="41">
        <v>0</v>
      </c>
      <c r="G108" s="41" t="s">
        <v>507</v>
      </c>
      <c r="H108" s="41">
        <v>1</v>
      </c>
      <c r="I108" s="41">
        <v>1</v>
      </c>
      <c r="J108" s="108">
        <f>POWER(POWER(Table2[[#This Row],[mv]],4)/10,0.25)</f>
        <v>6.6201912630222291E-3</v>
      </c>
      <c r="K108" s="41">
        <v>0</v>
      </c>
      <c r="L108" s="41">
        <v>55</v>
      </c>
      <c r="M108" s="41">
        <v>-1</v>
      </c>
      <c r="N108" s="41">
        <v>4</v>
      </c>
      <c r="O108" s="110" t="s">
        <v>552</v>
      </c>
      <c r="P108" s="109"/>
      <c r="Q108" s="107"/>
      <c r="R108" s="111"/>
      <c r="S108" s="110" t="s">
        <v>1188</v>
      </c>
      <c r="T108"/>
      <c r="U108"/>
      <c r="V108"/>
    </row>
    <row r="109" spans="1:22" x14ac:dyDescent="0.3">
      <c r="A109" s="105">
        <v>108</v>
      </c>
      <c r="B109" s="41">
        <v>12000000</v>
      </c>
      <c r="C109" s="41">
        <v>2.8999999999999998E-3</v>
      </c>
      <c r="D109" s="41">
        <v>3.3635999999999999</v>
      </c>
      <c r="E109" s="41">
        <v>30</v>
      </c>
      <c r="F109" s="41">
        <v>0</v>
      </c>
      <c r="G109" s="41" t="s">
        <v>104</v>
      </c>
      <c r="H109" s="41">
        <v>1</v>
      </c>
      <c r="I109" s="41">
        <v>1</v>
      </c>
      <c r="J109" s="108">
        <f>POWER(POWER(Table2[[#This Row],[mv]],4)/10,0.25)</f>
        <v>1.6307898430520129E-3</v>
      </c>
      <c r="K109" s="41">
        <v>0</v>
      </c>
      <c r="L109" s="41">
        <v>55</v>
      </c>
      <c r="M109" s="41">
        <v>-1</v>
      </c>
      <c r="N109" s="41">
        <v>4</v>
      </c>
      <c r="O109" s="110" t="s">
        <v>565</v>
      </c>
      <c r="P109" s="109">
        <v>191635</v>
      </c>
      <c r="Q109" s="107"/>
      <c r="R109" s="111"/>
      <c r="S109" s="110" t="s">
        <v>1188</v>
      </c>
      <c r="T109"/>
      <c r="U109"/>
      <c r="V109"/>
    </row>
    <row r="110" spans="1:22" x14ac:dyDescent="0.3">
      <c r="A110" s="105">
        <v>109</v>
      </c>
      <c r="B110" s="41">
        <v>12000000</v>
      </c>
      <c r="C110" s="41">
        <v>2.8999999999999998E-3</v>
      </c>
      <c r="D110" s="41">
        <v>3.6680000000000001</v>
      </c>
      <c r="E110" s="41">
        <v>30</v>
      </c>
      <c r="F110" s="41">
        <v>0</v>
      </c>
      <c r="G110" s="41" t="s">
        <v>104</v>
      </c>
      <c r="H110" s="41">
        <v>1</v>
      </c>
      <c r="I110" s="41">
        <v>1</v>
      </c>
      <c r="J110" s="108">
        <f>POWER(POWER(Table2[[#This Row],[mv]],4)/10,0.25)</f>
        <v>1.6307898430520129E-3</v>
      </c>
      <c r="K110" s="41">
        <v>0</v>
      </c>
      <c r="L110" s="41">
        <v>55</v>
      </c>
      <c r="M110" s="41">
        <v>-1</v>
      </c>
      <c r="N110" s="41">
        <v>4</v>
      </c>
      <c r="O110" s="110" t="s">
        <v>566</v>
      </c>
      <c r="P110" s="109">
        <v>191635</v>
      </c>
      <c r="Q110" s="107"/>
      <c r="R110" s="111"/>
      <c r="S110" s="110" t="s">
        <v>1188</v>
      </c>
      <c r="T110"/>
      <c r="U110"/>
      <c r="V110"/>
    </row>
    <row r="111" spans="1:22" x14ac:dyDescent="0.3">
      <c r="A111" s="105">
        <v>110</v>
      </c>
      <c r="B111" s="41">
        <v>12000000</v>
      </c>
      <c r="C111" s="41">
        <v>2.8999999999999998E-3</v>
      </c>
      <c r="D111" s="41">
        <v>4</v>
      </c>
      <c r="E111" s="41">
        <v>30</v>
      </c>
      <c r="F111" s="41">
        <v>0</v>
      </c>
      <c r="G111" s="41" t="s">
        <v>104</v>
      </c>
      <c r="H111" s="41">
        <v>1</v>
      </c>
      <c r="I111" s="41">
        <v>1</v>
      </c>
      <c r="J111" s="108">
        <f>POWER(POWER(Table2[[#This Row],[mv]],4)/10,0.25)</f>
        <v>1.6307898430520129E-3</v>
      </c>
      <c r="K111" s="41">
        <v>0</v>
      </c>
      <c r="L111" s="41">
        <v>55</v>
      </c>
      <c r="M111" s="41">
        <v>-1</v>
      </c>
      <c r="N111" s="41">
        <v>4</v>
      </c>
      <c r="O111" s="110" t="s">
        <v>567</v>
      </c>
      <c r="P111" s="109">
        <v>191635</v>
      </c>
      <c r="Q111" s="107"/>
      <c r="R111" s="111"/>
      <c r="S111" s="110" t="s">
        <v>1188</v>
      </c>
      <c r="T111"/>
      <c r="U111"/>
      <c r="V111"/>
    </row>
    <row r="112" spans="1:22" x14ac:dyDescent="0.3">
      <c r="A112" s="105">
        <v>111</v>
      </c>
      <c r="B112" s="41">
        <v>12000000</v>
      </c>
      <c r="C112" s="41">
        <v>2.8999999999999998E-3</v>
      </c>
      <c r="D112" s="41">
        <v>4.3620000000000001</v>
      </c>
      <c r="E112" s="41">
        <v>30</v>
      </c>
      <c r="F112" s="41">
        <v>0</v>
      </c>
      <c r="G112" s="41" t="s">
        <v>104</v>
      </c>
      <c r="H112" s="41">
        <v>1</v>
      </c>
      <c r="I112" s="41">
        <v>1</v>
      </c>
      <c r="J112" s="108">
        <f>POWER(POWER(Table2[[#This Row],[mv]],4)/10,0.25)</f>
        <v>1.6307898430520129E-3</v>
      </c>
      <c r="K112" s="41">
        <v>0</v>
      </c>
      <c r="L112" s="41">
        <v>55</v>
      </c>
      <c r="M112" s="41">
        <v>-1</v>
      </c>
      <c r="N112" s="41">
        <v>4</v>
      </c>
      <c r="O112" s="110" t="s">
        <v>568</v>
      </c>
      <c r="P112" s="109">
        <v>191635</v>
      </c>
      <c r="Q112" s="107"/>
      <c r="R112" s="111"/>
      <c r="S112" s="110" t="s">
        <v>1188</v>
      </c>
      <c r="T112"/>
      <c r="U112"/>
      <c r="V112"/>
    </row>
    <row r="113" spans="1:22" x14ac:dyDescent="0.3">
      <c r="A113" s="105">
        <v>112</v>
      </c>
      <c r="B113" s="41">
        <v>12000000</v>
      </c>
      <c r="C113" s="41">
        <v>2.8999999999999998E-3</v>
      </c>
      <c r="D113" s="41">
        <v>4.7568000000000001</v>
      </c>
      <c r="E113" s="41">
        <v>30</v>
      </c>
      <c r="F113" s="41">
        <v>0</v>
      </c>
      <c r="G113" s="41" t="s">
        <v>104</v>
      </c>
      <c r="H113" s="41">
        <v>1</v>
      </c>
      <c r="I113" s="41">
        <v>1</v>
      </c>
      <c r="J113" s="108">
        <f>POWER(POWER(Table2[[#This Row],[mv]],4)/10,0.25)</f>
        <v>1.6307898430520129E-3</v>
      </c>
      <c r="K113" s="41">
        <v>0</v>
      </c>
      <c r="L113" s="41">
        <v>55</v>
      </c>
      <c r="M113" s="41">
        <v>-1</v>
      </c>
      <c r="N113" s="41">
        <v>4</v>
      </c>
      <c r="O113" s="110" t="s">
        <v>569</v>
      </c>
      <c r="P113" s="109">
        <v>191635</v>
      </c>
      <c r="Q113" s="107"/>
      <c r="R113" s="111"/>
      <c r="S113" s="110" t="s">
        <v>1188</v>
      </c>
      <c r="T113"/>
      <c r="U113"/>
      <c r="V113"/>
    </row>
    <row r="114" spans="1:22" x14ac:dyDescent="0.3">
      <c r="A114" s="105">
        <v>113</v>
      </c>
      <c r="B114" s="41">
        <v>12000000</v>
      </c>
      <c r="C114" s="41">
        <v>2.8999999999999998E-3</v>
      </c>
      <c r="D114" s="41">
        <v>5.1874000000000002</v>
      </c>
      <c r="E114" s="41">
        <v>30</v>
      </c>
      <c r="F114" s="41">
        <v>0</v>
      </c>
      <c r="G114" s="41" t="s">
        <v>104</v>
      </c>
      <c r="H114" s="41">
        <v>1</v>
      </c>
      <c r="I114" s="41">
        <v>1</v>
      </c>
      <c r="J114" s="108">
        <f>POWER(POWER(Table2[[#This Row],[mv]],4)/10,0.25)</f>
        <v>1.6307898430520129E-3</v>
      </c>
      <c r="K114" s="41">
        <v>0</v>
      </c>
      <c r="L114" s="41">
        <v>55</v>
      </c>
      <c r="M114" s="41">
        <v>-1</v>
      </c>
      <c r="N114" s="41">
        <v>4</v>
      </c>
      <c r="O114" s="110" t="s">
        <v>570</v>
      </c>
      <c r="P114" s="109">
        <v>191635</v>
      </c>
      <c r="Q114" s="107"/>
      <c r="R114" s="111"/>
      <c r="S114" s="110" t="s">
        <v>1188</v>
      </c>
      <c r="T114"/>
      <c r="U114"/>
      <c r="V114"/>
    </row>
    <row r="115" spans="1:22" x14ac:dyDescent="0.3">
      <c r="A115" s="105">
        <v>114</v>
      </c>
      <c r="B115" s="41">
        <v>12000000</v>
      </c>
      <c r="C115" s="41">
        <v>2.8999999999999998E-3</v>
      </c>
      <c r="D115" s="41">
        <v>5.6569000000000003</v>
      </c>
      <c r="E115" s="41">
        <v>30</v>
      </c>
      <c r="F115" s="41">
        <v>0</v>
      </c>
      <c r="G115" s="41" t="s">
        <v>104</v>
      </c>
      <c r="H115" s="41">
        <v>1</v>
      </c>
      <c r="I115" s="41">
        <v>1</v>
      </c>
      <c r="J115" s="108">
        <f>POWER(POWER(Table2[[#This Row],[mv]],4)/10,0.25)</f>
        <v>1.6307898430520129E-3</v>
      </c>
      <c r="K115" s="41">
        <v>0</v>
      </c>
      <c r="L115" s="41">
        <v>55</v>
      </c>
      <c r="M115" s="41">
        <v>-1</v>
      </c>
      <c r="N115" s="41">
        <v>4</v>
      </c>
      <c r="O115" s="110" t="s">
        <v>571</v>
      </c>
      <c r="P115" s="109">
        <v>191635</v>
      </c>
      <c r="Q115" s="107"/>
      <c r="R115" s="111"/>
      <c r="S115" s="110" t="s">
        <v>1188</v>
      </c>
      <c r="T115"/>
      <c r="U115"/>
      <c r="V115"/>
    </row>
    <row r="116" spans="1:22" x14ac:dyDescent="0.3">
      <c r="A116" s="105">
        <v>115</v>
      </c>
      <c r="B116" s="41">
        <v>12000000</v>
      </c>
      <c r="C116" s="41">
        <v>2.8999999999999998E-3</v>
      </c>
      <c r="D116" s="41">
        <v>6.1688000000000001</v>
      </c>
      <c r="E116" s="41">
        <v>30</v>
      </c>
      <c r="F116" s="41">
        <v>0</v>
      </c>
      <c r="G116" s="41" t="s">
        <v>104</v>
      </c>
      <c r="H116" s="41">
        <v>1</v>
      </c>
      <c r="I116" s="41">
        <v>1</v>
      </c>
      <c r="J116" s="108">
        <f>POWER(POWER(Table2[[#This Row],[mv]],4)/10,0.25)</f>
        <v>1.6307898430520129E-3</v>
      </c>
      <c r="K116" s="41">
        <v>0</v>
      </c>
      <c r="L116" s="41">
        <v>55</v>
      </c>
      <c r="M116" s="41">
        <v>-1</v>
      </c>
      <c r="N116" s="41">
        <v>4</v>
      </c>
      <c r="O116" s="110" t="s">
        <v>572</v>
      </c>
      <c r="P116" s="109">
        <v>191635</v>
      </c>
      <c r="Q116" s="107"/>
      <c r="R116" s="111"/>
      <c r="S116" s="110" t="s">
        <v>1188</v>
      </c>
      <c r="T116"/>
      <c r="U116"/>
      <c r="V116"/>
    </row>
    <row r="117" spans="1:22" x14ac:dyDescent="0.3">
      <c r="A117" s="105">
        <v>116</v>
      </c>
      <c r="B117" s="41">
        <v>12000000</v>
      </c>
      <c r="C117" s="41">
        <v>2.8999999999999998E-3</v>
      </c>
      <c r="D117" s="41">
        <v>6.7271999999999998</v>
      </c>
      <c r="E117" s="41">
        <v>30</v>
      </c>
      <c r="F117" s="41">
        <v>0</v>
      </c>
      <c r="G117" s="41" t="s">
        <v>104</v>
      </c>
      <c r="H117" s="41">
        <v>1</v>
      </c>
      <c r="I117" s="41">
        <v>1</v>
      </c>
      <c r="J117" s="108">
        <f>POWER(POWER(Table2[[#This Row],[mv]],4)/10,0.25)</f>
        <v>1.6307898430520129E-3</v>
      </c>
      <c r="K117" s="41">
        <v>0</v>
      </c>
      <c r="L117" s="41">
        <v>55</v>
      </c>
      <c r="M117" s="41">
        <v>-1</v>
      </c>
      <c r="N117" s="41">
        <v>4</v>
      </c>
      <c r="O117" s="110" t="s">
        <v>573</v>
      </c>
      <c r="P117" s="109">
        <v>191635</v>
      </c>
      <c r="Q117" s="107"/>
      <c r="R117" s="111"/>
      <c r="S117" s="110" t="s">
        <v>1188</v>
      </c>
      <c r="T117"/>
      <c r="U117"/>
      <c r="V117"/>
    </row>
    <row r="118" spans="1:22" x14ac:dyDescent="0.3">
      <c r="A118" s="105">
        <v>117</v>
      </c>
      <c r="B118" s="41">
        <v>12000000</v>
      </c>
      <c r="C118" s="41">
        <v>2.8999999999999998E-3</v>
      </c>
      <c r="D118" s="41">
        <v>7.3360000000000003</v>
      </c>
      <c r="E118" s="41">
        <v>30</v>
      </c>
      <c r="F118" s="41">
        <v>0</v>
      </c>
      <c r="G118" s="41" t="s">
        <v>104</v>
      </c>
      <c r="H118" s="41">
        <v>1</v>
      </c>
      <c r="I118" s="41">
        <v>1</v>
      </c>
      <c r="J118" s="108">
        <f>POWER(POWER(Table2[[#This Row],[mv]],4)/10,0.25)</f>
        <v>1.6307898430520129E-3</v>
      </c>
      <c r="K118" s="41">
        <v>0</v>
      </c>
      <c r="L118" s="41">
        <v>55</v>
      </c>
      <c r="M118" s="41">
        <v>-1</v>
      </c>
      <c r="N118" s="41">
        <v>4</v>
      </c>
      <c r="O118" s="110" t="s">
        <v>574</v>
      </c>
      <c r="P118" s="109">
        <v>191635</v>
      </c>
      <c r="Q118" s="107"/>
      <c r="R118" s="111"/>
      <c r="S118" s="110" t="s">
        <v>1188</v>
      </c>
      <c r="T118"/>
      <c r="U118"/>
      <c r="V118"/>
    </row>
    <row r="119" spans="1:22" x14ac:dyDescent="0.3">
      <c r="A119" s="105">
        <v>118</v>
      </c>
      <c r="B119" s="41">
        <v>12000000</v>
      </c>
      <c r="C119" s="41">
        <v>2.8999999999999998E-3</v>
      </c>
      <c r="D119" s="41">
        <v>8</v>
      </c>
      <c r="E119" s="41">
        <v>30</v>
      </c>
      <c r="F119" s="41">
        <v>0</v>
      </c>
      <c r="G119" s="41" t="s">
        <v>104</v>
      </c>
      <c r="H119" s="41">
        <v>1</v>
      </c>
      <c r="I119" s="41">
        <v>1</v>
      </c>
      <c r="J119" s="108">
        <f>POWER(POWER(Table2[[#This Row],[mv]],4)/10,0.25)</f>
        <v>1.6307898430520129E-3</v>
      </c>
      <c r="K119" s="41">
        <v>0</v>
      </c>
      <c r="L119" s="41">
        <v>55</v>
      </c>
      <c r="M119" s="41">
        <v>-1</v>
      </c>
      <c r="N119" s="41">
        <v>4</v>
      </c>
      <c r="O119" s="110" t="s">
        <v>575</v>
      </c>
      <c r="P119" s="109">
        <v>191635</v>
      </c>
      <c r="Q119" s="107"/>
      <c r="R119" s="111"/>
      <c r="S119" s="110" t="s">
        <v>1188</v>
      </c>
      <c r="T119"/>
      <c r="U119"/>
      <c r="V119"/>
    </row>
    <row r="120" spans="1:22" x14ac:dyDescent="0.3">
      <c r="A120" s="105">
        <v>119</v>
      </c>
      <c r="B120" s="41">
        <v>12000000</v>
      </c>
      <c r="C120" s="41">
        <v>2.8999999999999998E-3</v>
      </c>
      <c r="D120" s="41">
        <v>8.7241</v>
      </c>
      <c r="E120" s="41">
        <v>30</v>
      </c>
      <c r="F120" s="41">
        <v>0</v>
      </c>
      <c r="G120" s="41" t="s">
        <v>104</v>
      </c>
      <c r="H120" s="41">
        <v>1</v>
      </c>
      <c r="I120" s="41">
        <v>1</v>
      </c>
      <c r="J120" s="108">
        <f>POWER(POWER(Table2[[#This Row],[mv]],4)/10,0.25)</f>
        <v>1.6307898430520129E-3</v>
      </c>
      <c r="K120" s="41">
        <v>0</v>
      </c>
      <c r="L120" s="41">
        <v>55</v>
      </c>
      <c r="M120" s="41">
        <v>-1</v>
      </c>
      <c r="N120" s="41">
        <v>4</v>
      </c>
      <c r="O120" s="110" t="s">
        <v>576</v>
      </c>
      <c r="P120" s="109">
        <v>191635</v>
      </c>
      <c r="Q120" s="107"/>
      <c r="R120" s="111"/>
      <c r="S120" s="110" t="s">
        <v>1188</v>
      </c>
      <c r="T120"/>
      <c r="U120"/>
      <c r="V120"/>
    </row>
    <row r="121" spans="1:22" x14ac:dyDescent="0.3">
      <c r="A121" s="105">
        <v>120</v>
      </c>
      <c r="B121" s="41">
        <v>12000000</v>
      </c>
      <c r="C121" s="41">
        <v>2.8999999999999998E-3</v>
      </c>
      <c r="D121" s="41">
        <v>9.5137</v>
      </c>
      <c r="E121" s="41">
        <v>30</v>
      </c>
      <c r="F121" s="41">
        <v>0</v>
      </c>
      <c r="G121" s="41" t="s">
        <v>104</v>
      </c>
      <c r="H121" s="41">
        <v>1</v>
      </c>
      <c r="I121" s="41">
        <v>1</v>
      </c>
      <c r="J121" s="108">
        <f>POWER(POWER(Table2[[#This Row],[mv]],4)/10,0.25)</f>
        <v>1.6307898430520129E-3</v>
      </c>
      <c r="K121" s="41">
        <v>0</v>
      </c>
      <c r="L121" s="41">
        <v>55</v>
      </c>
      <c r="M121" s="41">
        <v>-1</v>
      </c>
      <c r="N121" s="41">
        <v>4</v>
      </c>
      <c r="O121" s="110" t="s">
        <v>577</v>
      </c>
      <c r="P121" s="109">
        <v>191635</v>
      </c>
      <c r="Q121" s="107"/>
      <c r="R121" s="111"/>
      <c r="S121" s="110" t="s">
        <v>1188</v>
      </c>
      <c r="T121"/>
      <c r="U121"/>
      <c r="V121"/>
    </row>
    <row r="122" spans="1:22" x14ac:dyDescent="0.3">
      <c r="A122" s="105">
        <v>121</v>
      </c>
      <c r="B122" s="41">
        <v>12000000</v>
      </c>
      <c r="C122" s="41">
        <v>2.8999999999999998E-3</v>
      </c>
      <c r="D122" s="41">
        <v>10.374700000000001</v>
      </c>
      <c r="E122" s="41">
        <v>30</v>
      </c>
      <c r="F122" s="41">
        <v>0</v>
      </c>
      <c r="G122" s="41" t="s">
        <v>104</v>
      </c>
      <c r="H122" s="41">
        <v>1</v>
      </c>
      <c r="I122" s="41">
        <v>1</v>
      </c>
      <c r="J122" s="108">
        <f>POWER(POWER(Table2[[#This Row],[mv]],4)/10,0.25)</f>
        <v>1.6307898430520129E-3</v>
      </c>
      <c r="K122" s="41">
        <v>0</v>
      </c>
      <c r="L122" s="41">
        <v>55</v>
      </c>
      <c r="M122" s="41">
        <v>-1</v>
      </c>
      <c r="N122" s="41">
        <v>4</v>
      </c>
      <c r="O122" s="110" t="s">
        <v>578</v>
      </c>
      <c r="P122" s="109">
        <v>191635</v>
      </c>
      <c r="Q122" s="107"/>
      <c r="R122" s="111"/>
      <c r="S122" s="110" t="s">
        <v>1188</v>
      </c>
      <c r="T122"/>
      <c r="U122"/>
      <c r="V122"/>
    </row>
    <row r="123" spans="1:22" x14ac:dyDescent="0.3">
      <c r="A123" s="105">
        <v>122</v>
      </c>
      <c r="B123" s="41">
        <v>12000000</v>
      </c>
      <c r="C123" s="41">
        <v>2.8999999999999998E-3</v>
      </c>
      <c r="D123" s="41">
        <v>11.313700000000001</v>
      </c>
      <c r="E123" s="41">
        <v>30</v>
      </c>
      <c r="F123" s="41">
        <v>0</v>
      </c>
      <c r="G123" s="41" t="s">
        <v>104</v>
      </c>
      <c r="H123" s="41">
        <v>1</v>
      </c>
      <c r="I123" s="41">
        <v>1</v>
      </c>
      <c r="J123" s="108">
        <f>POWER(POWER(Table2[[#This Row],[mv]],4)/10,0.25)</f>
        <v>1.6307898430520129E-3</v>
      </c>
      <c r="K123" s="41">
        <v>0</v>
      </c>
      <c r="L123" s="41">
        <v>55</v>
      </c>
      <c r="M123" s="41">
        <v>-1</v>
      </c>
      <c r="N123" s="41">
        <v>4</v>
      </c>
      <c r="O123" s="110" t="s">
        <v>579</v>
      </c>
      <c r="P123" s="109">
        <v>191636</v>
      </c>
      <c r="Q123" s="107"/>
      <c r="R123" s="111"/>
      <c r="S123" s="110" t="s">
        <v>1188</v>
      </c>
      <c r="T123"/>
      <c r="U123"/>
      <c r="V123"/>
    </row>
    <row r="124" spans="1:22" x14ac:dyDescent="0.3">
      <c r="A124" s="105">
        <v>123</v>
      </c>
      <c r="B124" s="41">
        <v>12000000</v>
      </c>
      <c r="C124" s="41">
        <v>2.8999999999999998E-3</v>
      </c>
      <c r="D124" s="41">
        <v>12.3377</v>
      </c>
      <c r="E124" s="41">
        <v>30</v>
      </c>
      <c r="F124" s="41">
        <v>0</v>
      </c>
      <c r="G124" s="41" t="s">
        <v>104</v>
      </c>
      <c r="H124" s="41">
        <v>1</v>
      </c>
      <c r="I124" s="41">
        <v>1</v>
      </c>
      <c r="J124" s="108">
        <f>POWER(POWER(Table2[[#This Row],[mv]],4)/10,0.25)</f>
        <v>1.6307898430520129E-3</v>
      </c>
      <c r="K124" s="41">
        <v>0</v>
      </c>
      <c r="L124" s="41">
        <v>55</v>
      </c>
      <c r="M124" s="41">
        <v>-1</v>
      </c>
      <c r="N124" s="41">
        <v>4</v>
      </c>
      <c r="O124" s="110" t="s">
        <v>580</v>
      </c>
      <c r="P124" s="109">
        <v>191636</v>
      </c>
      <c r="Q124" s="107"/>
      <c r="R124" s="111"/>
      <c r="S124" s="110" t="s">
        <v>1188</v>
      </c>
      <c r="T124"/>
      <c r="U124"/>
      <c r="V124"/>
    </row>
    <row r="125" spans="1:22" x14ac:dyDescent="0.3">
      <c r="A125" s="105">
        <v>124</v>
      </c>
      <c r="B125" s="41">
        <v>12000000</v>
      </c>
      <c r="C125" s="41">
        <v>2.8999999999999998E-3</v>
      </c>
      <c r="D125" s="41">
        <v>13.4543</v>
      </c>
      <c r="E125" s="41">
        <v>30</v>
      </c>
      <c r="F125" s="41">
        <v>0</v>
      </c>
      <c r="G125" s="41" t="s">
        <v>104</v>
      </c>
      <c r="H125" s="41">
        <v>1</v>
      </c>
      <c r="I125" s="41">
        <v>1</v>
      </c>
      <c r="J125" s="108">
        <f>POWER(POWER(Table2[[#This Row],[mv]],4)/10,0.25)</f>
        <v>1.6307898430520129E-3</v>
      </c>
      <c r="K125" s="41">
        <v>0</v>
      </c>
      <c r="L125" s="41">
        <v>55</v>
      </c>
      <c r="M125" s="41">
        <v>-1</v>
      </c>
      <c r="N125" s="41">
        <v>4</v>
      </c>
      <c r="O125" s="110" t="s">
        <v>581</v>
      </c>
      <c r="P125" s="109">
        <v>191636</v>
      </c>
      <c r="Q125" s="107"/>
      <c r="R125" s="111"/>
      <c r="S125" s="110" t="s">
        <v>1188</v>
      </c>
      <c r="T125"/>
      <c r="U125"/>
      <c r="V125"/>
    </row>
    <row r="126" spans="1:22" x14ac:dyDescent="0.3">
      <c r="A126" s="105">
        <v>125</v>
      </c>
      <c r="B126" s="41">
        <v>12000000</v>
      </c>
      <c r="C126" s="41">
        <v>2.8999999999999998E-3</v>
      </c>
      <c r="D126" s="41">
        <v>14.6721</v>
      </c>
      <c r="E126" s="41">
        <v>30</v>
      </c>
      <c r="F126" s="41">
        <v>0</v>
      </c>
      <c r="G126" s="41" t="s">
        <v>104</v>
      </c>
      <c r="H126" s="41">
        <v>1</v>
      </c>
      <c r="I126" s="41">
        <v>1</v>
      </c>
      <c r="J126" s="108">
        <f>POWER(POWER(Table2[[#This Row],[mv]],4)/10,0.25)</f>
        <v>1.6307898430520129E-3</v>
      </c>
      <c r="K126" s="41">
        <v>0</v>
      </c>
      <c r="L126" s="41">
        <v>55</v>
      </c>
      <c r="M126" s="41">
        <v>-1</v>
      </c>
      <c r="N126" s="41">
        <v>4</v>
      </c>
      <c r="O126" s="110" t="s">
        <v>582</v>
      </c>
      <c r="P126" s="109">
        <v>191636</v>
      </c>
      <c r="Q126" s="107"/>
      <c r="R126" s="111"/>
      <c r="S126" s="110" t="s">
        <v>1188</v>
      </c>
      <c r="T126"/>
      <c r="U126"/>
      <c r="V126"/>
    </row>
    <row r="127" spans="1:22" x14ac:dyDescent="0.3">
      <c r="A127" s="105">
        <v>126</v>
      </c>
      <c r="B127" s="41">
        <v>12000000</v>
      </c>
      <c r="C127" s="41">
        <v>2.8999999999999998E-3</v>
      </c>
      <c r="D127" s="41">
        <v>16</v>
      </c>
      <c r="E127" s="41">
        <v>30</v>
      </c>
      <c r="F127" s="41">
        <v>0</v>
      </c>
      <c r="G127" s="41" t="s">
        <v>104</v>
      </c>
      <c r="H127" s="41">
        <v>1</v>
      </c>
      <c r="I127" s="41">
        <v>1</v>
      </c>
      <c r="J127" s="108">
        <f>POWER(POWER(Table2[[#This Row],[mv]],4)/10,0.25)</f>
        <v>1.6307898430520129E-3</v>
      </c>
      <c r="K127" s="41">
        <v>0</v>
      </c>
      <c r="L127" s="41">
        <v>55</v>
      </c>
      <c r="M127" s="41">
        <v>-1</v>
      </c>
      <c r="N127" s="41">
        <v>4</v>
      </c>
      <c r="O127" s="110" t="s">
        <v>583</v>
      </c>
      <c r="P127" s="109">
        <v>191636</v>
      </c>
      <c r="Q127" s="107"/>
      <c r="R127" s="111"/>
      <c r="S127" s="110" t="s">
        <v>1188</v>
      </c>
      <c r="T127"/>
      <c r="U127"/>
      <c r="V127"/>
    </row>
    <row r="128" spans="1:22" x14ac:dyDescent="0.3">
      <c r="A128" s="105">
        <v>127</v>
      </c>
      <c r="B128" s="41">
        <v>12000000</v>
      </c>
      <c r="C128" s="41">
        <v>2.8999999999999998E-3</v>
      </c>
      <c r="D128" s="41">
        <v>17.4481</v>
      </c>
      <c r="E128" s="41">
        <v>30</v>
      </c>
      <c r="F128" s="41">
        <v>0</v>
      </c>
      <c r="G128" s="41" t="s">
        <v>104</v>
      </c>
      <c r="H128" s="41">
        <v>1</v>
      </c>
      <c r="I128" s="41">
        <v>1</v>
      </c>
      <c r="J128" s="108">
        <f>POWER(POWER(Table2[[#This Row],[mv]],4)/10,0.25)</f>
        <v>1.6307898430520129E-3</v>
      </c>
      <c r="K128" s="41">
        <v>0</v>
      </c>
      <c r="L128" s="41">
        <v>55</v>
      </c>
      <c r="M128" s="41">
        <v>-1</v>
      </c>
      <c r="N128" s="41">
        <v>4</v>
      </c>
      <c r="O128" s="110" t="s">
        <v>584</v>
      </c>
      <c r="P128" s="109">
        <v>191636</v>
      </c>
      <c r="Q128" s="107"/>
      <c r="R128" s="111"/>
      <c r="S128" s="110" t="s">
        <v>1188</v>
      </c>
      <c r="T128"/>
      <c r="U128"/>
      <c r="V128"/>
    </row>
    <row r="129" spans="1:22" x14ac:dyDescent="0.3">
      <c r="A129" s="105">
        <v>128</v>
      </c>
      <c r="B129" s="41">
        <v>12000000</v>
      </c>
      <c r="C129" s="41">
        <v>2.8999999999999998E-3</v>
      </c>
      <c r="D129" s="41">
        <v>19.0273</v>
      </c>
      <c r="E129" s="41">
        <v>30</v>
      </c>
      <c r="F129" s="41">
        <v>0</v>
      </c>
      <c r="G129" s="41" t="s">
        <v>104</v>
      </c>
      <c r="H129" s="41">
        <v>1</v>
      </c>
      <c r="I129" s="41">
        <v>1</v>
      </c>
      <c r="J129" s="108">
        <f>POWER(POWER(Table2[[#This Row],[mv]],4)/10,0.25)</f>
        <v>1.6307898430520129E-3</v>
      </c>
      <c r="K129" s="41">
        <v>0</v>
      </c>
      <c r="L129" s="41">
        <v>55</v>
      </c>
      <c r="M129" s="41">
        <v>-1</v>
      </c>
      <c r="N129" s="41">
        <v>4</v>
      </c>
      <c r="O129" s="110" t="s">
        <v>585</v>
      </c>
      <c r="P129" s="109">
        <v>191636</v>
      </c>
      <c r="Q129" s="107"/>
      <c r="R129" s="111"/>
      <c r="S129" s="110" t="s">
        <v>1188</v>
      </c>
      <c r="T129"/>
      <c r="U129"/>
      <c r="V129"/>
    </row>
    <row r="130" spans="1:22" x14ac:dyDescent="0.3">
      <c r="A130" s="105">
        <v>129</v>
      </c>
      <c r="B130" s="41">
        <v>12000000</v>
      </c>
      <c r="C130" s="41">
        <v>3.2000000000000002E-3</v>
      </c>
      <c r="D130" s="41">
        <v>3.3635999999999999</v>
      </c>
      <c r="E130" s="41">
        <v>30</v>
      </c>
      <c r="F130" s="41">
        <v>0</v>
      </c>
      <c r="G130" s="41" t="s">
        <v>104</v>
      </c>
      <c r="H130" s="41">
        <v>1</v>
      </c>
      <c r="I130" s="41">
        <v>1</v>
      </c>
      <c r="J130" s="108">
        <f>POWER(POWER(Table2[[#This Row],[mv]],4)/10,0.25)</f>
        <v>1.7994922406091175E-3</v>
      </c>
      <c r="K130" s="41">
        <v>0</v>
      </c>
      <c r="L130" s="41">
        <v>55</v>
      </c>
      <c r="M130" s="41">
        <v>-1</v>
      </c>
      <c r="N130" s="41">
        <v>4</v>
      </c>
      <c r="O130" s="110" t="s">
        <v>586</v>
      </c>
      <c r="P130" s="109">
        <v>191636</v>
      </c>
      <c r="Q130" s="107"/>
      <c r="R130" s="111"/>
      <c r="S130" s="110" t="s">
        <v>1188</v>
      </c>
      <c r="T130"/>
      <c r="U130"/>
      <c r="V130"/>
    </row>
    <row r="131" spans="1:22" x14ac:dyDescent="0.3">
      <c r="A131" s="105">
        <v>130</v>
      </c>
      <c r="B131" s="41">
        <v>12000000</v>
      </c>
      <c r="C131" s="41">
        <v>3.2000000000000002E-3</v>
      </c>
      <c r="D131" s="41">
        <v>3.6680000000000001</v>
      </c>
      <c r="E131" s="41">
        <v>30</v>
      </c>
      <c r="F131" s="41">
        <v>0</v>
      </c>
      <c r="G131" s="41" t="s">
        <v>104</v>
      </c>
      <c r="H131" s="41">
        <v>1</v>
      </c>
      <c r="I131" s="41">
        <v>1</v>
      </c>
      <c r="J131" s="108">
        <f>POWER(POWER(Table2[[#This Row],[mv]],4)/10,0.25)</f>
        <v>1.7994922406091175E-3</v>
      </c>
      <c r="K131" s="41">
        <v>0</v>
      </c>
      <c r="L131" s="41">
        <v>55</v>
      </c>
      <c r="M131" s="41">
        <v>-1</v>
      </c>
      <c r="N131" s="41">
        <v>4</v>
      </c>
      <c r="O131" s="110" t="s">
        <v>587</v>
      </c>
      <c r="P131" s="109">
        <v>191636</v>
      </c>
      <c r="Q131" s="107"/>
      <c r="R131" s="111"/>
      <c r="S131" s="110" t="s">
        <v>1188</v>
      </c>
      <c r="T131"/>
      <c r="U131"/>
      <c r="V131"/>
    </row>
    <row r="132" spans="1:22" x14ac:dyDescent="0.3">
      <c r="A132" s="105">
        <v>131</v>
      </c>
      <c r="B132" s="41">
        <v>12000000</v>
      </c>
      <c r="C132" s="41">
        <v>3.2000000000000002E-3</v>
      </c>
      <c r="D132" s="41">
        <v>4</v>
      </c>
      <c r="E132" s="41">
        <v>30</v>
      </c>
      <c r="F132" s="41">
        <v>0</v>
      </c>
      <c r="G132" s="41" t="s">
        <v>104</v>
      </c>
      <c r="H132" s="41">
        <v>1</v>
      </c>
      <c r="I132" s="41">
        <v>1</v>
      </c>
      <c r="J132" s="108">
        <f>POWER(POWER(Table2[[#This Row],[mv]],4)/10,0.25)</f>
        <v>1.7994922406091175E-3</v>
      </c>
      <c r="K132" s="41">
        <v>0</v>
      </c>
      <c r="L132" s="41">
        <v>55</v>
      </c>
      <c r="M132" s="41">
        <v>-1</v>
      </c>
      <c r="N132" s="41">
        <v>4</v>
      </c>
      <c r="O132" s="110" t="s">
        <v>588</v>
      </c>
      <c r="P132" s="109">
        <v>191636</v>
      </c>
      <c r="Q132" s="107"/>
      <c r="R132" s="111"/>
      <c r="S132" s="110" t="s">
        <v>1188</v>
      </c>
      <c r="T132"/>
      <c r="U132"/>
      <c r="V132"/>
    </row>
    <row r="133" spans="1:22" x14ac:dyDescent="0.3">
      <c r="A133" s="105">
        <v>132</v>
      </c>
      <c r="B133" s="41">
        <v>12000000</v>
      </c>
      <c r="C133" s="41">
        <v>3.2000000000000002E-3</v>
      </c>
      <c r="D133" s="41">
        <v>4.3620000000000001</v>
      </c>
      <c r="E133" s="41">
        <v>30</v>
      </c>
      <c r="F133" s="41">
        <v>0</v>
      </c>
      <c r="G133" s="41" t="s">
        <v>104</v>
      </c>
      <c r="H133" s="41">
        <v>1</v>
      </c>
      <c r="I133" s="41">
        <v>1</v>
      </c>
      <c r="J133" s="108">
        <f>POWER(POWER(Table2[[#This Row],[mv]],4)/10,0.25)</f>
        <v>1.7994922406091175E-3</v>
      </c>
      <c r="K133" s="41">
        <v>0</v>
      </c>
      <c r="L133" s="41">
        <v>55</v>
      </c>
      <c r="M133" s="41">
        <v>-1</v>
      </c>
      <c r="N133" s="41">
        <v>4</v>
      </c>
      <c r="O133" s="110" t="s">
        <v>589</v>
      </c>
      <c r="P133" s="109">
        <v>191636</v>
      </c>
      <c r="Q133" s="107"/>
      <c r="R133" s="111"/>
      <c r="S133" s="110" t="s">
        <v>1188</v>
      </c>
      <c r="T133"/>
      <c r="U133"/>
      <c r="V133"/>
    </row>
    <row r="134" spans="1:22" x14ac:dyDescent="0.3">
      <c r="A134" s="105">
        <v>133</v>
      </c>
      <c r="B134" s="41">
        <v>12000000</v>
      </c>
      <c r="C134" s="41">
        <v>3.2000000000000002E-3</v>
      </c>
      <c r="D134" s="41">
        <v>4.7568000000000001</v>
      </c>
      <c r="E134" s="41">
        <v>30</v>
      </c>
      <c r="F134" s="41">
        <v>0</v>
      </c>
      <c r="G134" s="41" t="s">
        <v>104</v>
      </c>
      <c r="H134" s="41">
        <v>1</v>
      </c>
      <c r="I134" s="41">
        <v>1</v>
      </c>
      <c r="J134" s="108">
        <f>POWER(POWER(Table2[[#This Row],[mv]],4)/10,0.25)</f>
        <v>1.7994922406091175E-3</v>
      </c>
      <c r="K134" s="41">
        <v>0</v>
      </c>
      <c r="L134" s="41">
        <v>55</v>
      </c>
      <c r="M134" s="41">
        <v>-1</v>
      </c>
      <c r="N134" s="41">
        <v>4</v>
      </c>
      <c r="O134" s="110" t="s">
        <v>590</v>
      </c>
      <c r="P134" s="109">
        <v>191636</v>
      </c>
      <c r="Q134" s="107"/>
      <c r="R134" s="111"/>
      <c r="S134" s="110" t="s">
        <v>1188</v>
      </c>
      <c r="T134"/>
      <c r="U134"/>
      <c r="V134"/>
    </row>
    <row r="135" spans="1:22" x14ac:dyDescent="0.3">
      <c r="A135" s="105">
        <v>134</v>
      </c>
      <c r="B135" s="41">
        <v>12000000</v>
      </c>
      <c r="C135" s="41">
        <v>3.2000000000000002E-3</v>
      </c>
      <c r="D135" s="41">
        <v>5.1874000000000002</v>
      </c>
      <c r="E135" s="41">
        <v>30</v>
      </c>
      <c r="F135" s="41">
        <v>0</v>
      </c>
      <c r="G135" s="41" t="s">
        <v>104</v>
      </c>
      <c r="H135" s="41">
        <v>1</v>
      </c>
      <c r="I135" s="41">
        <v>1</v>
      </c>
      <c r="J135" s="108">
        <f>POWER(POWER(Table2[[#This Row],[mv]],4)/10,0.25)</f>
        <v>1.7994922406091175E-3</v>
      </c>
      <c r="K135" s="41">
        <v>0</v>
      </c>
      <c r="L135" s="41">
        <v>55</v>
      </c>
      <c r="M135" s="41">
        <v>-1</v>
      </c>
      <c r="N135" s="41">
        <v>4</v>
      </c>
      <c r="O135" s="110" t="s">
        <v>591</v>
      </c>
      <c r="P135" s="109">
        <v>191636</v>
      </c>
      <c r="Q135" s="107"/>
      <c r="R135" s="111"/>
      <c r="S135" s="110" t="s">
        <v>1188</v>
      </c>
      <c r="T135"/>
      <c r="U135"/>
      <c r="V135"/>
    </row>
    <row r="136" spans="1:22" x14ac:dyDescent="0.3">
      <c r="A136" s="105">
        <v>135</v>
      </c>
      <c r="B136" s="41">
        <v>12000000</v>
      </c>
      <c r="C136" s="41">
        <v>3.2000000000000002E-3</v>
      </c>
      <c r="D136" s="41">
        <v>5.6569000000000003</v>
      </c>
      <c r="E136" s="41">
        <v>30</v>
      </c>
      <c r="F136" s="41">
        <v>0</v>
      </c>
      <c r="G136" s="41" t="s">
        <v>104</v>
      </c>
      <c r="H136" s="41">
        <v>1</v>
      </c>
      <c r="I136" s="41">
        <v>1</v>
      </c>
      <c r="J136" s="108">
        <f>POWER(POWER(Table2[[#This Row],[mv]],4)/10,0.25)</f>
        <v>1.7994922406091175E-3</v>
      </c>
      <c r="K136" s="41">
        <v>0</v>
      </c>
      <c r="L136" s="41">
        <v>55</v>
      </c>
      <c r="M136" s="41">
        <v>-1</v>
      </c>
      <c r="N136" s="41">
        <v>4</v>
      </c>
      <c r="O136" s="110" t="s">
        <v>592</v>
      </c>
      <c r="P136" s="109">
        <v>191636</v>
      </c>
      <c r="Q136" s="107"/>
      <c r="R136" s="111"/>
      <c r="S136" s="110" t="s">
        <v>1188</v>
      </c>
      <c r="T136"/>
      <c r="U136"/>
      <c r="V136"/>
    </row>
    <row r="137" spans="1:22" x14ac:dyDescent="0.3">
      <c r="A137" s="105">
        <v>136</v>
      </c>
      <c r="B137" s="41">
        <v>12000000</v>
      </c>
      <c r="C137" s="41">
        <v>3.2000000000000002E-3</v>
      </c>
      <c r="D137" s="41">
        <v>6.1688000000000001</v>
      </c>
      <c r="E137" s="41">
        <v>30</v>
      </c>
      <c r="F137" s="41">
        <v>0</v>
      </c>
      <c r="G137" s="41" t="s">
        <v>104</v>
      </c>
      <c r="H137" s="41">
        <v>1</v>
      </c>
      <c r="I137" s="41">
        <v>1</v>
      </c>
      <c r="J137" s="108">
        <f>POWER(POWER(Table2[[#This Row],[mv]],4)/10,0.25)</f>
        <v>1.7994922406091175E-3</v>
      </c>
      <c r="K137" s="41">
        <v>0</v>
      </c>
      <c r="L137" s="41">
        <v>55</v>
      </c>
      <c r="M137" s="41">
        <v>-1</v>
      </c>
      <c r="N137" s="41">
        <v>4</v>
      </c>
      <c r="O137" s="110" t="s">
        <v>593</v>
      </c>
      <c r="P137" s="109">
        <v>191688</v>
      </c>
      <c r="Q137" s="107"/>
      <c r="R137" s="111"/>
      <c r="S137" s="110" t="s">
        <v>1188</v>
      </c>
      <c r="T137"/>
      <c r="U137"/>
      <c r="V137"/>
    </row>
    <row r="138" spans="1:22" x14ac:dyDescent="0.3">
      <c r="A138" s="105">
        <v>137</v>
      </c>
      <c r="B138" s="41">
        <v>12000000</v>
      </c>
      <c r="C138" s="41">
        <v>3.2000000000000002E-3</v>
      </c>
      <c r="D138" s="41">
        <v>6.7271999999999998</v>
      </c>
      <c r="E138" s="41">
        <v>30</v>
      </c>
      <c r="F138" s="41">
        <v>0</v>
      </c>
      <c r="G138" s="41" t="s">
        <v>104</v>
      </c>
      <c r="H138" s="41">
        <v>1</v>
      </c>
      <c r="I138" s="41">
        <v>1</v>
      </c>
      <c r="J138" s="108">
        <f>POWER(POWER(Table2[[#This Row],[mv]],4)/10,0.25)</f>
        <v>1.7994922406091175E-3</v>
      </c>
      <c r="K138" s="41">
        <v>0</v>
      </c>
      <c r="L138" s="41">
        <v>55</v>
      </c>
      <c r="M138" s="41">
        <v>-1</v>
      </c>
      <c r="N138" s="41">
        <v>4</v>
      </c>
      <c r="O138" s="110" t="s">
        <v>594</v>
      </c>
      <c r="P138" s="109">
        <v>191688</v>
      </c>
      <c r="Q138" s="107"/>
      <c r="R138" s="111"/>
      <c r="S138" s="110" t="s">
        <v>1188</v>
      </c>
      <c r="T138"/>
      <c r="U138"/>
      <c r="V138"/>
    </row>
    <row r="139" spans="1:22" x14ac:dyDescent="0.3">
      <c r="A139" s="105">
        <v>138</v>
      </c>
      <c r="B139" s="41">
        <v>12000000</v>
      </c>
      <c r="C139" s="41">
        <v>3.2000000000000002E-3</v>
      </c>
      <c r="D139" s="41">
        <v>7.3360000000000003</v>
      </c>
      <c r="E139" s="41">
        <v>30</v>
      </c>
      <c r="F139" s="41">
        <v>0</v>
      </c>
      <c r="G139" s="41" t="s">
        <v>104</v>
      </c>
      <c r="H139" s="41">
        <v>1</v>
      </c>
      <c r="I139" s="41">
        <v>1</v>
      </c>
      <c r="J139" s="108">
        <f>POWER(POWER(Table2[[#This Row],[mv]],4)/10,0.25)</f>
        <v>1.7994922406091175E-3</v>
      </c>
      <c r="K139" s="41">
        <v>0</v>
      </c>
      <c r="L139" s="41">
        <v>55</v>
      </c>
      <c r="M139" s="41">
        <v>-1</v>
      </c>
      <c r="N139" s="41">
        <v>4</v>
      </c>
      <c r="O139" s="110" t="s">
        <v>595</v>
      </c>
      <c r="P139" s="109">
        <v>191688</v>
      </c>
      <c r="Q139" s="107"/>
      <c r="R139" s="111"/>
      <c r="S139" s="110" t="s">
        <v>1188</v>
      </c>
      <c r="T139"/>
      <c r="U139"/>
      <c r="V139"/>
    </row>
    <row r="140" spans="1:22" x14ac:dyDescent="0.3">
      <c r="A140" s="105">
        <v>139</v>
      </c>
      <c r="B140" s="41">
        <v>12000000</v>
      </c>
      <c r="C140" s="41">
        <v>3.2000000000000002E-3</v>
      </c>
      <c r="D140" s="41">
        <v>8</v>
      </c>
      <c r="E140" s="41">
        <v>30</v>
      </c>
      <c r="F140" s="41">
        <v>0</v>
      </c>
      <c r="G140" s="41" t="s">
        <v>104</v>
      </c>
      <c r="H140" s="41">
        <v>1</v>
      </c>
      <c r="I140" s="41">
        <v>1</v>
      </c>
      <c r="J140" s="108">
        <f>POWER(POWER(Table2[[#This Row],[mv]],4)/10,0.25)</f>
        <v>1.7994922406091175E-3</v>
      </c>
      <c r="K140" s="41">
        <v>0</v>
      </c>
      <c r="L140" s="41">
        <v>55</v>
      </c>
      <c r="M140" s="41">
        <v>-1</v>
      </c>
      <c r="N140" s="41">
        <v>4</v>
      </c>
      <c r="O140" s="110" t="s">
        <v>596</v>
      </c>
      <c r="P140" s="109">
        <v>191688</v>
      </c>
      <c r="Q140" s="107"/>
      <c r="R140" s="111"/>
      <c r="S140" s="110" t="s">
        <v>1188</v>
      </c>
      <c r="T140"/>
      <c r="U140"/>
      <c r="V140"/>
    </row>
    <row r="141" spans="1:22" x14ac:dyDescent="0.3">
      <c r="A141" s="105">
        <v>140</v>
      </c>
      <c r="B141" s="41">
        <v>12000000</v>
      </c>
      <c r="C141" s="41">
        <v>3.2000000000000002E-3</v>
      </c>
      <c r="D141" s="41">
        <v>8.7241</v>
      </c>
      <c r="E141" s="41">
        <v>30</v>
      </c>
      <c r="F141" s="41">
        <v>0</v>
      </c>
      <c r="G141" s="41" t="s">
        <v>104</v>
      </c>
      <c r="H141" s="41">
        <v>1</v>
      </c>
      <c r="I141" s="41">
        <v>1</v>
      </c>
      <c r="J141" s="108">
        <f>POWER(POWER(Table2[[#This Row],[mv]],4)/10,0.25)</f>
        <v>1.7994922406091175E-3</v>
      </c>
      <c r="K141" s="41">
        <v>0</v>
      </c>
      <c r="L141" s="41">
        <v>55</v>
      </c>
      <c r="M141" s="41">
        <v>-1</v>
      </c>
      <c r="N141" s="41">
        <v>4</v>
      </c>
      <c r="O141" s="110" t="s">
        <v>597</v>
      </c>
      <c r="P141" s="109">
        <v>191688</v>
      </c>
      <c r="Q141" s="107"/>
      <c r="R141" s="111"/>
      <c r="S141" s="110" t="s">
        <v>1188</v>
      </c>
      <c r="T141"/>
      <c r="U141"/>
      <c r="V141"/>
    </row>
    <row r="142" spans="1:22" x14ac:dyDescent="0.3">
      <c r="A142" s="105">
        <v>141</v>
      </c>
      <c r="B142" s="41">
        <v>12000000</v>
      </c>
      <c r="C142" s="41">
        <v>3.2000000000000002E-3</v>
      </c>
      <c r="D142" s="41">
        <v>9.5137</v>
      </c>
      <c r="E142" s="41">
        <v>30</v>
      </c>
      <c r="F142" s="41">
        <v>0</v>
      </c>
      <c r="G142" s="41" t="s">
        <v>104</v>
      </c>
      <c r="H142" s="41">
        <v>1</v>
      </c>
      <c r="I142" s="41">
        <v>1</v>
      </c>
      <c r="J142" s="108">
        <f>POWER(POWER(Table2[[#This Row],[mv]],4)/10,0.25)</f>
        <v>1.7994922406091175E-3</v>
      </c>
      <c r="K142" s="41">
        <v>0</v>
      </c>
      <c r="L142" s="41">
        <v>55</v>
      </c>
      <c r="M142" s="41">
        <v>-1</v>
      </c>
      <c r="N142" s="41">
        <v>4</v>
      </c>
      <c r="O142" s="110" t="s">
        <v>598</v>
      </c>
      <c r="P142" s="109">
        <v>191688</v>
      </c>
      <c r="Q142" s="107"/>
      <c r="R142" s="111"/>
      <c r="S142" s="110" t="s">
        <v>1188</v>
      </c>
      <c r="T142"/>
      <c r="U142"/>
      <c r="V142"/>
    </row>
    <row r="143" spans="1:22" x14ac:dyDescent="0.3">
      <c r="A143" s="105">
        <v>142</v>
      </c>
      <c r="B143" s="41">
        <v>12000000</v>
      </c>
      <c r="C143" s="41">
        <v>3.2000000000000002E-3</v>
      </c>
      <c r="D143" s="41">
        <v>10.374700000000001</v>
      </c>
      <c r="E143" s="41">
        <v>30</v>
      </c>
      <c r="F143" s="41">
        <v>0</v>
      </c>
      <c r="G143" s="41" t="s">
        <v>104</v>
      </c>
      <c r="H143" s="41">
        <v>1</v>
      </c>
      <c r="I143" s="41">
        <v>1</v>
      </c>
      <c r="J143" s="108">
        <f>POWER(POWER(Table2[[#This Row],[mv]],4)/10,0.25)</f>
        <v>1.7994922406091175E-3</v>
      </c>
      <c r="K143" s="41">
        <v>0</v>
      </c>
      <c r="L143" s="41">
        <v>55</v>
      </c>
      <c r="M143" s="41">
        <v>-1</v>
      </c>
      <c r="N143" s="41">
        <v>4</v>
      </c>
      <c r="O143" s="110" t="s">
        <v>599</v>
      </c>
      <c r="P143" s="109">
        <v>191688</v>
      </c>
      <c r="Q143" s="107"/>
      <c r="R143" s="111"/>
      <c r="S143" s="110" t="s">
        <v>1188</v>
      </c>
      <c r="T143"/>
      <c r="U143"/>
      <c r="V143"/>
    </row>
    <row r="144" spans="1:22" x14ac:dyDescent="0.3">
      <c r="A144" s="105">
        <v>143</v>
      </c>
      <c r="B144" s="41">
        <v>12000000</v>
      </c>
      <c r="C144" s="41">
        <v>3.2000000000000002E-3</v>
      </c>
      <c r="D144" s="41">
        <v>11.313700000000001</v>
      </c>
      <c r="E144" s="41">
        <v>30</v>
      </c>
      <c r="F144" s="41">
        <v>0</v>
      </c>
      <c r="G144" s="41" t="s">
        <v>104</v>
      </c>
      <c r="H144" s="41">
        <v>1</v>
      </c>
      <c r="I144" s="41">
        <v>1</v>
      </c>
      <c r="J144" s="108">
        <f>POWER(POWER(Table2[[#This Row],[mv]],4)/10,0.25)</f>
        <v>1.7994922406091175E-3</v>
      </c>
      <c r="K144" s="41">
        <v>0</v>
      </c>
      <c r="L144" s="41">
        <v>55</v>
      </c>
      <c r="M144" s="41">
        <v>-1</v>
      </c>
      <c r="N144" s="41">
        <v>4</v>
      </c>
      <c r="O144" s="110" t="s">
        <v>600</v>
      </c>
      <c r="P144" s="109">
        <v>191688</v>
      </c>
      <c r="Q144" s="107"/>
      <c r="R144" s="111"/>
      <c r="S144" s="110" t="s">
        <v>1188</v>
      </c>
      <c r="T144"/>
      <c r="U144"/>
      <c r="V144"/>
    </row>
    <row r="145" spans="1:22" x14ac:dyDescent="0.3">
      <c r="A145" s="105">
        <v>144</v>
      </c>
      <c r="B145" s="41">
        <v>12000000</v>
      </c>
      <c r="C145" s="41">
        <v>3.2000000000000002E-3</v>
      </c>
      <c r="D145" s="41">
        <v>12.3377</v>
      </c>
      <c r="E145" s="41">
        <v>30</v>
      </c>
      <c r="F145" s="41">
        <v>0</v>
      </c>
      <c r="G145" s="41" t="s">
        <v>104</v>
      </c>
      <c r="H145" s="41">
        <v>1</v>
      </c>
      <c r="I145" s="41">
        <v>1</v>
      </c>
      <c r="J145" s="108">
        <f>POWER(POWER(Table2[[#This Row],[mv]],4)/10,0.25)</f>
        <v>1.7994922406091175E-3</v>
      </c>
      <c r="K145" s="41">
        <v>0</v>
      </c>
      <c r="L145" s="41">
        <v>55</v>
      </c>
      <c r="M145" s="41">
        <v>-1</v>
      </c>
      <c r="N145" s="41">
        <v>4</v>
      </c>
      <c r="O145" s="110" t="s">
        <v>601</v>
      </c>
      <c r="P145" s="109">
        <v>191688</v>
      </c>
      <c r="Q145" s="107"/>
      <c r="R145" s="111"/>
      <c r="S145" s="110" t="s">
        <v>1188</v>
      </c>
      <c r="T145"/>
      <c r="U145"/>
      <c r="V145"/>
    </row>
    <row r="146" spans="1:22" x14ac:dyDescent="0.3">
      <c r="A146" s="105">
        <v>145</v>
      </c>
      <c r="B146" s="41">
        <v>12000000</v>
      </c>
      <c r="C146" s="41">
        <v>3.2000000000000002E-3</v>
      </c>
      <c r="D146" s="41">
        <v>13.4543</v>
      </c>
      <c r="E146" s="41">
        <v>30</v>
      </c>
      <c r="F146" s="41">
        <v>0</v>
      </c>
      <c r="G146" s="41" t="s">
        <v>104</v>
      </c>
      <c r="H146" s="41">
        <v>1</v>
      </c>
      <c r="I146" s="41">
        <v>1</v>
      </c>
      <c r="J146" s="108">
        <f>POWER(POWER(Table2[[#This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10" t="s">
        <v>602</v>
      </c>
      <c r="P146" s="109">
        <v>191688</v>
      </c>
      <c r="Q146" s="107"/>
      <c r="R146" s="111"/>
      <c r="S146" s="110" t="s">
        <v>1188</v>
      </c>
      <c r="T146"/>
      <c r="U146"/>
      <c r="V146"/>
    </row>
    <row r="147" spans="1:22" x14ac:dyDescent="0.3">
      <c r="A147" s="105">
        <v>146</v>
      </c>
      <c r="B147" s="41">
        <v>12000000</v>
      </c>
      <c r="C147" s="41">
        <v>3.2000000000000002E-3</v>
      </c>
      <c r="D147" s="41">
        <v>14.6721</v>
      </c>
      <c r="E147" s="41">
        <v>30</v>
      </c>
      <c r="F147" s="41">
        <v>0</v>
      </c>
      <c r="G147" s="41" t="s">
        <v>104</v>
      </c>
      <c r="H147" s="41">
        <v>1</v>
      </c>
      <c r="I147" s="41">
        <v>1</v>
      </c>
      <c r="J147" s="108">
        <f>POWER(POWER(Table2[[#This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10" t="s">
        <v>603</v>
      </c>
      <c r="P147" s="109">
        <v>191688</v>
      </c>
      <c r="Q147" s="107"/>
      <c r="R147" s="111"/>
      <c r="S147" s="110" t="s">
        <v>1188</v>
      </c>
      <c r="T147"/>
      <c r="U147"/>
      <c r="V147"/>
    </row>
    <row r="148" spans="1:22" x14ac:dyDescent="0.3">
      <c r="A148" s="105">
        <v>147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104</v>
      </c>
      <c r="H148" s="41">
        <v>1</v>
      </c>
      <c r="I148" s="41">
        <v>1</v>
      </c>
      <c r="J148" s="108">
        <f>POWER(POWER(Table2[[#This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10" t="s">
        <v>604</v>
      </c>
      <c r="P148" s="109">
        <v>191688</v>
      </c>
      <c r="Q148" s="107"/>
      <c r="R148" s="111"/>
      <c r="S148" s="110" t="s">
        <v>1188</v>
      </c>
      <c r="T148"/>
      <c r="U148"/>
      <c r="V148"/>
    </row>
    <row r="149" spans="1:22" x14ac:dyDescent="0.3">
      <c r="A149" s="105">
        <v>148</v>
      </c>
      <c r="B149" s="41">
        <v>12000000</v>
      </c>
      <c r="C149" s="41">
        <v>3.2000000000000002E-3</v>
      </c>
      <c r="D149" s="41">
        <v>17.4481</v>
      </c>
      <c r="E149" s="41">
        <v>30</v>
      </c>
      <c r="F149" s="41">
        <v>0</v>
      </c>
      <c r="G149" s="41" t="s">
        <v>104</v>
      </c>
      <c r="H149" s="41">
        <v>1</v>
      </c>
      <c r="I149" s="41">
        <v>1</v>
      </c>
      <c r="J149" s="108">
        <f>POWER(POWER(Table2[[#This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10" t="s">
        <v>605</v>
      </c>
      <c r="P149" s="109">
        <v>191688</v>
      </c>
      <c r="Q149" s="107"/>
      <c r="R149" s="111"/>
      <c r="S149" s="110" t="s">
        <v>1188</v>
      </c>
      <c r="T149"/>
      <c r="U149"/>
      <c r="V149"/>
    </row>
    <row r="150" spans="1:22" x14ac:dyDescent="0.3">
      <c r="A150" s="105">
        <v>149</v>
      </c>
      <c r="B150" s="41">
        <v>12000000</v>
      </c>
      <c r="C150" s="41">
        <v>3.2000000000000002E-3</v>
      </c>
      <c r="D150" s="41">
        <v>19.0273</v>
      </c>
      <c r="E150" s="41">
        <v>30</v>
      </c>
      <c r="F150" s="41">
        <v>0</v>
      </c>
      <c r="G150" s="41" t="s">
        <v>104</v>
      </c>
      <c r="H150" s="41">
        <v>1</v>
      </c>
      <c r="I150" s="41">
        <v>1</v>
      </c>
      <c r="J150" s="108">
        <f>POWER(POWER(Table2[[#This Row],[mv]],4)/10,0.25)</f>
        <v>1.7994922406091175E-3</v>
      </c>
      <c r="K150" s="41">
        <v>0</v>
      </c>
      <c r="L150" s="41">
        <v>55</v>
      </c>
      <c r="M150" s="41">
        <v>-1</v>
      </c>
      <c r="N150" s="41">
        <v>4</v>
      </c>
      <c r="O150" s="110" t="s">
        <v>606</v>
      </c>
      <c r="P150" s="109">
        <v>191688</v>
      </c>
      <c r="Q150" s="107"/>
      <c r="R150" s="111"/>
      <c r="S150" s="110" t="s">
        <v>1188</v>
      </c>
      <c r="T150"/>
      <c r="U150"/>
      <c r="V150"/>
    </row>
    <row r="151" spans="1:22" x14ac:dyDescent="0.3">
      <c r="A151" s="105">
        <v>150</v>
      </c>
      <c r="B151" s="41">
        <v>12000000</v>
      </c>
      <c r="C151" s="41">
        <v>3.5000000000000001E-3</v>
      </c>
      <c r="D151" s="41">
        <v>4</v>
      </c>
      <c r="E151" s="41">
        <v>30</v>
      </c>
      <c r="F151" s="41">
        <v>0</v>
      </c>
      <c r="G151" s="41" t="s">
        <v>104</v>
      </c>
      <c r="H151" s="41">
        <v>1</v>
      </c>
      <c r="I151" s="41">
        <v>1</v>
      </c>
      <c r="J151" s="108">
        <f>POWER(POWER(Table2[[#This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10" t="s">
        <v>607</v>
      </c>
      <c r="P151" s="109">
        <v>191695</v>
      </c>
      <c r="Q151" s="107"/>
      <c r="R151" s="111"/>
      <c r="S151" s="110" t="s">
        <v>1188</v>
      </c>
      <c r="T151"/>
      <c r="U151"/>
      <c r="V151"/>
    </row>
    <row r="152" spans="1:22" x14ac:dyDescent="0.3">
      <c r="A152" s="105">
        <v>151</v>
      </c>
      <c r="B152" s="41">
        <v>12000000</v>
      </c>
      <c r="C152" s="41">
        <v>3.5000000000000001E-3</v>
      </c>
      <c r="D152" s="41">
        <v>4.3620000000000001</v>
      </c>
      <c r="E152" s="41">
        <v>30</v>
      </c>
      <c r="F152" s="41">
        <v>0</v>
      </c>
      <c r="G152" s="41" t="s">
        <v>104</v>
      </c>
      <c r="H152" s="41">
        <v>1</v>
      </c>
      <c r="I152" s="41">
        <v>1</v>
      </c>
      <c r="J152" s="108">
        <f>POWER(POWER(Table2[[#This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10" t="s">
        <v>608</v>
      </c>
      <c r="P152" s="109">
        <v>191695</v>
      </c>
      <c r="Q152" s="107"/>
      <c r="R152" s="111"/>
      <c r="S152" s="110" t="s">
        <v>1188</v>
      </c>
      <c r="T152"/>
      <c r="U152"/>
      <c r="V152"/>
    </row>
    <row r="153" spans="1:22" x14ac:dyDescent="0.3">
      <c r="A153" s="105">
        <v>152</v>
      </c>
      <c r="B153" s="41">
        <v>12000000</v>
      </c>
      <c r="C153" s="41">
        <v>3.5000000000000001E-3</v>
      </c>
      <c r="D153" s="41">
        <v>4.7568000000000001</v>
      </c>
      <c r="E153" s="41">
        <v>30</v>
      </c>
      <c r="F153" s="41">
        <v>0</v>
      </c>
      <c r="G153" s="41" t="s">
        <v>104</v>
      </c>
      <c r="H153" s="41">
        <v>1</v>
      </c>
      <c r="I153" s="41">
        <v>1</v>
      </c>
      <c r="J153" s="108">
        <f>POWER(POWER(Table2[[#This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10" t="s">
        <v>609</v>
      </c>
      <c r="P153" s="109">
        <v>191695</v>
      </c>
      <c r="Q153" s="107"/>
      <c r="R153" s="111"/>
      <c r="S153" s="110" t="s">
        <v>1188</v>
      </c>
      <c r="T153"/>
      <c r="U153"/>
      <c r="V153"/>
    </row>
    <row r="154" spans="1:22" x14ac:dyDescent="0.3">
      <c r="A154" s="105">
        <v>153</v>
      </c>
      <c r="B154" s="41">
        <v>12000000</v>
      </c>
      <c r="C154" s="41">
        <v>3.5000000000000001E-3</v>
      </c>
      <c r="D154" s="41">
        <v>5.1874000000000002</v>
      </c>
      <c r="E154" s="41">
        <v>30</v>
      </c>
      <c r="F154" s="41">
        <v>0</v>
      </c>
      <c r="G154" s="41" t="s">
        <v>104</v>
      </c>
      <c r="H154" s="41">
        <v>1</v>
      </c>
      <c r="I154" s="41">
        <v>1</v>
      </c>
      <c r="J154" s="108">
        <f>POWER(POWER(Table2[[#This Row],[mv]],4)/10,0.25)</f>
        <v>1.9681946381662216E-3</v>
      </c>
      <c r="K154" s="41">
        <v>0</v>
      </c>
      <c r="L154" s="41">
        <v>55</v>
      </c>
      <c r="M154" s="41">
        <v>-1</v>
      </c>
      <c r="N154" s="41">
        <v>4</v>
      </c>
      <c r="O154" s="110" t="s">
        <v>610</v>
      </c>
      <c r="P154" s="109">
        <v>191695</v>
      </c>
      <c r="Q154" s="107"/>
      <c r="R154" s="111"/>
      <c r="S154" s="110" t="s">
        <v>1188</v>
      </c>
      <c r="T154"/>
      <c r="U154"/>
      <c r="V154"/>
    </row>
    <row r="155" spans="1:22" x14ac:dyDescent="0.3">
      <c r="A155" s="105">
        <v>154</v>
      </c>
      <c r="B155" s="41">
        <v>12000000</v>
      </c>
      <c r="C155" s="41">
        <v>3.5000000000000001E-3</v>
      </c>
      <c r="D155" s="41">
        <v>5.6569000000000003</v>
      </c>
      <c r="E155" s="41">
        <v>30</v>
      </c>
      <c r="F155" s="41">
        <v>0</v>
      </c>
      <c r="G155" s="41" t="s">
        <v>104</v>
      </c>
      <c r="H155" s="41">
        <v>1</v>
      </c>
      <c r="I155" s="41">
        <v>1</v>
      </c>
      <c r="J155" s="108">
        <f>POWER(POWER(Table2[[#This Row],[mv]],4)/10,0.25)</f>
        <v>1.9681946381662216E-3</v>
      </c>
      <c r="K155" s="41">
        <v>0</v>
      </c>
      <c r="L155" s="41">
        <v>55</v>
      </c>
      <c r="M155" s="41">
        <v>-1</v>
      </c>
      <c r="N155" s="41">
        <v>4</v>
      </c>
      <c r="O155" s="110" t="s">
        <v>611</v>
      </c>
      <c r="P155" s="109">
        <v>191695</v>
      </c>
      <c r="Q155" s="107"/>
      <c r="R155" s="111"/>
      <c r="S155" s="110" t="s">
        <v>1188</v>
      </c>
      <c r="T155"/>
      <c r="U155"/>
      <c r="V155"/>
    </row>
    <row r="156" spans="1:22" x14ac:dyDescent="0.3">
      <c r="A156" s="105">
        <v>155</v>
      </c>
      <c r="B156" s="41">
        <v>12000000</v>
      </c>
      <c r="C156" s="41">
        <v>3.5000000000000001E-3</v>
      </c>
      <c r="D156" s="41">
        <v>6.1688000000000001</v>
      </c>
      <c r="E156" s="41">
        <v>30</v>
      </c>
      <c r="F156" s="41">
        <v>0</v>
      </c>
      <c r="G156" s="41" t="s">
        <v>104</v>
      </c>
      <c r="H156" s="41">
        <v>1</v>
      </c>
      <c r="I156" s="41">
        <v>1</v>
      </c>
      <c r="J156" s="108">
        <f>POWER(POWER(Table2[[#This Row],[mv]],4)/10,0.25)</f>
        <v>1.9681946381662216E-3</v>
      </c>
      <c r="K156" s="41">
        <v>0</v>
      </c>
      <c r="L156" s="41">
        <v>55</v>
      </c>
      <c r="M156" s="41">
        <v>-1</v>
      </c>
      <c r="N156" s="41">
        <v>4</v>
      </c>
      <c r="O156" s="110" t="s">
        <v>612</v>
      </c>
      <c r="P156" s="109">
        <v>191695</v>
      </c>
      <c r="Q156" s="107"/>
      <c r="R156" s="111"/>
      <c r="S156" s="110" t="s">
        <v>1188</v>
      </c>
      <c r="T156"/>
      <c r="U156"/>
      <c r="V156"/>
    </row>
    <row r="157" spans="1:22" x14ac:dyDescent="0.3">
      <c r="A157" s="105">
        <v>156</v>
      </c>
      <c r="B157" s="41">
        <v>12000000</v>
      </c>
      <c r="C157" s="41">
        <v>3.5000000000000001E-3</v>
      </c>
      <c r="D157" s="41">
        <v>6.7271999999999998</v>
      </c>
      <c r="E157" s="41">
        <v>30</v>
      </c>
      <c r="F157" s="41">
        <v>0</v>
      </c>
      <c r="G157" s="41" t="s">
        <v>104</v>
      </c>
      <c r="H157" s="41">
        <v>1</v>
      </c>
      <c r="I157" s="41">
        <v>1</v>
      </c>
      <c r="J157" s="108">
        <f>POWER(POWER(Table2[[#This Row],[mv]],4)/10,0.25)</f>
        <v>1.9681946381662216E-3</v>
      </c>
      <c r="K157" s="41">
        <v>0</v>
      </c>
      <c r="L157" s="41">
        <v>55</v>
      </c>
      <c r="M157" s="41">
        <v>-1</v>
      </c>
      <c r="N157" s="41">
        <v>4</v>
      </c>
      <c r="O157" s="110" t="s">
        <v>613</v>
      </c>
      <c r="P157" s="109">
        <v>191695</v>
      </c>
      <c r="Q157" s="107"/>
      <c r="R157" s="111"/>
      <c r="S157" s="110" t="s">
        <v>1188</v>
      </c>
      <c r="T157"/>
      <c r="U157"/>
      <c r="V157"/>
    </row>
    <row r="158" spans="1:22" x14ac:dyDescent="0.3">
      <c r="A158" s="105">
        <v>157</v>
      </c>
      <c r="B158" s="41">
        <v>12000000</v>
      </c>
      <c r="C158" s="41">
        <v>3.5000000000000001E-3</v>
      </c>
      <c r="D158" s="41">
        <v>7.3360000000000003</v>
      </c>
      <c r="E158" s="41">
        <v>30</v>
      </c>
      <c r="F158" s="41">
        <v>0</v>
      </c>
      <c r="G158" s="41" t="s">
        <v>104</v>
      </c>
      <c r="H158" s="41">
        <v>1</v>
      </c>
      <c r="I158" s="41">
        <v>1</v>
      </c>
      <c r="J158" s="108">
        <f>POWER(POWER(Table2[[#This Row],[mv]],4)/10,0.25)</f>
        <v>1.9681946381662216E-3</v>
      </c>
      <c r="K158" s="41">
        <v>0</v>
      </c>
      <c r="L158" s="41">
        <v>55</v>
      </c>
      <c r="M158" s="41">
        <v>-1</v>
      </c>
      <c r="N158" s="41">
        <v>4</v>
      </c>
      <c r="O158" s="110" t="s">
        <v>614</v>
      </c>
      <c r="P158" s="109">
        <v>191695</v>
      </c>
      <c r="Q158" s="107"/>
      <c r="R158" s="111"/>
      <c r="S158" s="110" t="s">
        <v>1188</v>
      </c>
      <c r="T158"/>
      <c r="U158"/>
      <c r="V158"/>
    </row>
    <row r="159" spans="1:22" x14ac:dyDescent="0.3">
      <c r="A159" s="105">
        <v>158</v>
      </c>
      <c r="B159" s="41">
        <v>12000000</v>
      </c>
      <c r="C159" s="41">
        <v>3.5000000000000001E-3</v>
      </c>
      <c r="D159" s="41">
        <v>8</v>
      </c>
      <c r="E159" s="41">
        <v>30</v>
      </c>
      <c r="F159" s="41">
        <v>0</v>
      </c>
      <c r="G159" s="41" t="s">
        <v>104</v>
      </c>
      <c r="H159" s="41">
        <v>1</v>
      </c>
      <c r="I159" s="41">
        <v>1</v>
      </c>
      <c r="J159" s="108">
        <f>POWER(POWER(Table2[[#This Row],[mv]],4)/10,0.25)</f>
        <v>1.9681946381662216E-3</v>
      </c>
      <c r="K159" s="41">
        <v>0</v>
      </c>
      <c r="L159" s="41">
        <v>55</v>
      </c>
      <c r="M159" s="41">
        <v>-1</v>
      </c>
      <c r="N159" s="41">
        <v>4</v>
      </c>
      <c r="O159" s="110" t="s">
        <v>615</v>
      </c>
      <c r="P159" s="109">
        <v>191695</v>
      </c>
      <c r="Q159" s="107"/>
      <c r="R159" s="111"/>
      <c r="S159" s="110" t="s">
        <v>1188</v>
      </c>
      <c r="T159"/>
      <c r="U159"/>
      <c r="V159"/>
    </row>
    <row r="160" spans="1:22" x14ac:dyDescent="0.3">
      <c r="A160" s="105">
        <v>159</v>
      </c>
      <c r="B160" s="41">
        <v>12000000</v>
      </c>
      <c r="C160" s="41">
        <v>3.5000000000000001E-3</v>
      </c>
      <c r="D160" s="41">
        <v>8.7241</v>
      </c>
      <c r="E160" s="41">
        <v>30</v>
      </c>
      <c r="F160" s="41">
        <v>0</v>
      </c>
      <c r="G160" s="41" t="s">
        <v>104</v>
      </c>
      <c r="H160" s="41">
        <v>1</v>
      </c>
      <c r="I160" s="41">
        <v>1</v>
      </c>
      <c r="J160" s="108">
        <f>POWER(POWER(Table2[[#This Row],[mv]],4)/10,0.25)</f>
        <v>1.9681946381662216E-3</v>
      </c>
      <c r="K160" s="41">
        <v>0</v>
      </c>
      <c r="L160" s="41">
        <v>55</v>
      </c>
      <c r="M160" s="41">
        <v>-1</v>
      </c>
      <c r="N160" s="41">
        <v>4</v>
      </c>
      <c r="O160" s="110" t="s">
        <v>616</v>
      </c>
      <c r="P160" s="109">
        <v>191695</v>
      </c>
      <c r="Q160" s="107"/>
      <c r="R160" s="111"/>
      <c r="S160" s="110" t="s">
        <v>1188</v>
      </c>
      <c r="T160"/>
      <c r="U160"/>
      <c r="V160"/>
    </row>
    <row r="161" spans="1:22" x14ac:dyDescent="0.3">
      <c r="A161" s="105">
        <v>160</v>
      </c>
      <c r="B161" s="41">
        <v>12000000</v>
      </c>
      <c r="C161" s="41">
        <v>3.5000000000000001E-3</v>
      </c>
      <c r="D161" s="41">
        <v>9.5137</v>
      </c>
      <c r="E161" s="41">
        <v>30</v>
      </c>
      <c r="F161" s="41">
        <v>0</v>
      </c>
      <c r="G161" s="41" t="s">
        <v>104</v>
      </c>
      <c r="H161" s="41">
        <v>1</v>
      </c>
      <c r="I161" s="41">
        <v>1</v>
      </c>
      <c r="J161" s="108">
        <f>POWER(POWER(Table2[[#This Row],[mv]],4)/10,0.25)</f>
        <v>1.9681946381662216E-3</v>
      </c>
      <c r="K161" s="41">
        <v>0</v>
      </c>
      <c r="L161" s="41">
        <v>55</v>
      </c>
      <c r="M161" s="41">
        <v>-1</v>
      </c>
      <c r="N161" s="41">
        <v>4</v>
      </c>
      <c r="O161" s="110" t="s">
        <v>617</v>
      </c>
      <c r="P161" s="109">
        <v>191695</v>
      </c>
      <c r="Q161" s="107"/>
      <c r="R161" s="111"/>
      <c r="S161" s="110" t="s">
        <v>1188</v>
      </c>
      <c r="T161"/>
      <c r="U161"/>
      <c r="V161"/>
    </row>
    <row r="162" spans="1:22" x14ac:dyDescent="0.3">
      <c r="A162" s="105">
        <v>161</v>
      </c>
      <c r="B162" s="41">
        <v>12000000</v>
      </c>
      <c r="C162" s="41">
        <v>3.5000000000000001E-3</v>
      </c>
      <c r="D162" s="41">
        <v>10.374700000000001</v>
      </c>
      <c r="E162" s="41">
        <v>30</v>
      </c>
      <c r="F162" s="41">
        <v>0</v>
      </c>
      <c r="G162" s="41" t="s">
        <v>104</v>
      </c>
      <c r="H162" s="41">
        <v>1</v>
      </c>
      <c r="I162" s="41">
        <v>1</v>
      </c>
      <c r="J162" s="108">
        <f>POWER(POWER(Table2[[#This Row],[mv]],4)/10,0.25)</f>
        <v>1.9681946381662216E-3</v>
      </c>
      <c r="K162" s="41">
        <v>0</v>
      </c>
      <c r="L162" s="41">
        <v>55</v>
      </c>
      <c r="M162" s="41">
        <v>-1</v>
      </c>
      <c r="N162" s="41">
        <v>4</v>
      </c>
      <c r="O162" s="110" t="s">
        <v>618</v>
      </c>
      <c r="P162" s="109">
        <v>191695</v>
      </c>
      <c r="Q162" s="107"/>
      <c r="R162" s="111"/>
      <c r="S162" s="110" t="s">
        <v>1188</v>
      </c>
      <c r="T162"/>
      <c r="U162"/>
      <c r="V162"/>
    </row>
    <row r="163" spans="1:22" x14ac:dyDescent="0.3">
      <c r="A163" s="105">
        <v>162</v>
      </c>
      <c r="B163" s="41">
        <v>12000000</v>
      </c>
      <c r="C163" s="41">
        <v>3.5000000000000001E-3</v>
      </c>
      <c r="D163" s="41">
        <v>11.313700000000001</v>
      </c>
      <c r="E163" s="41">
        <v>30</v>
      </c>
      <c r="F163" s="41">
        <v>0</v>
      </c>
      <c r="G163" s="41" t="s">
        <v>104</v>
      </c>
      <c r="H163" s="41">
        <v>1</v>
      </c>
      <c r="I163" s="41">
        <v>1</v>
      </c>
      <c r="J163" s="108">
        <f>POWER(POWER(Table2[[#This Row],[mv]],4)/10,0.25)</f>
        <v>1.9681946381662216E-3</v>
      </c>
      <c r="K163" s="41">
        <v>0</v>
      </c>
      <c r="L163" s="41">
        <v>55</v>
      </c>
      <c r="M163" s="41">
        <v>-1</v>
      </c>
      <c r="N163" s="41">
        <v>4</v>
      </c>
      <c r="O163" s="110" t="s">
        <v>619</v>
      </c>
      <c r="P163" s="109">
        <v>191695</v>
      </c>
      <c r="Q163" s="107"/>
      <c r="R163" s="111"/>
      <c r="S163" s="110" t="s">
        <v>1188</v>
      </c>
      <c r="T163"/>
      <c r="U163"/>
      <c r="V163"/>
    </row>
    <row r="164" spans="1:22" x14ac:dyDescent="0.3">
      <c r="A164" s="105">
        <v>163</v>
      </c>
      <c r="B164" s="41">
        <v>12000000</v>
      </c>
      <c r="C164" s="41">
        <v>3.5000000000000001E-3</v>
      </c>
      <c r="D164" s="41">
        <v>12.3377</v>
      </c>
      <c r="E164" s="41">
        <v>30</v>
      </c>
      <c r="F164" s="41">
        <v>0</v>
      </c>
      <c r="G164" s="41" t="s">
        <v>104</v>
      </c>
      <c r="H164" s="41">
        <v>1</v>
      </c>
      <c r="I164" s="41">
        <v>1</v>
      </c>
      <c r="J164" s="108">
        <f>POWER(POWER(Table2[[#This Row],[mv]],4)/10,0.25)</f>
        <v>1.9681946381662216E-3</v>
      </c>
      <c r="K164" s="41">
        <v>0</v>
      </c>
      <c r="L164" s="41">
        <v>55</v>
      </c>
      <c r="M164" s="41">
        <v>-1</v>
      </c>
      <c r="N164" s="41">
        <v>4</v>
      </c>
      <c r="O164" s="110" t="s">
        <v>620</v>
      </c>
      <c r="P164" s="109">
        <v>191702</v>
      </c>
      <c r="Q164" s="107"/>
      <c r="R164" s="111"/>
      <c r="S164" s="110" t="s">
        <v>1188</v>
      </c>
      <c r="T164"/>
      <c r="U164"/>
      <c r="V164"/>
    </row>
    <row r="165" spans="1:22" x14ac:dyDescent="0.3">
      <c r="A165" s="105">
        <v>164</v>
      </c>
      <c r="B165" s="41">
        <v>12000000</v>
      </c>
      <c r="C165" s="41">
        <v>3.5000000000000001E-3</v>
      </c>
      <c r="D165" s="41">
        <v>13.4543</v>
      </c>
      <c r="E165" s="41">
        <v>30</v>
      </c>
      <c r="F165" s="41">
        <v>0</v>
      </c>
      <c r="G165" s="41" t="s">
        <v>104</v>
      </c>
      <c r="H165" s="41">
        <v>1</v>
      </c>
      <c r="I165" s="41">
        <v>1</v>
      </c>
      <c r="J165" s="108">
        <f>POWER(POWER(Table2[[#This Row],[mv]],4)/10,0.25)</f>
        <v>1.9681946381662216E-3</v>
      </c>
      <c r="K165" s="41">
        <v>0</v>
      </c>
      <c r="L165" s="41">
        <v>55</v>
      </c>
      <c r="M165" s="41">
        <v>-1</v>
      </c>
      <c r="N165" s="41">
        <v>4</v>
      </c>
      <c r="O165" s="110" t="s">
        <v>621</v>
      </c>
      <c r="P165" s="109">
        <v>191702</v>
      </c>
      <c r="Q165" s="107"/>
      <c r="R165" s="111"/>
      <c r="S165" s="110" t="s">
        <v>1188</v>
      </c>
      <c r="T165"/>
      <c r="U165"/>
      <c r="V165"/>
    </row>
    <row r="166" spans="1:22" x14ac:dyDescent="0.3">
      <c r="A166" s="105">
        <v>165</v>
      </c>
      <c r="B166" s="41">
        <v>12000000</v>
      </c>
      <c r="C166" s="41">
        <v>3.5000000000000001E-3</v>
      </c>
      <c r="D166" s="41">
        <v>14.6721</v>
      </c>
      <c r="E166" s="41">
        <v>30</v>
      </c>
      <c r="F166" s="41">
        <v>0</v>
      </c>
      <c r="G166" s="41" t="s">
        <v>104</v>
      </c>
      <c r="H166" s="41">
        <v>1</v>
      </c>
      <c r="I166" s="41">
        <v>1</v>
      </c>
      <c r="J166" s="108">
        <f>POWER(POWER(Table2[[#This Row],[mv]],4)/10,0.25)</f>
        <v>1.9681946381662216E-3</v>
      </c>
      <c r="K166" s="41">
        <v>0</v>
      </c>
      <c r="L166" s="41">
        <v>55</v>
      </c>
      <c r="M166" s="41">
        <v>-1</v>
      </c>
      <c r="N166" s="41">
        <v>4</v>
      </c>
      <c r="O166" s="110" t="s">
        <v>622</v>
      </c>
      <c r="P166" s="109">
        <v>191702</v>
      </c>
      <c r="Q166" s="107"/>
      <c r="R166" s="111"/>
      <c r="S166" s="110" t="s">
        <v>1188</v>
      </c>
      <c r="T166"/>
      <c r="U166"/>
      <c r="V166"/>
    </row>
    <row r="167" spans="1:22" x14ac:dyDescent="0.3">
      <c r="A167" s="105">
        <v>166</v>
      </c>
      <c r="B167" s="41">
        <v>12000000</v>
      </c>
      <c r="C167" s="41">
        <v>3.5000000000000001E-3</v>
      </c>
      <c r="D167" s="41">
        <v>16</v>
      </c>
      <c r="E167" s="41">
        <v>30</v>
      </c>
      <c r="F167" s="41">
        <v>0</v>
      </c>
      <c r="G167" s="41" t="s">
        <v>104</v>
      </c>
      <c r="H167" s="41">
        <v>1</v>
      </c>
      <c r="I167" s="41">
        <v>1</v>
      </c>
      <c r="J167" s="108">
        <f>POWER(POWER(Table2[[#This Row],[mv]],4)/10,0.25)</f>
        <v>1.9681946381662216E-3</v>
      </c>
      <c r="K167" s="41">
        <v>0</v>
      </c>
      <c r="L167" s="41">
        <v>55</v>
      </c>
      <c r="M167" s="41">
        <v>-1</v>
      </c>
      <c r="N167" s="41">
        <v>4</v>
      </c>
      <c r="O167" s="110" t="s">
        <v>623</v>
      </c>
      <c r="P167" s="109">
        <v>191702</v>
      </c>
      <c r="Q167" s="107"/>
      <c r="R167" s="111"/>
      <c r="S167" s="110" t="s">
        <v>1188</v>
      </c>
      <c r="T167"/>
      <c r="U167"/>
      <c r="V167"/>
    </row>
    <row r="168" spans="1:22" x14ac:dyDescent="0.3">
      <c r="A168" s="105">
        <v>167</v>
      </c>
      <c r="B168" s="41">
        <v>12000000</v>
      </c>
      <c r="C168" s="41">
        <v>3.5000000000000001E-3</v>
      </c>
      <c r="D168" s="41">
        <v>17.4481</v>
      </c>
      <c r="E168" s="41">
        <v>30</v>
      </c>
      <c r="F168" s="41">
        <v>0</v>
      </c>
      <c r="G168" s="41" t="s">
        <v>104</v>
      </c>
      <c r="H168" s="41">
        <v>1</v>
      </c>
      <c r="I168" s="41">
        <v>1</v>
      </c>
      <c r="J168" s="108">
        <f>POWER(POWER(Table2[[#This Row],[mv]],4)/10,0.25)</f>
        <v>1.9681946381662216E-3</v>
      </c>
      <c r="K168" s="41">
        <v>0</v>
      </c>
      <c r="L168" s="41">
        <v>55</v>
      </c>
      <c r="M168" s="41">
        <v>-1</v>
      </c>
      <c r="N168" s="41">
        <v>4</v>
      </c>
      <c r="O168" s="110" t="s">
        <v>624</v>
      </c>
      <c r="P168" s="109">
        <v>191702</v>
      </c>
      <c r="Q168" s="107"/>
      <c r="R168" s="111"/>
      <c r="S168" s="110" t="s">
        <v>1188</v>
      </c>
      <c r="T168"/>
      <c r="U168"/>
      <c r="V168"/>
    </row>
    <row r="169" spans="1:22" x14ac:dyDescent="0.3">
      <c r="A169" s="105">
        <v>168</v>
      </c>
      <c r="B169" s="41">
        <v>12000000</v>
      </c>
      <c r="C169" s="41">
        <v>3.5000000000000001E-3</v>
      </c>
      <c r="D169" s="41">
        <v>19.0273</v>
      </c>
      <c r="E169" s="41">
        <v>30</v>
      </c>
      <c r="F169" s="41">
        <v>0</v>
      </c>
      <c r="G169" s="41" t="s">
        <v>104</v>
      </c>
      <c r="H169" s="41">
        <v>1</v>
      </c>
      <c r="I169" s="41">
        <v>1</v>
      </c>
      <c r="J169" s="108">
        <f>POWER(POWER(Table2[[#This Row],[mv]],4)/10,0.25)</f>
        <v>1.9681946381662216E-3</v>
      </c>
      <c r="K169" s="41">
        <v>0</v>
      </c>
      <c r="L169" s="41">
        <v>55</v>
      </c>
      <c r="M169" s="41">
        <v>-1</v>
      </c>
      <c r="N169" s="41">
        <v>4</v>
      </c>
      <c r="O169" s="110" t="s">
        <v>625</v>
      </c>
      <c r="P169" s="109">
        <v>191702</v>
      </c>
      <c r="Q169" s="107"/>
      <c r="R169" s="111"/>
      <c r="S169" s="110" t="s">
        <v>1188</v>
      </c>
      <c r="T169"/>
      <c r="U169"/>
      <c r="V169"/>
    </row>
    <row r="170" spans="1:22" x14ac:dyDescent="0.3">
      <c r="A170" s="105">
        <v>169</v>
      </c>
      <c r="B170" s="41">
        <v>12000000</v>
      </c>
      <c r="C170" s="41">
        <v>3.8E-3</v>
      </c>
      <c r="D170" s="41">
        <v>4.7568000000000001</v>
      </c>
      <c r="E170" s="41">
        <v>30</v>
      </c>
      <c r="F170" s="41">
        <v>0</v>
      </c>
      <c r="G170" s="41" t="s">
        <v>104</v>
      </c>
      <c r="H170" s="41">
        <v>1</v>
      </c>
      <c r="I170" s="41">
        <v>1</v>
      </c>
      <c r="J170" s="108">
        <f>POWER(POWER(Table2[[#This Row],[mv]],4)/10,0.25)</f>
        <v>2.1368970357233258E-3</v>
      </c>
      <c r="K170" s="41">
        <v>0</v>
      </c>
      <c r="L170" s="41">
        <v>55</v>
      </c>
      <c r="M170" s="41">
        <v>-1</v>
      </c>
      <c r="N170" s="41">
        <v>4</v>
      </c>
      <c r="O170" s="110" t="s">
        <v>626</v>
      </c>
      <c r="P170" s="109">
        <v>191702</v>
      </c>
      <c r="Q170" s="107"/>
      <c r="R170" s="111"/>
      <c r="S170" s="110" t="s">
        <v>1188</v>
      </c>
      <c r="T170"/>
      <c r="U170"/>
      <c r="V170"/>
    </row>
    <row r="171" spans="1:22" x14ac:dyDescent="0.3">
      <c r="A171" s="105">
        <v>170</v>
      </c>
      <c r="B171" s="41">
        <v>12000000</v>
      </c>
      <c r="C171" s="41">
        <v>3.8E-3</v>
      </c>
      <c r="D171" s="41">
        <v>5.1874000000000002</v>
      </c>
      <c r="E171" s="41">
        <v>30</v>
      </c>
      <c r="F171" s="41">
        <v>0</v>
      </c>
      <c r="G171" s="41" t="s">
        <v>104</v>
      </c>
      <c r="H171" s="41">
        <v>1</v>
      </c>
      <c r="I171" s="41">
        <v>1</v>
      </c>
      <c r="J171" s="108">
        <f>POWER(POWER(Table2[[#This Row],[mv]],4)/10,0.25)</f>
        <v>2.1368970357233258E-3</v>
      </c>
      <c r="K171" s="41">
        <v>0</v>
      </c>
      <c r="L171" s="41">
        <v>55</v>
      </c>
      <c r="M171" s="41">
        <v>-1</v>
      </c>
      <c r="N171" s="41">
        <v>4</v>
      </c>
      <c r="O171" s="110" t="s">
        <v>627</v>
      </c>
      <c r="P171" s="109">
        <v>191702</v>
      </c>
      <c r="Q171" s="107"/>
      <c r="R171" s="111"/>
      <c r="S171" s="110" t="s">
        <v>1188</v>
      </c>
      <c r="T171"/>
      <c r="U171"/>
      <c r="V171"/>
    </row>
    <row r="172" spans="1:22" x14ac:dyDescent="0.3">
      <c r="A172" s="105">
        <v>171</v>
      </c>
      <c r="B172" s="41">
        <v>12000000</v>
      </c>
      <c r="C172" s="41">
        <v>3.8E-3</v>
      </c>
      <c r="D172" s="41">
        <v>5.6569000000000003</v>
      </c>
      <c r="E172" s="41">
        <v>30</v>
      </c>
      <c r="F172" s="41">
        <v>0</v>
      </c>
      <c r="G172" s="41" t="s">
        <v>104</v>
      </c>
      <c r="H172" s="41">
        <v>1</v>
      </c>
      <c r="I172" s="41">
        <v>1</v>
      </c>
      <c r="J172" s="108">
        <f>POWER(POWER(Table2[[#This Row],[mv]],4)/10,0.25)</f>
        <v>2.1368970357233258E-3</v>
      </c>
      <c r="K172" s="41">
        <v>0</v>
      </c>
      <c r="L172" s="41">
        <v>55</v>
      </c>
      <c r="M172" s="41">
        <v>-1</v>
      </c>
      <c r="N172" s="41">
        <v>4</v>
      </c>
      <c r="O172" s="110" t="s">
        <v>628</v>
      </c>
      <c r="P172" s="109">
        <v>191702</v>
      </c>
      <c r="Q172" s="107"/>
      <c r="R172" s="111"/>
      <c r="S172" s="110" t="s">
        <v>1188</v>
      </c>
      <c r="T172"/>
      <c r="U172"/>
      <c r="V172"/>
    </row>
    <row r="173" spans="1:22" x14ac:dyDescent="0.3">
      <c r="A173" s="105">
        <v>172</v>
      </c>
      <c r="B173" s="41">
        <v>12000000</v>
      </c>
      <c r="C173" s="41">
        <v>3.8E-3</v>
      </c>
      <c r="D173" s="41">
        <v>6.1688000000000001</v>
      </c>
      <c r="E173" s="41">
        <v>30</v>
      </c>
      <c r="F173" s="41">
        <v>0</v>
      </c>
      <c r="G173" s="41" t="s">
        <v>104</v>
      </c>
      <c r="H173" s="41">
        <v>1</v>
      </c>
      <c r="I173" s="41">
        <v>1</v>
      </c>
      <c r="J173" s="108">
        <f>POWER(POWER(Table2[[#This Row],[mv]],4)/10,0.25)</f>
        <v>2.1368970357233258E-3</v>
      </c>
      <c r="K173" s="41">
        <v>0</v>
      </c>
      <c r="L173" s="41">
        <v>55</v>
      </c>
      <c r="M173" s="41">
        <v>-1</v>
      </c>
      <c r="N173" s="41">
        <v>4</v>
      </c>
      <c r="O173" s="110" t="s">
        <v>629</v>
      </c>
      <c r="P173" s="109">
        <v>191702</v>
      </c>
      <c r="Q173" s="107"/>
      <c r="R173" s="111"/>
      <c r="S173" s="110" t="s">
        <v>1188</v>
      </c>
      <c r="T173"/>
      <c r="U173"/>
      <c r="V173"/>
    </row>
    <row r="174" spans="1:22" x14ac:dyDescent="0.3">
      <c r="A174" s="105">
        <v>173</v>
      </c>
      <c r="B174" s="41">
        <v>12000000</v>
      </c>
      <c r="C174" s="41">
        <v>3.8E-3</v>
      </c>
      <c r="D174" s="41">
        <v>6.7271999999999998</v>
      </c>
      <c r="E174" s="41">
        <v>30</v>
      </c>
      <c r="F174" s="41">
        <v>0</v>
      </c>
      <c r="G174" s="41" t="s">
        <v>104</v>
      </c>
      <c r="H174" s="41">
        <v>1</v>
      </c>
      <c r="I174" s="41">
        <v>1</v>
      </c>
      <c r="J174" s="108">
        <f>POWER(POWER(Table2[[#This Row],[mv]],4)/10,0.25)</f>
        <v>2.1368970357233258E-3</v>
      </c>
      <c r="K174" s="41">
        <v>0</v>
      </c>
      <c r="L174" s="41">
        <v>55</v>
      </c>
      <c r="M174" s="41">
        <v>-1</v>
      </c>
      <c r="N174" s="41">
        <v>4</v>
      </c>
      <c r="O174" s="110" t="s">
        <v>630</v>
      </c>
      <c r="P174" s="109">
        <v>191702</v>
      </c>
      <c r="Q174" s="107"/>
      <c r="R174" s="111"/>
      <c r="S174" s="110" t="s">
        <v>1188</v>
      </c>
      <c r="T174"/>
      <c r="U174"/>
      <c r="V174"/>
    </row>
    <row r="175" spans="1:22" x14ac:dyDescent="0.3">
      <c r="A175" s="105">
        <v>174</v>
      </c>
      <c r="B175" s="41">
        <v>12000000</v>
      </c>
      <c r="C175" s="41">
        <v>3.8E-3</v>
      </c>
      <c r="D175" s="41">
        <v>7.3360000000000003</v>
      </c>
      <c r="E175" s="41">
        <v>30</v>
      </c>
      <c r="F175" s="41">
        <v>0</v>
      </c>
      <c r="G175" s="41" t="s">
        <v>104</v>
      </c>
      <c r="H175" s="41">
        <v>1</v>
      </c>
      <c r="I175" s="41">
        <v>1</v>
      </c>
      <c r="J175" s="108">
        <f>POWER(POWER(Table2[[#This Row],[mv]],4)/10,0.25)</f>
        <v>2.1368970357233258E-3</v>
      </c>
      <c r="K175" s="41">
        <v>0</v>
      </c>
      <c r="L175" s="41">
        <v>55</v>
      </c>
      <c r="M175" s="41">
        <v>-1</v>
      </c>
      <c r="N175" s="41">
        <v>4</v>
      </c>
      <c r="O175" s="110" t="s">
        <v>631</v>
      </c>
      <c r="P175" s="109">
        <v>191702</v>
      </c>
      <c r="Q175" s="107"/>
      <c r="R175" s="111"/>
      <c r="S175" s="110" t="s">
        <v>1188</v>
      </c>
      <c r="T175"/>
      <c r="U175"/>
      <c r="V175"/>
    </row>
    <row r="176" spans="1:22" x14ac:dyDescent="0.3">
      <c r="A176" s="105">
        <v>175</v>
      </c>
      <c r="B176" s="41">
        <v>12000000</v>
      </c>
      <c r="C176" s="41">
        <v>3.8E-3</v>
      </c>
      <c r="D176" s="41">
        <v>8</v>
      </c>
      <c r="E176" s="41">
        <v>30</v>
      </c>
      <c r="F176" s="41">
        <v>0</v>
      </c>
      <c r="G176" s="41" t="s">
        <v>104</v>
      </c>
      <c r="H176" s="41">
        <v>1</v>
      </c>
      <c r="I176" s="41">
        <v>1</v>
      </c>
      <c r="J176" s="108">
        <f>POWER(POWER(Table2[[#This Row],[mv]],4)/10,0.25)</f>
        <v>2.1368970357233258E-3</v>
      </c>
      <c r="K176" s="41">
        <v>0</v>
      </c>
      <c r="L176" s="41">
        <v>55</v>
      </c>
      <c r="M176" s="41">
        <v>-1</v>
      </c>
      <c r="N176" s="41">
        <v>4</v>
      </c>
      <c r="O176" s="110" t="s">
        <v>632</v>
      </c>
      <c r="P176" s="109">
        <v>191702</v>
      </c>
      <c r="Q176" s="107"/>
      <c r="R176" s="111"/>
      <c r="S176" s="110" t="s">
        <v>1188</v>
      </c>
      <c r="T176"/>
      <c r="U176"/>
      <c r="V176"/>
    </row>
    <row r="177" spans="1:22" x14ac:dyDescent="0.3">
      <c r="A177" s="105">
        <v>176</v>
      </c>
      <c r="B177" s="41">
        <v>12000000</v>
      </c>
      <c r="C177" s="41">
        <v>3.8E-3</v>
      </c>
      <c r="D177" s="41">
        <v>8.7241</v>
      </c>
      <c r="E177" s="41">
        <v>30</v>
      </c>
      <c r="F177" s="41">
        <v>0</v>
      </c>
      <c r="G177" s="41" t="s">
        <v>104</v>
      </c>
      <c r="H177" s="41">
        <v>1</v>
      </c>
      <c r="I177" s="41">
        <v>1</v>
      </c>
      <c r="J177" s="108">
        <f>POWER(POWER(Table2[[#This Row],[mv]],4)/10,0.25)</f>
        <v>2.1368970357233258E-3</v>
      </c>
      <c r="K177" s="41">
        <v>0</v>
      </c>
      <c r="L177" s="41">
        <v>55</v>
      </c>
      <c r="M177" s="41">
        <v>-1</v>
      </c>
      <c r="N177" s="41">
        <v>4</v>
      </c>
      <c r="O177" s="110" t="s">
        <v>633</v>
      </c>
      <c r="P177" s="109">
        <v>191702</v>
      </c>
      <c r="Q177" s="107"/>
      <c r="R177" s="111"/>
      <c r="S177" s="110" t="s">
        <v>1188</v>
      </c>
      <c r="T177"/>
      <c r="U177"/>
      <c r="V177"/>
    </row>
    <row r="178" spans="1:22" x14ac:dyDescent="0.3">
      <c r="A178" s="105">
        <v>177</v>
      </c>
      <c r="B178" s="41">
        <v>12000000</v>
      </c>
      <c r="C178" s="41">
        <v>3.8E-3</v>
      </c>
      <c r="D178" s="41">
        <v>9.5137</v>
      </c>
      <c r="E178" s="41">
        <v>30</v>
      </c>
      <c r="F178" s="41">
        <v>0</v>
      </c>
      <c r="G178" s="41" t="s">
        <v>104</v>
      </c>
      <c r="H178" s="41">
        <v>1</v>
      </c>
      <c r="I178" s="41">
        <v>1</v>
      </c>
      <c r="J178" s="108">
        <f>POWER(POWER(Table2[[#This Row],[mv]],4)/10,0.25)</f>
        <v>2.1368970357233258E-3</v>
      </c>
      <c r="K178" s="41">
        <v>0</v>
      </c>
      <c r="L178" s="41">
        <v>55</v>
      </c>
      <c r="M178" s="41">
        <v>-1</v>
      </c>
      <c r="N178" s="41">
        <v>4</v>
      </c>
      <c r="O178" s="110" t="s">
        <v>634</v>
      </c>
      <c r="P178" s="109">
        <v>191702</v>
      </c>
      <c r="Q178" s="107"/>
      <c r="R178" s="111"/>
      <c r="S178" s="110" t="s">
        <v>1188</v>
      </c>
      <c r="T178"/>
      <c r="U178"/>
      <c r="V178"/>
    </row>
    <row r="179" spans="1:22" x14ac:dyDescent="0.3">
      <c r="A179" s="105">
        <v>178</v>
      </c>
      <c r="B179" s="41">
        <v>12000000</v>
      </c>
      <c r="C179" s="41">
        <v>3.8E-3</v>
      </c>
      <c r="D179" s="41">
        <v>10.374700000000001</v>
      </c>
      <c r="E179" s="41">
        <v>30</v>
      </c>
      <c r="F179" s="41">
        <v>0</v>
      </c>
      <c r="G179" s="41" t="s">
        <v>104</v>
      </c>
      <c r="H179" s="41">
        <v>1</v>
      </c>
      <c r="I179" s="41">
        <v>1</v>
      </c>
      <c r="J179" s="108">
        <f>POWER(POWER(Table2[[#This Row],[mv]],4)/10,0.25)</f>
        <v>2.1368970357233258E-3</v>
      </c>
      <c r="K179" s="41">
        <v>0</v>
      </c>
      <c r="L179" s="41">
        <v>55</v>
      </c>
      <c r="M179" s="41">
        <v>-1</v>
      </c>
      <c r="N179" s="41">
        <v>4</v>
      </c>
      <c r="O179" s="110" t="s">
        <v>635</v>
      </c>
      <c r="P179" s="109">
        <v>191703</v>
      </c>
      <c r="Q179" s="107"/>
      <c r="R179" s="111"/>
      <c r="S179" s="110" t="s">
        <v>1188</v>
      </c>
      <c r="T179"/>
      <c r="U179"/>
      <c r="V179"/>
    </row>
    <row r="180" spans="1:22" x14ac:dyDescent="0.3">
      <c r="A180" s="105">
        <v>179</v>
      </c>
      <c r="B180" s="41">
        <v>12000000</v>
      </c>
      <c r="C180" s="41">
        <v>3.8E-3</v>
      </c>
      <c r="D180" s="41">
        <v>11.313700000000001</v>
      </c>
      <c r="E180" s="41">
        <v>30</v>
      </c>
      <c r="F180" s="41">
        <v>0</v>
      </c>
      <c r="G180" s="41" t="s">
        <v>104</v>
      </c>
      <c r="H180" s="41">
        <v>1</v>
      </c>
      <c r="I180" s="41">
        <v>1</v>
      </c>
      <c r="J180" s="108">
        <f>POWER(POWER(Table2[[#This Row],[mv]],4)/10,0.25)</f>
        <v>2.1368970357233258E-3</v>
      </c>
      <c r="K180" s="41">
        <v>0</v>
      </c>
      <c r="L180" s="41">
        <v>55</v>
      </c>
      <c r="M180" s="41">
        <v>-1</v>
      </c>
      <c r="N180" s="41">
        <v>4</v>
      </c>
      <c r="O180" s="110" t="s">
        <v>636</v>
      </c>
      <c r="P180" s="109">
        <v>191703</v>
      </c>
      <c r="Q180" s="107"/>
      <c r="R180" s="111"/>
      <c r="S180" s="110" t="s">
        <v>1188</v>
      </c>
      <c r="T180"/>
      <c r="U180"/>
      <c r="V180"/>
    </row>
    <row r="181" spans="1:22" x14ac:dyDescent="0.3">
      <c r="A181" s="105">
        <v>180</v>
      </c>
      <c r="B181" s="41">
        <v>12000000</v>
      </c>
      <c r="C181" s="41">
        <v>3.8E-3</v>
      </c>
      <c r="D181" s="41">
        <v>12.3377</v>
      </c>
      <c r="E181" s="41">
        <v>30</v>
      </c>
      <c r="F181" s="41">
        <v>0</v>
      </c>
      <c r="G181" s="41" t="s">
        <v>104</v>
      </c>
      <c r="H181" s="41">
        <v>1</v>
      </c>
      <c r="I181" s="41">
        <v>1</v>
      </c>
      <c r="J181" s="108">
        <f>POWER(POWER(Table2[[#This Row],[mv]],4)/10,0.25)</f>
        <v>2.1368970357233258E-3</v>
      </c>
      <c r="K181" s="41">
        <v>0</v>
      </c>
      <c r="L181" s="41">
        <v>55</v>
      </c>
      <c r="M181" s="41">
        <v>-1</v>
      </c>
      <c r="N181" s="41">
        <v>4</v>
      </c>
      <c r="O181" s="110" t="s">
        <v>637</v>
      </c>
      <c r="P181" s="109">
        <v>191703</v>
      </c>
      <c r="Q181" s="107"/>
      <c r="R181" s="111"/>
      <c r="S181" s="110" t="s">
        <v>1188</v>
      </c>
      <c r="T181"/>
      <c r="U181"/>
      <c r="V181"/>
    </row>
    <row r="182" spans="1:22" x14ac:dyDescent="0.3">
      <c r="A182" s="105">
        <v>181</v>
      </c>
      <c r="B182" s="41">
        <v>12000000</v>
      </c>
      <c r="C182" s="41">
        <v>3.8E-3</v>
      </c>
      <c r="D182" s="41">
        <v>13.4543</v>
      </c>
      <c r="E182" s="41">
        <v>30</v>
      </c>
      <c r="F182" s="41">
        <v>0</v>
      </c>
      <c r="G182" s="41" t="s">
        <v>104</v>
      </c>
      <c r="H182" s="41">
        <v>1</v>
      </c>
      <c r="I182" s="41">
        <v>1</v>
      </c>
      <c r="J182" s="108">
        <f>POWER(POWER(Table2[[#This Row],[mv]],4)/10,0.25)</f>
        <v>2.1368970357233258E-3</v>
      </c>
      <c r="K182" s="41">
        <v>0</v>
      </c>
      <c r="L182" s="41">
        <v>55</v>
      </c>
      <c r="M182" s="41">
        <v>-1</v>
      </c>
      <c r="N182" s="41">
        <v>4</v>
      </c>
      <c r="O182" s="110" t="s">
        <v>638</v>
      </c>
      <c r="P182" s="109">
        <v>191703</v>
      </c>
      <c r="Q182" s="107"/>
      <c r="R182" s="111"/>
      <c r="S182" s="110" t="s">
        <v>1188</v>
      </c>
      <c r="T182"/>
      <c r="U182"/>
      <c r="V182"/>
    </row>
    <row r="183" spans="1:22" x14ac:dyDescent="0.3">
      <c r="A183" s="105">
        <v>182</v>
      </c>
      <c r="B183" s="41">
        <v>12000000</v>
      </c>
      <c r="C183" s="41">
        <v>3.8E-3</v>
      </c>
      <c r="D183" s="41">
        <v>14.6721</v>
      </c>
      <c r="E183" s="41">
        <v>30</v>
      </c>
      <c r="F183" s="41">
        <v>0</v>
      </c>
      <c r="G183" s="41" t="s">
        <v>104</v>
      </c>
      <c r="H183" s="41">
        <v>1</v>
      </c>
      <c r="I183" s="41">
        <v>1</v>
      </c>
      <c r="J183" s="108">
        <f>POWER(POWER(Table2[[#This Row],[mv]],4)/10,0.25)</f>
        <v>2.1368970357233258E-3</v>
      </c>
      <c r="K183" s="41">
        <v>0</v>
      </c>
      <c r="L183" s="41">
        <v>55</v>
      </c>
      <c r="M183" s="41">
        <v>-1</v>
      </c>
      <c r="N183" s="41">
        <v>4</v>
      </c>
      <c r="O183" s="110" t="s">
        <v>639</v>
      </c>
      <c r="P183" s="109">
        <v>191703</v>
      </c>
      <c r="Q183" s="107"/>
      <c r="R183" s="111"/>
      <c r="S183" s="110" t="s">
        <v>1188</v>
      </c>
      <c r="T183"/>
      <c r="U183"/>
      <c r="V183"/>
    </row>
    <row r="184" spans="1:22" x14ac:dyDescent="0.3">
      <c r="A184" s="105">
        <v>183</v>
      </c>
      <c r="B184" s="41">
        <v>12000000</v>
      </c>
      <c r="C184" s="41">
        <v>3.8E-3</v>
      </c>
      <c r="D184" s="41">
        <v>16</v>
      </c>
      <c r="E184" s="41">
        <v>30</v>
      </c>
      <c r="F184" s="41">
        <v>0</v>
      </c>
      <c r="G184" s="41" t="s">
        <v>104</v>
      </c>
      <c r="H184" s="41">
        <v>1</v>
      </c>
      <c r="I184" s="41">
        <v>1</v>
      </c>
      <c r="J184" s="108">
        <f>POWER(POWER(Table2[[#This Row],[mv]],4)/10,0.25)</f>
        <v>2.1368970357233258E-3</v>
      </c>
      <c r="K184" s="41">
        <v>0</v>
      </c>
      <c r="L184" s="41">
        <v>55</v>
      </c>
      <c r="M184" s="41">
        <v>-1</v>
      </c>
      <c r="N184" s="41">
        <v>4</v>
      </c>
      <c r="O184" s="110" t="s">
        <v>640</v>
      </c>
      <c r="P184" s="109">
        <v>191703</v>
      </c>
      <c r="Q184" s="107"/>
      <c r="R184" s="111"/>
      <c r="S184" s="110" t="s">
        <v>1188</v>
      </c>
      <c r="T184"/>
      <c r="U184"/>
      <c r="V184"/>
    </row>
    <row r="185" spans="1:22" x14ac:dyDescent="0.3">
      <c r="A185" s="105">
        <v>184</v>
      </c>
      <c r="B185" s="41">
        <v>12000000</v>
      </c>
      <c r="C185" s="41">
        <v>3.8E-3</v>
      </c>
      <c r="D185" s="41">
        <v>17.4481</v>
      </c>
      <c r="E185" s="41">
        <v>30</v>
      </c>
      <c r="F185" s="41">
        <v>0</v>
      </c>
      <c r="G185" s="41" t="s">
        <v>104</v>
      </c>
      <c r="H185" s="41">
        <v>1</v>
      </c>
      <c r="I185" s="41">
        <v>1</v>
      </c>
      <c r="J185" s="108">
        <f>POWER(POWER(Table2[[#This Row],[mv]],4)/10,0.25)</f>
        <v>2.1368970357233258E-3</v>
      </c>
      <c r="K185" s="41">
        <v>0</v>
      </c>
      <c r="L185" s="41">
        <v>55</v>
      </c>
      <c r="M185" s="41">
        <v>-1</v>
      </c>
      <c r="N185" s="41">
        <v>4</v>
      </c>
      <c r="O185" s="110" t="s">
        <v>641</v>
      </c>
      <c r="P185" s="109">
        <v>191703</v>
      </c>
      <c r="Q185" s="107"/>
      <c r="R185" s="111"/>
      <c r="S185" s="110" t="s">
        <v>1188</v>
      </c>
      <c r="T185"/>
      <c r="U185"/>
      <c r="V185"/>
    </row>
    <row r="186" spans="1:22" x14ac:dyDescent="0.3">
      <c r="A186" s="105">
        <v>185</v>
      </c>
      <c r="B186" s="41">
        <v>12000000</v>
      </c>
      <c r="C186" s="41">
        <v>3.8E-3</v>
      </c>
      <c r="D186" s="41">
        <v>19.0273</v>
      </c>
      <c r="E186" s="41">
        <v>30</v>
      </c>
      <c r="F186" s="41">
        <v>0</v>
      </c>
      <c r="G186" s="41" t="s">
        <v>104</v>
      </c>
      <c r="H186" s="41">
        <v>1</v>
      </c>
      <c r="I186" s="41">
        <v>1</v>
      </c>
      <c r="J186" s="108">
        <f>POWER(POWER(Table2[[#This Row],[mv]],4)/10,0.25)</f>
        <v>2.1368970357233258E-3</v>
      </c>
      <c r="K186" s="41">
        <v>0</v>
      </c>
      <c r="L186" s="41">
        <v>55</v>
      </c>
      <c r="M186" s="41">
        <v>-1</v>
      </c>
      <c r="N186" s="41">
        <v>4</v>
      </c>
      <c r="O186" s="110" t="s">
        <v>642</v>
      </c>
      <c r="P186" s="109">
        <v>191703</v>
      </c>
      <c r="Q186" s="107"/>
      <c r="R186" s="111"/>
      <c r="S186" s="110" t="s">
        <v>1188</v>
      </c>
      <c r="T186"/>
      <c r="U186"/>
      <c r="V186"/>
    </row>
    <row r="187" spans="1:22" x14ac:dyDescent="0.3">
      <c r="A187" s="105">
        <v>186</v>
      </c>
      <c r="B187" s="41">
        <v>12000000</v>
      </c>
      <c r="C187" s="41">
        <v>4.1999999999999997E-3</v>
      </c>
      <c r="D187" s="41">
        <v>5.6569000000000003</v>
      </c>
      <c r="E187" s="41">
        <v>30</v>
      </c>
      <c r="F187" s="41">
        <v>0</v>
      </c>
      <c r="G187" s="41" t="s">
        <v>104</v>
      </c>
      <c r="H187" s="41">
        <v>1</v>
      </c>
      <c r="I187" s="41">
        <v>1</v>
      </c>
      <c r="J187" s="108">
        <f>POWER(POWER(Table2[[#This Row],[mv]],4)/10,0.25)</f>
        <v>2.361833565799467E-3</v>
      </c>
      <c r="K187" s="41">
        <v>0</v>
      </c>
      <c r="L187" s="41">
        <v>55</v>
      </c>
      <c r="M187" s="41">
        <v>-1</v>
      </c>
      <c r="N187" s="41">
        <v>4</v>
      </c>
      <c r="O187" s="110" t="s">
        <v>643</v>
      </c>
      <c r="P187" s="109">
        <v>191703</v>
      </c>
      <c r="Q187" s="107"/>
      <c r="R187" s="111"/>
      <c r="S187" s="110" t="s">
        <v>1188</v>
      </c>
      <c r="T187"/>
      <c r="U187"/>
      <c r="V187"/>
    </row>
    <row r="188" spans="1:22" x14ac:dyDescent="0.3">
      <c r="A188" s="105">
        <v>187</v>
      </c>
      <c r="B188" s="41">
        <v>12000000</v>
      </c>
      <c r="C188" s="41">
        <v>4.1999999999999997E-3</v>
      </c>
      <c r="D188" s="41">
        <v>6.1688000000000001</v>
      </c>
      <c r="E188" s="41">
        <v>30</v>
      </c>
      <c r="F188" s="41">
        <v>0</v>
      </c>
      <c r="G188" s="41" t="s">
        <v>104</v>
      </c>
      <c r="H188" s="41">
        <v>1</v>
      </c>
      <c r="I188" s="41">
        <v>1</v>
      </c>
      <c r="J188" s="108">
        <f>POWER(POWER(Table2[[#This Row],[mv]],4)/10,0.25)</f>
        <v>2.361833565799467E-3</v>
      </c>
      <c r="K188" s="41">
        <v>0</v>
      </c>
      <c r="L188" s="41">
        <v>55</v>
      </c>
      <c r="M188" s="41">
        <v>-1</v>
      </c>
      <c r="N188" s="41">
        <v>4</v>
      </c>
      <c r="O188" s="110" t="s">
        <v>644</v>
      </c>
      <c r="P188" s="109">
        <v>191703</v>
      </c>
      <c r="Q188" s="107"/>
      <c r="R188" s="111"/>
      <c r="S188" s="110" t="s">
        <v>1188</v>
      </c>
      <c r="T188"/>
      <c r="U188"/>
      <c r="V188"/>
    </row>
    <row r="189" spans="1:22" x14ac:dyDescent="0.3">
      <c r="A189" s="105">
        <v>188</v>
      </c>
      <c r="B189" s="41">
        <v>12000000</v>
      </c>
      <c r="C189" s="41">
        <v>4.1999999999999997E-3</v>
      </c>
      <c r="D189" s="41">
        <v>6.7271999999999998</v>
      </c>
      <c r="E189" s="41">
        <v>30</v>
      </c>
      <c r="F189" s="41">
        <v>0</v>
      </c>
      <c r="G189" s="41" t="s">
        <v>104</v>
      </c>
      <c r="H189" s="41">
        <v>1</v>
      </c>
      <c r="I189" s="41">
        <v>1</v>
      </c>
      <c r="J189" s="108">
        <f>POWER(POWER(Table2[[#This Row],[mv]],4)/10,0.25)</f>
        <v>2.361833565799467E-3</v>
      </c>
      <c r="K189" s="41">
        <v>0</v>
      </c>
      <c r="L189" s="41">
        <v>55</v>
      </c>
      <c r="M189" s="41">
        <v>-1</v>
      </c>
      <c r="N189" s="41">
        <v>4</v>
      </c>
      <c r="O189" s="110" t="s">
        <v>645</v>
      </c>
      <c r="P189" s="109">
        <v>191703</v>
      </c>
      <c r="Q189" s="107"/>
      <c r="R189" s="111"/>
      <c r="S189" s="110" t="s">
        <v>1188</v>
      </c>
      <c r="T189"/>
      <c r="U189"/>
      <c r="V189"/>
    </row>
    <row r="190" spans="1:22" x14ac:dyDescent="0.3">
      <c r="A190" s="105">
        <v>189</v>
      </c>
      <c r="B190" s="41">
        <v>12000000</v>
      </c>
      <c r="C190" s="41">
        <v>4.1999999999999997E-3</v>
      </c>
      <c r="D190" s="41">
        <v>7.3360000000000003</v>
      </c>
      <c r="E190" s="41">
        <v>30</v>
      </c>
      <c r="F190" s="41">
        <v>0</v>
      </c>
      <c r="G190" s="41" t="s">
        <v>104</v>
      </c>
      <c r="H190" s="41">
        <v>1</v>
      </c>
      <c r="I190" s="41">
        <v>1</v>
      </c>
      <c r="J190" s="108">
        <f>POWER(POWER(Table2[[#This Row],[mv]],4)/10,0.25)</f>
        <v>2.361833565799467E-3</v>
      </c>
      <c r="K190" s="41">
        <v>0</v>
      </c>
      <c r="L190" s="41">
        <v>55</v>
      </c>
      <c r="M190" s="41">
        <v>-1</v>
      </c>
      <c r="N190" s="41">
        <v>4</v>
      </c>
      <c r="O190" s="110" t="s">
        <v>646</v>
      </c>
      <c r="P190" s="109">
        <v>191703</v>
      </c>
      <c r="Q190" s="107"/>
      <c r="R190" s="111"/>
      <c r="S190" s="110" t="s">
        <v>1188</v>
      </c>
      <c r="T190"/>
      <c r="U190"/>
      <c r="V190"/>
    </row>
    <row r="191" spans="1:22" x14ac:dyDescent="0.3">
      <c r="A191" s="105">
        <v>190</v>
      </c>
      <c r="B191" s="41">
        <v>12000000</v>
      </c>
      <c r="C191" s="41">
        <v>4.1999999999999997E-3</v>
      </c>
      <c r="D191" s="41">
        <v>8</v>
      </c>
      <c r="E191" s="41">
        <v>30</v>
      </c>
      <c r="F191" s="41">
        <v>0</v>
      </c>
      <c r="G191" s="41" t="s">
        <v>104</v>
      </c>
      <c r="H191" s="41">
        <v>1</v>
      </c>
      <c r="I191" s="41">
        <v>1</v>
      </c>
      <c r="J191" s="108">
        <f>POWER(POWER(Table2[[#This Row],[mv]],4)/10,0.25)</f>
        <v>2.361833565799467E-3</v>
      </c>
      <c r="K191" s="41">
        <v>0</v>
      </c>
      <c r="L191" s="41">
        <v>55</v>
      </c>
      <c r="M191" s="41">
        <v>-1</v>
      </c>
      <c r="N191" s="41">
        <v>4</v>
      </c>
      <c r="O191" s="110" t="s">
        <v>647</v>
      </c>
      <c r="P191" s="109">
        <v>191703</v>
      </c>
      <c r="Q191" s="107"/>
      <c r="R191" s="111"/>
      <c r="S191" s="110" t="s">
        <v>1188</v>
      </c>
      <c r="T191"/>
      <c r="U191"/>
      <c r="V191"/>
    </row>
    <row r="192" spans="1:22" x14ac:dyDescent="0.3">
      <c r="A192" s="105">
        <v>191</v>
      </c>
      <c r="B192" s="41">
        <v>12000000</v>
      </c>
      <c r="C192" s="41">
        <v>4.1999999999999997E-3</v>
      </c>
      <c r="D192" s="41">
        <v>8.7241</v>
      </c>
      <c r="E192" s="41">
        <v>30</v>
      </c>
      <c r="F192" s="41">
        <v>0</v>
      </c>
      <c r="G192" s="41" t="s">
        <v>104</v>
      </c>
      <c r="H192" s="41">
        <v>1</v>
      </c>
      <c r="I192" s="41">
        <v>1</v>
      </c>
      <c r="J192" s="108">
        <f>POWER(POWER(Table2[[#This Row],[mv]],4)/10,0.25)</f>
        <v>2.361833565799467E-3</v>
      </c>
      <c r="K192" s="41">
        <v>0</v>
      </c>
      <c r="L192" s="41">
        <v>55</v>
      </c>
      <c r="M192" s="41">
        <v>-1</v>
      </c>
      <c r="N192" s="41">
        <v>4</v>
      </c>
      <c r="O192" s="110" t="s">
        <v>648</v>
      </c>
      <c r="P192" s="109">
        <v>191703</v>
      </c>
      <c r="Q192" s="107"/>
      <c r="R192" s="111"/>
      <c r="S192" s="110" t="s">
        <v>1188</v>
      </c>
      <c r="T192"/>
      <c r="U192"/>
      <c r="V192"/>
    </row>
    <row r="193" spans="1:22" x14ac:dyDescent="0.3">
      <c r="A193" s="105">
        <v>192</v>
      </c>
      <c r="B193" s="41">
        <v>12000000</v>
      </c>
      <c r="C193" s="41">
        <v>4.1999999999999997E-3</v>
      </c>
      <c r="D193" s="41">
        <v>9.5137</v>
      </c>
      <c r="E193" s="41">
        <v>30</v>
      </c>
      <c r="F193" s="41">
        <v>0</v>
      </c>
      <c r="G193" s="41" t="s">
        <v>104</v>
      </c>
      <c r="H193" s="41">
        <v>1</v>
      </c>
      <c r="I193" s="41">
        <v>1</v>
      </c>
      <c r="J193" s="108">
        <f>POWER(POWER(Table2[[#This Row],[mv]],4)/10,0.25)</f>
        <v>2.361833565799467E-3</v>
      </c>
      <c r="K193" s="41">
        <v>0</v>
      </c>
      <c r="L193" s="41">
        <v>55</v>
      </c>
      <c r="M193" s="41">
        <v>-1</v>
      </c>
      <c r="N193" s="41">
        <v>4</v>
      </c>
      <c r="O193" s="110" t="s">
        <v>649</v>
      </c>
      <c r="P193" s="109">
        <v>191704</v>
      </c>
      <c r="Q193" s="107"/>
      <c r="R193" s="111"/>
      <c r="S193" s="110" t="s">
        <v>1188</v>
      </c>
      <c r="T193"/>
      <c r="U193"/>
      <c r="V193"/>
    </row>
    <row r="194" spans="1:22" x14ac:dyDescent="0.3">
      <c r="A194" s="105">
        <v>193</v>
      </c>
      <c r="B194" s="41">
        <v>12000000</v>
      </c>
      <c r="C194" s="41">
        <v>4.1999999999999997E-3</v>
      </c>
      <c r="D194" s="41">
        <v>10.374700000000001</v>
      </c>
      <c r="E194" s="41">
        <v>30</v>
      </c>
      <c r="F194" s="41">
        <v>0</v>
      </c>
      <c r="G194" s="41" t="s">
        <v>104</v>
      </c>
      <c r="H194" s="41">
        <v>1</v>
      </c>
      <c r="I194" s="41">
        <v>1</v>
      </c>
      <c r="J194" s="108">
        <f>POWER(POWER(Table2[[#This Row],[mv]],4)/10,0.25)</f>
        <v>2.361833565799467E-3</v>
      </c>
      <c r="K194" s="41">
        <v>0</v>
      </c>
      <c r="L194" s="41">
        <v>55</v>
      </c>
      <c r="M194" s="41">
        <v>-1</v>
      </c>
      <c r="N194" s="41">
        <v>4</v>
      </c>
      <c r="O194" s="110" t="s">
        <v>650</v>
      </c>
      <c r="P194" s="109">
        <v>191704</v>
      </c>
      <c r="Q194" s="107"/>
      <c r="R194" s="111"/>
      <c r="S194" s="110" t="s">
        <v>1188</v>
      </c>
      <c r="T194"/>
      <c r="U194"/>
      <c r="V194"/>
    </row>
    <row r="195" spans="1:22" x14ac:dyDescent="0.3">
      <c r="A195" s="105">
        <v>194</v>
      </c>
      <c r="B195" s="41">
        <v>12000000</v>
      </c>
      <c r="C195" s="41">
        <v>4.1999999999999997E-3</v>
      </c>
      <c r="D195" s="41">
        <v>11.313700000000001</v>
      </c>
      <c r="E195" s="41">
        <v>30</v>
      </c>
      <c r="F195" s="41">
        <v>0</v>
      </c>
      <c r="G195" s="41" t="s">
        <v>104</v>
      </c>
      <c r="H195" s="41">
        <v>1</v>
      </c>
      <c r="I195" s="41">
        <v>1</v>
      </c>
      <c r="J195" s="108">
        <f>POWER(POWER(Table2[[#This Row],[mv]],4)/10,0.25)</f>
        <v>2.361833565799467E-3</v>
      </c>
      <c r="K195" s="41">
        <v>0</v>
      </c>
      <c r="L195" s="41">
        <v>55</v>
      </c>
      <c r="M195" s="41">
        <v>-1</v>
      </c>
      <c r="N195" s="41">
        <v>4</v>
      </c>
      <c r="O195" s="110" t="s">
        <v>651</v>
      </c>
      <c r="P195" s="109">
        <v>191704</v>
      </c>
      <c r="Q195" s="107"/>
      <c r="R195" s="111"/>
      <c r="S195" s="110" t="s">
        <v>1188</v>
      </c>
      <c r="T195"/>
      <c r="U195"/>
      <c r="V195"/>
    </row>
    <row r="196" spans="1:22" x14ac:dyDescent="0.3">
      <c r="A196" s="105">
        <v>195</v>
      </c>
      <c r="B196" s="41">
        <v>12000000</v>
      </c>
      <c r="C196" s="41">
        <v>4.1999999999999997E-3</v>
      </c>
      <c r="D196" s="41">
        <v>12.3377</v>
      </c>
      <c r="E196" s="41">
        <v>30</v>
      </c>
      <c r="F196" s="41">
        <v>0</v>
      </c>
      <c r="G196" s="41" t="s">
        <v>104</v>
      </c>
      <c r="H196" s="41">
        <v>1</v>
      </c>
      <c r="I196" s="41">
        <v>1</v>
      </c>
      <c r="J196" s="108">
        <f>POWER(POWER(Table2[[#This Row],[mv]],4)/10,0.25)</f>
        <v>2.361833565799467E-3</v>
      </c>
      <c r="K196" s="41">
        <v>0</v>
      </c>
      <c r="L196" s="41">
        <v>55</v>
      </c>
      <c r="M196" s="41">
        <v>-1</v>
      </c>
      <c r="N196" s="41">
        <v>4</v>
      </c>
      <c r="O196" s="110" t="s">
        <v>652</v>
      </c>
      <c r="P196" s="109">
        <v>191704</v>
      </c>
      <c r="Q196" s="107"/>
      <c r="R196" s="111"/>
      <c r="S196" s="110" t="s">
        <v>1188</v>
      </c>
      <c r="T196"/>
      <c r="U196"/>
      <c r="V196"/>
    </row>
    <row r="197" spans="1:22" x14ac:dyDescent="0.3">
      <c r="A197" s="105">
        <v>196</v>
      </c>
      <c r="B197" s="41">
        <v>12000000</v>
      </c>
      <c r="C197" s="41">
        <v>4.1999999999999997E-3</v>
      </c>
      <c r="D197" s="41">
        <v>13.4543</v>
      </c>
      <c r="E197" s="41">
        <v>30</v>
      </c>
      <c r="F197" s="41">
        <v>0</v>
      </c>
      <c r="G197" s="41" t="s">
        <v>104</v>
      </c>
      <c r="H197" s="41">
        <v>1</v>
      </c>
      <c r="I197" s="41">
        <v>1</v>
      </c>
      <c r="J197" s="108">
        <f>POWER(POWER(Table2[[#This Row],[mv]],4)/10,0.25)</f>
        <v>2.361833565799467E-3</v>
      </c>
      <c r="K197" s="41">
        <v>0</v>
      </c>
      <c r="L197" s="41">
        <v>55</v>
      </c>
      <c r="M197" s="41">
        <v>-1</v>
      </c>
      <c r="N197" s="41">
        <v>4</v>
      </c>
      <c r="O197" s="110" t="s">
        <v>653</v>
      </c>
      <c r="P197" s="109">
        <v>191704</v>
      </c>
      <c r="Q197" s="107"/>
      <c r="R197" s="111"/>
      <c r="S197" s="110" t="s">
        <v>1188</v>
      </c>
      <c r="T197"/>
      <c r="U197"/>
      <c r="V197"/>
    </row>
    <row r="198" spans="1:22" x14ac:dyDescent="0.3">
      <c r="A198" s="105">
        <v>197</v>
      </c>
      <c r="B198" s="41">
        <v>12000000</v>
      </c>
      <c r="C198" s="41">
        <v>4.1999999999999997E-3</v>
      </c>
      <c r="D198" s="41">
        <v>14.6721</v>
      </c>
      <c r="E198" s="41">
        <v>30</v>
      </c>
      <c r="F198" s="41">
        <v>0</v>
      </c>
      <c r="G198" s="41" t="s">
        <v>104</v>
      </c>
      <c r="H198" s="41">
        <v>1</v>
      </c>
      <c r="I198" s="41">
        <v>1</v>
      </c>
      <c r="J198" s="108">
        <f>POWER(POWER(Table2[[#This Row],[mv]],4)/10,0.25)</f>
        <v>2.361833565799467E-3</v>
      </c>
      <c r="K198" s="41">
        <v>0</v>
      </c>
      <c r="L198" s="41">
        <v>55</v>
      </c>
      <c r="M198" s="41">
        <v>-1</v>
      </c>
      <c r="N198" s="41">
        <v>4</v>
      </c>
      <c r="O198" s="110" t="s">
        <v>654</v>
      </c>
      <c r="P198" s="109">
        <v>191704</v>
      </c>
      <c r="Q198" s="107"/>
      <c r="R198" s="111"/>
      <c r="S198" s="110" t="s">
        <v>1188</v>
      </c>
      <c r="T198"/>
      <c r="U198"/>
      <c r="V198"/>
    </row>
    <row r="199" spans="1:22" x14ac:dyDescent="0.3">
      <c r="A199" s="105">
        <v>198</v>
      </c>
      <c r="B199" s="41">
        <v>12000000</v>
      </c>
      <c r="C199" s="41">
        <v>4.1999999999999997E-3</v>
      </c>
      <c r="D199" s="41">
        <v>16</v>
      </c>
      <c r="E199" s="41">
        <v>30</v>
      </c>
      <c r="F199" s="41">
        <v>0</v>
      </c>
      <c r="G199" s="41" t="s">
        <v>104</v>
      </c>
      <c r="H199" s="41">
        <v>1</v>
      </c>
      <c r="I199" s="41">
        <v>1</v>
      </c>
      <c r="J199" s="108">
        <f>POWER(POWER(Table2[[#This Row],[mv]],4)/10,0.25)</f>
        <v>2.361833565799467E-3</v>
      </c>
      <c r="K199" s="41">
        <v>0</v>
      </c>
      <c r="L199" s="41">
        <v>55</v>
      </c>
      <c r="M199" s="41">
        <v>-1</v>
      </c>
      <c r="N199" s="41">
        <v>4</v>
      </c>
      <c r="O199" s="110" t="s">
        <v>655</v>
      </c>
      <c r="P199" s="109">
        <v>191704</v>
      </c>
      <c r="Q199" s="107"/>
      <c r="R199" s="111"/>
      <c r="S199" s="110" t="s">
        <v>1188</v>
      </c>
      <c r="T199"/>
      <c r="U199"/>
      <c r="V199"/>
    </row>
    <row r="200" spans="1:22" x14ac:dyDescent="0.3">
      <c r="A200" s="105">
        <v>199</v>
      </c>
      <c r="B200" s="41">
        <v>12000000</v>
      </c>
      <c r="C200" s="41">
        <v>4.1999999999999997E-3</v>
      </c>
      <c r="D200" s="41">
        <v>17.4481</v>
      </c>
      <c r="E200" s="41">
        <v>30</v>
      </c>
      <c r="F200" s="41">
        <v>0</v>
      </c>
      <c r="G200" s="41" t="s">
        <v>104</v>
      </c>
      <c r="H200" s="41">
        <v>1</v>
      </c>
      <c r="I200" s="41">
        <v>1</v>
      </c>
      <c r="J200" s="108">
        <f>POWER(POWER(Table2[[#This Row],[mv]],4)/10,0.25)</f>
        <v>2.361833565799467E-3</v>
      </c>
      <c r="K200" s="41">
        <v>0</v>
      </c>
      <c r="L200" s="41">
        <v>55</v>
      </c>
      <c r="M200" s="41">
        <v>-1</v>
      </c>
      <c r="N200" s="41">
        <v>4</v>
      </c>
      <c r="O200" s="110" t="s">
        <v>656</v>
      </c>
      <c r="P200" s="109">
        <v>191704</v>
      </c>
      <c r="Q200" s="107"/>
      <c r="R200" s="111"/>
      <c r="S200" s="110" t="s">
        <v>1188</v>
      </c>
      <c r="T200"/>
      <c r="U200"/>
      <c r="V200"/>
    </row>
    <row r="201" spans="1:22" x14ac:dyDescent="0.3">
      <c r="A201" s="105">
        <v>200</v>
      </c>
      <c r="B201" s="41">
        <v>12000000</v>
      </c>
      <c r="C201" s="41">
        <v>4.1999999999999997E-3</v>
      </c>
      <c r="D201" s="41">
        <v>19.0273</v>
      </c>
      <c r="E201" s="41">
        <v>30</v>
      </c>
      <c r="F201" s="41">
        <v>0</v>
      </c>
      <c r="G201" s="41" t="s">
        <v>104</v>
      </c>
      <c r="H201" s="41">
        <v>1</v>
      </c>
      <c r="I201" s="41">
        <v>1</v>
      </c>
      <c r="J201" s="108">
        <f>POWER(POWER(Table2[[#This Row],[mv]],4)/10,0.25)</f>
        <v>2.361833565799467E-3</v>
      </c>
      <c r="K201" s="41">
        <v>0</v>
      </c>
      <c r="L201" s="41">
        <v>55</v>
      </c>
      <c r="M201" s="41">
        <v>-1</v>
      </c>
      <c r="N201" s="41">
        <v>4</v>
      </c>
      <c r="O201" s="110" t="s">
        <v>657</v>
      </c>
      <c r="P201" s="109">
        <v>191704</v>
      </c>
      <c r="Q201" s="107"/>
      <c r="R201" s="111"/>
      <c r="S201" s="110" t="s">
        <v>1188</v>
      </c>
      <c r="T201"/>
      <c r="U201"/>
      <c r="V201"/>
    </row>
    <row r="202" spans="1:22" x14ac:dyDescent="0.3">
      <c r="A202" s="105">
        <v>201</v>
      </c>
      <c r="B202" s="41">
        <v>12000000</v>
      </c>
      <c r="C202" s="41">
        <v>4.4999999999999997E-3</v>
      </c>
      <c r="D202" s="41">
        <v>6.7271999999999998</v>
      </c>
      <c r="E202" s="41">
        <v>30</v>
      </c>
      <c r="F202" s="41">
        <v>0</v>
      </c>
      <c r="G202" s="41" t="s">
        <v>104</v>
      </c>
      <c r="H202" s="41">
        <v>1</v>
      </c>
      <c r="I202" s="41">
        <v>1</v>
      </c>
      <c r="J202" s="108">
        <f>POWER(POWER(Table2[[#This Row],[mv]],4)/10,0.25)</f>
        <v>2.5305359633565699E-3</v>
      </c>
      <c r="K202" s="41">
        <v>0</v>
      </c>
      <c r="L202" s="41">
        <v>55</v>
      </c>
      <c r="M202" s="41">
        <v>-1</v>
      </c>
      <c r="N202" s="41">
        <v>4</v>
      </c>
      <c r="O202" s="110" t="s">
        <v>658</v>
      </c>
      <c r="P202" s="109">
        <v>191704</v>
      </c>
      <c r="Q202" s="107"/>
      <c r="R202" s="111"/>
      <c r="S202" s="110" t="s">
        <v>1188</v>
      </c>
      <c r="T202"/>
      <c r="U202"/>
      <c r="V202"/>
    </row>
    <row r="203" spans="1:22" x14ac:dyDescent="0.3">
      <c r="A203" s="105">
        <v>202</v>
      </c>
      <c r="B203" s="41">
        <v>12000000</v>
      </c>
      <c r="C203" s="41">
        <v>4.4999999999999997E-3</v>
      </c>
      <c r="D203" s="41">
        <v>7.3360000000000003</v>
      </c>
      <c r="E203" s="41">
        <v>30</v>
      </c>
      <c r="F203" s="41">
        <v>0</v>
      </c>
      <c r="G203" s="41" t="s">
        <v>104</v>
      </c>
      <c r="H203" s="41">
        <v>1</v>
      </c>
      <c r="I203" s="41">
        <v>1</v>
      </c>
      <c r="J203" s="108">
        <f>POWER(POWER(Table2[[#This Row],[mv]],4)/10,0.25)</f>
        <v>2.5305359633565699E-3</v>
      </c>
      <c r="K203" s="41">
        <v>0</v>
      </c>
      <c r="L203" s="41">
        <v>55</v>
      </c>
      <c r="M203" s="41">
        <v>-1</v>
      </c>
      <c r="N203" s="41">
        <v>4</v>
      </c>
      <c r="O203" s="110" t="s">
        <v>659</v>
      </c>
      <c r="P203" s="109">
        <v>191704</v>
      </c>
      <c r="Q203" s="107"/>
      <c r="R203" s="111"/>
      <c r="S203" s="110" t="s">
        <v>1188</v>
      </c>
      <c r="T203"/>
      <c r="U203"/>
      <c r="V203"/>
    </row>
    <row r="204" spans="1:22" x14ac:dyDescent="0.3">
      <c r="A204" s="105">
        <v>203</v>
      </c>
      <c r="B204" s="41">
        <v>12000000</v>
      </c>
      <c r="C204" s="41">
        <v>4.4999999999999997E-3</v>
      </c>
      <c r="D204" s="41">
        <v>8</v>
      </c>
      <c r="E204" s="41">
        <v>30</v>
      </c>
      <c r="F204" s="41">
        <v>0</v>
      </c>
      <c r="G204" s="41" t="s">
        <v>104</v>
      </c>
      <c r="H204" s="41">
        <v>1</v>
      </c>
      <c r="I204" s="41">
        <v>1</v>
      </c>
      <c r="J204" s="108">
        <f>POWER(POWER(Table2[[#This Row],[mv]],4)/10,0.25)</f>
        <v>2.5305359633565699E-3</v>
      </c>
      <c r="K204" s="41">
        <v>0</v>
      </c>
      <c r="L204" s="41">
        <v>55</v>
      </c>
      <c r="M204" s="41">
        <v>-1</v>
      </c>
      <c r="N204" s="41">
        <v>4</v>
      </c>
      <c r="O204" s="110" t="s">
        <v>660</v>
      </c>
      <c r="P204" s="109">
        <v>191704</v>
      </c>
      <c r="Q204" s="107"/>
      <c r="R204" s="111"/>
      <c r="S204" s="110" t="s">
        <v>1188</v>
      </c>
      <c r="T204"/>
      <c r="U204"/>
      <c r="V204"/>
    </row>
    <row r="205" spans="1:22" x14ac:dyDescent="0.3">
      <c r="A205" s="105">
        <v>204</v>
      </c>
      <c r="B205" s="41">
        <v>12000000</v>
      </c>
      <c r="C205" s="41">
        <v>4.4999999999999997E-3</v>
      </c>
      <c r="D205" s="41">
        <v>8.7241</v>
      </c>
      <c r="E205" s="41">
        <v>30</v>
      </c>
      <c r="F205" s="41">
        <v>0</v>
      </c>
      <c r="G205" s="41" t="s">
        <v>104</v>
      </c>
      <c r="H205" s="41">
        <v>1</v>
      </c>
      <c r="I205" s="41">
        <v>1</v>
      </c>
      <c r="J205" s="108">
        <f>POWER(POWER(Table2[[#This Row],[mv]],4)/10,0.25)</f>
        <v>2.5305359633565699E-3</v>
      </c>
      <c r="K205" s="41">
        <v>0</v>
      </c>
      <c r="L205" s="41">
        <v>55</v>
      </c>
      <c r="M205" s="41">
        <v>-1</v>
      </c>
      <c r="N205" s="41">
        <v>4</v>
      </c>
      <c r="O205" s="110" t="s">
        <v>661</v>
      </c>
      <c r="P205" s="109">
        <v>191704</v>
      </c>
      <c r="Q205" s="107"/>
      <c r="R205" s="111"/>
      <c r="S205" s="110" t="s">
        <v>1188</v>
      </c>
      <c r="T205"/>
      <c r="U205"/>
      <c r="V205"/>
    </row>
    <row r="206" spans="1:22" x14ac:dyDescent="0.3">
      <c r="A206" s="105">
        <v>205</v>
      </c>
      <c r="B206" s="41">
        <v>12000000</v>
      </c>
      <c r="C206" s="41">
        <v>4.4999999999999997E-3</v>
      </c>
      <c r="D206" s="41">
        <v>9.5137</v>
      </c>
      <c r="E206" s="41">
        <v>30</v>
      </c>
      <c r="F206" s="41">
        <v>0</v>
      </c>
      <c r="G206" s="41" t="s">
        <v>104</v>
      </c>
      <c r="H206" s="41">
        <v>1</v>
      </c>
      <c r="I206" s="41">
        <v>1</v>
      </c>
      <c r="J206" s="108">
        <f>POWER(POWER(Table2[[#This Row],[mv]],4)/10,0.25)</f>
        <v>2.5305359633565699E-3</v>
      </c>
      <c r="K206" s="41">
        <v>0</v>
      </c>
      <c r="L206" s="41">
        <v>55</v>
      </c>
      <c r="M206" s="41">
        <v>-1</v>
      </c>
      <c r="N206" s="41">
        <v>4</v>
      </c>
      <c r="O206" s="110" t="s">
        <v>662</v>
      </c>
      <c r="P206" s="109">
        <v>191704</v>
      </c>
      <c r="Q206" s="107"/>
      <c r="R206" s="111"/>
      <c r="S206" s="110" t="s">
        <v>1188</v>
      </c>
      <c r="T206"/>
      <c r="U206"/>
      <c r="V206"/>
    </row>
    <row r="207" spans="1:22" x14ac:dyDescent="0.3">
      <c r="A207" s="105">
        <v>206</v>
      </c>
      <c r="B207" s="41">
        <v>12000000</v>
      </c>
      <c r="C207" s="41">
        <v>4.4999999999999997E-3</v>
      </c>
      <c r="D207" s="41">
        <v>10.374700000000001</v>
      </c>
      <c r="E207" s="41">
        <v>30</v>
      </c>
      <c r="F207" s="41">
        <v>0</v>
      </c>
      <c r="G207" s="41" t="s">
        <v>104</v>
      </c>
      <c r="H207" s="41">
        <v>1</v>
      </c>
      <c r="I207" s="41">
        <v>1</v>
      </c>
      <c r="J207" s="108">
        <f>POWER(POWER(Table2[[#This Row],[mv]],4)/10,0.25)</f>
        <v>2.5305359633565699E-3</v>
      </c>
      <c r="K207" s="41">
        <v>0</v>
      </c>
      <c r="L207" s="41">
        <v>55</v>
      </c>
      <c r="M207" s="41">
        <v>-1</v>
      </c>
      <c r="N207" s="41">
        <v>4</v>
      </c>
      <c r="O207" s="110" t="s">
        <v>663</v>
      </c>
      <c r="P207" s="109">
        <v>191707</v>
      </c>
      <c r="Q207" s="107"/>
      <c r="R207" s="111"/>
      <c r="S207" s="110" t="s">
        <v>1188</v>
      </c>
      <c r="T207"/>
      <c r="U207"/>
      <c r="V207"/>
    </row>
    <row r="208" spans="1:22" x14ac:dyDescent="0.3">
      <c r="A208" s="105">
        <v>207</v>
      </c>
      <c r="B208" s="41">
        <v>12000000</v>
      </c>
      <c r="C208" s="41">
        <v>4.4999999999999997E-3</v>
      </c>
      <c r="D208" s="41">
        <v>11.313700000000001</v>
      </c>
      <c r="E208" s="41">
        <v>30</v>
      </c>
      <c r="F208" s="41">
        <v>0</v>
      </c>
      <c r="G208" s="41" t="s">
        <v>104</v>
      </c>
      <c r="H208" s="41">
        <v>1</v>
      </c>
      <c r="I208" s="41">
        <v>1</v>
      </c>
      <c r="J208" s="108">
        <f>POWER(POWER(Table2[[#This Row],[mv]],4)/10,0.25)</f>
        <v>2.5305359633565699E-3</v>
      </c>
      <c r="K208" s="41">
        <v>0</v>
      </c>
      <c r="L208" s="41">
        <v>55</v>
      </c>
      <c r="M208" s="41">
        <v>-1</v>
      </c>
      <c r="N208" s="41">
        <v>4</v>
      </c>
      <c r="O208" s="110" t="s">
        <v>664</v>
      </c>
      <c r="P208" s="109">
        <v>191707</v>
      </c>
      <c r="Q208" s="107"/>
      <c r="R208" s="111"/>
      <c r="S208" s="110" t="s">
        <v>1188</v>
      </c>
      <c r="T208"/>
      <c r="U208"/>
      <c r="V208"/>
    </row>
    <row r="209" spans="1:22" x14ac:dyDescent="0.3">
      <c r="A209" s="105">
        <v>208</v>
      </c>
      <c r="B209" s="41">
        <v>12000000</v>
      </c>
      <c r="C209" s="41">
        <v>4.4999999999999997E-3</v>
      </c>
      <c r="D209" s="41">
        <v>12.3377</v>
      </c>
      <c r="E209" s="41">
        <v>30</v>
      </c>
      <c r="F209" s="41">
        <v>0</v>
      </c>
      <c r="G209" s="41" t="s">
        <v>104</v>
      </c>
      <c r="H209" s="41">
        <v>1</v>
      </c>
      <c r="I209" s="41">
        <v>1</v>
      </c>
      <c r="J209" s="108">
        <f>POWER(POWER(Table2[[#This Row],[mv]],4)/10,0.25)</f>
        <v>2.5305359633565699E-3</v>
      </c>
      <c r="K209" s="41">
        <v>0</v>
      </c>
      <c r="L209" s="41">
        <v>55</v>
      </c>
      <c r="M209" s="41">
        <v>-1</v>
      </c>
      <c r="N209" s="41">
        <v>4</v>
      </c>
      <c r="O209" s="110" t="s">
        <v>665</v>
      </c>
      <c r="P209" s="109">
        <v>191707</v>
      </c>
      <c r="Q209" s="107"/>
      <c r="R209" s="111"/>
      <c r="S209" s="110" t="s">
        <v>1188</v>
      </c>
      <c r="T209"/>
      <c r="U209"/>
      <c r="V209"/>
    </row>
    <row r="210" spans="1:22" x14ac:dyDescent="0.3">
      <c r="A210" s="105">
        <v>209</v>
      </c>
      <c r="B210" s="41">
        <v>12000000</v>
      </c>
      <c r="C210" s="41">
        <v>4.4999999999999997E-3</v>
      </c>
      <c r="D210" s="41">
        <v>13.4543</v>
      </c>
      <c r="E210" s="41">
        <v>30</v>
      </c>
      <c r="F210" s="41">
        <v>0</v>
      </c>
      <c r="G210" s="41" t="s">
        <v>104</v>
      </c>
      <c r="H210" s="41">
        <v>1</v>
      </c>
      <c r="I210" s="41">
        <v>1</v>
      </c>
      <c r="J210" s="108">
        <f>POWER(POWER(Table2[[#This Row],[mv]],4)/10,0.25)</f>
        <v>2.5305359633565699E-3</v>
      </c>
      <c r="K210" s="41">
        <v>0</v>
      </c>
      <c r="L210" s="41">
        <v>55</v>
      </c>
      <c r="M210" s="41">
        <v>-1</v>
      </c>
      <c r="N210" s="41">
        <v>4</v>
      </c>
      <c r="O210" s="110" t="s">
        <v>666</v>
      </c>
      <c r="P210" s="109">
        <v>191707</v>
      </c>
      <c r="Q210" s="107"/>
      <c r="R210" s="111"/>
      <c r="S210" s="110" t="s">
        <v>1188</v>
      </c>
      <c r="T210"/>
      <c r="U210"/>
      <c r="V210"/>
    </row>
    <row r="211" spans="1:22" x14ac:dyDescent="0.3">
      <c r="A211" s="105">
        <v>210</v>
      </c>
      <c r="B211" s="41">
        <v>12000000</v>
      </c>
      <c r="C211" s="41">
        <v>4.4999999999999997E-3</v>
      </c>
      <c r="D211" s="41">
        <v>14.6721</v>
      </c>
      <c r="E211" s="41">
        <v>30</v>
      </c>
      <c r="F211" s="41">
        <v>0</v>
      </c>
      <c r="G211" s="41" t="s">
        <v>104</v>
      </c>
      <c r="H211" s="41">
        <v>1</v>
      </c>
      <c r="I211" s="41">
        <v>1</v>
      </c>
      <c r="J211" s="108">
        <f>POWER(POWER(Table2[[#This Row],[mv]],4)/10,0.25)</f>
        <v>2.5305359633565699E-3</v>
      </c>
      <c r="K211" s="41">
        <v>0</v>
      </c>
      <c r="L211" s="41">
        <v>55</v>
      </c>
      <c r="M211" s="41">
        <v>-1</v>
      </c>
      <c r="N211" s="41">
        <v>4</v>
      </c>
      <c r="O211" s="110" t="s">
        <v>667</v>
      </c>
      <c r="P211" s="109">
        <v>191707</v>
      </c>
      <c r="Q211" s="107"/>
      <c r="R211" s="111"/>
      <c r="S211" s="110" t="s">
        <v>1188</v>
      </c>
      <c r="T211"/>
      <c r="U211"/>
      <c r="V211"/>
    </row>
    <row r="212" spans="1:22" x14ac:dyDescent="0.3">
      <c r="A212" s="105">
        <v>211</v>
      </c>
      <c r="B212" s="41">
        <v>12000000</v>
      </c>
      <c r="C212" s="41">
        <v>4.4999999999999997E-3</v>
      </c>
      <c r="D212" s="41">
        <v>16</v>
      </c>
      <c r="E212" s="41">
        <v>30</v>
      </c>
      <c r="F212" s="41">
        <v>0</v>
      </c>
      <c r="G212" s="41" t="s">
        <v>104</v>
      </c>
      <c r="H212" s="41">
        <v>1</v>
      </c>
      <c r="I212" s="41">
        <v>1</v>
      </c>
      <c r="J212" s="108">
        <f>POWER(POWER(Table2[[#This Row],[mv]],4)/10,0.25)</f>
        <v>2.5305359633565699E-3</v>
      </c>
      <c r="K212" s="41">
        <v>0</v>
      </c>
      <c r="L212" s="41">
        <v>55</v>
      </c>
      <c r="M212" s="41">
        <v>-1</v>
      </c>
      <c r="N212" s="41">
        <v>4</v>
      </c>
      <c r="O212" s="110" t="s">
        <v>668</v>
      </c>
      <c r="P212" s="109">
        <v>191707</v>
      </c>
      <c r="Q212" s="107"/>
      <c r="R212" s="111"/>
      <c r="S212" s="110" t="s">
        <v>1188</v>
      </c>
      <c r="T212"/>
      <c r="U212"/>
      <c r="V212"/>
    </row>
    <row r="213" spans="1:22" x14ac:dyDescent="0.3">
      <c r="A213" s="105">
        <v>212</v>
      </c>
      <c r="B213" s="41">
        <v>12000000</v>
      </c>
      <c r="C213" s="41">
        <v>4.4999999999999997E-3</v>
      </c>
      <c r="D213" s="41">
        <v>17.4481</v>
      </c>
      <c r="E213" s="41">
        <v>30</v>
      </c>
      <c r="F213" s="41">
        <v>0</v>
      </c>
      <c r="G213" s="41" t="s">
        <v>104</v>
      </c>
      <c r="H213" s="41">
        <v>1</v>
      </c>
      <c r="I213" s="41">
        <v>1</v>
      </c>
      <c r="J213" s="108">
        <f>POWER(POWER(Table2[[#This Row],[mv]],4)/10,0.25)</f>
        <v>2.5305359633565699E-3</v>
      </c>
      <c r="K213" s="41">
        <v>0</v>
      </c>
      <c r="L213" s="41">
        <v>55</v>
      </c>
      <c r="M213" s="41">
        <v>-1</v>
      </c>
      <c r="N213" s="41">
        <v>4</v>
      </c>
      <c r="O213" s="110" t="s">
        <v>669</v>
      </c>
      <c r="P213" s="109">
        <v>191707</v>
      </c>
      <c r="Q213" s="107"/>
      <c r="R213" s="111"/>
      <c r="S213" s="110" t="s">
        <v>1188</v>
      </c>
      <c r="T213"/>
      <c r="U213"/>
      <c r="V213"/>
    </row>
    <row r="214" spans="1:22" x14ac:dyDescent="0.3">
      <c r="A214" s="105">
        <v>213</v>
      </c>
      <c r="B214" s="41">
        <v>12000000</v>
      </c>
      <c r="C214" s="41">
        <v>4.4999999999999997E-3</v>
      </c>
      <c r="D214" s="41">
        <v>19.0273</v>
      </c>
      <c r="E214" s="41">
        <v>30</v>
      </c>
      <c r="F214" s="41">
        <v>0</v>
      </c>
      <c r="G214" s="41" t="s">
        <v>104</v>
      </c>
      <c r="H214" s="41">
        <v>1</v>
      </c>
      <c r="I214" s="41">
        <v>1</v>
      </c>
      <c r="J214" s="108">
        <f>POWER(POWER(Table2[[#This Row],[mv]],4)/10,0.25)</f>
        <v>2.5305359633565699E-3</v>
      </c>
      <c r="K214" s="41">
        <v>0</v>
      </c>
      <c r="L214" s="41">
        <v>55</v>
      </c>
      <c r="M214" s="41">
        <v>-1</v>
      </c>
      <c r="N214" s="41">
        <v>4</v>
      </c>
      <c r="O214" s="110" t="s">
        <v>670</v>
      </c>
      <c r="P214" s="109">
        <v>191707</v>
      </c>
      <c r="Q214" s="107"/>
      <c r="R214" s="111"/>
      <c r="S214" s="110" t="s">
        <v>1188</v>
      </c>
      <c r="T214"/>
      <c r="U214"/>
      <c r="V214"/>
    </row>
    <row r="215" spans="1:22" x14ac:dyDescent="0.3">
      <c r="A215" s="105">
        <v>214</v>
      </c>
      <c r="B215" s="41">
        <v>12000000</v>
      </c>
      <c r="C215" s="41">
        <v>4.8999999999999998E-3</v>
      </c>
      <c r="D215" s="41">
        <v>8</v>
      </c>
      <c r="E215" s="41">
        <v>30</v>
      </c>
      <c r="F215" s="41">
        <v>0</v>
      </c>
      <c r="G215" s="41" t="s">
        <v>104</v>
      </c>
      <c r="H215" s="41">
        <v>1</v>
      </c>
      <c r="I215" s="41">
        <v>1</v>
      </c>
      <c r="J215" s="108">
        <f>POWER(POWER(Table2[[#This Row],[mv]],4)/10,0.25)</f>
        <v>2.7554724934327106E-3</v>
      </c>
      <c r="K215" s="41">
        <v>0</v>
      </c>
      <c r="L215" s="41">
        <v>55</v>
      </c>
      <c r="M215" s="41">
        <v>-1</v>
      </c>
      <c r="N215" s="41">
        <v>4</v>
      </c>
      <c r="O215" s="110" t="s">
        <v>671</v>
      </c>
      <c r="P215" s="109">
        <v>191707</v>
      </c>
      <c r="Q215" s="107"/>
      <c r="R215" s="111"/>
      <c r="S215" s="110" t="s">
        <v>1188</v>
      </c>
      <c r="T215"/>
      <c r="U215"/>
      <c r="V215"/>
    </row>
    <row r="216" spans="1:22" x14ac:dyDescent="0.3">
      <c r="A216" s="105">
        <v>215</v>
      </c>
      <c r="B216" s="41">
        <v>12000000</v>
      </c>
      <c r="C216" s="41">
        <v>4.8999999999999998E-3</v>
      </c>
      <c r="D216" s="41">
        <v>8.7241</v>
      </c>
      <c r="E216" s="41">
        <v>30</v>
      </c>
      <c r="F216" s="41">
        <v>0</v>
      </c>
      <c r="G216" s="41" t="s">
        <v>104</v>
      </c>
      <c r="H216" s="41">
        <v>1</v>
      </c>
      <c r="I216" s="41">
        <v>1</v>
      </c>
      <c r="J216" s="108">
        <f>POWER(POWER(Table2[[#This Row],[mv]],4)/10,0.25)</f>
        <v>2.7554724934327106E-3</v>
      </c>
      <c r="K216" s="41">
        <v>0</v>
      </c>
      <c r="L216" s="41">
        <v>55</v>
      </c>
      <c r="M216" s="41">
        <v>-1</v>
      </c>
      <c r="N216" s="41">
        <v>4</v>
      </c>
      <c r="O216" s="110" t="s">
        <v>672</v>
      </c>
      <c r="P216" s="109">
        <v>191707</v>
      </c>
      <c r="Q216" s="107"/>
      <c r="R216" s="111"/>
      <c r="S216" s="110" t="s">
        <v>1188</v>
      </c>
      <c r="T216"/>
      <c r="U216"/>
      <c r="V216"/>
    </row>
    <row r="217" spans="1:22" x14ac:dyDescent="0.3">
      <c r="A217" s="105">
        <v>216</v>
      </c>
      <c r="B217" s="41">
        <v>12000000</v>
      </c>
      <c r="C217" s="41">
        <v>4.8999999999999998E-3</v>
      </c>
      <c r="D217" s="41">
        <v>9.5137</v>
      </c>
      <c r="E217" s="41">
        <v>30</v>
      </c>
      <c r="F217" s="41">
        <v>0</v>
      </c>
      <c r="G217" s="41" t="s">
        <v>104</v>
      </c>
      <c r="H217" s="41">
        <v>1</v>
      </c>
      <c r="I217" s="41">
        <v>1</v>
      </c>
      <c r="J217" s="108">
        <f>POWER(POWER(Table2[[#This Row],[mv]],4)/10,0.25)</f>
        <v>2.7554724934327106E-3</v>
      </c>
      <c r="K217" s="41">
        <v>0</v>
      </c>
      <c r="L217" s="41">
        <v>55</v>
      </c>
      <c r="M217" s="41">
        <v>-1</v>
      </c>
      <c r="N217" s="41">
        <v>4</v>
      </c>
      <c r="O217" s="110" t="s">
        <v>673</v>
      </c>
      <c r="P217" s="109">
        <v>191707</v>
      </c>
      <c r="Q217" s="107"/>
      <c r="R217" s="111"/>
      <c r="S217" s="110" t="s">
        <v>1188</v>
      </c>
      <c r="T217"/>
      <c r="U217"/>
      <c r="V217"/>
    </row>
    <row r="218" spans="1:22" x14ac:dyDescent="0.3">
      <c r="A218" s="105">
        <v>217</v>
      </c>
      <c r="B218" s="41">
        <v>12000000</v>
      </c>
      <c r="C218" s="41">
        <v>4.8999999999999998E-3</v>
      </c>
      <c r="D218" s="41">
        <v>10.374700000000001</v>
      </c>
      <c r="E218" s="41">
        <v>30</v>
      </c>
      <c r="F218" s="41">
        <v>0</v>
      </c>
      <c r="G218" s="41" t="s">
        <v>104</v>
      </c>
      <c r="H218" s="41">
        <v>1</v>
      </c>
      <c r="I218" s="41">
        <v>1</v>
      </c>
      <c r="J218" s="108">
        <f>POWER(POWER(Table2[[#This Row],[mv]],4)/10,0.25)</f>
        <v>2.7554724934327106E-3</v>
      </c>
      <c r="K218" s="41">
        <v>0</v>
      </c>
      <c r="L218" s="41">
        <v>55</v>
      </c>
      <c r="M218" s="41">
        <v>-1</v>
      </c>
      <c r="N218" s="41">
        <v>4</v>
      </c>
      <c r="O218" s="110" t="s">
        <v>674</v>
      </c>
      <c r="P218" s="109">
        <v>191707</v>
      </c>
      <c r="Q218" s="107"/>
      <c r="R218" s="111"/>
      <c r="S218" s="110" t="s">
        <v>1188</v>
      </c>
      <c r="T218"/>
      <c r="U218"/>
      <c r="V218"/>
    </row>
    <row r="219" spans="1:22" x14ac:dyDescent="0.3">
      <c r="A219" s="105">
        <v>218</v>
      </c>
      <c r="B219" s="41">
        <v>12000000</v>
      </c>
      <c r="C219" s="41">
        <v>4.8999999999999998E-3</v>
      </c>
      <c r="D219" s="41">
        <v>11.313700000000001</v>
      </c>
      <c r="E219" s="41">
        <v>30</v>
      </c>
      <c r="F219" s="41">
        <v>0</v>
      </c>
      <c r="G219" s="41" t="s">
        <v>104</v>
      </c>
      <c r="H219" s="41">
        <v>1</v>
      </c>
      <c r="I219" s="41">
        <v>1</v>
      </c>
      <c r="J219" s="108">
        <f>POWER(POWER(Table2[[#This Row],[mv]],4)/10,0.25)</f>
        <v>2.7554724934327106E-3</v>
      </c>
      <c r="K219" s="41">
        <v>0</v>
      </c>
      <c r="L219" s="41">
        <v>55</v>
      </c>
      <c r="M219" s="41">
        <v>-1</v>
      </c>
      <c r="N219" s="41">
        <v>4</v>
      </c>
      <c r="O219" s="110" t="s">
        <v>675</v>
      </c>
      <c r="P219" s="109">
        <v>191707</v>
      </c>
      <c r="Q219" s="107"/>
      <c r="R219" s="111"/>
      <c r="S219" s="110" t="s">
        <v>1188</v>
      </c>
      <c r="T219"/>
      <c r="U219"/>
      <c r="V219"/>
    </row>
    <row r="220" spans="1:22" x14ac:dyDescent="0.3">
      <c r="A220" s="105">
        <v>219</v>
      </c>
      <c r="B220" s="41">
        <v>12000000</v>
      </c>
      <c r="C220" s="41">
        <v>4.8999999999999998E-3</v>
      </c>
      <c r="D220" s="41">
        <v>12.3377</v>
      </c>
      <c r="E220" s="41">
        <v>30</v>
      </c>
      <c r="F220" s="41">
        <v>0</v>
      </c>
      <c r="G220" s="41" t="s">
        <v>104</v>
      </c>
      <c r="H220" s="41">
        <v>1</v>
      </c>
      <c r="I220" s="41">
        <v>1</v>
      </c>
      <c r="J220" s="108">
        <f>POWER(POWER(Table2[[#This Row],[mv]],4)/10,0.25)</f>
        <v>2.7554724934327106E-3</v>
      </c>
      <c r="K220" s="41">
        <v>0</v>
      </c>
      <c r="L220" s="41">
        <v>55</v>
      </c>
      <c r="M220" s="41">
        <v>-1</v>
      </c>
      <c r="N220" s="41">
        <v>4</v>
      </c>
      <c r="O220" s="110" t="s">
        <v>676</v>
      </c>
      <c r="P220" s="109">
        <v>191707</v>
      </c>
      <c r="Q220" s="107"/>
      <c r="R220" s="111"/>
      <c r="S220" s="110" t="s">
        <v>1188</v>
      </c>
      <c r="T220"/>
      <c r="U220"/>
      <c r="V220"/>
    </row>
    <row r="221" spans="1:22" x14ac:dyDescent="0.3">
      <c r="A221" s="105">
        <v>220</v>
      </c>
      <c r="B221" s="41">
        <v>12000000</v>
      </c>
      <c r="C221" s="41">
        <v>4.8999999999999998E-3</v>
      </c>
      <c r="D221" s="41">
        <v>13.4543</v>
      </c>
      <c r="E221" s="41">
        <v>30</v>
      </c>
      <c r="F221" s="41">
        <v>0</v>
      </c>
      <c r="G221" s="41" t="s">
        <v>104</v>
      </c>
      <c r="H221" s="41">
        <v>1</v>
      </c>
      <c r="I221" s="41">
        <v>1</v>
      </c>
      <c r="J221" s="108">
        <f>POWER(POWER(Table2[[#This Row],[mv]],4)/10,0.25)</f>
        <v>2.7554724934327106E-3</v>
      </c>
      <c r="K221" s="41">
        <v>0</v>
      </c>
      <c r="L221" s="41">
        <v>55</v>
      </c>
      <c r="M221" s="41">
        <v>-1</v>
      </c>
      <c r="N221" s="41">
        <v>4</v>
      </c>
      <c r="O221" s="110" t="s">
        <v>677</v>
      </c>
      <c r="P221" s="109">
        <v>191710</v>
      </c>
      <c r="Q221" s="107"/>
      <c r="R221" s="111"/>
      <c r="S221" s="110" t="s">
        <v>1188</v>
      </c>
      <c r="T221"/>
      <c r="U221"/>
      <c r="V221"/>
    </row>
    <row r="222" spans="1:22" x14ac:dyDescent="0.3">
      <c r="A222" s="105">
        <v>221</v>
      </c>
      <c r="B222" s="41">
        <v>12000000</v>
      </c>
      <c r="C222" s="41">
        <v>4.8999999999999998E-3</v>
      </c>
      <c r="D222" s="41">
        <v>14.6721</v>
      </c>
      <c r="E222" s="41">
        <v>30</v>
      </c>
      <c r="F222" s="41">
        <v>0</v>
      </c>
      <c r="G222" s="41" t="s">
        <v>104</v>
      </c>
      <c r="H222" s="41">
        <v>1</v>
      </c>
      <c r="I222" s="41">
        <v>1</v>
      </c>
      <c r="J222" s="108">
        <f>POWER(POWER(Table2[[#This Row],[mv]],4)/10,0.25)</f>
        <v>2.7554724934327106E-3</v>
      </c>
      <c r="K222" s="41">
        <v>0</v>
      </c>
      <c r="L222" s="41">
        <v>55</v>
      </c>
      <c r="M222" s="41">
        <v>-1</v>
      </c>
      <c r="N222" s="41">
        <v>4</v>
      </c>
      <c r="O222" s="110" t="s">
        <v>678</v>
      </c>
      <c r="P222" s="109">
        <v>191710</v>
      </c>
      <c r="Q222" s="107"/>
      <c r="R222" s="111"/>
      <c r="S222" s="110" t="s">
        <v>1188</v>
      </c>
      <c r="T222"/>
      <c r="U222"/>
      <c r="V222"/>
    </row>
    <row r="223" spans="1:22" x14ac:dyDescent="0.3">
      <c r="A223" s="105">
        <v>222</v>
      </c>
      <c r="B223" s="41">
        <v>12000000</v>
      </c>
      <c r="C223" s="41">
        <v>4.8999999999999998E-3</v>
      </c>
      <c r="D223" s="41">
        <v>16</v>
      </c>
      <c r="E223" s="41">
        <v>30</v>
      </c>
      <c r="F223" s="41">
        <v>0</v>
      </c>
      <c r="G223" s="41" t="s">
        <v>104</v>
      </c>
      <c r="H223" s="41">
        <v>1</v>
      </c>
      <c r="I223" s="41">
        <v>1</v>
      </c>
      <c r="J223" s="108">
        <f>POWER(POWER(Table2[[#This Row],[mv]],4)/10,0.25)</f>
        <v>2.7554724934327106E-3</v>
      </c>
      <c r="K223" s="41">
        <v>0</v>
      </c>
      <c r="L223" s="41">
        <v>55</v>
      </c>
      <c r="M223" s="41">
        <v>-1</v>
      </c>
      <c r="N223" s="41">
        <v>4</v>
      </c>
      <c r="O223" s="110" t="s">
        <v>679</v>
      </c>
      <c r="P223" s="109">
        <v>191710</v>
      </c>
      <c r="Q223" s="107"/>
      <c r="R223" s="111"/>
      <c r="S223" s="110" t="s">
        <v>1188</v>
      </c>
      <c r="T223"/>
      <c r="U223"/>
      <c r="V223"/>
    </row>
    <row r="224" spans="1:22" x14ac:dyDescent="0.3">
      <c r="A224" s="105">
        <v>223</v>
      </c>
      <c r="B224" s="41">
        <v>12000000</v>
      </c>
      <c r="C224" s="41">
        <v>4.8999999999999998E-3</v>
      </c>
      <c r="D224" s="41">
        <v>17.4481</v>
      </c>
      <c r="E224" s="41">
        <v>30</v>
      </c>
      <c r="F224" s="41">
        <v>0</v>
      </c>
      <c r="G224" s="41" t="s">
        <v>104</v>
      </c>
      <c r="H224" s="41">
        <v>1</v>
      </c>
      <c r="I224" s="41">
        <v>1</v>
      </c>
      <c r="J224" s="108">
        <f>POWER(POWER(Table2[[#This Row],[mv]],4)/10,0.25)</f>
        <v>2.7554724934327106E-3</v>
      </c>
      <c r="K224" s="41">
        <v>0</v>
      </c>
      <c r="L224" s="41">
        <v>55</v>
      </c>
      <c r="M224" s="41">
        <v>-1</v>
      </c>
      <c r="N224" s="41">
        <v>4</v>
      </c>
      <c r="O224" s="110" t="s">
        <v>680</v>
      </c>
      <c r="P224" s="109">
        <v>191710</v>
      </c>
      <c r="Q224" s="107"/>
      <c r="R224" s="111"/>
      <c r="S224" s="110" t="s">
        <v>1188</v>
      </c>
      <c r="T224"/>
      <c r="U224"/>
      <c r="V224"/>
    </row>
    <row r="225" spans="1:22" x14ac:dyDescent="0.3">
      <c r="A225" s="105">
        <v>224</v>
      </c>
      <c r="B225" s="41">
        <v>12000000</v>
      </c>
      <c r="C225" s="41">
        <v>4.8999999999999998E-3</v>
      </c>
      <c r="D225" s="41">
        <v>19.0273</v>
      </c>
      <c r="E225" s="41">
        <v>30</v>
      </c>
      <c r="F225" s="41">
        <v>0</v>
      </c>
      <c r="G225" s="41" t="s">
        <v>104</v>
      </c>
      <c r="H225" s="41">
        <v>1</v>
      </c>
      <c r="I225" s="41">
        <v>1</v>
      </c>
      <c r="J225" s="108">
        <f>POWER(POWER(Table2[[#This Row],[mv]],4)/10,0.25)</f>
        <v>2.7554724934327106E-3</v>
      </c>
      <c r="K225" s="41">
        <v>0</v>
      </c>
      <c r="L225" s="41">
        <v>55</v>
      </c>
      <c r="M225" s="41">
        <v>-1</v>
      </c>
      <c r="N225" s="41">
        <v>4</v>
      </c>
      <c r="O225" s="110" t="s">
        <v>681</v>
      </c>
      <c r="P225" s="109">
        <v>191710</v>
      </c>
      <c r="Q225" s="107"/>
      <c r="R225" s="111"/>
      <c r="S225" s="110" t="s">
        <v>1188</v>
      </c>
      <c r="T225"/>
      <c r="U225"/>
      <c r="V225"/>
    </row>
    <row r="226" spans="1:22" x14ac:dyDescent="0.3">
      <c r="A226" s="105">
        <v>225</v>
      </c>
      <c r="B226" s="41">
        <v>12000000</v>
      </c>
      <c r="C226" s="41">
        <v>5.4000000000000003E-3</v>
      </c>
      <c r="D226" s="41">
        <v>9.5137</v>
      </c>
      <c r="E226" s="41">
        <v>30</v>
      </c>
      <c r="F226" s="41">
        <v>0</v>
      </c>
      <c r="G226" s="41" t="s">
        <v>104</v>
      </c>
      <c r="H226" s="41">
        <v>1</v>
      </c>
      <c r="I226" s="41">
        <v>1</v>
      </c>
      <c r="J226" s="108">
        <f>POWER(POWER(Table2[[#This Row],[mv]],4)/10,0.25)</f>
        <v>3.0366431560278845E-3</v>
      </c>
      <c r="K226" s="41">
        <v>0</v>
      </c>
      <c r="L226" s="41">
        <v>55</v>
      </c>
      <c r="M226" s="41">
        <v>-1</v>
      </c>
      <c r="N226" s="41">
        <v>4</v>
      </c>
      <c r="O226" s="110" t="s">
        <v>682</v>
      </c>
      <c r="P226" s="109">
        <v>191710</v>
      </c>
      <c r="Q226" s="107"/>
      <c r="R226" s="111"/>
      <c r="S226" s="110" t="s">
        <v>1188</v>
      </c>
      <c r="T226"/>
      <c r="U226"/>
      <c r="V226"/>
    </row>
    <row r="227" spans="1:22" x14ac:dyDescent="0.3">
      <c r="A227" s="105">
        <v>226</v>
      </c>
      <c r="B227" s="41">
        <v>12000000</v>
      </c>
      <c r="C227" s="41">
        <v>5.4000000000000003E-3</v>
      </c>
      <c r="D227" s="41">
        <v>10.374700000000001</v>
      </c>
      <c r="E227" s="41">
        <v>30</v>
      </c>
      <c r="F227" s="41">
        <v>0</v>
      </c>
      <c r="G227" s="41" t="s">
        <v>104</v>
      </c>
      <c r="H227" s="41">
        <v>1</v>
      </c>
      <c r="I227" s="41">
        <v>1</v>
      </c>
      <c r="J227" s="108">
        <f>POWER(POWER(Table2[[#This Row],[mv]],4)/10,0.25)</f>
        <v>3.0366431560278845E-3</v>
      </c>
      <c r="K227" s="41">
        <v>0</v>
      </c>
      <c r="L227" s="41">
        <v>55</v>
      </c>
      <c r="M227" s="41">
        <v>-1</v>
      </c>
      <c r="N227" s="41">
        <v>4</v>
      </c>
      <c r="O227" s="110" t="s">
        <v>683</v>
      </c>
      <c r="P227" s="109">
        <v>191710</v>
      </c>
      <c r="Q227" s="107"/>
      <c r="R227" s="111"/>
      <c r="S227" s="110" t="s">
        <v>1188</v>
      </c>
      <c r="T227"/>
      <c r="U227"/>
      <c r="V227"/>
    </row>
    <row r="228" spans="1:22" x14ac:dyDescent="0.3">
      <c r="A228" s="105">
        <v>227</v>
      </c>
      <c r="B228" s="41">
        <v>12000000</v>
      </c>
      <c r="C228" s="41">
        <v>5.4000000000000003E-3</v>
      </c>
      <c r="D228" s="41">
        <v>11.313700000000001</v>
      </c>
      <c r="E228" s="41">
        <v>30</v>
      </c>
      <c r="F228" s="41">
        <v>0</v>
      </c>
      <c r="G228" s="41" t="s">
        <v>104</v>
      </c>
      <c r="H228" s="41">
        <v>1</v>
      </c>
      <c r="I228" s="41">
        <v>1</v>
      </c>
      <c r="J228" s="108">
        <f>POWER(POWER(Table2[[#This Row],[mv]],4)/10,0.25)</f>
        <v>3.0366431560278845E-3</v>
      </c>
      <c r="K228" s="41">
        <v>0</v>
      </c>
      <c r="L228" s="41">
        <v>55</v>
      </c>
      <c r="M228" s="41">
        <v>-1</v>
      </c>
      <c r="N228" s="41">
        <v>4</v>
      </c>
      <c r="O228" s="110" t="s">
        <v>684</v>
      </c>
      <c r="P228" s="109">
        <v>191710</v>
      </c>
      <c r="Q228" s="107"/>
      <c r="R228" s="111"/>
      <c r="S228" s="110" t="s">
        <v>1188</v>
      </c>
      <c r="T228"/>
      <c r="U228"/>
      <c r="V228"/>
    </row>
    <row r="229" spans="1:22" x14ac:dyDescent="0.3">
      <c r="A229" s="105">
        <v>228</v>
      </c>
      <c r="B229" s="41">
        <v>12000000</v>
      </c>
      <c r="C229" s="41">
        <v>5.4000000000000003E-3</v>
      </c>
      <c r="D229" s="41">
        <v>12.3377</v>
      </c>
      <c r="E229" s="41">
        <v>30</v>
      </c>
      <c r="F229" s="41">
        <v>0</v>
      </c>
      <c r="G229" s="41" t="s">
        <v>104</v>
      </c>
      <c r="H229" s="41">
        <v>1</v>
      </c>
      <c r="I229" s="41">
        <v>1</v>
      </c>
      <c r="J229" s="108">
        <f>POWER(POWER(Table2[[#This Row],[mv]],4)/10,0.25)</f>
        <v>3.0366431560278845E-3</v>
      </c>
      <c r="K229" s="41">
        <v>0</v>
      </c>
      <c r="L229" s="41">
        <v>55</v>
      </c>
      <c r="M229" s="41">
        <v>-1</v>
      </c>
      <c r="N229" s="41">
        <v>4</v>
      </c>
      <c r="O229" s="110" t="s">
        <v>685</v>
      </c>
      <c r="P229" s="109">
        <v>191710</v>
      </c>
      <c r="Q229" s="107"/>
      <c r="R229" s="111"/>
      <c r="S229" s="110" t="s">
        <v>1188</v>
      </c>
      <c r="T229"/>
      <c r="U229"/>
      <c r="V229"/>
    </row>
    <row r="230" spans="1:22" x14ac:dyDescent="0.3">
      <c r="A230" s="105">
        <v>229</v>
      </c>
      <c r="B230" s="41">
        <v>12000000</v>
      </c>
      <c r="C230" s="41">
        <v>5.4000000000000003E-3</v>
      </c>
      <c r="D230" s="41">
        <v>13.4543</v>
      </c>
      <c r="E230" s="41">
        <v>30</v>
      </c>
      <c r="F230" s="41">
        <v>0</v>
      </c>
      <c r="G230" s="41" t="s">
        <v>104</v>
      </c>
      <c r="H230" s="41">
        <v>1</v>
      </c>
      <c r="I230" s="41">
        <v>1</v>
      </c>
      <c r="J230" s="108">
        <f>POWER(POWER(Table2[[#This Row],[mv]],4)/10,0.25)</f>
        <v>3.0366431560278845E-3</v>
      </c>
      <c r="K230" s="41">
        <v>0</v>
      </c>
      <c r="L230" s="41">
        <v>55</v>
      </c>
      <c r="M230" s="41">
        <v>-1</v>
      </c>
      <c r="N230" s="41">
        <v>4</v>
      </c>
      <c r="O230" s="110" t="s">
        <v>686</v>
      </c>
      <c r="P230" s="109">
        <v>191710</v>
      </c>
      <c r="Q230" s="107"/>
      <c r="R230" s="111"/>
      <c r="S230" s="110" t="s">
        <v>1188</v>
      </c>
      <c r="T230"/>
      <c r="U230"/>
      <c r="V230"/>
    </row>
    <row r="231" spans="1:22" x14ac:dyDescent="0.3">
      <c r="A231" s="105">
        <v>230</v>
      </c>
      <c r="B231" s="41">
        <v>12000000</v>
      </c>
      <c r="C231" s="41">
        <v>5.4000000000000003E-3</v>
      </c>
      <c r="D231" s="41">
        <v>14.6721</v>
      </c>
      <c r="E231" s="41">
        <v>30</v>
      </c>
      <c r="F231" s="41">
        <v>0</v>
      </c>
      <c r="G231" s="41" t="s">
        <v>104</v>
      </c>
      <c r="H231" s="41">
        <v>1</v>
      </c>
      <c r="I231" s="41">
        <v>1</v>
      </c>
      <c r="J231" s="108">
        <f>POWER(POWER(Table2[[#This Row],[mv]],4)/10,0.25)</f>
        <v>3.0366431560278845E-3</v>
      </c>
      <c r="K231" s="41">
        <v>0</v>
      </c>
      <c r="L231" s="41">
        <v>55</v>
      </c>
      <c r="M231" s="41">
        <v>-1</v>
      </c>
      <c r="N231" s="41">
        <v>4</v>
      </c>
      <c r="O231" s="110" t="s">
        <v>687</v>
      </c>
      <c r="P231" s="109">
        <v>191710</v>
      </c>
      <c r="Q231" s="107"/>
      <c r="R231" s="111"/>
      <c r="S231" s="110" t="s">
        <v>1188</v>
      </c>
      <c r="T231"/>
      <c r="U231"/>
      <c r="V231"/>
    </row>
    <row r="232" spans="1:22" x14ac:dyDescent="0.3">
      <c r="A232" s="105">
        <v>231</v>
      </c>
      <c r="B232" s="41">
        <v>12000000</v>
      </c>
      <c r="C232" s="41">
        <v>5.4000000000000003E-3</v>
      </c>
      <c r="D232" s="41">
        <v>16</v>
      </c>
      <c r="E232" s="41">
        <v>30</v>
      </c>
      <c r="F232" s="41">
        <v>0</v>
      </c>
      <c r="G232" s="41" t="s">
        <v>104</v>
      </c>
      <c r="H232" s="41">
        <v>1</v>
      </c>
      <c r="I232" s="41">
        <v>1</v>
      </c>
      <c r="J232" s="108">
        <f>POWER(POWER(Table2[[#This Row],[mv]],4)/10,0.25)</f>
        <v>3.0366431560278845E-3</v>
      </c>
      <c r="K232" s="41">
        <v>0</v>
      </c>
      <c r="L232" s="41">
        <v>55</v>
      </c>
      <c r="M232" s="41">
        <v>-1</v>
      </c>
      <c r="N232" s="41">
        <v>4</v>
      </c>
      <c r="O232" s="110" t="s">
        <v>688</v>
      </c>
      <c r="P232" s="109">
        <v>191710</v>
      </c>
      <c r="Q232" s="107"/>
      <c r="R232" s="111"/>
      <c r="S232" s="110" t="s">
        <v>1188</v>
      </c>
      <c r="T232"/>
      <c r="U232"/>
      <c r="V232"/>
    </row>
    <row r="233" spans="1:22" x14ac:dyDescent="0.3">
      <c r="A233" s="105">
        <v>232</v>
      </c>
      <c r="B233" s="41">
        <v>12000000</v>
      </c>
      <c r="C233" s="41">
        <v>5.4000000000000003E-3</v>
      </c>
      <c r="D233" s="41">
        <v>17.4481</v>
      </c>
      <c r="E233" s="41">
        <v>30</v>
      </c>
      <c r="F233" s="41">
        <v>0</v>
      </c>
      <c r="G233" s="41" t="s">
        <v>104</v>
      </c>
      <c r="H233" s="41">
        <v>1</v>
      </c>
      <c r="I233" s="41">
        <v>1</v>
      </c>
      <c r="J233" s="108">
        <f>POWER(POWER(Table2[[#This Row],[mv]],4)/10,0.25)</f>
        <v>3.0366431560278845E-3</v>
      </c>
      <c r="K233" s="41">
        <v>0</v>
      </c>
      <c r="L233" s="41">
        <v>55</v>
      </c>
      <c r="M233" s="41">
        <v>-1</v>
      </c>
      <c r="N233" s="41">
        <v>4</v>
      </c>
      <c r="O233" s="110" t="s">
        <v>689</v>
      </c>
      <c r="P233" s="109">
        <v>191710</v>
      </c>
      <c r="Q233" s="107"/>
      <c r="R233" s="111"/>
      <c r="S233" s="110" t="s">
        <v>1188</v>
      </c>
      <c r="T233"/>
      <c r="U233"/>
      <c r="V233"/>
    </row>
    <row r="234" spans="1:22" x14ac:dyDescent="0.3">
      <c r="A234" s="105">
        <v>233</v>
      </c>
      <c r="B234" s="41">
        <v>12000000</v>
      </c>
      <c r="C234" s="41">
        <v>5.4000000000000003E-3</v>
      </c>
      <c r="D234" s="41">
        <v>19.0273</v>
      </c>
      <c r="E234" s="41">
        <v>30</v>
      </c>
      <c r="F234" s="41">
        <v>0</v>
      </c>
      <c r="G234" s="41" t="s">
        <v>104</v>
      </c>
      <c r="H234" s="41">
        <v>1</v>
      </c>
      <c r="I234" s="41">
        <v>1</v>
      </c>
      <c r="J234" s="108">
        <f>POWER(POWER(Table2[[#This Row],[mv]],4)/10,0.25)</f>
        <v>3.0366431560278845E-3</v>
      </c>
      <c r="K234" s="41">
        <v>0</v>
      </c>
      <c r="L234" s="41">
        <v>55</v>
      </c>
      <c r="M234" s="41">
        <v>-1</v>
      </c>
      <c r="N234" s="41">
        <v>4</v>
      </c>
      <c r="O234" s="110" t="s">
        <v>690</v>
      </c>
      <c r="P234" s="109">
        <v>191897</v>
      </c>
      <c r="Q234" s="107"/>
      <c r="R234" s="111"/>
      <c r="S234" s="110" t="s">
        <v>1188</v>
      </c>
      <c r="T234"/>
      <c r="U234"/>
      <c r="V234"/>
    </row>
    <row r="235" spans="1:22" x14ac:dyDescent="0.3">
      <c r="A235" s="105">
        <v>234</v>
      </c>
      <c r="B235" s="41">
        <v>12000000</v>
      </c>
      <c r="C235" s="41">
        <v>5.8999999999999999E-3</v>
      </c>
      <c r="D235" s="41">
        <v>11.313700000000001</v>
      </c>
      <c r="E235" s="41">
        <v>30</v>
      </c>
      <c r="F235" s="41">
        <v>0</v>
      </c>
      <c r="G235" s="41" t="s">
        <v>104</v>
      </c>
      <c r="H235" s="41">
        <v>1</v>
      </c>
      <c r="I235" s="41">
        <v>1</v>
      </c>
      <c r="J235" s="108">
        <f>POWER(POWER(Table2[[#This Row],[mv]],4)/10,0.25)</f>
        <v>3.3178138186230597E-3</v>
      </c>
      <c r="K235" s="41">
        <v>0</v>
      </c>
      <c r="L235" s="41">
        <v>55</v>
      </c>
      <c r="M235" s="41">
        <v>-1</v>
      </c>
      <c r="N235" s="41">
        <v>4</v>
      </c>
      <c r="O235" s="110" t="s">
        <v>691</v>
      </c>
      <c r="P235" s="109">
        <v>191890</v>
      </c>
      <c r="Q235" s="107"/>
      <c r="R235" s="111"/>
      <c r="S235" s="110" t="s">
        <v>1188</v>
      </c>
      <c r="T235"/>
      <c r="U235"/>
      <c r="V235"/>
    </row>
    <row r="236" spans="1:22" x14ac:dyDescent="0.3">
      <c r="A236" s="105">
        <v>235</v>
      </c>
      <c r="B236" s="41">
        <v>12000000</v>
      </c>
      <c r="C236" s="41">
        <v>5.8999999999999999E-3</v>
      </c>
      <c r="D236" s="41">
        <v>12.3377</v>
      </c>
      <c r="E236" s="41">
        <v>30</v>
      </c>
      <c r="F236" s="41">
        <v>0</v>
      </c>
      <c r="G236" s="41" t="s">
        <v>104</v>
      </c>
      <c r="H236" s="41">
        <v>1</v>
      </c>
      <c r="I236" s="41">
        <v>1</v>
      </c>
      <c r="J236" s="108">
        <f>POWER(POWER(Table2[[#This Row],[mv]],4)/10,0.25)</f>
        <v>3.3178138186230597E-3</v>
      </c>
      <c r="K236" s="41">
        <v>0</v>
      </c>
      <c r="L236" s="41">
        <v>55</v>
      </c>
      <c r="M236" s="41">
        <v>-1</v>
      </c>
      <c r="N236" s="41">
        <v>4</v>
      </c>
      <c r="O236" s="110" t="s">
        <v>692</v>
      </c>
      <c r="P236" s="109">
        <v>191710</v>
      </c>
      <c r="Q236" s="107"/>
      <c r="R236" s="111"/>
      <c r="S236" s="110" t="s">
        <v>1188</v>
      </c>
      <c r="T236"/>
      <c r="U236"/>
      <c r="V236"/>
    </row>
    <row r="237" spans="1:22" x14ac:dyDescent="0.3">
      <c r="A237" s="105">
        <v>236</v>
      </c>
      <c r="B237" s="41">
        <v>12000000</v>
      </c>
      <c r="C237" s="41">
        <v>5.8999999999999999E-3</v>
      </c>
      <c r="D237" s="41">
        <v>13.4543</v>
      </c>
      <c r="E237" s="41">
        <v>30</v>
      </c>
      <c r="F237" s="41">
        <v>0</v>
      </c>
      <c r="G237" s="41" t="s">
        <v>104</v>
      </c>
      <c r="H237" s="41">
        <v>1</v>
      </c>
      <c r="I237" s="41">
        <v>1</v>
      </c>
      <c r="J237" s="108">
        <f>POWER(POWER(Table2[[#This Row],[mv]],4)/10,0.25)</f>
        <v>3.3178138186230597E-3</v>
      </c>
      <c r="K237" s="41">
        <v>0</v>
      </c>
      <c r="L237" s="41">
        <v>55</v>
      </c>
      <c r="M237" s="41">
        <v>-1</v>
      </c>
      <c r="N237" s="41">
        <v>4</v>
      </c>
      <c r="O237" s="110" t="s">
        <v>693</v>
      </c>
      <c r="P237" s="109">
        <v>191710</v>
      </c>
      <c r="Q237" s="107"/>
      <c r="R237" s="111"/>
      <c r="S237" s="110" t="s">
        <v>1188</v>
      </c>
      <c r="T237"/>
      <c r="U237"/>
      <c r="V237"/>
    </row>
    <row r="238" spans="1:22" x14ac:dyDescent="0.3">
      <c r="A238" s="105">
        <v>237</v>
      </c>
      <c r="B238" s="41">
        <v>12000000</v>
      </c>
      <c r="C238" s="41">
        <v>5.8999999999999999E-3</v>
      </c>
      <c r="D238" s="41">
        <v>14.6721</v>
      </c>
      <c r="E238" s="41">
        <v>30</v>
      </c>
      <c r="F238" s="41">
        <v>0</v>
      </c>
      <c r="G238" s="41" t="s">
        <v>104</v>
      </c>
      <c r="H238" s="41">
        <v>1</v>
      </c>
      <c r="I238" s="41">
        <v>1</v>
      </c>
      <c r="J238" s="108">
        <f>POWER(POWER(Table2[[#This Row],[mv]],4)/10,0.25)</f>
        <v>3.3178138186230597E-3</v>
      </c>
      <c r="K238" s="41">
        <v>0</v>
      </c>
      <c r="L238" s="41">
        <v>55</v>
      </c>
      <c r="M238" s="41">
        <v>-1</v>
      </c>
      <c r="N238" s="41">
        <v>4</v>
      </c>
      <c r="O238" s="110" t="s">
        <v>694</v>
      </c>
      <c r="P238" s="109">
        <v>191710</v>
      </c>
      <c r="Q238" s="107"/>
      <c r="R238" s="111"/>
      <c r="S238" s="110" t="s">
        <v>1188</v>
      </c>
      <c r="T238"/>
      <c r="U238"/>
      <c r="V238"/>
    </row>
    <row r="239" spans="1:22" x14ac:dyDescent="0.3">
      <c r="A239" s="105">
        <v>238</v>
      </c>
      <c r="B239" s="41">
        <v>12000000</v>
      </c>
      <c r="C239" s="41">
        <v>5.8999999999999999E-3</v>
      </c>
      <c r="D239" s="41">
        <v>16</v>
      </c>
      <c r="E239" s="41">
        <v>30</v>
      </c>
      <c r="F239" s="41">
        <v>0</v>
      </c>
      <c r="G239" s="41" t="s">
        <v>104</v>
      </c>
      <c r="H239" s="41">
        <v>1</v>
      </c>
      <c r="I239" s="41">
        <v>1</v>
      </c>
      <c r="J239" s="108">
        <f>POWER(POWER(Table2[[#This Row],[mv]],4)/10,0.25)</f>
        <v>3.3178138186230597E-3</v>
      </c>
      <c r="K239" s="41">
        <v>0</v>
      </c>
      <c r="L239" s="41">
        <v>55</v>
      </c>
      <c r="M239" s="41">
        <v>-1</v>
      </c>
      <c r="N239" s="41">
        <v>4</v>
      </c>
      <c r="O239" s="110" t="s">
        <v>695</v>
      </c>
      <c r="P239" s="109">
        <v>191710</v>
      </c>
      <c r="Q239" s="107"/>
      <c r="R239" s="111"/>
      <c r="S239" s="110" t="s">
        <v>1188</v>
      </c>
      <c r="T239"/>
      <c r="U239"/>
      <c r="V239"/>
    </row>
    <row r="240" spans="1:22" x14ac:dyDescent="0.3">
      <c r="A240" s="105">
        <v>239</v>
      </c>
      <c r="B240" s="41">
        <v>12000000</v>
      </c>
      <c r="C240" s="41">
        <v>5.8999999999999999E-3</v>
      </c>
      <c r="D240" s="41">
        <v>17.4481</v>
      </c>
      <c r="E240" s="41">
        <v>30</v>
      </c>
      <c r="F240" s="41">
        <v>0</v>
      </c>
      <c r="G240" s="41" t="s">
        <v>104</v>
      </c>
      <c r="H240" s="41">
        <v>1</v>
      </c>
      <c r="I240" s="41">
        <v>1</v>
      </c>
      <c r="J240" s="108">
        <f>POWER(POWER(Table2[[#This Row],[mv]],4)/10,0.25)</f>
        <v>3.3178138186230597E-3</v>
      </c>
      <c r="K240" s="41">
        <v>0</v>
      </c>
      <c r="L240" s="41">
        <v>55</v>
      </c>
      <c r="M240" s="41">
        <v>-1</v>
      </c>
      <c r="N240" s="41">
        <v>4</v>
      </c>
      <c r="O240" s="110" t="s">
        <v>696</v>
      </c>
      <c r="P240" s="109">
        <v>191888</v>
      </c>
      <c r="Q240" s="107"/>
      <c r="R240" s="111"/>
      <c r="S240" s="110" t="s">
        <v>1188</v>
      </c>
      <c r="T240"/>
      <c r="U240"/>
      <c r="V240"/>
    </row>
    <row r="241" spans="1:22" x14ac:dyDescent="0.3">
      <c r="A241" s="105">
        <v>240</v>
      </c>
      <c r="B241" s="41">
        <v>12000000</v>
      </c>
      <c r="C241" s="41">
        <v>5.8999999999999999E-3</v>
      </c>
      <c r="D241" s="41">
        <v>19.0273</v>
      </c>
      <c r="E241" s="41">
        <v>30</v>
      </c>
      <c r="F241" s="41">
        <v>0</v>
      </c>
      <c r="G241" s="41" t="s">
        <v>104</v>
      </c>
      <c r="H241" s="41">
        <v>1</v>
      </c>
      <c r="I241" s="41">
        <v>1</v>
      </c>
      <c r="J241" s="108">
        <f>POWER(POWER(Table2[[#This Row],[mv]],4)/10,0.25)</f>
        <v>3.3178138186230597E-3</v>
      </c>
      <c r="K241" s="41">
        <v>0</v>
      </c>
      <c r="L241" s="41">
        <v>55</v>
      </c>
      <c r="M241" s="41">
        <v>-1</v>
      </c>
      <c r="N241" s="41">
        <v>4</v>
      </c>
      <c r="O241" s="110" t="s">
        <v>697</v>
      </c>
      <c r="P241" s="109">
        <v>191888</v>
      </c>
      <c r="Q241" s="107"/>
      <c r="R241" s="111"/>
      <c r="S241" s="110" t="s">
        <v>1188</v>
      </c>
      <c r="T241"/>
      <c r="U241"/>
      <c r="V241"/>
    </row>
    <row r="242" spans="1:22" x14ac:dyDescent="0.3">
      <c r="A242" s="105">
        <v>241</v>
      </c>
      <c r="B242" s="41">
        <v>12000000</v>
      </c>
      <c r="C242" s="41">
        <v>6.4000000000000003E-3</v>
      </c>
      <c r="D242" s="41">
        <v>13.4543</v>
      </c>
      <c r="E242" s="41">
        <v>30</v>
      </c>
      <c r="F242" s="41">
        <v>0</v>
      </c>
      <c r="G242" s="41" t="s">
        <v>104</v>
      </c>
      <c r="H242" s="41">
        <v>1</v>
      </c>
      <c r="I242" s="41">
        <v>1</v>
      </c>
      <c r="J242" s="108">
        <f>POWER(POWER(Table2[[#This Row],[mv]],4)/10,0.25)</f>
        <v>3.5989844812182349E-3</v>
      </c>
      <c r="K242" s="41">
        <v>0</v>
      </c>
      <c r="L242" s="41">
        <v>55</v>
      </c>
      <c r="M242" s="41">
        <v>-1</v>
      </c>
      <c r="N242" s="41">
        <v>4</v>
      </c>
      <c r="O242" s="110" t="s">
        <v>698</v>
      </c>
      <c r="P242" s="109">
        <v>191888</v>
      </c>
      <c r="Q242" s="107"/>
      <c r="R242" s="111"/>
      <c r="S242" s="110" t="s">
        <v>1188</v>
      </c>
      <c r="T242"/>
      <c r="U242"/>
      <c r="V242"/>
    </row>
    <row r="243" spans="1:22" x14ac:dyDescent="0.3">
      <c r="A243" s="105">
        <v>242</v>
      </c>
      <c r="B243" s="41">
        <v>12000000</v>
      </c>
      <c r="C243" s="41">
        <v>6.4000000000000003E-3</v>
      </c>
      <c r="D243" s="41">
        <v>14.6721</v>
      </c>
      <c r="E243" s="41">
        <v>30</v>
      </c>
      <c r="F243" s="41">
        <v>0</v>
      </c>
      <c r="G243" s="41" t="s">
        <v>104</v>
      </c>
      <c r="H243" s="41">
        <v>1</v>
      </c>
      <c r="I243" s="41">
        <v>1</v>
      </c>
      <c r="J243" s="108">
        <f>POWER(POWER(Table2[[#This Row],[mv]],4)/10,0.25)</f>
        <v>3.5989844812182349E-3</v>
      </c>
      <c r="K243" s="41">
        <v>0</v>
      </c>
      <c r="L243" s="41">
        <v>55</v>
      </c>
      <c r="M243" s="41">
        <v>-1</v>
      </c>
      <c r="N243" s="41">
        <v>4</v>
      </c>
      <c r="O243" s="110" t="s">
        <v>699</v>
      </c>
      <c r="P243" s="109">
        <v>191888</v>
      </c>
      <c r="Q243" s="107"/>
      <c r="R243" s="111"/>
      <c r="S243" s="110" t="s">
        <v>1188</v>
      </c>
      <c r="T243"/>
      <c r="U243"/>
      <c r="V243"/>
    </row>
    <row r="244" spans="1:22" x14ac:dyDescent="0.3">
      <c r="A244" s="105">
        <v>243</v>
      </c>
      <c r="B244" s="41">
        <v>12000000</v>
      </c>
      <c r="C244" s="41">
        <v>6.4000000000000003E-3</v>
      </c>
      <c r="D244" s="41">
        <v>16</v>
      </c>
      <c r="E244" s="41">
        <v>30</v>
      </c>
      <c r="F244" s="41">
        <v>0</v>
      </c>
      <c r="G244" s="41" t="s">
        <v>104</v>
      </c>
      <c r="H244" s="41">
        <v>1</v>
      </c>
      <c r="I244" s="41">
        <v>1</v>
      </c>
      <c r="J244" s="108">
        <f>POWER(POWER(Table2[[#This Row],[mv]],4)/10,0.25)</f>
        <v>3.5989844812182349E-3</v>
      </c>
      <c r="K244" s="41">
        <v>0</v>
      </c>
      <c r="L244" s="41">
        <v>55</v>
      </c>
      <c r="M244" s="41">
        <v>-1</v>
      </c>
      <c r="N244" s="41">
        <v>4</v>
      </c>
      <c r="O244" s="110" t="s">
        <v>700</v>
      </c>
      <c r="P244" s="109">
        <v>191888</v>
      </c>
      <c r="Q244" s="107"/>
      <c r="R244" s="111"/>
      <c r="S244" s="110" t="s">
        <v>1188</v>
      </c>
      <c r="T244"/>
      <c r="U244"/>
      <c r="V244"/>
    </row>
    <row r="245" spans="1:22" x14ac:dyDescent="0.3">
      <c r="A245" s="105">
        <v>244</v>
      </c>
      <c r="B245" s="41">
        <v>12000000</v>
      </c>
      <c r="C245" s="41">
        <v>6.4000000000000003E-3</v>
      </c>
      <c r="D245" s="41">
        <v>17.4481</v>
      </c>
      <c r="E245" s="41">
        <v>30</v>
      </c>
      <c r="F245" s="41">
        <v>0</v>
      </c>
      <c r="G245" s="41" t="s">
        <v>104</v>
      </c>
      <c r="H245" s="41">
        <v>1</v>
      </c>
      <c r="I245" s="41">
        <v>1</v>
      </c>
      <c r="J245" s="108">
        <f>POWER(POWER(Table2[[#This Row],[mv]],4)/10,0.25)</f>
        <v>3.5989844812182349E-3</v>
      </c>
      <c r="K245" s="41">
        <v>0</v>
      </c>
      <c r="L245" s="41">
        <v>55</v>
      </c>
      <c r="M245" s="41">
        <v>-1</v>
      </c>
      <c r="N245" s="41">
        <v>4</v>
      </c>
      <c r="O245" s="110" t="s">
        <v>701</v>
      </c>
      <c r="P245" s="109">
        <v>191888</v>
      </c>
      <c r="Q245" s="107"/>
      <c r="R245" s="111"/>
      <c r="S245" s="110" t="s">
        <v>1188</v>
      </c>
      <c r="T245"/>
      <c r="U245"/>
      <c r="V245"/>
    </row>
    <row r="246" spans="1:22" x14ac:dyDescent="0.3">
      <c r="A246" s="105">
        <v>245</v>
      </c>
      <c r="B246" s="41">
        <v>12000000</v>
      </c>
      <c r="C246" s="41">
        <v>6.4000000000000003E-3</v>
      </c>
      <c r="D246" s="41">
        <v>19.0273</v>
      </c>
      <c r="E246" s="41">
        <v>30</v>
      </c>
      <c r="F246" s="41">
        <v>0</v>
      </c>
      <c r="G246" s="41" t="s">
        <v>104</v>
      </c>
      <c r="H246" s="41">
        <v>1</v>
      </c>
      <c r="I246" s="41">
        <v>1</v>
      </c>
      <c r="J246" s="108">
        <f>POWER(POWER(Table2[[#This Row],[mv]],4)/10,0.25)</f>
        <v>3.5989844812182349E-3</v>
      </c>
      <c r="K246" s="41">
        <v>0</v>
      </c>
      <c r="L246" s="41">
        <v>55</v>
      </c>
      <c r="M246" s="41">
        <v>-1</v>
      </c>
      <c r="N246" s="41">
        <v>4</v>
      </c>
      <c r="O246" s="110" t="s">
        <v>702</v>
      </c>
      <c r="P246" s="109">
        <v>191710</v>
      </c>
      <c r="Q246" s="107"/>
      <c r="R246" s="111"/>
      <c r="S246" s="110" t="s">
        <v>1188</v>
      </c>
      <c r="T246"/>
      <c r="U246"/>
      <c r="V246"/>
    </row>
    <row r="247" spans="1:22" x14ac:dyDescent="0.3">
      <c r="A247" s="105">
        <v>246</v>
      </c>
      <c r="B247" s="41">
        <v>12000000</v>
      </c>
      <c r="C247" s="41">
        <v>7.0000000000000001E-3</v>
      </c>
      <c r="D247" s="41">
        <v>16</v>
      </c>
      <c r="E247" s="41">
        <v>30</v>
      </c>
      <c r="F247" s="41">
        <v>0</v>
      </c>
      <c r="G247" s="41" t="s">
        <v>104</v>
      </c>
      <c r="H247" s="41">
        <v>1</v>
      </c>
      <c r="I247" s="41">
        <v>1</v>
      </c>
      <c r="J247" s="108">
        <f>POWER(POWER(Table2[[#This Row],[mv]],4)/10,0.25)</f>
        <v>3.9363892763324441E-3</v>
      </c>
      <c r="K247" s="41">
        <v>0</v>
      </c>
      <c r="L247" s="41">
        <v>55</v>
      </c>
      <c r="M247" s="41">
        <v>-1</v>
      </c>
      <c r="N247" s="41">
        <v>4</v>
      </c>
      <c r="O247" s="110" t="s">
        <v>703</v>
      </c>
      <c r="P247" s="109">
        <v>191710</v>
      </c>
      <c r="Q247" s="107"/>
      <c r="R247" s="111"/>
      <c r="S247" s="110" t="s">
        <v>1188</v>
      </c>
      <c r="T247"/>
      <c r="U247"/>
      <c r="V247"/>
    </row>
    <row r="248" spans="1:22" x14ac:dyDescent="0.3">
      <c r="A248" s="105">
        <v>247</v>
      </c>
      <c r="B248" s="41">
        <v>12000000</v>
      </c>
      <c r="C248" s="41">
        <v>7.0000000000000001E-3</v>
      </c>
      <c r="D248" s="41">
        <v>17.4481</v>
      </c>
      <c r="E248" s="41">
        <v>30</v>
      </c>
      <c r="F248" s="41">
        <v>0</v>
      </c>
      <c r="G248" s="41" t="s">
        <v>104</v>
      </c>
      <c r="H248" s="41">
        <v>1</v>
      </c>
      <c r="I248" s="41">
        <v>1</v>
      </c>
      <c r="J248" s="108">
        <f>POWER(POWER(Table2[[#This Row],[mv]],4)/10,0.25)</f>
        <v>3.9363892763324441E-3</v>
      </c>
      <c r="K248" s="41">
        <v>0</v>
      </c>
      <c r="L248" s="41">
        <v>55</v>
      </c>
      <c r="M248" s="41">
        <v>-1</v>
      </c>
      <c r="N248" s="41">
        <v>4</v>
      </c>
      <c r="O248" s="110" t="s">
        <v>704</v>
      </c>
      <c r="P248" s="109">
        <v>191710</v>
      </c>
      <c r="Q248" s="107"/>
      <c r="R248" s="111"/>
      <c r="S248" s="110" t="s">
        <v>1188</v>
      </c>
      <c r="T248"/>
      <c r="U248"/>
      <c r="V248"/>
    </row>
    <row r="249" spans="1:22" x14ac:dyDescent="0.3">
      <c r="A249" s="105">
        <v>248</v>
      </c>
      <c r="B249" s="41">
        <v>12000000</v>
      </c>
      <c r="C249" s="41">
        <v>7.0000000000000001E-3</v>
      </c>
      <c r="D249" s="41">
        <v>19.0273</v>
      </c>
      <c r="E249" s="41">
        <v>30</v>
      </c>
      <c r="F249" s="41">
        <v>0</v>
      </c>
      <c r="G249" s="41" t="s">
        <v>104</v>
      </c>
      <c r="H249" s="41">
        <v>1</v>
      </c>
      <c r="I249" s="41">
        <v>1</v>
      </c>
      <c r="J249" s="108">
        <f>POWER(POWER(Table2[[#This Row],[mv]],4)/10,0.25)</f>
        <v>3.9363892763324441E-3</v>
      </c>
      <c r="K249" s="41">
        <v>0</v>
      </c>
      <c r="L249" s="41">
        <v>55</v>
      </c>
      <c r="M249" s="41">
        <v>-1</v>
      </c>
      <c r="N249" s="41">
        <v>4</v>
      </c>
      <c r="O249" s="110" t="s">
        <v>705</v>
      </c>
      <c r="P249" s="109">
        <v>191710</v>
      </c>
      <c r="Q249" s="107"/>
      <c r="R249" s="111"/>
      <c r="S249" s="110" t="s">
        <v>1188</v>
      </c>
      <c r="T249"/>
      <c r="U249"/>
      <c r="V249"/>
    </row>
    <row r="250" spans="1:22" x14ac:dyDescent="0.3">
      <c r="A250" s="105">
        <v>249</v>
      </c>
      <c r="B250" s="41">
        <v>12000000</v>
      </c>
      <c r="C250" s="41">
        <v>7.6E-3</v>
      </c>
      <c r="D250" s="41">
        <v>19.0273</v>
      </c>
      <c r="E250" s="41">
        <v>30</v>
      </c>
      <c r="F250" s="41">
        <v>0</v>
      </c>
      <c r="G250" s="41" t="s">
        <v>104</v>
      </c>
      <c r="H250" s="41">
        <v>1</v>
      </c>
      <c r="I250" s="41">
        <v>1</v>
      </c>
      <c r="J250" s="108">
        <f>POWER(POWER(Table2[[#This Row],[mv]],4)/10,0.25)</f>
        <v>4.2737940714466516E-3</v>
      </c>
      <c r="K250" s="41">
        <v>0</v>
      </c>
      <c r="L250" s="41">
        <v>55</v>
      </c>
      <c r="M250" s="41">
        <v>-1</v>
      </c>
      <c r="N250" s="41">
        <v>4</v>
      </c>
      <c r="O250" s="110" t="s">
        <v>706</v>
      </c>
      <c r="P250" s="109">
        <v>191710</v>
      </c>
      <c r="Q250" s="107"/>
      <c r="R250" s="111"/>
      <c r="S250" s="110" t="s">
        <v>1188</v>
      </c>
      <c r="T250"/>
      <c r="U250"/>
      <c r="V250"/>
    </row>
    <row r="251" spans="1:22" x14ac:dyDescent="0.3">
      <c r="A251" s="105">
        <v>250</v>
      </c>
      <c r="B251" s="41">
        <v>12000000</v>
      </c>
      <c r="C251" s="41">
        <v>2.8999999999999998E-3</v>
      </c>
      <c r="D251" s="41">
        <v>3.3635999999999999</v>
      </c>
      <c r="E251" s="41">
        <v>30</v>
      </c>
      <c r="F251" s="41">
        <v>0</v>
      </c>
      <c r="G251" s="41" t="s">
        <v>104</v>
      </c>
      <c r="H251" s="41">
        <v>1</v>
      </c>
      <c r="I251" s="41">
        <v>1</v>
      </c>
      <c r="J251" s="108">
        <f>POWER(POWER(Table2[[#This Row],[mv]],4)/10,0.25)</f>
        <v>1.6307898430520129E-3</v>
      </c>
      <c r="K251" s="41">
        <v>0</v>
      </c>
      <c r="L251" s="41">
        <v>55</v>
      </c>
      <c r="M251" s="41">
        <v>-1</v>
      </c>
      <c r="N251" s="41">
        <v>4</v>
      </c>
      <c r="O251" s="110" t="s">
        <v>708</v>
      </c>
      <c r="P251" s="109">
        <v>191635</v>
      </c>
      <c r="Q251" s="107"/>
      <c r="R251" s="111"/>
      <c r="S251" s="110" t="s">
        <v>1188</v>
      </c>
      <c r="T251"/>
      <c r="U251"/>
      <c r="V251"/>
    </row>
    <row r="252" spans="1:22" x14ac:dyDescent="0.3">
      <c r="A252" s="105">
        <v>251</v>
      </c>
      <c r="B252" s="41">
        <v>12000000</v>
      </c>
      <c r="C252" s="41">
        <v>2.8999999999999998E-3</v>
      </c>
      <c r="D252" s="41">
        <v>3.6680000000000001</v>
      </c>
      <c r="E252" s="41">
        <v>30</v>
      </c>
      <c r="F252" s="41">
        <v>0</v>
      </c>
      <c r="G252" s="41" t="s">
        <v>104</v>
      </c>
      <c r="H252" s="41">
        <v>1</v>
      </c>
      <c r="I252" s="41">
        <v>1</v>
      </c>
      <c r="J252" s="108">
        <f>POWER(POWER(Table2[[#This Row],[mv]],4)/10,0.25)</f>
        <v>1.6307898430520129E-3</v>
      </c>
      <c r="K252" s="41">
        <v>0</v>
      </c>
      <c r="L252" s="41">
        <v>55</v>
      </c>
      <c r="M252" s="41">
        <v>-1</v>
      </c>
      <c r="N252" s="41">
        <v>4</v>
      </c>
      <c r="O252" s="110" t="s">
        <v>709</v>
      </c>
      <c r="P252" s="109">
        <v>191908</v>
      </c>
      <c r="Q252" s="107"/>
      <c r="R252" s="111"/>
      <c r="S252" s="110" t="s">
        <v>1189</v>
      </c>
      <c r="T252"/>
      <c r="U252"/>
      <c r="V252"/>
    </row>
    <row r="253" spans="1:22" x14ac:dyDescent="0.3">
      <c r="A253" s="105">
        <v>252</v>
      </c>
      <c r="B253" s="41">
        <v>12000000</v>
      </c>
      <c r="C253" s="41">
        <v>2.8999999999999998E-3</v>
      </c>
      <c r="D253" s="41">
        <v>4</v>
      </c>
      <c r="E253" s="41">
        <v>30</v>
      </c>
      <c r="F253" s="41">
        <v>0</v>
      </c>
      <c r="G253" s="41" t="s">
        <v>104</v>
      </c>
      <c r="H253" s="41">
        <v>1</v>
      </c>
      <c r="I253" s="41">
        <v>1</v>
      </c>
      <c r="J253" s="108">
        <f>POWER(POWER(Table2[[#This Row],[mv]],4)/10,0.25)</f>
        <v>1.6307898430520129E-3</v>
      </c>
      <c r="K253" s="41">
        <v>0</v>
      </c>
      <c r="L253" s="41">
        <v>55</v>
      </c>
      <c r="M253" s="41">
        <v>-1</v>
      </c>
      <c r="N253" s="41">
        <v>4</v>
      </c>
      <c r="O253" s="110" t="s">
        <v>710</v>
      </c>
      <c r="P253" s="109">
        <v>191908</v>
      </c>
      <c r="Q253" s="107"/>
      <c r="R253" s="111"/>
      <c r="S253" s="110" t="s">
        <v>1189</v>
      </c>
      <c r="T253"/>
      <c r="U253"/>
      <c r="V253"/>
    </row>
    <row r="254" spans="1:22" x14ac:dyDescent="0.3">
      <c r="A254" s="105">
        <v>253</v>
      </c>
      <c r="B254" s="41">
        <v>12000000</v>
      </c>
      <c r="C254" s="41">
        <v>2.8999999999999998E-3</v>
      </c>
      <c r="D254" s="41">
        <v>4.3620000000000001</v>
      </c>
      <c r="E254" s="41">
        <v>30</v>
      </c>
      <c r="F254" s="41">
        <v>0</v>
      </c>
      <c r="G254" s="41" t="s">
        <v>104</v>
      </c>
      <c r="H254" s="41">
        <v>1</v>
      </c>
      <c r="I254" s="41">
        <v>1</v>
      </c>
      <c r="J254" s="108">
        <f>POWER(POWER(Table2[[#This Row],[mv]],4)/10,0.25)</f>
        <v>1.6307898430520129E-3</v>
      </c>
      <c r="K254" s="41">
        <v>0</v>
      </c>
      <c r="L254" s="41">
        <v>55</v>
      </c>
      <c r="M254" s="41">
        <v>-1</v>
      </c>
      <c r="N254" s="41">
        <v>4</v>
      </c>
      <c r="O254" s="110" t="s">
        <v>711</v>
      </c>
      <c r="P254" s="109">
        <v>191908</v>
      </c>
      <c r="Q254" s="107"/>
      <c r="R254" s="111"/>
      <c r="S254" s="110" t="s">
        <v>1189</v>
      </c>
      <c r="T254"/>
      <c r="U254"/>
      <c r="V254"/>
    </row>
    <row r="255" spans="1:22" x14ac:dyDescent="0.3">
      <c r="A255" s="105">
        <v>254</v>
      </c>
      <c r="B255" s="41">
        <v>12000000</v>
      </c>
      <c r="C255" s="41">
        <v>2.8999999999999998E-3</v>
      </c>
      <c r="D255" s="41">
        <v>4.7568000000000001</v>
      </c>
      <c r="E255" s="41">
        <v>30</v>
      </c>
      <c r="F255" s="41">
        <v>0</v>
      </c>
      <c r="G255" s="41" t="s">
        <v>104</v>
      </c>
      <c r="H255" s="41">
        <v>1</v>
      </c>
      <c r="I255" s="41">
        <v>1</v>
      </c>
      <c r="J255" s="108">
        <f>POWER(POWER(Table2[[#This Row],[mv]],4)/10,0.25)</f>
        <v>1.6307898430520129E-3</v>
      </c>
      <c r="K255" s="41">
        <v>0</v>
      </c>
      <c r="L255" s="41">
        <v>55</v>
      </c>
      <c r="M255" s="41">
        <v>-1</v>
      </c>
      <c r="N255" s="41">
        <v>4</v>
      </c>
      <c r="O255" s="110" t="s">
        <v>712</v>
      </c>
      <c r="P255" s="109">
        <v>191908</v>
      </c>
      <c r="Q255" s="107"/>
      <c r="R255" s="111"/>
      <c r="S255" s="110" t="s">
        <v>1189</v>
      </c>
      <c r="T255"/>
      <c r="U255"/>
      <c r="V255"/>
    </row>
    <row r="256" spans="1:22" x14ac:dyDescent="0.3">
      <c r="A256" s="105">
        <v>255</v>
      </c>
      <c r="B256" s="41">
        <v>12000000</v>
      </c>
      <c r="C256" s="41">
        <v>2.8999999999999998E-3</v>
      </c>
      <c r="D256" s="41">
        <v>5.1874000000000002</v>
      </c>
      <c r="E256" s="41">
        <v>30</v>
      </c>
      <c r="F256" s="41">
        <v>0</v>
      </c>
      <c r="G256" s="41" t="s">
        <v>104</v>
      </c>
      <c r="H256" s="41">
        <v>1</v>
      </c>
      <c r="I256" s="41">
        <v>1</v>
      </c>
      <c r="J256" s="108">
        <f>POWER(POWER(Table2[[#This Row],[mv]],4)/10,0.25)</f>
        <v>1.6307898430520129E-3</v>
      </c>
      <c r="K256" s="41">
        <v>0</v>
      </c>
      <c r="L256" s="41">
        <v>55</v>
      </c>
      <c r="M256" s="41">
        <v>-1</v>
      </c>
      <c r="N256" s="41">
        <v>4</v>
      </c>
      <c r="O256" s="110" t="s">
        <v>713</v>
      </c>
      <c r="P256" s="109">
        <v>191908</v>
      </c>
      <c r="Q256" s="107"/>
      <c r="R256" s="111"/>
      <c r="S256" s="110" t="s">
        <v>1189</v>
      </c>
      <c r="T256"/>
      <c r="U256"/>
      <c r="V256"/>
    </row>
    <row r="257" spans="1:22" x14ac:dyDescent="0.3">
      <c r="A257" s="105">
        <v>256</v>
      </c>
      <c r="B257" s="41">
        <v>12000000</v>
      </c>
      <c r="C257" s="41">
        <v>2.8999999999999998E-3</v>
      </c>
      <c r="D257" s="41">
        <v>5.6569000000000003</v>
      </c>
      <c r="E257" s="41">
        <v>30</v>
      </c>
      <c r="F257" s="41">
        <v>0</v>
      </c>
      <c r="G257" s="41" t="s">
        <v>104</v>
      </c>
      <c r="H257" s="41">
        <v>1</v>
      </c>
      <c r="I257" s="41">
        <v>1</v>
      </c>
      <c r="J257" s="108">
        <f>POWER(POWER(Table2[[#This Row],[mv]],4)/10,0.25)</f>
        <v>1.6307898430520129E-3</v>
      </c>
      <c r="K257" s="41">
        <v>0</v>
      </c>
      <c r="L257" s="41">
        <v>55</v>
      </c>
      <c r="M257" s="41">
        <v>-1</v>
      </c>
      <c r="N257" s="41">
        <v>4</v>
      </c>
      <c r="O257" s="110" t="s">
        <v>714</v>
      </c>
      <c r="P257" s="109">
        <v>191908</v>
      </c>
      <c r="Q257" s="107"/>
      <c r="R257" s="111"/>
      <c r="S257" s="110" t="s">
        <v>1189</v>
      </c>
      <c r="T257"/>
      <c r="U257"/>
      <c r="V257"/>
    </row>
    <row r="258" spans="1:22" x14ac:dyDescent="0.3">
      <c r="A258" s="105">
        <v>257</v>
      </c>
      <c r="B258" s="41">
        <v>12000000</v>
      </c>
      <c r="C258" s="41">
        <v>2.8999999999999998E-3</v>
      </c>
      <c r="D258" s="41">
        <v>6.1688000000000001</v>
      </c>
      <c r="E258" s="41">
        <v>30</v>
      </c>
      <c r="F258" s="41">
        <v>0</v>
      </c>
      <c r="G258" s="41" t="s">
        <v>104</v>
      </c>
      <c r="H258" s="41">
        <v>1</v>
      </c>
      <c r="I258" s="41">
        <v>1</v>
      </c>
      <c r="J258" s="108">
        <f>POWER(POWER(Table2[[#This Row],[mv]],4)/10,0.25)</f>
        <v>1.6307898430520129E-3</v>
      </c>
      <c r="K258" s="41">
        <v>0</v>
      </c>
      <c r="L258" s="41">
        <v>55</v>
      </c>
      <c r="M258" s="41">
        <v>-1</v>
      </c>
      <c r="N258" s="41">
        <v>4</v>
      </c>
      <c r="O258" s="110" t="s">
        <v>715</v>
      </c>
      <c r="P258" s="109">
        <v>191908</v>
      </c>
      <c r="Q258" s="107"/>
      <c r="R258" s="111"/>
      <c r="S258" s="110" t="s">
        <v>1189</v>
      </c>
      <c r="T258"/>
      <c r="U258"/>
      <c r="V258"/>
    </row>
    <row r="259" spans="1:22" x14ac:dyDescent="0.3">
      <c r="A259" s="105">
        <v>258</v>
      </c>
      <c r="B259" s="41">
        <v>12000000</v>
      </c>
      <c r="C259" s="41">
        <v>2.8999999999999998E-3</v>
      </c>
      <c r="D259" s="41">
        <v>6.7271999999999998</v>
      </c>
      <c r="E259" s="41">
        <v>30</v>
      </c>
      <c r="F259" s="41">
        <v>0</v>
      </c>
      <c r="G259" s="41" t="s">
        <v>104</v>
      </c>
      <c r="H259" s="41">
        <v>1</v>
      </c>
      <c r="I259" s="41">
        <v>1</v>
      </c>
      <c r="J259" s="108">
        <f>POWER(POWER(Table2[[#This Row],[mv]],4)/10,0.25)</f>
        <v>1.6307898430520129E-3</v>
      </c>
      <c r="K259" s="41">
        <v>0</v>
      </c>
      <c r="L259" s="41">
        <v>55</v>
      </c>
      <c r="M259" s="41">
        <v>-1</v>
      </c>
      <c r="N259" s="41">
        <v>4</v>
      </c>
      <c r="O259" s="110" t="s">
        <v>716</v>
      </c>
      <c r="P259" s="109">
        <v>191908</v>
      </c>
      <c r="Q259" s="107"/>
      <c r="R259" s="111"/>
      <c r="S259" s="110" t="s">
        <v>1189</v>
      </c>
      <c r="T259"/>
      <c r="U259"/>
      <c r="V259"/>
    </row>
    <row r="260" spans="1:22" x14ac:dyDescent="0.3">
      <c r="A260" s="105">
        <v>259</v>
      </c>
      <c r="B260" s="41">
        <v>12000000</v>
      </c>
      <c r="C260" s="41">
        <v>2.8999999999999998E-3</v>
      </c>
      <c r="D260" s="41">
        <v>7.3360000000000003</v>
      </c>
      <c r="E260" s="41">
        <v>30</v>
      </c>
      <c r="F260" s="41">
        <v>0</v>
      </c>
      <c r="G260" s="41" t="s">
        <v>104</v>
      </c>
      <c r="H260" s="41">
        <v>1</v>
      </c>
      <c r="I260" s="41">
        <v>1</v>
      </c>
      <c r="J260" s="108">
        <f>POWER(POWER(Table2[[#This Row],[mv]],4)/10,0.25)</f>
        <v>1.6307898430520129E-3</v>
      </c>
      <c r="K260" s="41">
        <v>0</v>
      </c>
      <c r="L260" s="41">
        <v>55</v>
      </c>
      <c r="M260" s="41">
        <v>-1</v>
      </c>
      <c r="N260" s="41">
        <v>4</v>
      </c>
      <c r="O260" s="110" t="s">
        <v>717</v>
      </c>
      <c r="P260" s="109">
        <v>191908</v>
      </c>
      <c r="Q260" s="107"/>
      <c r="R260" s="111"/>
      <c r="S260" s="110" t="s">
        <v>1189</v>
      </c>
      <c r="T260"/>
      <c r="U260"/>
      <c r="V260"/>
    </row>
    <row r="261" spans="1:22" x14ac:dyDescent="0.3">
      <c r="A261" s="105">
        <v>260</v>
      </c>
      <c r="B261" s="41">
        <v>12000000</v>
      </c>
      <c r="C261" s="41">
        <v>2.8999999999999998E-3</v>
      </c>
      <c r="D261" s="41">
        <v>8</v>
      </c>
      <c r="E261" s="41">
        <v>30</v>
      </c>
      <c r="F261" s="41">
        <v>0</v>
      </c>
      <c r="G261" s="41" t="s">
        <v>104</v>
      </c>
      <c r="H261" s="41">
        <v>1</v>
      </c>
      <c r="I261" s="41">
        <v>1</v>
      </c>
      <c r="J261" s="108">
        <f>POWER(POWER(Table2[[#This Row],[mv]],4)/10,0.25)</f>
        <v>1.6307898430520129E-3</v>
      </c>
      <c r="K261" s="41">
        <v>0</v>
      </c>
      <c r="L261" s="41">
        <v>55</v>
      </c>
      <c r="M261" s="41">
        <v>-1</v>
      </c>
      <c r="N261" s="41">
        <v>4</v>
      </c>
      <c r="O261" s="110" t="s">
        <v>718</v>
      </c>
      <c r="P261" s="109">
        <v>191908</v>
      </c>
      <c r="Q261" s="107"/>
      <c r="R261" s="111"/>
      <c r="S261" s="110" t="s">
        <v>1189</v>
      </c>
      <c r="T261"/>
      <c r="U261"/>
      <c r="V261"/>
    </row>
    <row r="262" spans="1:22" x14ac:dyDescent="0.3">
      <c r="A262" s="105">
        <v>261</v>
      </c>
      <c r="B262" s="41">
        <v>12000000</v>
      </c>
      <c r="C262" s="41">
        <v>2.8999999999999998E-3</v>
      </c>
      <c r="D262" s="41">
        <v>8.7241</v>
      </c>
      <c r="E262" s="41">
        <v>30</v>
      </c>
      <c r="F262" s="41">
        <v>0</v>
      </c>
      <c r="G262" s="41" t="s">
        <v>104</v>
      </c>
      <c r="H262" s="41">
        <v>1</v>
      </c>
      <c r="I262" s="41">
        <v>1</v>
      </c>
      <c r="J262" s="108">
        <f>POWER(POWER(Table2[[#This Row],[mv]],4)/10,0.25)</f>
        <v>1.6307898430520129E-3</v>
      </c>
      <c r="K262" s="41">
        <v>0</v>
      </c>
      <c r="L262" s="41">
        <v>55</v>
      </c>
      <c r="M262" s="41">
        <v>-1</v>
      </c>
      <c r="N262" s="41">
        <v>4</v>
      </c>
      <c r="O262" s="110" t="s">
        <v>719</v>
      </c>
      <c r="P262" s="109">
        <v>191908</v>
      </c>
      <c r="Q262" s="107"/>
      <c r="R262" s="111"/>
      <c r="S262" s="110" t="s">
        <v>1189</v>
      </c>
      <c r="T262"/>
      <c r="U262"/>
      <c r="V262"/>
    </row>
    <row r="263" spans="1:22" x14ac:dyDescent="0.3">
      <c r="A263" s="105">
        <v>262</v>
      </c>
      <c r="B263" s="41">
        <v>12000000</v>
      </c>
      <c r="C263" s="41">
        <v>2.8999999999999998E-3</v>
      </c>
      <c r="D263" s="41">
        <v>9.5137</v>
      </c>
      <c r="E263" s="41">
        <v>30</v>
      </c>
      <c r="F263" s="41">
        <v>0</v>
      </c>
      <c r="G263" s="41" t="s">
        <v>104</v>
      </c>
      <c r="H263" s="41">
        <v>1</v>
      </c>
      <c r="I263" s="41">
        <v>1</v>
      </c>
      <c r="J263" s="108">
        <f>POWER(POWER(Table2[[#This Row],[mv]],4)/10,0.25)</f>
        <v>1.6307898430520129E-3</v>
      </c>
      <c r="K263" s="41">
        <v>0</v>
      </c>
      <c r="L263" s="41">
        <v>55</v>
      </c>
      <c r="M263" s="41">
        <v>-1</v>
      </c>
      <c r="N263" s="41">
        <v>4</v>
      </c>
      <c r="O263" s="110" t="s">
        <v>720</v>
      </c>
      <c r="P263" s="109">
        <v>191908</v>
      </c>
      <c r="Q263" s="107"/>
      <c r="R263" s="111"/>
      <c r="S263" s="110" t="s">
        <v>1189</v>
      </c>
      <c r="T263"/>
      <c r="U263"/>
      <c r="V263"/>
    </row>
    <row r="264" spans="1:22" x14ac:dyDescent="0.3">
      <c r="A264" s="105">
        <v>263</v>
      </c>
      <c r="B264" s="41">
        <v>12000000</v>
      </c>
      <c r="C264" s="41">
        <v>2.8999999999999998E-3</v>
      </c>
      <c r="D264" s="41">
        <v>10.374700000000001</v>
      </c>
      <c r="E264" s="41">
        <v>30</v>
      </c>
      <c r="F264" s="41">
        <v>0</v>
      </c>
      <c r="G264" s="41" t="s">
        <v>104</v>
      </c>
      <c r="H264" s="41">
        <v>1</v>
      </c>
      <c r="I264" s="41">
        <v>1</v>
      </c>
      <c r="J264" s="108">
        <f>POWER(POWER(Table2[[#This Row],[mv]],4)/10,0.25)</f>
        <v>1.6307898430520129E-3</v>
      </c>
      <c r="K264" s="41">
        <v>0</v>
      </c>
      <c r="L264" s="41">
        <v>55</v>
      </c>
      <c r="M264" s="41">
        <v>-1</v>
      </c>
      <c r="N264" s="41">
        <v>4</v>
      </c>
      <c r="O264" s="110" t="s">
        <v>721</v>
      </c>
      <c r="P264" s="109">
        <v>191908</v>
      </c>
      <c r="Q264" s="107"/>
      <c r="R264" s="111"/>
      <c r="S264" s="110" t="s">
        <v>1189</v>
      </c>
      <c r="T264"/>
      <c r="U264"/>
      <c r="V264"/>
    </row>
    <row r="265" spans="1:22" x14ac:dyDescent="0.3">
      <c r="A265" s="105">
        <v>264</v>
      </c>
      <c r="B265" s="41">
        <v>12000000</v>
      </c>
      <c r="C265" s="41">
        <v>2.8999999999999998E-3</v>
      </c>
      <c r="D265" s="41">
        <v>11.313700000000001</v>
      </c>
      <c r="E265" s="41">
        <v>30</v>
      </c>
      <c r="F265" s="41">
        <v>0</v>
      </c>
      <c r="G265" s="41" t="s">
        <v>104</v>
      </c>
      <c r="H265" s="41">
        <v>1</v>
      </c>
      <c r="I265" s="41">
        <v>1</v>
      </c>
      <c r="J265" s="108">
        <f>POWER(POWER(Table2[[#This Row],[mv]],4)/10,0.25)</f>
        <v>1.6307898430520129E-3</v>
      </c>
      <c r="K265" s="41">
        <v>0</v>
      </c>
      <c r="L265" s="41">
        <v>55</v>
      </c>
      <c r="M265" s="41">
        <v>-1</v>
      </c>
      <c r="N265" s="41">
        <v>4</v>
      </c>
      <c r="O265" s="110" t="s">
        <v>722</v>
      </c>
      <c r="P265" s="109">
        <v>191908</v>
      </c>
      <c r="Q265" s="107"/>
      <c r="R265" s="111"/>
      <c r="S265" s="110" t="s">
        <v>1189</v>
      </c>
      <c r="T265"/>
      <c r="U265"/>
      <c r="V265"/>
    </row>
    <row r="266" spans="1:22" x14ac:dyDescent="0.3">
      <c r="A266" s="105">
        <v>265</v>
      </c>
      <c r="B266" s="41">
        <v>12000000</v>
      </c>
      <c r="C266" s="41">
        <v>2.8999999999999998E-3</v>
      </c>
      <c r="D266" s="41">
        <v>12.3377</v>
      </c>
      <c r="E266" s="41">
        <v>30</v>
      </c>
      <c r="F266" s="41">
        <v>0</v>
      </c>
      <c r="G266" s="41" t="s">
        <v>104</v>
      </c>
      <c r="H266" s="41">
        <v>1</v>
      </c>
      <c r="I266" s="41">
        <v>1</v>
      </c>
      <c r="J266" s="108">
        <f>POWER(POWER(Table2[[#This Row],[mv]],4)/10,0.25)</f>
        <v>1.6307898430520129E-3</v>
      </c>
      <c r="K266" s="41">
        <v>0</v>
      </c>
      <c r="L266" s="41">
        <v>55</v>
      </c>
      <c r="M266" s="41">
        <v>-1</v>
      </c>
      <c r="N266" s="41">
        <v>4</v>
      </c>
      <c r="O266" s="110" t="s">
        <v>723</v>
      </c>
      <c r="P266" s="109">
        <v>191908</v>
      </c>
      <c r="Q266" s="107"/>
      <c r="R266" s="111"/>
      <c r="S266" s="110" t="s">
        <v>1189</v>
      </c>
      <c r="T266"/>
      <c r="U266"/>
      <c r="V266"/>
    </row>
    <row r="267" spans="1:22" x14ac:dyDescent="0.3">
      <c r="A267" s="105">
        <v>266</v>
      </c>
      <c r="B267" s="41">
        <v>12000000</v>
      </c>
      <c r="C267" s="41">
        <v>2.8999999999999998E-3</v>
      </c>
      <c r="D267" s="41">
        <v>13.4543</v>
      </c>
      <c r="E267" s="41">
        <v>30</v>
      </c>
      <c r="F267" s="41">
        <v>0</v>
      </c>
      <c r="G267" s="41" t="s">
        <v>104</v>
      </c>
      <c r="H267" s="41">
        <v>1</v>
      </c>
      <c r="I267" s="41">
        <v>1</v>
      </c>
      <c r="J267" s="108">
        <f>POWER(POWER(Table2[[#This Row],[mv]],4)/10,0.25)</f>
        <v>1.6307898430520129E-3</v>
      </c>
      <c r="K267" s="41">
        <v>0</v>
      </c>
      <c r="L267" s="41">
        <v>55</v>
      </c>
      <c r="M267" s="41">
        <v>-1</v>
      </c>
      <c r="N267" s="41">
        <v>4</v>
      </c>
      <c r="O267" s="110" t="s">
        <v>724</v>
      </c>
      <c r="P267" s="109">
        <v>191908</v>
      </c>
      <c r="Q267" s="107"/>
      <c r="R267" s="111"/>
      <c r="S267" s="110" t="s">
        <v>1189</v>
      </c>
      <c r="T267"/>
      <c r="U267"/>
      <c r="V267"/>
    </row>
    <row r="268" spans="1:22" x14ac:dyDescent="0.3">
      <c r="A268" s="105">
        <v>267</v>
      </c>
      <c r="B268" s="41">
        <v>12000000</v>
      </c>
      <c r="C268" s="41">
        <v>2.8999999999999998E-3</v>
      </c>
      <c r="D268" s="41">
        <v>14.6721</v>
      </c>
      <c r="E268" s="41">
        <v>30</v>
      </c>
      <c r="F268" s="41">
        <v>0</v>
      </c>
      <c r="G268" s="41" t="s">
        <v>104</v>
      </c>
      <c r="H268" s="41">
        <v>1</v>
      </c>
      <c r="I268" s="41">
        <v>1</v>
      </c>
      <c r="J268" s="108">
        <f>POWER(POWER(Table2[[#This Row],[mv]],4)/10,0.25)</f>
        <v>1.6307898430520129E-3</v>
      </c>
      <c r="K268" s="41">
        <v>0</v>
      </c>
      <c r="L268" s="41">
        <v>55</v>
      </c>
      <c r="M268" s="41">
        <v>-1</v>
      </c>
      <c r="N268" s="41">
        <v>4</v>
      </c>
      <c r="O268" s="110" t="s">
        <v>725</v>
      </c>
      <c r="P268" s="109">
        <v>191908</v>
      </c>
      <c r="Q268" s="107"/>
      <c r="R268" s="111"/>
      <c r="S268" s="110" t="s">
        <v>1189</v>
      </c>
      <c r="T268"/>
      <c r="U268"/>
      <c r="V268"/>
    </row>
    <row r="269" spans="1:22" x14ac:dyDescent="0.3">
      <c r="A269" s="105">
        <v>268</v>
      </c>
      <c r="B269" s="41">
        <v>12000000</v>
      </c>
      <c r="C269" s="41">
        <v>2.8999999999999998E-3</v>
      </c>
      <c r="D269" s="41">
        <v>16</v>
      </c>
      <c r="E269" s="41">
        <v>30</v>
      </c>
      <c r="F269" s="41">
        <v>0</v>
      </c>
      <c r="G269" s="41" t="s">
        <v>104</v>
      </c>
      <c r="H269" s="41">
        <v>1</v>
      </c>
      <c r="I269" s="41">
        <v>1</v>
      </c>
      <c r="J269" s="108">
        <f>POWER(POWER(Table2[[#This Row],[mv]],4)/10,0.25)</f>
        <v>1.6307898430520129E-3</v>
      </c>
      <c r="K269" s="41">
        <v>0</v>
      </c>
      <c r="L269" s="41">
        <v>55</v>
      </c>
      <c r="M269" s="41">
        <v>-1</v>
      </c>
      <c r="N269" s="41">
        <v>4</v>
      </c>
      <c r="O269" s="110" t="s">
        <v>726</v>
      </c>
      <c r="P269" s="109">
        <v>191908</v>
      </c>
      <c r="Q269" s="107"/>
      <c r="R269" s="111"/>
      <c r="S269" s="110" t="s">
        <v>1189</v>
      </c>
      <c r="T269"/>
      <c r="U269"/>
      <c r="V269"/>
    </row>
    <row r="270" spans="1:22" x14ac:dyDescent="0.3">
      <c r="A270" s="105">
        <v>269</v>
      </c>
      <c r="B270" s="41">
        <v>12000000</v>
      </c>
      <c r="C270" s="41">
        <v>2.8999999999999998E-3</v>
      </c>
      <c r="D270" s="41">
        <v>17.4481</v>
      </c>
      <c r="E270" s="41">
        <v>30</v>
      </c>
      <c r="F270" s="41">
        <v>0</v>
      </c>
      <c r="G270" s="41" t="s">
        <v>104</v>
      </c>
      <c r="H270" s="41">
        <v>1</v>
      </c>
      <c r="I270" s="41">
        <v>1</v>
      </c>
      <c r="J270" s="108">
        <f>POWER(POWER(Table2[[#This Row],[mv]],4)/10,0.25)</f>
        <v>1.6307898430520129E-3</v>
      </c>
      <c r="K270" s="41">
        <v>0</v>
      </c>
      <c r="L270" s="41">
        <v>55</v>
      </c>
      <c r="M270" s="41">
        <v>-1</v>
      </c>
      <c r="N270" s="41">
        <v>4</v>
      </c>
      <c r="O270" s="110" t="s">
        <v>727</v>
      </c>
      <c r="P270" s="109">
        <v>191908</v>
      </c>
      <c r="Q270" s="107"/>
      <c r="R270" s="111"/>
      <c r="S270" s="110" t="s">
        <v>1189</v>
      </c>
      <c r="T270"/>
      <c r="U270"/>
      <c r="V270"/>
    </row>
    <row r="271" spans="1:22" x14ac:dyDescent="0.3">
      <c r="A271" s="105">
        <v>270</v>
      </c>
      <c r="B271" s="41">
        <v>12000000</v>
      </c>
      <c r="C271" s="41">
        <v>2.8999999999999998E-3</v>
      </c>
      <c r="D271" s="41">
        <v>19.0273</v>
      </c>
      <c r="E271" s="41">
        <v>30</v>
      </c>
      <c r="F271" s="41">
        <v>0</v>
      </c>
      <c r="G271" s="41" t="s">
        <v>104</v>
      </c>
      <c r="H271" s="41">
        <v>1</v>
      </c>
      <c r="I271" s="41">
        <v>1</v>
      </c>
      <c r="J271" s="108">
        <f>POWER(POWER(Table2[[#This Row],[mv]],4)/10,0.25)</f>
        <v>1.6307898430520129E-3</v>
      </c>
      <c r="K271" s="41">
        <v>0</v>
      </c>
      <c r="L271" s="41">
        <v>55</v>
      </c>
      <c r="M271" s="41">
        <v>-1</v>
      </c>
      <c r="N271" s="41">
        <v>4</v>
      </c>
      <c r="O271" s="110" t="s">
        <v>728</v>
      </c>
      <c r="P271" s="109">
        <v>191908</v>
      </c>
      <c r="Q271" s="107"/>
      <c r="R271" s="111"/>
      <c r="S271" s="110" t="s">
        <v>1189</v>
      </c>
      <c r="T271"/>
      <c r="U271"/>
      <c r="V271"/>
    </row>
    <row r="272" spans="1:22" x14ac:dyDescent="0.3">
      <c r="A272" s="105">
        <v>271</v>
      </c>
      <c r="B272" s="41">
        <v>12000000</v>
      </c>
      <c r="C272" s="41">
        <v>3.2000000000000002E-3</v>
      </c>
      <c r="D272" s="41">
        <v>3.3635999999999999</v>
      </c>
      <c r="E272" s="41">
        <v>30</v>
      </c>
      <c r="F272" s="41">
        <v>0</v>
      </c>
      <c r="G272" s="41" t="s">
        <v>104</v>
      </c>
      <c r="H272" s="41">
        <v>1</v>
      </c>
      <c r="I272" s="41">
        <v>1</v>
      </c>
      <c r="J272" s="108">
        <f>POWER(POWER(Table2[[#This Row],[mv]],4)/10,0.25)</f>
        <v>1.7994922406091175E-3</v>
      </c>
      <c r="K272" s="41">
        <v>0</v>
      </c>
      <c r="L272" s="41">
        <v>55</v>
      </c>
      <c r="M272" s="41">
        <v>-1</v>
      </c>
      <c r="N272" s="41">
        <v>4</v>
      </c>
      <c r="O272" s="110" t="s">
        <v>729</v>
      </c>
      <c r="P272" s="109">
        <v>191908</v>
      </c>
      <c r="Q272" s="107"/>
      <c r="R272" s="111"/>
      <c r="S272" s="110" t="s">
        <v>1189</v>
      </c>
      <c r="T272"/>
      <c r="U272"/>
      <c r="V272"/>
    </row>
    <row r="273" spans="1:22" x14ac:dyDescent="0.3">
      <c r="A273" s="105">
        <v>272</v>
      </c>
      <c r="B273" s="41">
        <v>12000000</v>
      </c>
      <c r="C273" s="41">
        <v>3.2000000000000002E-3</v>
      </c>
      <c r="D273" s="41">
        <v>3.6680000000000001</v>
      </c>
      <c r="E273" s="41">
        <v>30</v>
      </c>
      <c r="F273" s="41">
        <v>0</v>
      </c>
      <c r="G273" s="41" t="s">
        <v>104</v>
      </c>
      <c r="H273" s="41">
        <v>1</v>
      </c>
      <c r="I273" s="41">
        <v>1</v>
      </c>
      <c r="J273" s="108">
        <f>POWER(POWER(Table2[[#This Row],[mv]],4)/10,0.25)</f>
        <v>1.7994922406091175E-3</v>
      </c>
      <c r="K273" s="41">
        <v>0</v>
      </c>
      <c r="L273" s="41">
        <v>55</v>
      </c>
      <c r="M273" s="41">
        <v>-1</v>
      </c>
      <c r="N273" s="41">
        <v>4</v>
      </c>
      <c r="O273" s="110" t="s">
        <v>730</v>
      </c>
      <c r="P273" s="109">
        <v>191908</v>
      </c>
      <c r="Q273" s="107"/>
      <c r="R273" s="111"/>
      <c r="S273" s="110" t="s">
        <v>1189</v>
      </c>
      <c r="T273"/>
      <c r="U273"/>
      <c r="V273"/>
    </row>
    <row r="274" spans="1:22" x14ac:dyDescent="0.3">
      <c r="A274" s="105">
        <v>273</v>
      </c>
      <c r="B274" s="41">
        <v>12000000</v>
      </c>
      <c r="C274" s="41">
        <v>3.2000000000000002E-3</v>
      </c>
      <c r="D274" s="41">
        <v>4</v>
      </c>
      <c r="E274" s="41">
        <v>30</v>
      </c>
      <c r="F274" s="41">
        <v>0</v>
      </c>
      <c r="G274" s="41" t="s">
        <v>104</v>
      </c>
      <c r="H274" s="41">
        <v>1</v>
      </c>
      <c r="I274" s="41">
        <v>1</v>
      </c>
      <c r="J274" s="108">
        <f>POWER(POWER(Table2[[#This Row],[mv]],4)/10,0.25)</f>
        <v>1.7994922406091175E-3</v>
      </c>
      <c r="K274" s="41">
        <v>0</v>
      </c>
      <c r="L274" s="41">
        <v>55</v>
      </c>
      <c r="M274" s="41">
        <v>-1</v>
      </c>
      <c r="N274" s="41">
        <v>4</v>
      </c>
      <c r="O274" s="110" t="s">
        <v>731</v>
      </c>
      <c r="P274" s="109">
        <v>191908</v>
      </c>
      <c r="Q274" s="107"/>
      <c r="R274" s="111"/>
      <c r="S274" s="110" t="s">
        <v>1189</v>
      </c>
      <c r="T274"/>
      <c r="U274"/>
      <c r="V274"/>
    </row>
    <row r="275" spans="1:22" x14ac:dyDescent="0.3">
      <c r="A275" s="105">
        <v>274</v>
      </c>
      <c r="B275" s="41">
        <v>12000000</v>
      </c>
      <c r="C275" s="41">
        <v>3.2000000000000002E-3</v>
      </c>
      <c r="D275" s="41">
        <v>4.3620000000000001</v>
      </c>
      <c r="E275" s="41">
        <v>30</v>
      </c>
      <c r="F275" s="41">
        <v>0</v>
      </c>
      <c r="G275" s="41" t="s">
        <v>104</v>
      </c>
      <c r="H275" s="41">
        <v>1</v>
      </c>
      <c r="I275" s="41">
        <v>1</v>
      </c>
      <c r="J275" s="108">
        <f>POWER(POWER(Table2[[#This Row],[mv]],4)/10,0.25)</f>
        <v>1.7994922406091175E-3</v>
      </c>
      <c r="K275" s="41">
        <v>0</v>
      </c>
      <c r="L275" s="41">
        <v>55</v>
      </c>
      <c r="M275" s="41">
        <v>-1</v>
      </c>
      <c r="N275" s="41">
        <v>4</v>
      </c>
      <c r="O275" s="110" t="s">
        <v>732</v>
      </c>
      <c r="P275" s="109">
        <v>191908</v>
      </c>
      <c r="Q275" s="107"/>
      <c r="R275" s="111"/>
      <c r="S275" s="110" t="s">
        <v>1189</v>
      </c>
      <c r="T275"/>
      <c r="U275"/>
      <c r="V275"/>
    </row>
    <row r="276" spans="1:22" x14ac:dyDescent="0.3">
      <c r="A276" s="105">
        <v>275</v>
      </c>
      <c r="B276" s="41">
        <v>12000000</v>
      </c>
      <c r="C276" s="41">
        <v>3.2000000000000002E-3</v>
      </c>
      <c r="D276" s="41">
        <v>4.7568000000000001</v>
      </c>
      <c r="E276" s="41">
        <v>30</v>
      </c>
      <c r="F276" s="41">
        <v>0</v>
      </c>
      <c r="G276" s="41" t="s">
        <v>104</v>
      </c>
      <c r="H276" s="41">
        <v>1</v>
      </c>
      <c r="I276" s="41">
        <v>1</v>
      </c>
      <c r="J276" s="108">
        <f>POWER(POWER(Table2[[#This Row],[mv]],4)/10,0.25)</f>
        <v>1.7994922406091175E-3</v>
      </c>
      <c r="K276" s="41">
        <v>0</v>
      </c>
      <c r="L276" s="41">
        <v>55</v>
      </c>
      <c r="M276" s="41">
        <v>-1</v>
      </c>
      <c r="N276" s="41">
        <v>4</v>
      </c>
      <c r="O276" s="110" t="s">
        <v>733</v>
      </c>
      <c r="P276" s="109">
        <v>191908</v>
      </c>
      <c r="Q276" s="107"/>
      <c r="R276" s="111"/>
      <c r="S276" s="110" t="s">
        <v>1189</v>
      </c>
      <c r="T276"/>
      <c r="U276"/>
      <c r="V276"/>
    </row>
    <row r="277" spans="1:22" x14ac:dyDescent="0.3">
      <c r="A277" s="105">
        <v>276</v>
      </c>
      <c r="B277" s="41">
        <v>12000000</v>
      </c>
      <c r="C277" s="41">
        <v>3.2000000000000002E-3</v>
      </c>
      <c r="D277" s="41">
        <v>5.1874000000000002</v>
      </c>
      <c r="E277" s="41">
        <v>30</v>
      </c>
      <c r="F277" s="41">
        <v>0</v>
      </c>
      <c r="G277" s="41" t="s">
        <v>104</v>
      </c>
      <c r="H277" s="41">
        <v>1</v>
      </c>
      <c r="I277" s="41">
        <v>1</v>
      </c>
      <c r="J277" s="108">
        <f>POWER(POWER(Table2[[#This Row],[mv]],4)/10,0.25)</f>
        <v>1.7994922406091175E-3</v>
      </c>
      <c r="K277" s="41">
        <v>0</v>
      </c>
      <c r="L277" s="41">
        <v>55</v>
      </c>
      <c r="M277" s="41">
        <v>-1</v>
      </c>
      <c r="N277" s="41">
        <v>4</v>
      </c>
      <c r="O277" s="110" t="s">
        <v>734</v>
      </c>
      <c r="P277" s="109">
        <v>191908</v>
      </c>
      <c r="Q277" s="107"/>
      <c r="R277" s="111"/>
      <c r="S277" s="110" t="s">
        <v>1189</v>
      </c>
      <c r="T277"/>
      <c r="U277"/>
      <c r="V277"/>
    </row>
    <row r="278" spans="1:22" x14ac:dyDescent="0.3">
      <c r="A278" s="105">
        <v>277</v>
      </c>
      <c r="B278" s="41">
        <v>12000000</v>
      </c>
      <c r="C278" s="41">
        <v>3.2000000000000002E-3</v>
      </c>
      <c r="D278" s="41">
        <v>5.6569000000000003</v>
      </c>
      <c r="E278" s="41">
        <v>30</v>
      </c>
      <c r="F278" s="41">
        <v>0</v>
      </c>
      <c r="G278" s="41" t="s">
        <v>104</v>
      </c>
      <c r="H278" s="41">
        <v>1</v>
      </c>
      <c r="I278" s="41">
        <v>1</v>
      </c>
      <c r="J278" s="108">
        <f>POWER(POWER(Table2[[#This Row],[mv]],4)/10,0.25)</f>
        <v>1.7994922406091175E-3</v>
      </c>
      <c r="K278" s="41">
        <v>0</v>
      </c>
      <c r="L278" s="41">
        <v>55</v>
      </c>
      <c r="M278" s="41">
        <v>-1</v>
      </c>
      <c r="N278" s="41">
        <v>4</v>
      </c>
      <c r="O278" s="110" t="s">
        <v>735</v>
      </c>
      <c r="P278" s="109">
        <v>191908</v>
      </c>
      <c r="Q278" s="107"/>
      <c r="R278" s="111"/>
      <c r="S278" s="110" t="s">
        <v>1189</v>
      </c>
      <c r="T278"/>
      <c r="U278"/>
      <c r="V278"/>
    </row>
    <row r="279" spans="1:22" x14ac:dyDescent="0.3">
      <c r="A279" s="105">
        <v>278</v>
      </c>
      <c r="B279" s="41">
        <v>12000000</v>
      </c>
      <c r="C279" s="41">
        <v>3.2000000000000002E-3</v>
      </c>
      <c r="D279" s="41">
        <v>6.1688000000000001</v>
      </c>
      <c r="E279" s="41">
        <v>30</v>
      </c>
      <c r="F279" s="41">
        <v>0</v>
      </c>
      <c r="G279" s="41" t="s">
        <v>104</v>
      </c>
      <c r="H279" s="41">
        <v>1</v>
      </c>
      <c r="I279" s="41">
        <v>1</v>
      </c>
      <c r="J279" s="108">
        <f>POWER(POWER(Table2[[#This Row],[mv]],4)/10,0.25)</f>
        <v>1.7994922406091175E-3</v>
      </c>
      <c r="K279" s="41">
        <v>0</v>
      </c>
      <c r="L279" s="41">
        <v>55</v>
      </c>
      <c r="M279" s="41">
        <v>-1</v>
      </c>
      <c r="N279" s="41">
        <v>4</v>
      </c>
      <c r="O279" s="110" t="s">
        <v>736</v>
      </c>
      <c r="P279" s="109">
        <v>191908</v>
      </c>
      <c r="Q279" s="107"/>
      <c r="R279" s="111"/>
      <c r="S279" s="110" t="s">
        <v>1189</v>
      </c>
      <c r="T279"/>
      <c r="U279"/>
      <c r="V279"/>
    </row>
    <row r="280" spans="1:22" x14ac:dyDescent="0.3">
      <c r="A280" s="105">
        <v>279</v>
      </c>
      <c r="B280" s="41">
        <v>12000000</v>
      </c>
      <c r="C280" s="41">
        <v>3.2000000000000002E-3</v>
      </c>
      <c r="D280" s="41">
        <v>6.7271999999999998</v>
      </c>
      <c r="E280" s="41">
        <v>30</v>
      </c>
      <c r="F280" s="41">
        <v>0</v>
      </c>
      <c r="G280" s="41" t="s">
        <v>104</v>
      </c>
      <c r="H280" s="41">
        <v>1</v>
      </c>
      <c r="I280" s="41">
        <v>1</v>
      </c>
      <c r="J280" s="108">
        <f>POWER(POWER(Table2[[#This Row],[mv]],4)/10,0.25)</f>
        <v>1.7994922406091175E-3</v>
      </c>
      <c r="K280" s="41">
        <v>0</v>
      </c>
      <c r="L280" s="41">
        <v>55</v>
      </c>
      <c r="M280" s="41">
        <v>-1</v>
      </c>
      <c r="N280" s="41">
        <v>4</v>
      </c>
      <c r="O280" s="110" t="s">
        <v>737</v>
      </c>
      <c r="P280" s="109">
        <v>191908</v>
      </c>
      <c r="Q280" s="107"/>
      <c r="R280" s="111"/>
      <c r="S280" s="110" t="s">
        <v>1189</v>
      </c>
      <c r="T280"/>
      <c r="U280"/>
      <c r="V280"/>
    </row>
    <row r="281" spans="1:22" x14ac:dyDescent="0.3">
      <c r="A281" s="105">
        <v>280</v>
      </c>
      <c r="B281" s="41">
        <v>12000000</v>
      </c>
      <c r="C281" s="41">
        <v>3.2000000000000002E-3</v>
      </c>
      <c r="D281" s="41">
        <v>7.3360000000000003</v>
      </c>
      <c r="E281" s="41">
        <v>30</v>
      </c>
      <c r="F281" s="41">
        <v>0</v>
      </c>
      <c r="G281" s="41" t="s">
        <v>104</v>
      </c>
      <c r="H281" s="41">
        <v>1</v>
      </c>
      <c r="I281" s="41">
        <v>1</v>
      </c>
      <c r="J281" s="108">
        <f>POWER(POWER(Table2[[#This Row],[mv]],4)/10,0.25)</f>
        <v>1.7994922406091175E-3</v>
      </c>
      <c r="K281" s="41">
        <v>0</v>
      </c>
      <c r="L281" s="41">
        <v>55</v>
      </c>
      <c r="M281" s="41">
        <v>-1</v>
      </c>
      <c r="N281" s="41">
        <v>4</v>
      </c>
      <c r="O281" s="110" t="s">
        <v>738</v>
      </c>
      <c r="P281" s="109">
        <v>191908</v>
      </c>
      <c r="Q281" s="107"/>
      <c r="R281" s="111"/>
      <c r="S281" s="110" t="s">
        <v>1189</v>
      </c>
      <c r="T281"/>
      <c r="U281"/>
      <c r="V281"/>
    </row>
    <row r="282" spans="1:22" x14ac:dyDescent="0.3">
      <c r="A282" s="105">
        <v>281</v>
      </c>
      <c r="B282" s="41">
        <v>12000000</v>
      </c>
      <c r="C282" s="41">
        <v>3.2000000000000002E-3</v>
      </c>
      <c r="D282" s="41">
        <v>8</v>
      </c>
      <c r="E282" s="41">
        <v>30</v>
      </c>
      <c r="F282" s="41">
        <v>0</v>
      </c>
      <c r="G282" s="41" t="s">
        <v>104</v>
      </c>
      <c r="H282" s="41">
        <v>1</v>
      </c>
      <c r="I282" s="41">
        <v>1</v>
      </c>
      <c r="J282" s="108">
        <f>POWER(POWER(Table2[[#This Row],[mv]],4)/10,0.25)</f>
        <v>1.7994922406091175E-3</v>
      </c>
      <c r="K282" s="41">
        <v>0</v>
      </c>
      <c r="L282" s="41">
        <v>55</v>
      </c>
      <c r="M282" s="41">
        <v>-1</v>
      </c>
      <c r="N282" s="41">
        <v>4</v>
      </c>
      <c r="O282" s="110" t="s">
        <v>739</v>
      </c>
      <c r="P282" s="109">
        <v>191908</v>
      </c>
      <c r="Q282" s="107"/>
      <c r="R282" s="111"/>
      <c r="S282" s="110" t="s">
        <v>1189</v>
      </c>
      <c r="T282"/>
      <c r="U282"/>
      <c r="V282"/>
    </row>
    <row r="283" spans="1:22" x14ac:dyDescent="0.3">
      <c r="A283" s="105">
        <v>282</v>
      </c>
      <c r="B283" s="41">
        <v>12000000</v>
      </c>
      <c r="C283" s="41">
        <v>3.2000000000000002E-3</v>
      </c>
      <c r="D283" s="41">
        <v>8.7241</v>
      </c>
      <c r="E283" s="41">
        <v>30</v>
      </c>
      <c r="F283" s="41">
        <v>0</v>
      </c>
      <c r="G283" s="41" t="s">
        <v>104</v>
      </c>
      <c r="H283" s="41">
        <v>1</v>
      </c>
      <c r="I283" s="41">
        <v>1</v>
      </c>
      <c r="J283" s="108">
        <f>POWER(POWER(Table2[[#This Row],[mv]],4)/10,0.25)</f>
        <v>1.7994922406091175E-3</v>
      </c>
      <c r="K283" s="41">
        <v>0</v>
      </c>
      <c r="L283" s="41">
        <v>55</v>
      </c>
      <c r="M283" s="41">
        <v>-1</v>
      </c>
      <c r="N283" s="41">
        <v>4</v>
      </c>
      <c r="O283" s="110" t="s">
        <v>740</v>
      </c>
      <c r="P283" s="109">
        <v>191908</v>
      </c>
      <c r="Q283" s="107"/>
      <c r="R283" s="111"/>
      <c r="S283" s="110" t="s">
        <v>1189</v>
      </c>
      <c r="T283"/>
      <c r="U283"/>
      <c r="V283"/>
    </row>
    <row r="284" spans="1:22" x14ac:dyDescent="0.3">
      <c r="A284" s="105">
        <v>283</v>
      </c>
      <c r="B284" s="41">
        <v>12000000</v>
      </c>
      <c r="C284" s="41">
        <v>3.2000000000000002E-3</v>
      </c>
      <c r="D284" s="41">
        <v>9.5137</v>
      </c>
      <c r="E284" s="41">
        <v>30</v>
      </c>
      <c r="F284" s="41">
        <v>0</v>
      </c>
      <c r="G284" s="41" t="s">
        <v>104</v>
      </c>
      <c r="H284" s="41">
        <v>1</v>
      </c>
      <c r="I284" s="41">
        <v>1</v>
      </c>
      <c r="J284" s="108">
        <f>POWER(POWER(Table2[[#This Row],[mv]],4)/10,0.25)</f>
        <v>1.7994922406091175E-3</v>
      </c>
      <c r="K284" s="41">
        <v>0</v>
      </c>
      <c r="L284" s="41">
        <v>55</v>
      </c>
      <c r="M284" s="41">
        <v>-1</v>
      </c>
      <c r="N284" s="41">
        <v>4</v>
      </c>
      <c r="O284" s="110" t="s">
        <v>741</v>
      </c>
      <c r="P284" s="109">
        <v>191908</v>
      </c>
      <c r="Q284" s="107"/>
      <c r="R284" s="111"/>
      <c r="S284" s="110" t="s">
        <v>1189</v>
      </c>
      <c r="T284"/>
      <c r="U284"/>
      <c r="V284"/>
    </row>
    <row r="285" spans="1:22" x14ac:dyDescent="0.3">
      <c r="A285" s="105">
        <v>284</v>
      </c>
      <c r="B285" s="41">
        <v>12000000</v>
      </c>
      <c r="C285" s="41">
        <v>3.2000000000000002E-3</v>
      </c>
      <c r="D285" s="41">
        <v>10.374700000000001</v>
      </c>
      <c r="E285" s="41">
        <v>30</v>
      </c>
      <c r="F285" s="41">
        <v>0</v>
      </c>
      <c r="G285" s="41" t="s">
        <v>104</v>
      </c>
      <c r="H285" s="41">
        <v>1</v>
      </c>
      <c r="I285" s="41">
        <v>1</v>
      </c>
      <c r="J285" s="108">
        <f>POWER(POWER(Table2[[#This Row],[mv]],4)/10,0.25)</f>
        <v>1.7994922406091175E-3</v>
      </c>
      <c r="K285" s="41">
        <v>0</v>
      </c>
      <c r="L285" s="41">
        <v>55</v>
      </c>
      <c r="M285" s="41">
        <v>-1</v>
      </c>
      <c r="N285" s="41">
        <v>4</v>
      </c>
      <c r="O285" s="110" t="s">
        <v>742</v>
      </c>
      <c r="P285" s="109">
        <v>191908</v>
      </c>
      <c r="Q285" s="107"/>
      <c r="R285" s="111"/>
      <c r="S285" s="110" t="s">
        <v>1189</v>
      </c>
      <c r="T285"/>
      <c r="U285"/>
      <c r="V285"/>
    </row>
    <row r="286" spans="1:22" x14ac:dyDescent="0.3">
      <c r="A286" s="105">
        <v>285</v>
      </c>
      <c r="B286" s="41">
        <v>12000000</v>
      </c>
      <c r="C286" s="41">
        <v>3.2000000000000002E-3</v>
      </c>
      <c r="D286" s="41">
        <v>11.313700000000001</v>
      </c>
      <c r="E286" s="41">
        <v>30</v>
      </c>
      <c r="F286" s="41">
        <v>0</v>
      </c>
      <c r="G286" s="41" t="s">
        <v>104</v>
      </c>
      <c r="H286" s="41">
        <v>1</v>
      </c>
      <c r="I286" s="41">
        <v>1</v>
      </c>
      <c r="J286" s="108">
        <f>POWER(POWER(Table2[[#This Row],[mv]],4)/10,0.25)</f>
        <v>1.7994922406091175E-3</v>
      </c>
      <c r="K286" s="41">
        <v>0</v>
      </c>
      <c r="L286" s="41">
        <v>55</v>
      </c>
      <c r="M286" s="41">
        <v>-1</v>
      </c>
      <c r="N286" s="41">
        <v>4</v>
      </c>
      <c r="O286" s="110" t="s">
        <v>743</v>
      </c>
      <c r="P286" s="109">
        <v>191974</v>
      </c>
      <c r="Q286" s="107"/>
      <c r="R286" s="111"/>
      <c r="S286" s="110" t="s">
        <v>1189</v>
      </c>
      <c r="T286"/>
      <c r="U286"/>
      <c r="V286"/>
    </row>
    <row r="287" spans="1:22" x14ac:dyDescent="0.3">
      <c r="A287" s="105">
        <v>286</v>
      </c>
      <c r="B287" s="41">
        <v>12000000</v>
      </c>
      <c r="C287" s="41">
        <v>3.2000000000000002E-3</v>
      </c>
      <c r="D287" s="41">
        <v>12.3377</v>
      </c>
      <c r="E287" s="41">
        <v>30</v>
      </c>
      <c r="F287" s="41">
        <v>0</v>
      </c>
      <c r="G287" s="41" t="s">
        <v>104</v>
      </c>
      <c r="H287" s="41">
        <v>1</v>
      </c>
      <c r="I287" s="41">
        <v>1</v>
      </c>
      <c r="J287" s="108">
        <f>POWER(POWER(Table2[[#This Row],[mv]],4)/10,0.25)</f>
        <v>1.7994922406091175E-3</v>
      </c>
      <c r="K287" s="41">
        <v>0</v>
      </c>
      <c r="L287" s="41">
        <v>55</v>
      </c>
      <c r="M287" s="41">
        <v>-1</v>
      </c>
      <c r="N287" s="41">
        <v>4</v>
      </c>
      <c r="O287" s="110" t="s">
        <v>744</v>
      </c>
      <c r="P287" s="109">
        <v>191974</v>
      </c>
      <c r="Q287" s="107"/>
      <c r="R287" s="111"/>
      <c r="S287" s="110" t="s">
        <v>1189</v>
      </c>
      <c r="T287"/>
      <c r="U287"/>
      <c r="V287"/>
    </row>
    <row r="288" spans="1:22" x14ac:dyDescent="0.3">
      <c r="A288" s="105">
        <v>287</v>
      </c>
      <c r="B288" s="41">
        <v>12000000</v>
      </c>
      <c r="C288" s="41">
        <v>3.2000000000000002E-3</v>
      </c>
      <c r="D288" s="41">
        <v>13.4543</v>
      </c>
      <c r="E288" s="41">
        <v>30</v>
      </c>
      <c r="F288" s="41">
        <v>0</v>
      </c>
      <c r="G288" s="41" t="s">
        <v>104</v>
      </c>
      <c r="H288" s="41">
        <v>1</v>
      </c>
      <c r="I288" s="41">
        <v>1</v>
      </c>
      <c r="J288" s="108">
        <f>POWER(POWER(Table2[[#This Row],[mv]],4)/10,0.25)</f>
        <v>1.7994922406091175E-3</v>
      </c>
      <c r="K288" s="41">
        <v>0</v>
      </c>
      <c r="L288" s="41">
        <v>55</v>
      </c>
      <c r="M288" s="41">
        <v>-1</v>
      </c>
      <c r="N288" s="41">
        <v>4</v>
      </c>
      <c r="O288" s="110" t="s">
        <v>745</v>
      </c>
      <c r="P288" s="109">
        <v>191974</v>
      </c>
      <c r="Q288" s="107"/>
      <c r="R288" s="111"/>
      <c r="S288" s="110" t="s">
        <v>1189</v>
      </c>
      <c r="T288"/>
      <c r="U288"/>
      <c r="V288"/>
    </row>
    <row r="289" spans="1:22" x14ac:dyDescent="0.3">
      <c r="A289" s="105">
        <v>288</v>
      </c>
      <c r="B289" s="41">
        <v>12000000</v>
      </c>
      <c r="C289" s="41">
        <v>3.2000000000000002E-3</v>
      </c>
      <c r="D289" s="41">
        <v>14.6721</v>
      </c>
      <c r="E289" s="41">
        <v>30</v>
      </c>
      <c r="F289" s="41">
        <v>0</v>
      </c>
      <c r="G289" s="41" t="s">
        <v>104</v>
      </c>
      <c r="H289" s="41">
        <v>1</v>
      </c>
      <c r="I289" s="41">
        <v>1</v>
      </c>
      <c r="J289" s="108">
        <f>POWER(POWER(Table2[[#This Row],[mv]],4)/10,0.25)</f>
        <v>1.7994922406091175E-3</v>
      </c>
      <c r="K289" s="41">
        <v>0</v>
      </c>
      <c r="L289" s="41">
        <v>55</v>
      </c>
      <c r="M289" s="41">
        <v>-1</v>
      </c>
      <c r="N289" s="41">
        <v>4</v>
      </c>
      <c r="O289" s="110" t="s">
        <v>746</v>
      </c>
      <c r="P289" s="109">
        <v>191974</v>
      </c>
      <c r="Q289" s="107"/>
      <c r="R289" s="111"/>
      <c r="S289" s="110" t="s">
        <v>1189</v>
      </c>
      <c r="T289"/>
      <c r="U289"/>
      <c r="V289"/>
    </row>
    <row r="290" spans="1:22" x14ac:dyDescent="0.3">
      <c r="A290" s="105">
        <v>289</v>
      </c>
      <c r="B290" s="41">
        <v>12000000</v>
      </c>
      <c r="C290" s="41">
        <v>3.2000000000000002E-3</v>
      </c>
      <c r="D290" s="41">
        <v>16</v>
      </c>
      <c r="E290" s="41">
        <v>30</v>
      </c>
      <c r="F290" s="41">
        <v>0</v>
      </c>
      <c r="G290" s="41" t="s">
        <v>104</v>
      </c>
      <c r="H290" s="41">
        <v>1</v>
      </c>
      <c r="I290" s="41">
        <v>1</v>
      </c>
      <c r="J290" s="108">
        <f>POWER(POWER(Table2[[#This Row],[mv]],4)/10,0.25)</f>
        <v>1.7994922406091175E-3</v>
      </c>
      <c r="K290" s="41">
        <v>0</v>
      </c>
      <c r="L290" s="41">
        <v>55</v>
      </c>
      <c r="M290" s="41">
        <v>-1</v>
      </c>
      <c r="N290" s="41">
        <v>4</v>
      </c>
      <c r="O290" s="110" t="s">
        <v>747</v>
      </c>
      <c r="P290" s="109">
        <v>191974</v>
      </c>
      <c r="Q290" s="107"/>
      <c r="R290" s="111"/>
      <c r="S290" s="110" t="s">
        <v>1189</v>
      </c>
      <c r="T290"/>
      <c r="U290"/>
      <c r="V290"/>
    </row>
    <row r="291" spans="1:22" x14ac:dyDescent="0.3">
      <c r="A291" s="105">
        <v>290</v>
      </c>
      <c r="B291" s="41">
        <v>12000000</v>
      </c>
      <c r="C291" s="41">
        <v>3.2000000000000002E-3</v>
      </c>
      <c r="D291" s="41">
        <v>17.4481</v>
      </c>
      <c r="E291" s="41">
        <v>30</v>
      </c>
      <c r="F291" s="41">
        <v>0</v>
      </c>
      <c r="G291" s="41" t="s">
        <v>104</v>
      </c>
      <c r="H291" s="41">
        <v>1</v>
      </c>
      <c r="I291" s="41">
        <v>1</v>
      </c>
      <c r="J291" s="108">
        <f>POWER(POWER(Table2[[#This Row],[mv]],4)/10,0.25)</f>
        <v>1.7994922406091175E-3</v>
      </c>
      <c r="K291" s="41">
        <v>0</v>
      </c>
      <c r="L291" s="41">
        <v>55</v>
      </c>
      <c r="M291" s="41">
        <v>-1</v>
      </c>
      <c r="N291" s="41">
        <v>4</v>
      </c>
      <c r="O291" s="110" t="s">
        <v>748</v>
      </c>
      <c r="P291" s="109">
        <v>191974</v>
      </c>
      <c r="Q291" s="107"/>
      <c r="R291" s="111"/>
      <c r="S291" s="110" t="s">
        <v>1189</v>
      </c>
      <c r="T291"/>
      <c r="U291"/>
      <c r="V291"/>
    </row>
    <row r="292" spans="1:22" x14ac:dyDescent="0.3">
      <c r="A292" s="105">
        <v>291</v>
      </c>
      <c r="B292" s="41">
        <v>12000000</v>
      </c>
      <c r="C292" s="41">
        <v>3.2000000000000002E-3</v>
      </c>
      <c r="D292" s="41">
        <v>19.0273</v>
      </c>
      <c r="E292" s="41">
        <v>30</v>
      </c>
      <c r="F292" s="41">
        <v>0</v>
      </c>
      <c r="G292" s="41" t="s">
        <v>104</v>
      </c>
      <c r="H292" s="41">
        <v>1</v>
      </c>
      <c r="I292" s="41">
        <v>1</v>
      </c>
      <c r="J292" s="108">
        <f>POWER(POWER(Table2[[#This Row],[mv]],4)/10,0.25)</f>
        <v>1.7994922406091175E-3</v>
      </c>
      <c r="K292" s="41">
        <v>0</v>
      </c>
      <c r="L292" s="41">
        <v>55</v>
      </c>
      <c r="M292" s="41">
        <v>-1</v>
      </c>
      <c r="N292" s="41">
        <v>4</v>
      </c>
      <c r="O292" s="110" t="s">
        <v>749</v>
      </c>
      <c r="P292" s="109">
        <v>191974</v>
      </c>
      <c r="Q292" s="107"/>
      <c r="R292" s="111"/>
      <c r="S292" s="110" t="s">
        <v>1189</v>
      </c>
      <c r="T292"/>
      <c r="U292"/>
      <c r="V292"/>
    </row>
    <row r="293" spans="1:22" x14ac:dyDescent="0.3">
      <c r="A293" s="105">
        <v>292</v>
      </c>
      <c r="B293" s="41">
        <v>12000000</v>
      </c>
      <c r="C293" s="41">
        <v>3.5000000000000001E-3</v>
      </c>
      <c r="D293" s="41">
        <v>4</v>
      </c>
      <c r="E293" s="41">
        <v>30</v>
      </c>
      <c r="F293" s="41">
        <v>0</v>
      </c>
      <c r="G293" s="41" t="s">
        <v>104</v>
      </c>
      <c r="H293" s="41">
        <v>1</v>
      </c>
      <c r="I293" s="41">
        <v>1</v>
      </c>
      <c r="J293" s="108">
        <f>POWER(POWER(Table2[[#This Row],[mv]],4)/10,0.25)</f>
        <v>1.9681946381662216E-3</v>
      </c>
      <c r="K293" s="41">
        <v>0</v>
      </c>
      <c r="L293" s="41">
        <v>55</v>
      </c>
      <c r="M293" s="41">
        <v>-1</v>
      </c>
      <c r="N293" s="41">
        <v>4</v>
      </c>
      <c r="O293" s="110" t="s">
        <v>750</v>
      </c>
      <c r="P293" s="109">
        <v>191909</v>
      </c>
      <c r="Q293" s="107"/>
      <c r="R293" s="111"/>
      <c r="S293" s="110" t="s">
        <v>1189</v>
      </c>
      <c r="T293"/>
      <c r="U293"/>
      <c r="V293"/>
    </row>
    <row r="294" spans="1:22" x14ac:dyDescent="0.3">
      <c r="A294" s="105">
        <v>293</v>
      </c>
      <c r="B294" s="41">
        <v>12000000</v>
      </c>
      <c r="C294" s="41">
        <v>3.5000000000000001E-3</v>
      </c>
      <c r="D294" s="41">
        <v>4.3620000000000001</v>
      </c>
      <c r="E294" s="41">
        <v>30</v>
      </c>
      <c r="F294" s="41">
        <v>0</v>
      </c>
      <c r="G294" s="41" t="s">
        <v>104</v>
      </c>
      <c r="H294" s="41">
        <v>1</v>
      </c>
      <c r="I294" s="41">
        <v>1</v>
      </c>
      <c r="J294" s="108">
        <f>POWER(POWER(Table2[[#This Row],[mv]],4)/10,0.25)</f>
        <v>1.9681946381662216E-3</v>
      </c>
      <c r="K294" s="41">
        <v>0</v>
      </c>
      <c r="L294" s="41">
        <v>55</v>
      </c>
      <c r="M294" s="41">
        <v>-1</v>
      </c>
      <c r="N294" s="41">
        <v>4</v>
      </c>
      <c r="O294" s="110" t="s">
        <v>751</v>
      </c>
      <c r="P294" s="109">
        <v>191909</v>
      </c>
      <c r="Q294" s="107"/>
      <c r="R294" s="111"/>
      <c r="S294" s="110" t="s">
        <v>1189</v>
      </c>
      <c r="T294"/>
      <c r="U294"/>
      <c r="V294"/>
    </row>
    <row r="295" spans="1:22" x14ac:dyDescent="0.3">
      <c r="A295" s="105">
        <v>294</v>
      </c>
      <c r="B295" s="41">
        <v>12000000</v>
      </c>
      <c r="C295" s="41">
        <v>3.5000000000000001E-3</v>
      </c>
      <c r="D295" s="41">
        <v>4.7568000000000001</v>
      </c>
      <c r="E295" s="41">
        <v>30</v>
      </c>
      <c r="F295" s="41">
        <v>0</v>
      </c>
      <c r="G295" s="41" t="s">
        <v>104</v>
      </c>
      <c r="H295" s="41">
        <v>1</v>
      </c>
      <c r="I295" s="41">
        <v>1</v>
      </c>
      <c r="J295" s="108">
        <f>POWER(POWER(Table2[[#This Row],[mv]],4)/10,0.25)</f>
        <v>1.9681946381662216E-3</v>
      </c>
      <c r="K295" s="41">
        <v>0</v>
      </c>
      <c r="L295" s="41">
        <v>55</v>
      </c>
      <c r="M295" s="41">
        <v>-1</v>
      </c>
      <c r="N295" s="41">
        <v>4</v>
      </c>
      <c r="O295" s="110" t="s">
        <v>752</v>
      </c>
      <c r="P295" s="109">
        <v>191909</v>
      </c>
      <c r="Q295" s="107"/>
      <c r="R295" s="111"/>
      <c r="S295" s="110" t="s">
        <v>1189</v>
      </c>
      <c r="T295"/>
      <c r="U295"/>
      <c r="V295"/>
    </row>
    <row r="296" spans="1:22" x14ac:dyDescent="0.3">
      <c r="A296" s="105">
        <v>295</v>
      </c>
      <c r="B296" s="41">
        <v>12000000</v>
      </c>
      <c r="C296" s="41">
        <v>3.5000000000000001E-3</v>
      </c>
      <c r="D296" s="41">
        <v>5.1874000000000002</v>
      </c>
      <c r="E296" s="41">
        <v>30</v>
      </c>
      <c r="F296" s="41">
        <v>0</v>
      </c>
      <c r="G296" s="41" t="s">
        <v>104</v>
      </c>
      <c r="H296" s="41">
        <v>1</v>
      </c>
      <c r="I296" s="41">
        <v>1</v>
      </c>
      <c r="J296" s="108">
        <f>POWER(POWER(Table2[[#This Row],[mv]],4)/10,0.25)</f>
        <v>1.9681946381662216E-3</v>
      </c>
      <c r="K296" s="41">
        <v>0</v>
      </c>
      <c r="L296" s="41">
        <v>55</v>
      </c>
      <c r="M296" s="41">
        <v>-1</v>
      </c>
      <c r="N296" s="41">
        <v>4</v>
      </c>
      <c r="O296" s="110" t="s">
        <v>753</v>
      </c>
      <c r="P296" s="109">
        <v>191909</v>
      </c>
      <c r="Q296" s="107"/>
      <c r="R296" s="111"/>
      <c r="S296" s="110" t="s">
        <v>1189</v>
      </c>
      <c r="T296"/>
      <c r="U296"/>
      <c r="V296"/>
    </row>
    <row r="297" spans="1:22" x14ac:dyDescent="0.3">
      <c r="A297" s="105">
        <v>296</v>
      </c>
      <c r="B297" s="41">
        <v>12000000</v>
      </c>
      <c r="C297" s="41">
        <v>3.5000000000000001E-3</v>
      </c>
      <c r="D297" s="41">
        <v>5.6569000000000003</v>
      </c>
      <c r="E297" s="41">
        <v>30</v>
      </c>
      <c r="F297" s="41">
        <v>0</v>
      </c>
      <c r="G297" s="41" t="s">
        <v>104</v>
      </c>
      <c r="H297" s="41">
        <v>1</v>
      </c>
      <c r="I297" s="41">
        <v>1</v>
      </c>
      <c r="J297" s="108">
        <f>POWER(POWER(Table2[[#This Row],[mv]],4)/10,0.25)</f>
        <v>1.9681946381662216E-3</v>
      </c>
      <c r="K297" s="41">
        <v>0</v>
      </c>
      <c r="L297" s="41">
        <v>55</v>
      </c>
      <c r="M297" s="41">
        <v>-1</v>
      </c>
      <c r="N297" s="41">
        <v>4</v>
      </c>
      <c r="O297" s="110" t="s">
        <v>754</v>
      </c>
      <c r="P297" s="109">
        <v>191909</v>
      </c>
      <c r="Q297" s="107"/>
      <c r="R297" s="111"/>
      <c r="S297" s="110" t="s">
        <v>1189</v>
      </c>
      <c r="T297"/>
      <c r="U297"/>
      <c r="V297"/>
    </row>
    <row r="298" spans="1:22" x14ac:dyDescent="0.3">
      <c r="A298" s="105">
        <v>297</v>
      </c>
      <c r="B298" s="41">
        <v>12000000</v>
      </c>
      <c r="C298" s="41">
        <v>3.5000000000000001E-3</v>
      </c>
      <c r="D298" s="41">
        <v>6.1688000000000001</v>
      </c>
      <c r="E298" s="41">
        <v>30</v>
      </c>
      <c r="F298" s="41">
        <v>0</v>
      </c>
      <c r="G298" s="41" t="s">
        <v>104</v>
      </c>
      <c r="H298" s="41">
        <v>1</v>
      </c>
      <c r="I298" s="41">
        <v>1</v>
      </c>
      <c r="J298" s="108">
        <f>POWER(POWER(Table2[[#This Row],[mv]],4)/10,0.25)</f>
        <v>1.9681946381662216E-3</v>
      </c>
      <c r="K298" s="41">
        <v>0</v>
      </c>
      <c r="L298" s="41">
        <v>55</v>
      </c>
      <c r="M298" s="41">
        <v>-1</v>
      </c>
      <c r="N298" s="41">
        <v>4</v>
      </c>
      <c r="O298" s="110" t="s">
        <v>755</v>
      </c>
      <c r="P298" s="109">
        <v>191909</v>
      </c>
      <c r="Q298" s="107"/>
      <c r="R298" s="111"/>
      <c r="S298" s="110" t="s">
        <v>1189</v>
      </c>
      <c r="T298"/>
      <c r="U298"/>
      <c r="V298"/>
    </row>
    <row r="299" spans="1:22" x14ac:dyDescent="0.3">
      <c r="A299" s="105">
        <v>298</v>
      </c>
      <c r="B299" s="41">
        <v>12000000</v>
      </c>
      <c r="C299" s="41">
        <v>3.5000000000000001E-3</v>
      </c>
      <c r="D299" s="41">
        <v>6.7271999999999998</v>
      </c>
      <c r="E299" s="41">
        <v>30</v>
      </c>
      <c r="F299" s="41">
        <v>0</v>
      </c>
      <c r="G299" s="41" t="s">
        <v>104</v>
      </c>
      <c r="H299" s="41">
        <v>1</v>
      </c>
      <c r="I299" s="41">
        <v>1</v>
      </c>
      <c r="J299" s="108">
        <f>POWER(POWER(Table2[[#This Row],[mv]],4)/10,0.25)</f>
        <v>1.9681946381662216E-3</v>
      </c>
      <c r="K299" s="41">
        <v>0</v>
      </c>
      <c r="L299" s="41">
        <v>55</v>
      </c>
      <c r="M299" s="41">
        <v>-1</v>
      </c>
      <c r="N299" s="41">
        <v>4</v>
      </c>
      <c r="O299" s="110" t="s">
        <v>756</v>
      </c>
      <c r="P299" s="109">
        <v>191909</v>
      </c>
      <c r="Q299" s="107"/>
      <c r="R299" s="111"/>
      <c r="S299" s="110" t="s">
        <v>1189</v>
      </c>
      <c r="T299"/>
      <c r="U299"/>
      <c r="V299"/>
    </row>
    <row r="300" spans="1:22" x14ac:dyDescent="0.3">
      <c r="A300" s="105">
        <v>299</v>
      </c>
      <c r="B300" s="41">
        <v>12000000</v>
      </c>
      <c r="C300" s="41">
        <v>3.5000000000000001E-3</v>
      </c>
      <c r="D300" s="41">
        <v>7.3360000000000003</v>
      </c>
      <c r="E300" s="41">
        <v>30</v>
      </c>
      <c r="F300" s="41">
        <v>0</v>
      </c>
      <c r="G300" s="41" t="s">
        <v>104</v>
      </c>
      <c r="H300" s="41">
        <v>1</v>
      </c>
      <c r="I300" s="41">
        <v>1</v>
      </c>
      <c r="J300" s="108">
        <f>POWER(POWER(Table2[[#This Row],[mv]],4)/10,0.25)</f>
        <v>1.9681946381662216E-3</v>
      </c>
      <c r="K300" s="41">
        <v>0</v>
      </c>
      <c r="L300" s="41">
        <v>55</v>
      </c>
      <c r="M300" s="41">
        <v>-1</v>
      </c>
      <c r="N300" s="41">
        <v>4</v>
      </c>
      <c r="O300" s="110" t="s">
        <v>757</v>
      </c>
      <c r="P300" s="109">
        <v>191909</v>
      </c>
      <c r="Q300" s="107"/>
      <c r="R300" s="111"/>
      <c r="S300" s="110" t="s">
        <v>1189</v>
      </c>
      <c r="T300"/>
      <c r="U300"/>
      <c r="V300"/>
    </row>
    <row r="301" spans="1:22" x14ac:dyDescent="0.3">
      <c r="A301" s="105">
        <v>300</v>
      </c>
      <c r="B301" s="41">
        <v>12000000</v>
      </c>
      <c r="C301" s="41">
        <v>3.5000000000000001E-3</v>
      </c>
      <c r="D301" s="41">
        <v>8</v>
      </c>
      <c r="E301" s="41">
        <v>30</v>
      </c>
      <c r="F301" s="41">
        <v>0</v>
      </c>
      <c r="G301" s="41" t="s">
        <v>104</v>
      </c>
      <c r="H301" s="41">
        <v>1</v>
      </c>
      <c r="I301" s="41">
        <v>1</v>
      </c>
      <c r="J301" s="108">
        <f>POWER(POWER(Table2[[#This Row],[mv]],4)/10,0.25)</f>
        <v>1.9681946381662216E-3</v>
      </c>
      <c r="K301" s="41">
        <v>0</v>
      </c>
      <c r="L301" s="41">
        <v>55</v>
      </c>
      <c r="M301" s="41">
        <v>-1</v>
      </c>
      <c r="N301" s="41">
        <v>4</v>
      </c>
      <c r="O301" s="110" t="s">
        <v>758</v>
      </c>
      <c r="P301" s="109">
        <v>191909</v>
      </c>
      <c r="Q301" s="107"/>
      <c r="R301" s="111"/>
      <c r="S301" s="110" t="s">
        <v>1189</v>
      </c>
      <c r="T301"/>
      <c r="U301"/>
      <c r="V301"/>
    </row>
    <row r="302" spans="1:22" x14ac:dyDescent="0.3">
      <c r="A302" s="105">
        <v>301</v>
      </c>
      <c r="B302" s="41">
        <v>12000000</v>
      </c>
      <c r="C302" s="41">
        <v>3.5000000000000001E-3</v>
      </c>
      <c r="D302" s="41">
        <v>8.7241</v>
      </c>
      <c r="E302" s="41">
        <v>30</v>
      </c>
      <c r="F302" s="41">
        <v>0</v>
      </c>
      <c r="G302" s="41" t="s">
        <v>104</v>
      </c>
      <c r="H302" s="41">
        <v>1</v>
      </c>
      <c r="I302" s="41">
        <v>1</v>
      </c>
      <c r="J302" s="108">
        <f>POWER(POWER(Table2[[#This Row],[mv]],4)/10,0.25)</f>
        <v>1.9681946381662216E-3</v>
      </c>
      <c r="K302" s="41">
        <v>0</v>
      </c>
      <c r="L302" s="41">
        <v>55</v>
      </c>
      <c r="M302" s="41">
        <v>-1</v>
      </c>
      <c r="N302" s="41">
        <v>4</v>
      </c>
      <c r="O302" s="110" t="s">
        <v>759</v>
      </c>
      <c r="P302" s="109">
        <v>191909</v>
      </c>
      <c r="Q302" s="107"/>
      <c r="R302" s="111"/>
      <c r="S302" s="110" t="s">
        <v>1189</v>
      </c>
      <c r="T302"/>
      <c r="U302"/>
      <c r="V302"/>
    </row>
    <row r="303" spans="1:22" x14ac:dyDescent="0.3">
      <c r="A303" s="105">
        <v>302</v>
      </c>
      <c r="B303" s="41">
        <v>12000000</v>
      </c>
      <c r="C303" s="41">
        <v>3.5000000000000001E-3</v>
      </c>
      <c r="D303" s="41">
        <v>9.5137</v>
      </c>
      <c r="E303" s="41">
        <v>30</v>
      </c>
      <c r="F303" s="41">
        <v>0</v>
      </c>
      <c r="G303" s="41" t="s">
        <v>104</v>
      </c>
      <c r="H303" s="41">
        <v>1</v>
      </c>
      <c r="I303" s="41">
        <v>1</v>
      </c>
      <c r="J303" s="108">
        <f>POWER(POWER(Table2[[#This Row],[mv]],4)/10,0.25)</f>
        <v>1.9681946381662216E-3</v>
      </c>
      <c r="K303" s="41">
        <v>0</v>
      </c>
      <c r="L303" s="41">
        <v>55</v>
      </c>
      <c r="M303" s="41">
        <v>-1</v>
      </c>
      <c r="N303" s="41">
        <v>4</v>
      </c>
      <c r="O303" s="110" t="s">
        <v>760</v>
      </c>
      <c r="P303" s="109">
        <v>191909</v>
      </c>
      <c r="Q303" s="107"/>
      <c r="R303" s="111"/>
      <c r="S303" s="110" t="s">
        <v>1189</v>
      </c>
      <c r="T303"/>
      <c r="U303"/>
      <c r="V303"/>
    </row>
    <row r="304" spans="1:22" x14ac:dyDescent="0.3">
      <c r="A304" s="105">
        <v>303</v>
      </c>
      <c r="B304" s="41">
        <v>12000000</v>
      </c>
      <c r="C304" s="41">
        <v>3.5000000000000001E-3</v>
      </c>
      <c r="D304" s="41">
        <v>10.374700000000001</v>
      </c>
      <c r="E304" s="41">
        <v>30</v>
      </c>
      <c r="F304" s="41">
        <v>0</v>
      </c>
      <c r="G304" s="41" t="s">
        <v>104</v>
      </c>
      <c r="H304" s="41">
        <v>1</v>
      </c>
      <c r="I304" s="41">
        <v>1</v>
      </c>
      <c r="J304" s="108">
        <f>POWER(POWER(Table2[[#This Row],[mv]],4)/10,0.25)</f>
        <v>1.9681946381662216E-3</v>
      </c>
      <c r="K304" s="41">
        <v>0</v>
      </c>
      <c r="L304" s="41">
        <v>55</v>
      </c>
      <c r="M304" s="41">
        <v>-1</v>
      </c>
      <c r="N304" s="41">
        <v>4</v>
      </c>
      <c r="O304" s="110" t="s">
        <v>761</v>
      </c>
      <c r="P304" s="109">
        <v>191909</v>
      </c>
      <c r="Q304" s="107"/>
      <c r="R304" s="111"/>
      <c r="S304" s="110" t="s">
        <v>1189</v>
      </c>
      <c r="T304"/>
      <c r="U304"/>
      <c r="V304"/>
    </row>
    <row r="305" spans="1:22" x14ac:dyDescent="0.3">
      <c r="A305" s="105">
        <v>304</v>
      </c>
      <c r="B305" s="41">
        <v>12000000</v>
      </c>
      <c r="C305" s="41">
        <v>3.5000000000000001E-3</v>
      </c>
      <c r="D305" s="41">
        <v>11.313700000000001</v>
      </c>
      <c r="E305" s="41">
        <v>30</v>
      </c>
      <c r="F305" s="41">
        <v>0</v>
      </c>
      <c r="G305" s="41" t="s">
        <v>104</v>
      </c>
      <c r="H305" s="41">
        <v>1</v>
      </c>
      <c r="I305" s="41">
        <v>1</v>
      </c>
      <c r="J305" s="108">
        <f>POWER(POWER(Table2[[#This Row],[mv]],4)/10,0.25)</f>
        <v>1.9681946381662216E-3</v>
      </c>
      <c r="K305" s="41">
        <v>0</v>
      </c>
      <c r="L305" s="41">
        <v>55</v>
      </c>
      <c r="M305" s="41">
        <v>-1</v>
      </c>
      <c r="N305" s="41">
        <v>4</v>
      </c>
      <c r="O305" s="110" t="s">
        <v>762</v>
      </c>
      <c r="P305" s="109">
        <v>191909</v>
      </c>
      <c r="Q305" s="107"/>
      <c r="R305" s="111"/>
      <c r="S305" s="110" t="s">
        <v>1189</v>
      </c>
      <c r="T305"/>
      <c r="U305"/>
      <c r="V305"/>
    </row>
    <row r="306" spans="1:22" x14ac:dyDescent="0.3">
      <c r="A306" s="105">
        <v>305</v>
      </c>
      <c r="B306" s="41">
        <v>12000000</v>
      </c>
      <c r="C306" s="41">
        <v>3.5000000000000001E-3</v>
      </c>
      <c r="D306" s="41">
        <v>12.3377</v>
      </c>
      <c r="E306" s="41">
        <v>30</v>
      </c>
      <c r="F306" s="41">
        <v>0</v>
      </c>
      <c r="G306" s="41" t="s">
        <v>104</v>
      </c>
      <c r="H306" s="41">
        <v>1</v>
      </c>
      <c r="I306" s="41">
        <v>1</v>
      </c>
      <c r="J306" s="108">
        <f>POWER(POWER(Table2[[#This Row],[mv]],4)/10,0.25)</f>
        <v>1.9681946381662216E-3</v>
      </c>
      <c r="K306" s="41">
        <v>0</v>
      </c>
      <c r="L306" s="41">
        <v>55</v>
      </c>
      <c r="M306" s="41">
        <v>-1</v>
      </c>
      <c r="N306" s="41">
        <v>4</v>
      </c>
      <c r="O306" s="110" t="s">
        <v>763</v>
      </c>
      <c r="P306" s="109">
        <v>191909</v>
      </c>
      <c r="Q306" s="107"/>
      <c r="R306" s="111"/>
      <c r="S306" s="110" t="s">
        <v>1189</v>
      </c>
      <c r="T306"/>
      <c r="U306"/>
      <c r="V306"/>
    </row>
    <row r="307" spans="1:22" x14ac:dyDescent="0.3">
      <c r="A307" s="105">
        <v>306</v>
      </c>
      <c r="B307" s="41">
        <v>12000000</v>
      </c>
      <c r="C307" s="41">
        <v>3.5000000000000001E-3</v>
      </c>
      <c r="D307" s="41">
        <v>13.4543</v>
      </c>
      <c r="E307" s="41">
        <v>30</v>
      </c>
      <c r="F307" s="41">
        <v>0</v>
      </c>
      <c r="G307" s="41" t="s">
        <v>104</v>
      </c>
      <c r="H307" s="41">
        <v>1</v>
      </c>
      <c r="I307" s="41">
        <v>1</v>
      </c>
      <c r="J307" s="108">
        <f>POWER(POWER(Table2[[#This Row],[mv]],4)/10,0.25)</f>
        <v>1.9681946381662216E-3</v>
      </c>
      <c r="K307" s="41">
        <v>0</v>
      </c>
      <c r="L307" s="41">
        <v>55</v>
      </c>
      <c r="M307" s="41">
        <v>-1</v>
      </c>
      <c r="N307" s="41">
        <v>4</v>
      </c>
      <c r="O307" s="110" t="s">
        <v>764</v>
      </c>
      <c r="P307" s="109">
        <v>191909</v>
      </c>
      <c r="Q307" s="107"/>
      <c r="R307" s="111"/>
      <c r="S307" s="110" t="s">
        <v>1189</v>
      </c>
      <c r="T307"/>
      <c r="U307"/>
      <c r="V307"/>
    </row>
    <row r="308" spans="1:22" x14ac:dyDescent="0.3">
      <c r="A308" s="105">
        <v>307</v>
      </c>
      <c r="B308" s="41">
        <v>12000000</v>
      </c>
      <c r="C308" s="41">
        <v>3.5000000000000001E-3</v>
      </c>
      <c r="D308" s="41">
        <v>14.6721</v>
      </c>
      <c r="E308" s="41">
        <v>30</v>
      </c>
      <c r="F308" s="41">
        <v>0</v>
      </c>
      <c r="G308" s="41" t="s">
        <v>104</v>
      </c>
      <c r="H308" s="41">
        <v>1</v>
      </c>
      <c r="I308" s="41">
        <v>1</v>
      </c>
      <c r="J308" s="108">
        <f>POWER(POWER(Table2[[#This Row],[mv]],4)/10,0.25)</f>
        <v>1.9681946381662216E-3</v>
      </c>
      <c r="K308" s="41">
        <v>0</v>
      </c>
      <c r="L308" s="41">
        <v>55</v>
      </c>
      <c r="M308" s="41">
        <v>-1</v>
      </c>
      <c r="N308" s="41">
        <v>4</v>
      </c>
      <c r="O308" s="110" t="s">
        <v>765</v>
      </c>
      <c r="P308" s="109">
        <v>191909</v>
      </c>
      <c r="Q308" s="107"/>
      <c r="R308" s="111"/>
      <c r="S308" s="110" t="s">
        <v>1189</v>
      </c>
      <c r="T308"/>
      <c r="U308"/>
      <c r="V308"/>
    </row>
    <row r="309" spans="1:22" x14ac:dyDescent="0.3">
      <c r="A309" s="105">
        <v>308</v>
      </c>
      <c r="B309" s="41">
        <v>12000000</v>
      </c>
      <c r="C309" s="41">
        <v>3.5000000000000001E-3</v>
      </c>
      <c r="D309" s="41">
        <v>16</v>
      </c>
      <c r="E309" s="41">
        <v>30</v>
      </c>
      <c r="F309" s="41">
        <v>0</v>
      </c>
      <c r="G309" s="41" t="s">
        <v>104</v>
      </c>
      <c r="H309" s="41">
        <v>1</v>
      </c>
      <c r="I309" s="41">
        <v>1</v>
      </c>
      <c r="J309" s="108">
        <f>POWER(POWER(Table2[[#This Row],[mv]],4)/10,0.25)</f>
        <v>1.9681946381662216E-3</v>
      </c>
      <c r="K309" s="41">
        <v>0</v>
      </c>
      <c r="L309" s="41">
        <v>55</v>
      </c>
      <c r="M309" s="41">
        <v>-1</v>
      </c>
      <c r="N309" s="41">
        <v>4</v>
      </c>
      <c r="O309" s="110" t="s">
        <v>766</v>
      </c>
      <c r="P309" s="109">
        <v>191909</v>
      </c>
      <c r="Q309" s="107"/>
      <c r="R309" s="111"/>
      <c r="S309" s="110" t="s">
        <v>1189</v>
      </c>
      <c r="T309"/>
      <c r="U309"/>
      <c r="V309"/>
    </row>
    <row r="310" spans="1:22" x14ac:dyDescent="0.3">
      <c r="A310" s="105">
        <v>309</v>
      </c>
      <c r="B310" s="41">
        <v>12000000</v>
      </c>
      <c r="C310" s="41">
        <v>3.5000000000000001E-3</v>
      </c>
      <c r="D310" s="41">
        <v>17.4481</v>
      </c>
      <c r="E310" s="41">
        <v>30</v>
      </c>
      <c r="F310" s="41">
        <v>0</v>
      </c>
      <c r="G310" s="41" t="s">
        <v>104</v>
      </c>
      <c r="H310" s="41">
        <v>1</v>
      </c>
      <c r="I310" s="41">
        <v>1</v>
      </c>
      <c r="J310" s="108">
        <f>POWER(POWER(Table2[[#This Row],[mv]],4)/10,0.25)</f>
        <v>1.9681946381662216E-3</v>
      </c>
      <c r="K310" s="41">
        <v>0</v>
      </c>
      <c r="L310" s="41">
        <v>55</v>
      </c>
      <c r="M310" s="41">
        <v>-1</v>
      </c>
      <c r="N310" s="41">
        <v>4</v>
      </c>
      <c r="O310" s="110" t="s">
        <v>767</v>
      </c>
      <c r="P310" s="109">
        <v>191909</v>
      </c>
      <c r="Q310" s="107"/>
      <c r="R310" s="111"/>
      <c r="S310" s="110" t="s">
        <v>1189</v>
      </c>
      <c r="T310"/>
      <c r="U310"/>
      <c r="V310"/>
    </row>
    <row r="311" spans="1:22" x14ac:dyDescent="0.3">
      <c r="A311" s="105">
        <v>310</v>
      </c>
      <c r="B311" s="41">
        <v>12000000</v>
      </c>
      <c r="C311" s="41">
        <v>3.5000000000000001E-3</v>
      </c>
      <c r="D311" s="41">
        <v>19.0273</v>
      </c>
      <c r="E311" s="41">
        <v>30</v>
      </c>
      <c r="F311" s="41">
        <v>0</v>
      </c>
      <c r="G311" s="41" t="s">
        <v>104</v>
      </c>
      <c r="H311" s="41">
        <v>1</v>
      </c>
      <c r="I311" s="41">
        <v>1</v>
      </c>
      <c r="J311" s="108">
        <f>POWER(POWER(Table2[[#This Row],[mv]],4)/10,0.25)</f>
        <v>1.9681946381662216E-3</v>
      </c>
      <c r="K311" s="41">
        <v>0</v>
      </c>
      <c r="L311" s="41">
        <v>55</v>
      </c>
      <c r="M311" s="41">
        <v>-1</v>
      </c>
      <c r="N311" s="41">
        <v>4</v>
      </c>
      <c r="O311" s="110" t="s">
        <v>768</v>
      </c>
      <c r="P311" s="109">
        <v>191909</v>
      </c>
      <c r="Q311" s="107"/>
      <c r="R311" s="111"/>
      <c r="S311" s="110" t="s">
        <v>1189</v>
      </c>
      <c r="T311"/>
      <c r="U311"/>
      <c r="V311"/>
    </row>
    <row r="312" spans="1:22" x14ac:dyDescent="0.3">
      <c r="A312" s="105">
        <v>311</v>
      </c>
      <c r="B312" s="41">
        <v>12000000</v>
      </c>
      <c r="C312" s="41">
        <v>3.8E-3</v>
      </c>
      <c r="D312" s="41">
        <v>4.7568000000000001</v>
      </c>
      <c r="E312" s="41">
        <v>30</v>
      </c>
      <c r="F312" s="41">
        <v>0</v>
      </c>
      <c r="G312" s="41" t="s">
        <v>104</v>
      </c>
      <c r="H312" s="41">
        <v>1</v>
      </c>
      <c r="I312" s="41">
        <v>1</v>
      </c>
      <c r="J312" s="108">
        <f>POWER(POWER(Table2[[#This Row],[mv]],4)/10,0.25)</f>
        <v>2.1368970357233258E-3</v>
      </c>
      <c r="K312" s="41">
        <v>0</v>
      </c>
      <c r="L312" s="41">
        <v>55</v>
      </c>
      <c r="M312" s="41">
        <v>-1</v>
      </c>
      <c r="N312" s="41">
        <v>4</v>
      </c>
      <c r="O312" s="110" t="s">
        <v>769</v>
      </c>
      <c r="P312" s="109">
        <v>191949</v>
      </c>
      <c r="Q312" s="107"/>
      <c r="R312" s="111"/>
      <c r="S312" s="110" t="s">
        <v>1189</v>
      </c>
      <c r="T312"/>
      <c r="U312"/>
      <c r="V312"/>
    </row>
    <row r="313" spans="1:22" x14ac:dyDescent="0.3">
      <c r="A313" s="105">
        <v>312</v>
      </c>
      <c r="B313" s="41">
        <v>12000000</v>
      </c>
      <c r="C313" s="41">
        <v>3.8E-3</v>
      </c>
      <c r="D313" s="41">
        <v>5.1874000000000002</v>
      </c>
      <c r="E313" s="41">
        <v>30</v>
      </c>
      <c r="F313" s="41">
        <v>0</v>
      </c>
      <c r="G313" s="41" t="s">
        <v>104</v>
      </c>
      <c r="H313" s="41">
        <v>1</v>
      </c>
      <c r="I313" s="41">
        <v>1</v>
      </c>
      <c r="J313" s="108">
        <f>POWER(POWER(Table2[[#This Row],[mv]],4)/10,0.25)</f>
        <v>2.1368970357233258E-3</v>
      </c>
      <c r="K313" s="41">
        <v>0</v>
      </c>
      <c r="L313" s="41">
        <v>55</v>
      </c>
      <c r="M313" s="41">
        <v>-1</v>
      </c>
      <c r="N313" s="41">
        <v>4</v>
      </c>
      <c r="O313" s="110" t="s">
        <v>770</v>
      </c>
      <c r="P313" s="109">
        <v>191949</v>
      </c>
      <c r="Q313" s="107"/>
      <c r="R313" s="111"/>
      <c r="S313" s="110" t="s">
        <v>1189</v>
      </c>
      <c r="T313"/>
      <c r="U313"/>
      <c r="V313"/>
    </row>
    <row r="314" spans="1:22" x14ac:dyDescent="0.3">
      <c r="A314" s="105">
        <v>313</v>
      </c>
      <c r="B314" s="41">
        <v>12000000</v>
      </c>
      <c r="C314" s="41">
        <v>3.8E-3</v>
      </c>
      <c r="D314" s="41">
        <v>5.6569000000000003</v>
      </c>
      <c r="E314" s="41">
        <v>30</v>
      </c>
      <c r="F314" s="41">
        <v>0</v>
      </c>
      <c r="G314" s="41" t="s">
        <v>104</v>
      </c>
      <c r="H314" s="41">
        <v>1</v>
      </c>
      <c r="I314" s="41">
        <v>1</v>
      </c>
      <c r="J314" s="108">
        <f>POWER(POWER(Table2[[#This Row],[mv]],4)/10,0.25)</f>
        <v>2.1368970357233258E-3</v>
      </c>
      <c r="K314" s="41">
        <v>0</v>
      </c>
      <c r="L314" s="41">
        <v>55</v>
      </c>
      <c r="M314" s="41">
        <v>-1</v>
      </c>
      <c r="N314" s="41">
        <v>4</v>
      </c>
      <c r="O314" s="110" t="s">
        <v>771</v>
      </c>
      <c r="P314" s="109">
        <v>191949</v>
      </c>
      <c r="Q314" s="107"/>
      <c r="R314" s="111"/>
      <c r="S314" s="110" t="s">
        <v>1189</v>
      </c>
      <c r="T314"/>
      <c r="U314"/>
      <c r="V314"/>
    </row>
    <row r="315" spans="1:22" x14ac:dyDescent="0.3">
      <c r="A315" s="105">
        <v>314</v>
      </c>
      <c r="B315" s="41">
        <v>12000000</v>
      </c>
      <c r="C315" s="41">
        <v>3.8E-3</v>
      </c>
      <c r="D315" s="41">
        <v>6.1688000000000001</v>
      </c>
      <c r="E315" s="41">
        <v>30</v>
      </c>
      <c r="F315" s="41">
        <v>0</v>
      </c>
      <c r="G315" s="41" t="s">
        <v>104</v>
      </c>
      <c r="H315" s="41">
        <v>1</v>
      </c>
      <c r="I315" s="41">
        <v>1</v>
      </c>
      <c r="J315" s="108">
        <f>POWER(POWER(Table2[[#This Row],[mv]],4)/10,0.25)</f>
        <v>2.1368970357233258E-3</v>
      </c>
      <c r="K315" s="41">
        <v>0</v>
      </c>
      <c r="L315" s="41">
        <v>55</v>
      </c>
      <c r="M315" s="41">
        <v>-1</v>
      </c>
      <c r="N315" s="41">
        <v>4</v>
      </c>
      <c r="O315" s="110" t="s">
        <v>772</v>
      </c>
      <c r="P315" s="109">
        <v>191949</v>
      </c>
      <c r="Q315" s="107"/>
      <c r="R315" s="111"/>
      <c r="S315" s="110" t="s">
        <v>1189</v>
      </c>
      <c r="T315"/>
      <c r="U315"/>
      <c r="V315"/>
    </row>
    <row r="316" spans="1:22" x14ac:dyDescent="0.3">
      <c r="A316" s="105">
        <v>315</v>
      </c>
      <c r="B316" s="41">
        <v>12000000</v>
      </c>
      <c r="C316" s="41">
        <v>3.8E-3</v>
      </c>
      <c r="D316" s="41">
        <v>6.7271999999999998</v>
      </c>
      <c r="E316" s="41">
        <v>30</v>
      </c>
      <c r="F316" s="41">
        <v>0</v>
      </c>
      <c r="G316" s="41" t="s">
        <v>104</v>
      </c>
      <c r="H316" s="41">
        <v>1</v>
      </c>
      <c r="I316" s="41">
        <v>1</v>
      </c>
      <c r="J316" s="108">
        <f>POWER(POWER(Table2[[#This Row],[mv]],4)/10,0.25)</f>
        <v>2.1368970357233258E-3</v>
      </c>
      <c r="K316" s="41">
        <v>0</v>
      </c>
      <c r="L316" s="41">
        <v>55</v>
      </c>
      <c r="M316" s="41">
        <v>-1</v>
      </c>
      <c r="N316" s="41">
        <v>4</v>
      </c>
      <c r="O316" s="110" t="s">
        <v>773</v>
      </c>
      <c r="P316" s="109">
        <v>191949</v>
      </c>
      <c r="Q316" s="107"/>
      <c r="R316" s="111"/>
      <c r="S316" s="110" t="s">
        <v>1189</v>
      </c>
      <c r="T316"/>
      <c r="U316"/>
      <c r="V316"/>
    </row>
    <row r="317" spans="1:22" x14ac:dyDescent="0.3">
      <c r="A317" s="105">
        <v>316</v>
      </c>
      <c r="B317" s="41">
        <v>12000000</v>
      </c>
      <c r="C317" s="41">
        <v>3.8E-3</v>
      </c>
      <c r="D317" s="41">
        <v>7.3360000000000003</v>
      </c>
      <c r="E317" s="41">
        <v>30</v>
      </c>
      <c r="F317" s="41">
        <v>0</v>
      </c>
      <c r="G317" s="41" t="s">
        <v>104</v>
      </c>
      <c r="H317" s="41">
        <v>1</v>
      </c>
      <c r="I317" s="41">
        <v>1</v>
      </c>
      <c r="J317" s="108">
        <f>POWER(POWER(Table2[[#This Row],[mv]],4)/10,0.25)</f>
        <v>2.1368970357233258E-3</v>
      </c>
      <c r="K317" s="41">
        <v>0</v>
      </c>
      <c r="L317" s="41">
        <v>55</v>
      </c>
      <c r="M317" s="41">
        <v>-1</v>
      </c>
      <c r="N317" s="41">
        <v>4</v>
      </c>
      <c r="O317" s="110" t="s">
        <v>774</v>
      </c>
      <c r="P317" s="109">
        <v>191949</v>
      </c>
      <c r="Q317" s="107"/>
      <c r="R317" s="111"/>
      <c r="S317" s="110" t="s">
        <v>1189</v>
      </c>
      <c r="T317"/>
      <c r="U317"/>
      <c r="V317"/>
    </row>
    <row r="318" spans="1:22" x14ac:dyDescent="0.3">
      <c r="A318" s="105">
        <v>317</v>
      </c>
      <c r="B318" s="41">
        <v>12000000</v>
      </c>
      <c r="C318" s="41">
        <v>3.8E-3</v>
      </c>
      <c r="D318" s="41">
        <v>8</v>
      </c>
      <c r="E318" s="41">
        <v>30</v>
      </c>
      <c r="F318" s="41">
        <v>0</v>
      </c>
      <c r="G318" s="41" t="s">
        <v>104</v>
      </c>
      <c r="H318" s="41">
        <v>1</v>
      </c>
      <c r="I318" s="41">
        <v>1</v>
      </c>
      <c r="J318" s="108">
        <f>POWER(POWER(Table2[[#This Row],[mv]],4)/10,0.25)</f>
        <v>2.1368970357233258E-3</v>
      </c>
      <c r="K318" s="41">
        <v>0</v>
      </c>
      <c r="L318" s="41">
        <v>55</v>
      </c>
      <c r="M318" s="41">
        <v>-1</v>
      </c>
      <c r="N318" s="41">
        <v>4</v>
      </c>
      <c r="O318" s="110" t="s">
        <v>775</v>
      </c>
      <c r="P318" s="109">
        <v>191949</v>
      </c>
      <c r="Q318" s="107"/>
      <c r="R318" s="111"/>
      <c r="S318" s="110" t="s">
        <v>1189</v>
      </c>
      <c r="T318"/>
      <c r="U318"/>
      <c r="V318"/>
    </row>
    <row r="319" spans="1:22" x14ac:dyDescent="0.3">
      <c r="A319" s="105">
        <v>318</v>
      </c>
      <c r="B319" s="41">
        <v>12000000</v>
      </c>
      <c r="C319" s="41">
        <v>3.8E-3</v>
      </c>
      <c r="D319" s="41">
        <v>8.7241</v>
      </c>
      <c r="E319" s="41">
        <v>30</v>
      </c>
      <c r="F319" s="41">
        <v>0</v>
      </c>
      <c r="G319" s="41" t="s">
        <v>104</v>
      </c>
      <c r="H319" s="41">
        <v>1</v>
      </c>
      <c r="I319" s="41">
        <v>1</v>
      </c>
      <c r="J319" s="108">
        <f>POWER(POWER(Table2[[#This Row],[mv]],4)/10,0.25)</f>
        <v>2.1368970357233258E-3</v>
      </c>
      <c r="K319" s="41">
        <v>0</v>
      </c>
      <c r="L319" s="41">
        <v>55</v>
      </c>
      <c r="M319" s="41">
        <v>-1</v>
      </c>
      <c r="N319" s="41">
        <v>4</v>
      </c>
      <c r="O319" s="110" t="s">
        <v>776</v>
      </c>
      <c r="P319" s="109">
        <v>191949</v>
      </c>
      <c r="Q319" s="107"/>
      <c r="R319" s="111"/>
      <c r="S319" s="110" t="s">
        <v>1189</v>
      </c>
      <c r="T319"/>
      <c r="U319"/>
      <c r="V319"/>
    </row>
    <row r="320" spans="1:22" x14ac:dyDescent="0.3">
      <c r="A320" s="105">
        <v>319</v>
      </c>
      <c r="B320" s="41">
        <v>12000000</v>
      </c>
      <c r="C320" s="41">
        <v>3.8E-3</v>
      </c>
      <c r="D320" s="41">
        <v>9.5137</v>
      </c>
      <c r="E320" s="41">
        <v>30</v>
      </c>
      <c r="F320" s="41">
        <v>0</v>
      </c>
      <c r="G320" s="41" t="s">
        <v>104</v>
      </c>
      <c r="H320" s="41">
        <v>1</v>
      </c>
      <c r="I320" s="41">
        <v>1</v>
      </c>
      <c r="J320" s="108">
        <f>POWER(POWER(Table2[[#This Row],[mv]],4)/10,0.25)</f>
        <v>2.1368970357233258E-3</v>
      </c>
      <c r="K320" s="41">
        <v>0</v>
      </c>
      <c r="L320" s="41">
        <v>55</v>
      </c>
      <c r="M320" s="41">
        <v>-1</v>
      </c>
      <c r="N320" s="41">
        <v>4</v>
      </c>
      <c r="O320" s="110" t="s">
        <v>777</v>
      </c>
      <c r="P320" s="109">
        <v>191949</v>
      </c>
      <c r="Q320" s="107"/>
      <c r="R320" s="111"/>
      <c r="S320" s="110" t="s">
        <v>1189</v>
      </c>
      <c r="T320"/>
      <c r="U320"/>
      <c r="V320"/>
    </row>
    <row r="321" spans="1:22" x14ac:dyDescent="0.3">
      <c r="A321" s="105">
        <v>320</v>
      </c>
      <c r="B321" s="41">
        <v>12000000</v>
      </c>
      <c r="C321" s="41">
        <v>3.8E-3</v>
      </c>
      <c r="D321" s="41">
        <v>10.374700000000001</v>
      </c>
      <c r="E321" s="41">
        <v>30</v>
      </c>
      <c r="F321" s="41">
        <v>0</v>
      </c>
      <c r="G321" s="41" t="s">
        <v>104</v>
      </c>
      <c r="H321" s="41">
        <v>1</v>
      </c>
      <c r="I321" s="41">
        <v>1</v>
      </c>
      <c r="J321" s="108">
        <f>POWER(POWER(Table2[[#This Row],[mv]],4)/10,0.25)</f>
        <v>2.1368970357233258E-3</v>
      </c>
      <c r="K321" s="41">
        <v>0</v>
      </c>
      <c r="L321" s="41">
        <v>55</v>
      </c>
      <c r="M321" s="41">
        <v>-1</v>
      </c>
      <c r="N321" s="41">
        <v>4</v>
      </c>
      <c r="O321" s="110" t="s">
        <v>778</v>
      </c>
      <c r="P321" s="109">
        <v>191949</v>
      </c>
      <c r="Q321" s="107"/>
      <c r="R321" s="111"/>
      <c r="S321" s="110" t="s">
        <v>1189</v>
      </c>
      <c r="T321"/>
      <c r="U321"/>
      <c r="V321"/>
    </row>
    <row r="322" spans="1:22" x14ac:dyDescent="0.3">
      <c r="A322" s="105">
        <v>321</v>
      </c>
      <c r="B322" s="41">
        <v>12000000</v>
      </c>
      <c r="C322" s="41">
        <v>3.8E-3</v>
      </c>
      <c r="D322" s="41">
        <v>11.313700000000001</v>
      </c>
      <c r="E322" s="41">
        <v>30</v>
      </c>
      <c r="F322" s="41">
        <v>0</v>
      </c>
      <c r="G322" s="41" t="s">
        <v>104</v>
      </c>
      <c r="H322" s="41">
        <v>1</v>
      </c>
      <c r="I322" s="41">
        <v>1</v>
      </c>
      <c r="J322" s="108">
        <f>POWER(POWER(Table2[[#This Row],[mv]],4)/10,0.25)</f>
        <v>2.1368970357233258E-3</v>
      </c>
      <c r="K322" s="41">
        <v>0</v>
      </c>
      <c r="L322" s="41">
        <v>55</v>
      </c>
      <c r="M322" s="41">
        <v>-1</v>
      </c>
      <c r="N322" s="41">
        <v>4</v>
      </c>
      <c r="O322" s="110" t="s">
        <v>779</v>
      </c>
      <c r="P322" s="109">
        <v>191949</v>
      </c>
      <c r="Q322" s="107"/>
      <c r="R322" s="111"/>
      <c r="S322" s="110" t="s">
        <v>1189</v>
      </c>
      <c r="T322"/>
      <c r="U322"/>
      <c r="V322"/>
    </row>
    <row r="323" spans="1:22" x14ac:dyDescent="0.3">
      <c r="A323" s="105">
        <v>322</v>
      </c>
      <c r="B323" s="41">
        <v>12000000</v>
      </c>
      <c r="C323" s="41">
        <v>3.8E-3</v>
      </c>
      <c r="D323" s="41">
        <v>12.3377</v>
      </c>
      <c r="E323" s="41">
        <v>30</v>
      </c>
      <c r="F323" s="41">
        <v>0</v>
      </c>
      <c r="G323" s="41" t="s">
        <v>104</v>
      </c>
      <c r="H323" s="41">
        <v>1</v>
      </c>
      <c r="I323" s="41">
        <v>1</v>
      </c>
      <c r="J323" s="108">
        <f>POWER(POWER(Table2[[#This Row],[mv]],4)/10,0.25)</f>
        <v>2.1368970357233258E-3</v>
      </c>
      <c r="K323" s="41">
        <v>0</v>
      </c>
      <c r="L323" s="41">
        <v>55</v>
      </c>
      <c r="M323" s="41">
        <v>-1</v>
      </c>
      <c r="N323" s="41">
        <v>4</v>
      </c>
      <c r="O323" s="110" t="s">
        <v>780</v>
      </c>
      <c r="P323" s="109">
        <v>191949</v>
      </c>
      <c r="Q323" s="107"/>
      <c r="R323" s="111"/>
      <c r="S323" s="110" t="s">
        <v>1189</v>
      </c>
      <c r="T323"/>
      <c r="U323"/>
      <c r="V323"/>
    </row>
    <row r="324" spans="1:22" x14ac:dyDescent="0.3">
      <c r="A324" s="105">
        <v>323</v>
      </c>
      <c r="B324" s="41">
        <v>12000000</v>
      </c>
      <c r="C324" s="41">
        <v>3.8E-3</v>
      </c>
      <c r="D324" s="41">
        <v>13.4543</v>
      </c>
      <c r="E324" s="41">
        <v>30</v>
      </c>
      <c r="F324" s="41">
        <v>0</v>
      </c>
      <c r="G324" s="41" t="s">
        <v>104</v>
      </c>
      <c r="H324" s="41">
        <v>1</v>
      </c>
      <c r="I324" s="41">
        <v>1</v>
      </c>
      <c r="J324" s="108">
        <f>POWER(POWER(Table2[[#This Row],[mv]],4)/10,0.25)</f>
        <v>2.1368970357233258E-3</v>
      </c>
      <c r="K324" s="41">
        <v>0</v>
      </c>
      <c r="L324" s="41">
        <v>55</v>
      </c>
      <c r="M324" s="41">
        <v>-1</v>
      </c>
      <c r="N324" s="41">
        <v>4</v>
      </c>
      <c r="O324" s="110" t="s">
        <v>781</v>
      </c>
      <c r="P324" s="109">
        <v>191949</v>
      </c>
      <c r="Q324" s="107"/>
      <c r="R324" s="111"/>
      <c r="S324" s="110" t="s">
        <v>1189</v>
      </c>
      <c r="T324"/>
      <c r="U324"/>
      <c r="V324"/>
    </row>
    <row r="325" spans="1:22" x14ac:dyDescent="0.3">
      <c r="A325" s="105">
        <v>324</v>
      </c>
      <c r="B325" s="41">
        <v>12000000</v>
      </c>
      <c r="C325" s="41">
        <v>3.8E-3</v>
      </c>
      <c r="D325" s="41">
        <v>14.6721</v>
      </c>
      <c r="E325" s="41">
        <v>30</v>
      </c>
      <c r="F325" s="41">
        <v>0</v>
      </c>
      <c r="G325" s="41" t="s">
        <v>104</v>
      </c>
      <c r="H325" s="41">
        <v>1</v>
      </c>
      <c r="I325" s="41">
        <v>1</v>
      </c>
      <c r="J325" s="108">
        <f>POWER(POWER(Table2[[#This Row],[mv]],4)/10,0.25)</f>
        <v>2.1368970357233258E-3</v>
      </c>
      <c r="K325" s="41">
        <v>0</v>
      </c>
      <c r="L325" s="41">
        <v>55</v>
      </c>
      <c r="M325" s="41">
        <v>-1</v>
      </c>
      <c r="N325" s="41">
        <v>4</v>
      </c>
      <c r="O325" s="110" t="s">
        <v>782</v>
      </c>
      <c r="P325" s="109">
        <v>191949</v>
      </c>
      <c r="Q325" s="107"/>
      <c r="R325" s="111"/>
      <c r="S325" s="110" t="s">
        <v>1189</v>
      </c>
      <c r="T325"/>
      <c r="U325"/>
      <c r="V325"/>
    </row>
    <row r="326" spans="1:22" x14ac:dyDescent="0.3">
      <c r="A326" s="105">
        <v>325</v>
      </c>
      <c r="B326" s="41">
        <v>12000000</v>
      </c>
      <c r="C326" s="41">
        <v>3.8E-3</v>
      </c>
      <c r="D326" s="41">
        <v>16</v>
      </c>
      <c r="E326" s="41">
        <v>30</v>
      </c>
      <c r="F326" s="41">
        <v>0</v>
      </c>
      <c r="G326" s="41" t="s">
        <v>104</v>
      </c>
      <c r="H326" s="41">
        <v>1</v>
      </c>
      <c r="I326" s="41">
        <v>1</v>
      </c>
      <c r="J326" s="108">
        <f>POWER(POWER(Table2[[#This Row],[mv]],4)/10,0.25)</f>
        <v>2.1368970357233258E-3</v>
      </c>
      <c r="K326" s="41">
        <v>0</v>
      </c>
      <c r="L326" s="41">
        <v>55</v>
      </c>
      <c r="M326" s="41">
        <v>-1</v>
      </c>
      <c r="N326" s="41">
        <v>4</v>
      </c>
      <c r="O326" s="110" t="s">
        <v>783</v>
      </c>
      <c r="P326" s="109">
        <v>191949</v>
      </c>
      <c r="Q326" s="107"/>
      <c r="R326" s="111"/>
      <c r="S326" s="110" t="s">
        <v>1189</v>
      </c>
      <c r="T326"/>
      <c r="U326"/>
      <c r="V326"/>
    </row>
    <row r="327" spans="1:22" x14ac:dyDescent="0.3">
      <c r="A327" s="105">
        <v>326</v>
      </c>
      <c r="B327" s="41">
        <v>12000000</v>
      </c>
      <c r="C327" s="41">
        <v>3.8E-3</v>
      </c>
      <c r="D327" s="41">
        <v>17.4481</v>
      </c>
      <c r="E327" s="41">
        <v>30</v>
      </c>
      <c r="F327" s="41">
        <v>0</v>
      </c>
      <c r="G327" s="41" t="s">
        <v>104</v>
      </c>
      <c r="H327" s="41">
        <v>1</v>
      </c>
      <c r="I327" s="41">
        <v>1</v>
      </c>
      <c r="J327" s="108">
        <f>POWER(POWER(Table2[[#This Row],[mv]],4)/10,0.25)</f>
        <v>2.1368970357233258E-3</v>
      </c>
      <c r="K327" s="41">
        <v>0</v>
      </c>
      <c r="L327" s="41">
        <v>55</v>
      </c>
      <c r="M327" s="41">
        <v>-1</v>
      </c>
      <c r="N327" s="41">
        <v>4</v>
      </c>
      <c r="O327" s="110" t="s">
        <v>784</v>
      </c>
      <c r="P327" s="109">
        <v>191949</v>
      </c>
      <c r="Q327" s="107"/>
      <c r="R327" s="111"/>
      <c r="S327" s="110" t="s">
        <v>1189</v>
      </c>
      <c r="T327"/>
      <c r="U327"/>
      <c r="V327"/>
    </row>
    <row r="328" spans="1:22" x14ac:dyDescent="0.3">
      <c r="A328" s="105">
        <v>327</v>
      </c>
      <c r="B328" s="41">
        <v>12000000</v>
      </c>
      <c r="C328" s="41">
        <v>3.8E-3</v>
      </c>
      <c r="D328" s="41">
        <v>19.0273</v>
      </c>
      <c r="E328" s="41">
        <v>30</v>
      </c>
      <c r="F328" s="41">
        <v>0</v>
      </c>
      <c r="G328" s="41" t="s">
        <v>104</v>
      </c>
      <c r="H328" s="41">
        <v>1</v>
      </c>
      <c r="I328" s="41">
        <v>1</v>
      </c>
      <c r="J328" s="108">
        <f>POWER(POWER(Table2[[#This Row],[mv]],4)/10,0.25)</f>
        <v>2.1368970357233258E-3</v>
      </c>
      <c r="K328" s="41">
        <v>0</v>
      </c>
      <c r="L328" s="41">
        <v>55</v>
      </c>
      <c r="M328" s="41">
        <v>-1</v>
      </c>
      <c r="N328" s="41">
        <v>4</v>
      </c>
      <c r="O328" s="110" t="s">
        <v>785</v>
      </c>
      <c r="P328" s="109">
        <v>191949</v>
      </c>
      <c r="Q328" s="107"/>
      <c r="R328" s="111"/>
      <c r="S328" s="110" t="s">
        <v>1189</v>
      </c>
      <c r="T328"/>
      <c r="U328"/>
      <c r="V328"/>
    </row>
    <row r="329" spans="1:22" x14ac:dyDescent="0.3">
      <c r="A329" s="105">
        <v>328</v>
      </c>
      <c r="B329" s="41">
        <v>12000000</v>
      </c>
      <c r="C329" s="41">
        <v>4.1999999999999997E-3</v>
      </c>
      <c r="D329" s="41">
        <v>5.6569000000000003</v>
      </c>
      <c r="E329" s="41">
        <v>30</v>
      </c>
      <c r="F329" s="41">
        <v>0</v>
      </c>
      <c r="G329" s="41" t="s">
        <v>104</v>
      </c>
      <c r="H329" s="41">
        <v>1</v>
      </c>
      <c r="I329" s="41">
        <v>1</v>
      </c>
      <c r="J329" s="108">
        <f>POWER(POWER(Table2[[#This Row],[mv]],4)/10,0.25)</f>
        <v>2.361833565799467E-3</v>
      </c>
      <c r="K329" s="41">
        <v>0</v>
      </c>
      <c r="L329" s="41">
        <v>55</v>
      </c>
      <c r="M329" s="41">
        <v>-1</v>
      </c>
      <c r="N329" s="41">
        <v>4</v>
      </c>
      <c r="O329" s="110" t="s">
        <v>786</v>
      </c>
      <c r="P329" s="109">
        <v>191949</v>
      </c>
      <c r="Q329" s="107"/>
      <c r="R329" s="111"/>
      <c r="S329" s="110" t="s">
        <v>1189</v>
      </c>
      <c r="T329"/>
      <c r="U329"/>
      <c r="V329"/>
    </row>
    <row r="330" spans="1:22" x14ac:dyDescent="0.3">
      <c r="A330" s="105">
        <v>329</v>
      </c>
      <c r="B330" s="41">
        <v>12000000</v>
      </c>
      <c r="C330" s="41">
        <v>4.1999999999999997E-3</v>
      </c>
      <c r="D330" s="41">
        <v>6.1688000000000001</v>
      </c>
      <c r="E330" s="41">
        <v>30</v>
      </c>
      <c r="F330" s="41">
        <v>0</v>
      </c>
      <c r="G330" s="41" t="s">
        <v>104</v>
      </c>
      <c r="H330" s="41">
        <v>1</v>
      </c>
      <c r="I330" s="41">
        <v>1</v>
      </c>
      <c r="J330" s="108">
        <f>POWER(POWER(Table2[[#This Row],[mv]],4)/10,0.25)</f>
        <v>2.361833565799467E-3</v>
      </c>
      <c r="K330" s="41">
        <v>0</v>
      </c>
      <c r="L330" s="41">
        <v>55</v>
      </c>
      <c r="M330" s="41">
        <v>-1</v>
      </c>
      <c r="N330" s="41">
        <v>4</v>
      </c>
      <c r="O330" s="110" t="s">
        <v>787</v>
      </c>
      <c r="P330" s="109">
        <v>191949</v>
      </c>
      <c r="Q330" s="107"/>
      <c r="R330" s="111"/>
      <c r="S330" s="110" t="s">
        <v>1189</v>
      </c>
      <c r="T330"/>
      <c r="U330"/>
      <c r="V330"/>
    </row>
    <row r="331" spans="1:22" x14ac:dyDescent="0.3">
      <c r="A331" s="105">
        <v>330</v>
      </c>
      <c r="B331" s="41">
        <v>12000000</v>
      </c>
      <c r="C331" s="41">
        <v>4.1999999999999997E-3</v>
      </c>
      <c r="D331" s="41">
        <v>6.7271999999999998</v>
      </c>
      <c r="E331" s="41">
        <v>30</v>
      </c>
      <c r="F331" s="41">
        <v>0</v>
      </c>
      <c r="G331" s="41" t="s">
        <v>104</v>
      </c>
      <c r="H331" s="41">
        <v>1</v>
      </c>
      <c r="I331" s="41">
        <v>1</v>
      </c>
      <c r="J331" s="108">
        <f>POWER(POWER(Table2[[#This Row],[mv]],4)/10,0.25)</f>
        <v>2.361833565799467E-3</v>
      </c>
      <c r="K331" s="41">
        <v>0</v>
      </c>
      <c r="L331" s="41">
        <v>55</v>
      </c>
      <c r="M331" s="41">
        <v>-1</v>
      </c>
      <c r="N331" s="41">
        <v>4</v>
      </c>
      <c r="O331" s="110" t="s">
        <v>788</v>
      </c>
      <c r="P331" s="109">
        <v>191949</v>
      </c>
      <c r="Q331" s="107"/>
      <c r="R331" s="111"/>
      <c r="S331" s="110" t="s">
        <v>1189</v>
      </c>
      <c r="T331"/>
      <c r="U331"/>
      <c r="V331"/>
    </row>
    <row r="332" spans="1:22" x14ac:dyDescent="0.3">
      <c r="A332" s="105">
        <v>331</v>
      </c>
      <c r="B332" s="41">
        <v>12000000</v>
      </c>
      <c r="C332" s="41">
        <v>4.1999999999999997E-3</v>
      </c>
      <c r="D332" s="41">
        <v>7.3360000000000003</v>
      </c>
      <c r="E332" s="41">
        <v>30</v>
      </c>
      <c r="F332" s="41">
        <v>0</v>
      </c>
      <c r="G332" s="41" t="s">
        <v>104</v>
      </c>
      <c r="H332" s="41">
        <v>1</v>
      </c>
      <c r="I332" s="41">
        <v>1</v>
      </c>
      <c r="J332" s="108">
        <f>POWER(POWER(Table2[[#This Row],[mv]],4)/10,0.25)</f>
        <v>2.361833565799467E-3</v>
      </c>
      <c r="K332" s="41">
        <v>0</v>
      </c>
      <c r="L332" s="41">
        <v>55</v>
      </c>
      <c r="M332" s="41">
        <v>-1</v>
      </c>
      <c r="N332" s="41">
        <v>4</v>
      </c>
      <c r="O332" s="110" t="s">
        <v>789</v>
      </c>
      <c r="P332" s="109">
        <v>191991</v>
      </c>
      <c r="Q332" s="107"/>
      <c r="R332" s="111"/>
      <c r="S332" s="110" t="s">
        <v>1189</v>
      </c>
      <c r="T332"/>
      <c r="U332"/>
      <c r="V332"/>
    </row>
    <row r="333" spans="1:22" x14ac:dyDescent="0.3">
      <c r="A333" s="105">
        <v>332</v>
      </c>
      <c r="B333" s="41">
        <v>12000000</v>
      </c>
      <c r="C333" s="41">
        <v>4.1999999999999997E-3</v>
      </c>
      <c r="D333" s="41">
        <v>8</v>
      </c>
      <c r="E333" s="41">
        <v>30</v>
      </c>
      <c r="F333" s="41">
        <v>0</v>
      </c>
      <c r="G333" s="41" t="s">
        <v>104</v>
      </c>
      <c r="H333" s="41">
        <v>1</v>
      </c>
      <c r="I333" s="41">
        <v>1</v>
      </c>
      <c r="J333" s="108">
        <f>POWER(POWER(Table2[[#This Row],[mv]],4)/10,0.25)</f>
        <v>2.361833565799467E-3</v>
      </c>
      <c r="K333" s="41">
        <v>0</v>
      </c>
      <c r="L333" s="41">
        <v>55</v>
      </c>
      <c r="M333" s="41">
        <v>-1</v>
      </c>
      <c r="N333" s="41">
        <v>4</v>
      </c>
      <c r="O333" s="110" t="s">
        <v>790</v>
      </c>
      <c r="P333" s="109">
        <v>191991</v>
      </c>
      <c r="Q333" s="107"/>
      <c r="R333" s="111"/>
      <c r="S333" s="110" t="s">
        <v>1189</v>
      </c>
      <c r="T333"/>
      <c r="U333"/>
      <c r="V333"/>
    </row>
    <row r="334" spans="1:22" x14ac:dyDescent="0.3">
      <c r="A334" s="105">
        <v>333</v>
      </c>
      <c r="B334" s="41">
        <v>12000000</v>
      </c>
      <c r="C334" s="41">
        <v>4.1999999999999997E-3</v>
      </c>
      <c r="D334" s="41">
        <v>8.7241</v>
      </c>
      <c r="E334" s="41">
        <v>30</v>
      </c>
      <c r="F334" s="41">
        <v>0</v>
      </c>
      <c r="G334" s="41" t="s">
        <v>104</v>
      </c>
      <c r="H334" s="41">
        <v>1</v>
      </c>
      <c r="I334" s="41">
        <v>1</v>
      </c>
      <c r="J334" s="108">
        <f>POWER(POWER(Table2[[#This Row],[mv]],4)/10,0.25)</f>
        <v>2.361833565799467E-3</v>
      </c>
      <c r="K334" s="41">
        <v>0</v>
      </c>
      <c r="L334" s="41">
        <v>55</v>
      </c>
      <c r="M334" s="41">
        <v>-1</v>
      </c>
      <c r="N334" s="41">
        <v>4</v>
      </c>
      <c r="O334" s="110" t="s">
        <v>791</v>
      </c>
      <c r="P334" s="109">
        <v>191991</v>
      </c>
      <c r="Q334" s="107"/>
      <c r="R334" s="111"/>
      <c r="S334" s="110" t="s">
        <v>1189</v>
      </c>
      <c r="T334"/>
      <c r="U334"/>
      <c r="V334"/>
    </row>
    <row r="335" spans="1:22" x14ac:dyDescent="0.3">
      <c r="A335" s="105">
        <v>334</v>
      </c>
      <c r="B335" s="41">
        <v>12000000</v>
      </c>
      <c r="C335" s="41">
        <v>4.1999999999999997E-3</v>
      </c>
      <c r="D335" s="41">
        <v>9.5137</v>
      </c>
      <c r="E335" s="41">
        <v>30</v>
      </c>
      <c r="F335" s="41">
        <v>0</v>
      </c>
      <c r="G335" s="41" t="s">
        <v>104</v>
      </c>
      <c r="H335" s="41">
        <v>1</v>
      </c>
      <c r="I335" s="41">
        <v>1</v>
      </c>
      <c r="J335" s="108">
        <f>POWER(POWER(Table2[[#This Row],[mv]],4)/10,0.25)</f>
        <v>2.361833565799467E-3</v>
      </c>
      <c r="K335" s="41">
        <v>0</v>
      </c>
      <c r="L335" s="41">
        <v>55</v>
      </c>
      <c r="M335" s="41">
        <v>-1</v>
      </c>
      <c r="N335" s="41">
        <v>4</v>
      </c>
      <c r="O335" s="110" t="s">
        <v>792</v>
      </c>
      <c r="P335" s="109">
        <v>191991</v>
      </c>
      <c r="Q335" s="107"/>
      <c r="R335" s="111"/>
      <c r="S335" s="110" t="s">
        <v>1189</v>
      </c>
      <c r="T335"/>
      <c r="U335"/>
      <c r="V335"/>
    </row>
    <row r="336" spans="1:22" x14ac:dyDescent="0.3">
      <c r="A336" s="105">
        <v>335</v>
      </c>
      <c r="B336" s="41">
        <v>12000000</v>
      </c>
      <c r="C336" s="41">
        <v>4.1999999999999997E-3</v>
      </c>
      <c r="D336" s="41">
        <v>10.374700000000001</v>
      </c>
      <c r="E336" s="41">
        <v>30</v>
      </c>
      <c r="F336" s="41">
        <v>0</v>
      </c>
      <c r="G336" s="41" t="s">
        <v>104</v>
      </c>
      <c r="H336" s="41">
        <v>1</v>
      </c>
      <c r="I336" s="41">
        <v>1</v>
      </c>
      <c r="J336" s="108">
        <f>POWER(POWER(Table2[[#This Row],[mv]],4)/10,0.25)</f>
        <v>2.361833565799467E-3</v>
      </c>
      <c r="K336" s="41">
        <v>0</v>
      </c>
      <c r="L336" s="41">
        <v>55</v>
      </c>
      <c r="M336" s="41">
        <v>-1</v>
      </c>
      <c r="N336" s="41">
        <v>4</v>
      </c>
      <c r="O336" s="110" t="s">
        <v>793</v>
      </c>
      <c r="P336" s="109">
        <v>191991</v>
      </c>
      <c r="Q336" s="107"/>
      <c r="R336" s="111"/>
      <c r="S336" s="110" t="s">
        <v>1189</v>
      </c>
      <c r="T336"/>
      <c r="U336"/>
      <c r="V336"/>
    </row>
    <row r="337" spans="1:22" x14ac:dyDescent="0.3">
      <c r="A337" s="105">
        <v>336</v>
      </c>
      <c r="B337" s="41">
        <v>12000000</v>
      </c>
      <c r="C337" s="41">
        <v>4.1999999999999997E-3</v>
      </c>
      <c r="D337" s="41">
        <v>11.313700000000001</v>
      </c>
      <c r="E337" s="41">
        <v>30</v>
      </c>
      <c r="F337" s="41">
        <v>0</v>
      </c>
      <c r="G337" s="41" t="s">
        <v>104</v>
      </c>
      <c r="H337" s="41">
        <v>1</v>
      </c>
      <c r="I337" s="41">
        <v>1</v>
      </c>
      <c r="J337" s="108">
        <f>POWER(POWER(Table2[[#This Row],[mv]],4)/10,0.25)</f>
        <v>2.361833565799467E-3</v>
      </c>
      <c r="K337" s="41">
        <v>0</v>
      </c>
      <c r="L337" s="41">
        <v>55</v>
      </c>
      <c r="M337" s="41">
        <v>-1</v>
      </c>
      <c r="N337" s="41">
        <v>4</v>
      </c>
      <c r="O337" s="110" t="s">
        <v>794</v>
      </c>
      <c r="P337" s="109">
        <v>191991</v>
      </c>
      <c r="Q337" s="107"/>
      <c r="R337" s="111"/>
      <c r="S337" s="110" t="s">
        <v>1189</v>
      </c>
      <c r="T337"/>
      <c r="U337"/>
      <c r="V337"/>
    </row>
    <row r="338" spans="1:22" x14ac:dyDescent="0.3">
      <c r="A338" s="105">
        <v>337</v>
      </c>
      <c r="B338" s="41">
        <v>12000000</v>
      </c>
      <c r="C338" s="41">
        <v>4.1999999999999997E-3</v>
      </c>
      <c r="D338" s="41">
        <v>12.3377</v>
      </c>
      <c r="E338" s="41">
        <v>30</v>
      </c>
      <c r="F338" s="41">
        <v>0</v>
      </c>
      <c r="G338" s="41" t="s">
        <v>104</v>
      </c>
      <c r="H338" s="41">
        <v>1</v>
      </c>
      <c r="I338" s="41">
        <v>1</v>
      </c>
      <c r="J338" s="108">
        <f>POWER(POWER(Table2[[#This Row],[mv]],4)/10,0.25)</f>
        <v>2.361833565799467E-3</v>
      </c>
      <c r="K338" s="41">
        <v>0</v>
      </c>
      <c r="L338" s="41">
        <v>55</v>
      </c>
      <c r="M338" s="41">
        <v>-1</v>
      </c>
      <c r="N338" s="41">
        <v>4</v>
      </c>
      <c r="O338" s="110" t="s">
        <v>795</v>
      </c>
      <c r="P338" s="109">
        <v>191991</v>
      </c>
      <c r="Q338" s="107"/>
      <c r="R338" s="111"/>
      <c r="S338" s="110" t="s">
        <v>1189</v>
      </c>
      <c r="T338"/>
      <c r="U338"/>
      <c r="V338"/>
    </row>
    <row r="339" spans="1:22" x14ac:dyDescent="0.3">
      <c r="A339" s="105">
        <v>338</v>
      </c>
      <c r="B339" s="41">
        <v>12000000</v>
      </c>
      <c r="C339" s="41">
        <v>4.1999999999999997E-3</v>
      </c>
      <c r="D339" s="41">
        <v>13.4543</v>
      </c>
      <c r="E339" s="41">
        <v>30</v>
      </c>
      <c r="F339" s="41">
        <v>0</v>
      </c>
      <c r="G339" s="41" t="s">
        <v>104</v>
      </c>
      <c r="H339" s="41">
        <v>1</v>
      </c>
      <c r="I339" s="41">
        <v>1</v>
      </c>
      <c r="J339" s="108">
        <f>POWER(POWER(Table2[[#This Row],[mv]],4)/10,0.25)</f>
        <v>2.361833565799467E-3</v>
      </c>
      <c r="K339" s="41">
        <v>0</v>
      </c>
      <c r="L339" s="41">
        <v>55</v>
      </c>
      <c r="M339" s="41">
        <v>-1</v>
      </c>
      <c r="N339" s="41">
        <v>4</v>
      </c>
      <c r="O339" s="110" t="s">
        <v>796</v>
      </c>
      <c r="P339" s="109">
        <v>191991</v>
      </c>
      <c r="Q339" s="107"/>
      <c r="R339" s="111"/>
      <c r="S339" s="110" t="s">
        <v>1189</v>
      </c>
      <c r="T339"/>
      <c r="U339"/>
      <c r="V339"/>
    </row>
    <row r="340" spans="1:22" x14ac:dyDescent="0.3">
      <c r="A340" s="105">
        <v>339</v>
      </c>
      <c r="B340" s="41">
        <v>12000000</v>
      </c>
      <c r="C340" s="41">
        <v>4.1999999999999997E-3</v>
      </c>
      <c r="D340" s="41">
        <v>14.6721</v>
      </c>
      <c r="E340" s="41">
        <v>30</v>
      </c>
      <c r="F340" s="41">
        <v>0</v>
      </c>
      <c r="G340" s="41" t="s">
        <v>104</v>
      </c>
      <c r="H340" s="41">
        <v>1</v>
      </c>
      <c r="I340" s="41">
        <v>1</v>
      </c>
      <c r="J340" s="108">
        <f>POWER(POWER(Table2[[#This Row],[mv]],4)/10,0.25)</f>
        <v>2.361833565799467E-3</v>
      </c>
      <c r="K340" s="41">
        <v>0</v>
      </c>
      <c r="L340" s="41">
        <v>55</v>
      </c>
      <c r="M340" s="41">
        <v>-1</v>
      </c>
      <c r="N340" s="41">
        <v>4</v>
      </c>
      <c r="O340" s="110" t="s">
        <v>797</v>
      </c>
      <c r="P340" s="109">
        <v>191991</v>
      </c>
      <c r="Q340" s="107"/>
      <c r="R340" s="111"/>
      <c r="S340" s="110" t="s">
        <v>1189</v>
      </c>
      <c r="T340"/>
      <c r="U340"/>
      <c r="V340"/>
    </row>
    <row r="341" spans="1:22" x14ac:dyDescent="0.3">
      <c r="A341" s="105">
        <v>340</v>
      </c>
      <c r="B341" s="41">
        <v>12000000</v>
      </c>
      <c r="C341" s="41">
        <v>4.1999999999999997E-3</v>
      </c>
      <c r="D341" s="41">
        <v>16</v>
      </c>
      <c r="E341" s="41">
        <v>30</v>
      </c>
      <c r="F341" s="41">
        <v>0</v>
      </c>
      <c r="G341" s="41" t="s">
        <v>104</v>
      </c>
      <c r="H341" s="41">
        <v>1</v>
      </c>
      <c r="I341" s="41">
        <v>1</v>
      </c>
      <c r="J341" s="108">
        <f>POWER(POWER(Table2[[#This Row],[mv]],4)/10,0.25)</f>
        <v>2.361833565799467E-3</v>
      </c>
      <c r="K341" s="41">
        <v>0</v>
      </c>
      <c r="L341" s="41">
        <v>55</v>
      </c>
      <c r="M341" s="41">
        <v>-1</v>
      </c>
      <c r="N341" s="41">
        <v>4</v>
      </c>
      <c r="O341" s="110" t="s">
        <v>798</v>
      </c>
      <c r="P341" s="109">
        <v>191991</v>
      </c>
      <c r="Q341" s="107"/>
      <c r="R341" s="111"/>
      <c r="S341" s="110" t="s">
        <v>1189</v>
      </c>
      <c r="T341"/>
      <c r="U341"/>
      <c r="V341"/>
    </row>
    <row r="342" spans="1:22" x14ac:dyDescent="0.3">
      <c r="A342" s="105">
        <v>341</v>
      </c>
      <c r="B342" s="41">
        <v>12000000</v>
      </c>
      <c r="C342" s="41">
        <v>4.1999999999999997E-3</v>
      </c>
      <c r="D342" s="41">
        <v>17.4481</v>
      </c>
      <c r="E342" s="41">
        <v>30</v>
      </c>
      <c r="F342" s="41">
        <v>0</v>
      </c>
      <c r="G342" s="41" t="s">
        <v>104</v>
      </c>
      <c r="H342" s="41">
        <v>1</v>
      </c>
      <c r="I342" s="41">
        <v>1</v>
      </c>
      <c r="J342" s="108">
        <f>POWER(POWER(Table2[[#This Row],[mv]],4)/10,0.25)</f>
        <v>2.361833565799467E-3</v>
      </c>
      <c r="K342" s="41">
        <v>0</v>
      </c>
      <c r="L342" s="41">
        <v>55</v>
      </c>
      <c r="M342" s="41">
        <v>-1</v>
      </c>
      <c r="N342" s="41">
        <v>4</v>
      </c>
      <c r="O342" s="110" t="s">
        <v>799</v>
      </c>
      <c r="P342" s="109">
        <v>191991</v>
      </c>
      <c r="Q342" s="107"/>
      <c r="R342" s="111"/>
      <c r="S342" s="110" t="s">
        <v>1189</v>
      </c>
      <c r="T342"/>
      <c r="U342"/>
      <c r="V342"/>
    </row>
    <row r="343" spans="1:22" x14ac:dyDescent="0.3">
      <c r="A343" s="105">
        <v>342</v>
      </c>
      <c r="B343" s="41">
        <v>12000000</v>
      </c>
      <c r="C343" s="41">
        <v>4.1999999999999997E-3</v>
      </c>
      <c r="D343" s="41">
        <v>19.0273</v>
      </c>
      <c r="E343" s="41">
        <v>30</v>
      </c>
      <c r="F343" s="41">
        <v>0</v>
      </c>
      <c r="G343" s="41" t="s">
        <v>104</v>
      </c>
      <c r="H343" s="41">
        <v>1</v>
      </c>
      <c r="I343" s="41">
        <v>1</v>
      </c>
      <c r="J343" s="108">
        <f>POWER(POWER(Table2[[#This Row],[mv]],4)/10,0.25)</f>
        <v>2.361833565799467E-3</v>
      </c>
      <c r="K343" s="41">
        <v>0</v>
      </c>
      <c r="L343" s="41">
        <v>55</v>
      </c>
      <c r="M343" s="41">
        <v>-1</v>
      </c>
      <c r="N343" s="41">
        <v>4</v>
      </c>
      <c r="O343" s="110" t="s">
        <v>800</v>
      </c>
      <c r="P343" s="109">
        <v>191991</v>
      </c>
      <c r="Q343" s="107"/>
      <c r="R343" s="111"/>
      <c r="S343" s="110" t="s">
        <v>1189</v>
      </c>
      <c r="T343"/>
      <c r="U343"/>
      <c r="V343"/>
    </row>
    <row r="344" spans="1:22" x14ac:dyDescent="0.3">
      <c r="A344" s="105">
        <v>343</v>
      </c>
      <c r="B344" s="41">
        <v>12000000</v>
      </c>
      <c r="C344" s="41">
        <v>4.4999999999999997E-3</v>
      </c>
      <c r="D344" s="41">
        <v>6.7271999999999998</v>
      </c>
      <c r="E344" s="41">
        <v>30</v>
      </c>
      <c r="F344" s="41">
        <v>0</v>
      </c>
      <c r="G344" s="41" t="s">
        <v>104</v>
      </c>
      <c r="H344" s="41">
        <v>1</v>
      </c>
      <c r="I344" s="41">
        <v>1</v>
      </c>
      <c r="J344" s="108">
        <f>POWER(POWER(Table2[[#This Row],[mv]],4)/10,0.25)</f>
        <v>2.5305359633565699E-3</v>
      </c>
      <c r="K344" s="41">
        <v>0</v>
      </c>
      <c r="L344" s="41">
        <v>55</v>
      </c>
      <c r="M344" s="41">
        <v>-1</v>
      </c>
      <c r="N344" s="41">
        <v>4</v>
      </c>
      <c r="O344" s="110" t="s">
        <v>801</v>
      </c>
      <c r="P344" s="109">
        <v>191991</v>
      </c>
      <c r="Q344" s="107"/>
      <c r="R344" s="111"/>
      <c r="S344" s="110" t="s">
        <v>1189</v>
      </c>
      <c r="T344"/>
      <c r="U344"/>
      <c r="V344"/>
    </row>
    <row r="345" spans="1:22" x14ac:dyDescent="0.3">
      <c r="A345" s="105">
        <v>344</v>
      </c>
      <c r="B345" s="41">
        <v>12000000</v>
      </c>
      <c r="C345" s="41">
        <v>4.4999999999999997E-3</v>
      </c>
      <c r="D345" s="41">
        <v>7.3360000000000003</v>
      </c>
      <c r="E345" s="41">
        <v>30</v>
      </c>
      <c r="F345" s="41">
        <v>0</v>
      </c>
      <c r="G345" s="41" t="s">
        <v>104</v>
      </c>
      <c r="H345" s="41">
        <v>1</v>
      </c>
      <c r="I345" s="41">
        <v>1</v>
      </c>
      <c r="J345" s="108">
        <f>POWER(POWER(Table2[[#This Row],[mv]],4)/10,0.25)</f>
        <v>2.5305359633565699E-3</v>
      </c>
      <c r="K345" s="41">
        <v>0</v>
      </c>
      <c r="L345" s="41">
        <v>55</v>
      </c>
      <c r="M345" s="41">
        <v>-1</v>
      </c>
      <c r="N345" s="41">
        <v>4</v>
      </c>
      <c r="O345" s="110" t="s">
        <v>802</v>
      </c>
      <c r="P345" s="109">
        <v>191991</v>
      </c>
      <c r="Q345" s="107"/>
      <c r="R345" s="111"/>
      <c r="S345" s="110" t="s">
        <v>1189</v>
      </c>
      <c r="T345"/>
      <c r="U345"/>
      <c r="V345"/>
    </row>
    <row r="346" spans="1:22" x14ac:dyDescent="0.3">
      <c r="A346" s="105">
        <v>345</v>
      </c>
      <c r="B346" s="41">
        <v>12000000</v>
      </c>
      <c r="C346" s="41">
        <v>4.4999999999999997E-3</v>
      </c>
      <c r="D346" s="41">
        <v>8</v>
      </c>
      <c r="E346" s="41">
        <v>30</v>
      </c>
      <c r="F346" s="41">
        <v>0</v>
      </c>
      <c r="G346" s="41" t="s">
        <v>104</v>
      </c>
      <c r="H346" s="41">
        <v>1</v>
      </c>
      <c r="I346" s="41">
        <v>1</v>
      </c>
      <c r="J346" s="108">
        <f>POWER(POWER(Table2[[#This Row],[mv]],4)/10,0.25)</f>
        <v>2.5305359633565699E-3</v>
      </c>
      <c r="K346" s="41">
        <v>0</v>
      </c>
      <c r="L346" s="41">
        <v>55</v>
      </c>
      <c r="M346" s="41">
        <v>-1</v>
      </c>
      <c r="N346" s="41">
        <v>4</v>
      </c>
      <c r="O346" s="110" t="s">
        <v>803</v>
      </c>
      <c r="P346" s="109">
        <v>191991</v>
      </c>
      <c r="Q346" s="107"/>
      <c r="R346" s="111"/>
      <c r="S346" s="110" t="s">
        <v>1189</v>
      </c>
      <c r="T346"/>
      <c r="U346"/>
      <c r="V346"/>
    </row>
    <row r="347" spans="1:22" x14ac:dyDescent="0.3">
      <c r="A347" s="105">
        <v>346</v>
      </c>
      <c r="B347" s="41">
        <v>12000000</v>
      </c>
      <c r="C347" s="41">
        <v>4.4999999999999997E-3</v>
      </c>
      <c r="D347" s="41">
        <v>8.7241</v>
      </c>
      <c r="E347" s="41">
        <v>30</v>
      </c>
      <c r="F347" s="41">
        <v>0</v>
      </c>
      <c r="G347" s="41" t="s">
        <v>104</v>
      </c>
      <c r="H347" s="41">
        <v>1</v>
      </c>
      <c r="I347" s="41">
        <v>1</v>
      </c>
      <c r="J347" s="108">
        <f>POWER(POWER(Table2[[#This Row],[mv]],4)/10,0.25)</f>
        <v>2.5305359633565699E-3</v>
      </c>
      <c r="K347" s="41">
        <v>0</v>
      </c>
      <c r="L347" s="41">
        <v>55</v>
      </c>
      <c r="M347" s="41">
        <v>-1</v>
      </c>
      <c r="N347" s="41">
        <v>4</v>
      </c>
      <c r="O347" s="110" t="s">
        <v>804</v>
      </c>
      <c r="P347" s="109">
        <v>191991</v>
      </c>
      <c r="Q347" s="107"/>
      <c r="R347" s="111"/>
      <c r="S347" s="110" t="s">
        <v>1189</v>
      </c>
      <c r="T347"/>
      <c r="U347"/>
      <c r="V347"/>
    </row>
    <row r="348" spans="1:22" x14ac:dyDescent="0.3">
      <c r="A348" s="105">
        <v>347</v>
      </c>
      <c r="B348" s="41">
        <v>12000000</v>
      </c>
      <c r="C348" s="41">
        <v>4.4999999999999997E-3</v>
      </c>
      <c r="D348" s="41">
        <v>9.5137</v>
      </c>
      <c r="E348" s="41">
        <v>30</v>
      </c>
      <c r="F348" s="41">
        <v>0</v>
      </c>
      <c r="G348" s="41" t="s">
        <v>104</v>
      </c>
      <c r="H348" s="41">
        <v>1</v>
      </c>
      <c r="I348" s="41">
        <v>1</v>
      </c>
      <c r="J348" s="108">
        <f>POWER(POWER(Table2[[#This Row],[mv]],4)/10,0.25)</f>
        <v>2.5305359633565699E-3</v>
      </c>
      <c r="K348" s="41">
        <v>0</v>
      </c>
      <c r="L348" s="41">
        <v>55</v>
      </c>
      <c r="M348" s="41">
        <v>-1</v>
      </c>
      <c r="N348" s="41">
        <v>4</v>
      </c>
      <c r="O348" s="110" t="s">
        <v>805</v>
      </c>
      <c r="P348" s="109">
        <v>191991</v>
      </c>
      <c r="Q348" s="107"/>
      <c r="R348" s="111"/>
      <c r="S348" s="110" t="s">
        <v>1189</v>
      </c>
      <c r="T348"/>
      <c r="U348"/>
      <c r="V348"/>
    </row>
    <row r="349" spans="1:22" x14ac:dyDescent="0.3">
      <c r="A349" s="105">
        <v>348</v>
      </c>
      <c r="B349" s="41">
        <v>12000000</v>
      </c>
      <c r="C349" s="41">
        <v>4.4999999999999997E-3</v>
      </c>
      <c r="D349" s="41">
        <v>10.374700000000001</v>
      </c>
      <c r="E349" s="41">
        <v>30</v>
      </c>
      <c r="F349" s="41">
        <v>0</v>
      </c>
      <c r="G349" s="41" t="s">
        <v>104</v>
      </c>
      <c r="H349" s="41">
        <v>1</v>
      </c>
      <c r="I349" s="41">
        <v>1</v>
      </c>
      <c r="J349" s="108">
        <f>POWER(POWER(Table2[[#This Row],[mv]],4)/10,0.25)</f>
        <v>2.5305359633565699E-3</v>
      </c>
      <c r="K349" s="41">
        <v>0</v>
      </c>
      <c r="L349" s="41">
        <v>55</v>
      </c>
      <c r="M349" s="41">
        <v>-1</v>
      </c>
      <c r="N349" s="41">
        <v>4</v>
      </c>
      <c r="O349" s="110" t="s">
        <v>806</v>
      </c>
      <c r="P349" s="109">
        <v>191991</v>
      </c>
      <c r="Q349" s="107"/>
      <c r="R349" s="111"/>
      <c r="S349" s="110" t="s">
        <v>1189</v>
      </c>
      <c r="T349"/>
      <c r="U349"/>
      <c r="V349"/>
    </row>
    <row r="350" spans="1:22" x14ac:dyDescent="0.3">
      <c r="A350" s="105">
        <v>349</v>
      </c>
      <c r="B350" s="41">
        <v>12000000</v>
      </c>
      <c r="C350" s="41">
        <v>4.4999999999999997E-3</v>
      </c>
      <c r="D350" s="41">
        <v>11.313700000000001</v>
      </c>
      <c r="E350" s="41">
        <v>30</v>
      </c>
      <c r="F350" s="41">
        <v>0</v>
      </c>
      <c r="G350" s="41" t="s">
        <v>104</v>
      </c>
      <c r="H350" s="41">
        <v>1</v>
      </c>
      <c r="I350" s="41">
        <v>1</v>
      </c>
      <c r="J350" s="108">
        <f>POWER(POWER(Table2[[#This Row],[mv]],4)/10,0.25)</f>
        <v>2.5305359633565699E-3</v>
      </c>
      <c r="K350" s="41">
        <v>0</v>
      </c>
      <c r="L350" s="41">
        <v>55</v>
      </c>
      <c r="M350" s="41">
        <v>-1</v>
      </c>
      <c r="N350" s="41">
        <v>4</v>
      </c>
      <c r="O350" s="110" t="s">
        <v>807</v>
      </c>
      <c r="P350" s="109">
        <v>191991</v>
      </c>
      <c r="Q350" s="107"/>
      <c r="R350" s="111"/>
      <c r="S350" s="110" t="s">
        <v>1189</v>
      </c>
      <c r="T350"/>
      <c r="U350"/>
      <c r="V350"/>
    </row>
    <row r="351" spans="1:22" x14ac:dyDescent="0.3">
      <c r="A351" s="105">
        <v>350</v>
      </c>
      <c r="B351" s="41">
        <v>12000000</v>
      </c>
      <c r="C351" s="41">
        <v>4.4999999999999997E-3</v>
      </c>
      <c r="D351" s="41">
        <v>12.3377</v>
      </c>
      <c r="E351" s="41">
        <v>30</v>
      </c>
      <c r="F351" s="41">
        <v>0</v>
      </c>
      <c r="G351" s="41" t="s">
        <v>104</v>
      </c>
      <c r="H351" s="41">
        <v>1</v>
      </c>
      <c r="I351" s="41">
        <v>1</v>
      </c>
      <c r="J351" s="108">
        <f>POWER(POWER(Table2[[#This Row],[mv]],4)/10,0.25)</f>
        <v>2.5305359633565699E-3</v>
      </c>
      <c r="K351" s="41">
        <v>0</v>
      </c>
      <c r="L351" s="41">
        <v>55</v>
      </c>
      <c r="M351" s="41">
        <v>-1</v>
      </c>
      <c r="N351" s="41">
        <v>4</v>
      </c>
      <c r="O351" s="110" t="s">
        <v>808</v>
      </c>
      <c r="P351" s="109">
        <v>191991</v>
      </c>
      <c r="Q351" s="107"/>
      <c r="R351" s="111"/>
      <c r="S351" s="110" t="s">
        <v>1189</v>
      </c>
      <c r="T351"/>
      <c r="U351"/>
      <c r="V351"/>
    </row>
    <row r="352" spans="1:22" x14ac:dyDescent="0.3">
      <c r="A352" s="105">
        <v>351</v>
      </c>
      <c r="B352" s="41">
        <v>12000000</v>
      </c>
      <c r="C352" s="41">
        <v>4.4999999999999997E-3</v>
      </c>
      <c r="D352" s="41">
        <v>13.4543</v>
      </c>
      <c r="E352" s="41">
        <v>30</v>
      </c>
      <c r="F352" s="41">
        <v>0</v>
      </c>
      <c r="G352" s="41" t="s">
        <v>104</v>
      </c>
      <c r="H352" s="41">
        <v>1</v>
      </c>
      <c r="I352" s="41">
        <v>1</v>
      </c>
      <c r="J352" s="108">
        <f>POWER(POWER(Table2[[#This Row],[mv]],4)/10,0.25)</f>
        <v>2.5305359633565699E-3</v>
      </c>
      <c r="K352" s="41">
        <v>0</v>
      </c>
      <c r="L352" s="41">
        <v>55</v>
      </c>
      <c r="M352" s="41">
        <v>-1</v>
      </c>
      <c r="N352" s="41">
        <v>4</v>
      </c>
      <c r="O352" s="110" t="s">
        <v>809</v>
      </c>
      <c r="P352" s="109">
        <v>191992</v>
      </c>
      <c r="Q352" s="107"/>
      <c r="R352" s="111"/>
      <c r="S352" s="110" t="s">
        <v>1189</v>
      </c>
      <c r="T352"/>
      <c r="U352"/>
      <c r="V352"/>
    </row>
    <row r="353" spans="1:22" x14ac:dyDescent="0.3">
      <c r="A353" s="105">
        <v>352</v>
      </c>
      <c r="B353" s="41">
        <v>12000000</v>
      </c>
      <c r="C353" s="41">
        <v>4.4999999999999997E-3</v>
      </c>
      <c r="D353" s="41">
        <v>14.6721</v>
      </c>
      <c r="E353" s="41">
        <v>30</v>
      </c>
      <c r="F353" s="41">
        <v>0</v>
      </c>
      <c r="G353" s="41" t="s">
        <v>104</v>
      </c>
      <c r="H353" s="41">
        <v>1</v>
      </c>
      <c r="I353" s="41">
        <v>1</v>
      </c>
      <c r="J353" s="108">
        <f>POWER(POWER(Table2[[#This Row],[mv]],4)/10,0.25)</f>
        <v>2.5305359633565699E-3</v>
      </c>
      <c r="K353" s="41">
        <v>0</v>
      </c>
      <c r="L353" s="41">
        <v>55</v>
      </c>
      <c r="M353" s="41">
        <v>-1</v>
      </c>
      <c r="N353" s="41">
        <v>4</v>
      </c>
      <c r="O353" s="110" t="s">
        <v>810</v>
      </c>
      <c r="P353" s="109">
        <v>191992</v>
      </c>
      <c r="Q353" s="107"/>
      <c r="R353" s="111"/>
      <c r="S353" s="110" t="s">
        <v>1189</v>
      </c>
      <c r="T353"/>
      <c r="U353"/>
      <c r="V353"/>
    </row>
    <row r="354" spans="1:22" x14ac:dyDescent="0.3">
      <c r="A354" s="105">
        <v>353</v>
      </c>
      <c r="B354" s="41">
        <v>12000000</v>
      </c>
      <c r="C354" s="41">
        <v>4.4999999999999997E-3</v>
      </c>
      <c r="D354" s="41">
        <v>16</v>
      </c>
      <c r="E354" s="41">
        <v>30</v>
      </c>
      <c r="F354" s="41">
        <v>0</v>
      </c>
      <c r="G354" s="41" t="s">
        <v>104</v>
      </c>
      <c r="H354" s="41">
        <v>1</v>
      </c>
      <c r="I354" s="41">
        <v>1</v>
      </c>
      <c r="J354" s="108">
        <f>POWER(POWER(Table2[[#This Row],[mv]],4)/10,0.25)</f>
        <v>2.5305359633565699E-3</v>
      </c>
      <c r="K354" s="41">
        <v>0</v>
      </c>
      <c r="L354" s="41">
        <v>55</v>
      </c>
      <c r="M354" s="41">
        <v>-1</v>
      </c>
      <c r="N354" s="41">
        <v>4</v>
      </c>
      <c r="O354" s="110" t="s">
        <v>811</v>
      </c>
      <c r="P354" s="109">
        <v>191992</v>
      </c>
      <c r="Q354" s="107"/>
      <c r="R354" s="111"/>
      <c r="S354" s="110" t="s">
        <v>1189</v>
      </c>
      <c r="T354"/>
      <c r="U354"/>
      <c r="V354"/>
    </row>
    <row r="355" spans="1:22" x14ac:dyDescent="0.3">
      <c r="A355" s="105">
        <v>354</v>
      </c>
      <c r="B355" s="41">
        <v>12000000</v>
      </c>
      <c r="C355" s="41">
        <v>4.4999999999999997E-3</v>
      </c>
      <c r="D355" s="41">
        <v>17.4481</v>
      </c>
      <c r="E355" s="41">
        <v>30</v>
      </c>
      <c r="F355" s="41">
        <v>0</v>
      </c>
      <c r="G355" s="41" t="s">
        <v>104</v>
      </c>
      <c r="H355" s="41">
        <v>1</v>
      </c>
      <c r="I355" s="41">
        <v>1</v>
      </c>
      <c r="J355" s="108">
        <f>POWER(POWER(Table2[[#This Row],[mv]],4)/10,0.25)</f>
        <v>2.5305359633565699E-3</v>
      </c>
      <c r="K355" s="41">
        <v>0</v>
      </c>
      <c r="L355" s="41">
        <v>55</v>
      </c>
      <c r="M355" s="41">
        <v>-1</v>
      </c>
      <c r="N355" s="41">
        <v>4</v>
      </c>
      <c r="O355" s="110" t="s">
        <v>812</v>
      </c>
      <c r="P355" s="109">
        <v>191992</v>
      </c>
      <c r="Q355" s="107"/>
      <c r="R355" s="111"/>
      <c r="S355" s="110" t="s">
        <v>1189</v>
      </c>
      <c r="T355"/>
      <c r="U355"/>
      <c r="V355"/>
    </row>
    <row r="356" spans="1:22" x14ac:dyDescent="0.3">
      <c r="A356" s="105">
        <v>355</v>
      </c>
      <c r="B356" s="41">
        <v>12000000</v>
      </c>
      <c r="C356" s="41">
        <v>4.4999999999999997E-3</v>
      </c>
      <c r="D356" s="41">
        <v>19.0273</v>
      </c>
      <c r="E356" s="41">
        <v>30</v>
      </c>
      <c r="F356" s="41">
        <v>0</v>
      </c>
      <c r="G356" s="41" t="s">
        <v>104</v>
      </c>
      <c r="H356" s="41">
        <v>1</v>
      </c>
      <c r="I356" s="41">
        <v>1</v>
      </c>
      <c r="J356" s="108">
        <f>POWER(POWER(Table2[[#This Row],[mv]],4)/10,0.25)</f>
        <v>2.5305359633565699E-3</v>
      </c>
      <c r="K356" s="41">
        <v>0</v>
      </c>
      <c r="L356" s="41">
        <v>55</v>
      </c>
      <c r="M356" s="41">
        <v>-1</v>
      </c>
      <c r="N356" s="41">
        <v>4</v>
      </c>
      <c r="O356" s="110" t="s">
        <v>813</v>
      </c>
      <c r="P356" s="109">
        <v>191992</v>
      </c>
      <c r="Q356" s="107"/>
      <c r="R356" s="111"/>
      <c r="S356" s="110" t="s">
        <v>1189</v>
      </c>
      <c r="T356"/>
      <c r="U356"/>
      <c r="V356"/>
    </row>
    <row r="357" spans="1:22" x14ac:dyDescent="0.3">
      <c r="A357" s="105">
        <v>356</v>
      </c>
      <c r="B357" s="41">
        <v>12000000</v>
      </c>
      <c r="C357" s="41">
        <v>4.8999999999999998E-3</v>
      </c>
      <c r="D357" s="41">
        <v>8</v>
      </c>
      <c r="E357" s="41">
        <v>30</v>
      </c>
      <c r="F357" s="41">
        <v>0</v>
      </c>
      <c r="G357" s="41" t="s">
        <v>104</v>
      </c>
      <c r="H357" s="41">
        <v>1</v>
      </c>
      <c r="I357" s="41">
        <v>1</v>
      </c>
      <c r="J357" s="108">
        <f>POWER(POWER(Table2[[#This Row],[mv]],4)/10,0.25)</f>
        <v>2.7554724934327106E-3</v>
      </c>
      <c r="K357" s="41">
        <v>0</v>
      </c>
      <c r="L357" s="41">
        <v>55</v>
      </c>
      <c r="M357" s="41">
        <v>-1</v>
      </c>
      <c r="N357" s="41">
        <v>4</v>
      </c>
      <c r="O357" s="110" t="s">
        <v>814</v>
      </c>
      <c r="P357" s="109">
        <v>191992</v>
      </c>
      <c r="Q357" s="107"/>
      <c r="R357" s="111"/>
      <c r="S357" s="110" t="s">
        <v>1189</v>
      </c>
      <c r="T357"/>
      <c r="U357"/>
      <c r="V357"/>
    </row>
    <row r="358" spans="1:22" x14ac:dyDescent="0.3">
      <c r="A358" s="105">
        <v>357</v>
      </c>
      <c r="B358" s="41">
        <v>12000000</v>
      </c>
      <c r="C358" s="41">
        <v>4.8999999999999998E-3</v>
      </c>
      <c r="D358" s="41">
        <v>8.7241</v>
      </c>
      <c r="E358" s="41">
        <v>30</v>
      </c>
      <c r="F358" s="41">
        <v>0</v>
      </c>
      <c r="G358" s="41" t="s">
        <v>104</v>
      </c>
      <c r="H358" s="41">
        <v>1</v>
      </c>
      <c r="I358" s="41">
        <v>1</v>
      </c>
      <c r="J358" s="108">
        <f>POWER(POWER(Table2[[#This Row],[mv]],4)/10,0.25)</f>
        <v>2.7554724934327106E-3</v>
      </c>
      <c r="K358" s="41">
        <v>0</v>
      </c>
      <c r="L358" s="41">
        <v>55</v>
      </c>
      <c r="M358" s="41">
        <v>-1</v>
      </c>
      <c r="N358" s="41">
        <v>4</v>
      </c>
      <c r="O358" s="110" t="s">
        <v>815</v>
      </c>
      <c r="P358" s="109">
        <v>191992</v>
      </c>
      <c r="Q358" s="107"/>
      <c r="R358" s="111"/>
      <c r="S358" s="110" t="s">
        <v>1189</v>
      </c>
      <c r="T358"/>
      <c r="U358"/>
      <c r="V358"/>
    </row>
    <row r="359" spans="1:22" x14ac:dyDescent="0.3">
      <c r="A359" s="105">
        <v>358</v>
      </c>
      <c r="B359" s="41">
        <v>12000000</v>
      </c>
      <c r="C359" s="41">
        <v>4.8999999999999998E-3</v>
      </c>
      <c r="D359" s="41">
        <v>9.5137</v>
      </c>
      <c r="E359" s="41">
        <v>30</v>
      </c>
      <c r="F359" s="41">
        <v>0</v>
      </c>
      <c r="G359" s="41" t="s">
        <v>104</v>
      </c>
      <c r="H359" s="41">
        <v>1</v>
      </c>
      <c r="I359" s="41">
        <v>1</v>
      </c>
      <c r="J359" s="108">
        <f>POWER(POWER(Table2[[#This Row],[mv]],4)/10,0.25)</f>
        <v>2.7554724934327106E-3</v>
      </c>
      <c r="K359" s="41">
        <v>0</v>
      </c>
      <c r="L359" s="41">
        <v>55</v>
      </c>
      <c r="M359" s="41">
        <v>-1</v>
      </c>
      <c r="N359" s="41">
        <v>4</v>
      </c>
      <c r="O359" s="110" t="s">
        <v>816</v>
      </c>
      <c r="P359" s="109">
        <v>191992</v>
      </c>
      <c r="Q359" s="107"/>
      <c r="R359" s="111"/>
      <c r="S359" s="110" t="s">
        <v>1189</v>
      </c>
      <c r="T359"/>
      <c r="U359"/>
      <c r="V359"/>
    </row>
    <row r="360" spans="1:22" x14ac:dyDescent="0.3">
      <c r="A360" s="105">
        <v>359</v>
      </c>
      <c r="B360" s="41">
        <v>12000000</v>
      </c>
      <c r="C360" s="41">
        <v>4.8999999999999998E-3</v>
      </c>
      <c r="D360" s="41">
        <v>10.374700000000001</v>
      </c>
      <c r="E360" s="41">
        <v>30</v>
      </c>
      <c r="F360" s="41">
        <v>0</v>
      </c>
      <c r="G360" s="41" t="s">
        <v>104</v>
      </c>
      <c r="H360" s="41">
        <v>1</v>
      </c>
      <c r="I360" s="41">
        <v>1</v>
      </c>
      <c r="J360" s="108">
        <f>POWER(POWER(Table2[[#This Row],[mv]],4)/10,0.25)</f>
        <v>2.7554724934327106E-3</v>
      </c>
      <c r="K360" s="41">
        <v>0</v>
      </c>
      <c r="L360" s="41">
        <v>55</v>
      </c>
      <c r="M360" s="41">
        <v>-1</v>
      </c>
      <c r="N360" s="41">
        <v>4</v>
      </c>
      <c r="O360" s="110" t="s">
        <v>817</v>
      </c>
      <c r="P360" s="109">
        <v>191992</v>
      </c>
      <c r="Q360" s="107"/>
      <c r="R360" s="111"/>
      <c r="S360" s="110" t="s">
        <v>1189</v>
      </c>
      <c r="T360"/>
      <c r="U360"/>
      <c r="V360"/>
    </row>
    <row r="361" spans="1:22" x14ac:dyDescent="0.3">
      <c r="A361" s="105">
        <v>360</v>
      </c>
      <c r="B361" s="41">
        <v>12000000</v>
      </c>
      <c r="C361" s="41">
        <v>4.8999999999999998E-3</v>
      </c>
      <c r="D361" s="41">
        <v>11.313700000000001</v>
      </c>
      <c r="E361" s="41">
        <v>30</v>
      </c>
      <c r="F361" s="41">
        <v>0</v>
      </c>
      <c r="G361" s="41" t="s">
        <v>104</v>
      </c>
      <c r="H361" s="41">
        <v>1</v>
      </c>
      <c r="I361" s="41">
        <v>1</v>
      </c>
      <c r="J361" s="108">
        <f>POWER(POWER(Table2[[#This Row],[mv]],4)/10,0.25)</f>
        <v>2.7554724934327106E-3</v>
      </c>
      <c r="K361" s="41">
        <v>0</v>
      </c>
      <c r="L361" s="41">
        <v>55</v>
      </c>
      <c r="M361" s="41">
        <v>-1</v>
      </c>
      <c r="N361" s="41">
        <v>4</v>
      </c>
      <c r="O361" s="110" t="s">
        <v>818</v>
      </c>
      <c r="P361" s="109">
        <v>191992</v>
      </c>
      <c r="Q361" s="107"/>
      <c r="R361" s="111"/>
      <c r="S361" s="110" t="s">
        <v>1189</v>
      </c>
      <c r="T361"/>
      <c r="U361"/>
      <c r="V361"/>
    </row>
    <row r="362" spans="1:22" x14ac:dyDescent="0.3">
      <c r="A362" s="105">
        <v>361</v>
      </c>
      <c r="B362" s="41">
        <v>12000000</v>
      </c>
      <c r="C362" s="41">
        <v>4.8999999999999998E-3</v>
      </c>
      <c r="D362" s="41">
        <v>12.3377</v>
      </c>
      <c r="E362" s="41">
        <v>30</v>
      </c>
      <c r="F362" s="41">
        <v>0</v>
      </c>
      <c r="G362" s="41" t="s">
        <v>104</v>
      </c>
      <c r="H362" s="41">
        <v>1</v>
      </c>
      <c r="I362" s="41">
        <v>1</v>
      </c>
      <c r="J362" s="108">
        <f>POWER(POWER(Table2[[#This Row],[mv]],4)/10,0.25)</f>
        <v>2.7554724934327106E-3</v>
      </c>
      <c r="K362" s="41">
        <v>0</v>
      </c>
      <c r="L362" s="41">
        <v>55</v>
      </c>
      <c r="M362" s="41">
        <v>-1</v>
      </c>
      <c r="N362" s="41">
        <v>4</v>
      </c>
      <c r="O362" s="110" t="s">
        <v>819</v>
      </c>
      <c r="P362" s="109">
        <v>191992</v>
      </c>
      <c r="Q362" s="107"/>
      <c r="R362" s="111"/>
      <c r="S362" s="110" t="s">
        <v>1189</v>
      </c>
      <c r="T362"/>
      <c r="U362"/>
      <c r="V362"/>
    </row>
    <row r="363" spans="1:22" x14ac:dyDescent="0.3">
      <c r="A363" s="105">
        <v>362</v>
      </c>
      <c r="B363" s="41">
        <v>12000000</v>
      </c>
      <c r="C363" s="41">
        <v>4.8999999999999998E-3</v>
      </c>
      <c r="D363" s="41">
        <v>13.4543</v>
      </c>
      <c r="E363" s="41">
        <v>30</v>
      </c>
      <c r="F363" s="41">
        <v>0</v>
      </c>
      <c r="G363" s="41" t="s">
        <v>104</v>
      </c>
      <c r="H363" s="41">
        <v>1</v>
      </c>
      <c r="I363" s="41">
        <v>1</v>
      </c>
      <c r="J363" s="108">
        <f>POWER(POWER(Table2[[#This Row],[mv]],4)/10,0.25)</f>
        <v>2.7554724934327106E-3</v>
      </c>
      <c r="K363" s="41">
        <v>0</v>
      </c>
      <c r="L363" s="41">
        <v>55</v>
      </c>
      <c r="M363" s="41">
        <v>-1</v>
      </c>
      <c r="N363" s="41">
        <v>4</v>
      </c>
      <c r="O363" s="110" t="s">
        <v>820</v>
      </c>
      <c r="P363" s="109">
        <v>191992</v>
      </c>
      <c r="Q363" s="107"/>
      <c r="R363" s="111"/>
      <c r="S363" s="110" t="s">
        <v>1189</v>
      </c>
      <c r="T363"/>
      <c r="U363"/>
      <c r="V363"/>
    </row>
    <row r="364" spans="1:22" x14ac:dyDescent="0.3">
      <c r="A364" s="105">
        <v>363</v>
      </c>
      <c r="B364" s="41">
        <v>12000000</v>
      </c>
      <c r="C364" s="41">
        <v>4.8999999999999998E-3</v>
      </c>
      <c r="D364" s="41">
        <v>14.6721</v>
      </c>
      <c r="E364" s="41">
        <v>30</v>
      </c>
      <c r="F364" s="41">
        <v>0</v>
      </c>
      <c r="G364" s="41" t="s">
        <v>104</v>
      </c>
      <c r="H364" s="41">
        <v>1</v>
      </c>
      <c r="I364" s="41">
        <v>1</v>
      </c>
      <c r="J364" s="108">
        <f>POWER(POWER(Table2[[#This Row],[mv]],4)/10,0.25)</f>
        <v>2.7554724934327106E-3</v>
      </c>
      <c r="K364" s="41">
        <v>0</v>
      </c>
      <c r="L364" s="41">
        <v>55</v>
      </c>
      <c r="M364" s="41">
        <v>-1</v>
      </c>
      <c r="N364" s="41">
        <v>4</v>
      </c>
      <c r="O364" s="110" t="s">
        <v>821</v>
      </c>
      <c r="P364" s="109">
        <v>191992</v>
      </c>
      <c r="Q364" s="107"/>
      <c r="R364" s="111"/>
      <c r="S364" s="110" t="s">
        <v>1189</v>
      </c>
      <c r="T364"/>
      <c r="U364"/>
      <c r="V364"/>
    </row>
    <row r="365" spans="1:22" x14ac:dyDescent="0.3">
      <c r="A365" s="105">
        <v>364</v>
      </c>
      <c r="B365" s="41">
        <v>12000000</v>
      </c>
      <c r="C365" s="41">
        <v>4.8999999999999998E-3</v>
      </c>
      <c r="D365" s="41">
        <v>16</v>
      </c>
      <c r="E365" s="41">
        <v>30</v>
      </c>
      <c r="F365" s="41">
        <v>0</v>
      </c>
      <c r="G365" s="41" t="s">
        <v>104</v>
      </c>
      <c r="H365" s="41">
        <v>1</v>
      </c>
      <c r="I365" s="41">
        <v>1</v>
      </c>
      <c r="J365" s="108">
        <f>POWER(POWER(Table2[[#This Row],[mv]],4)/10,0.25)</f>
        <v>2.7554724934327106E-3</v>
      </c>
      <c r="K365" s="41">
        <v>0</v>
      </c>
      <c r="L365" s="41">
        <v>55</v>
      </c>
      <c r="M365" s="41">
        <v>-1</v>
      </c>
      <c r="N365" s="41">
        <v>4</v>
      </c>
      <c r="O365" s="110" t="s">
        <v>822</v>
      </c>
      <c r="P365" s="109">
        <v>191992</v>
      </c>
      <c r="Q365" s="107"/>
      <c r="R365" s="111"/>
      <c r="S365" s="110" t="s">
        <v>1189</v>
      </c>
      <c r="T365"/>
      <c r="U365"/>
      <c r="V365"/>
    </row>
    <row r="366" spans="1:22" x14ac:dyDescent="0.3">
      <c r="A366" s="105">
        <v>365</v>
      </c>
      <c r="B366" s="41">
        <v>12000000</v>
      </c>
      <c r="C366" s="41">
        <v>4.8999999999999998E-3</v>
      </c>
      <c r="D366" s="41">
        <v>17.4481</v>
      </c>
      <c r="E366" s="41">
        <v>30</v>
      </c>
      <c r="F366" s="41">
        <v>0</v>
      </c>
      <c r="G366" s="41" t="s">
        <v>104</v>
      </c>
      <c r="H366" s="41">
        <v>1</v>
      </c>
      <c r="I366" s="41">
        <v>1</v>
      </c>
      <c r="J366" s="108">
        <f>POWER(POWER(Table2[[#This Row],[mv]],4)/10,0.25)</f>
        <v>2.7554724934327106E-3</v>
      </c>
      <c r="K366" s="41">
        <v>0</v>
      </c>
      <c r="L366" s="41">
        <v>55</v>
      </c>
      <c r="M366" s="41">
        <v>-1</v>
      </c>
      <c r="N366" s="41">
        <v>4</v>
      </c>
      <c r="O366" s="110" t="s">
        <v>823</v>
      </c>
      <c r="P366" s="109">
        <v>191992</v>
      </c>
      <c r="Q366" s="107"/>
      <c r="R366" s="111"/>
      <c r="S366" s="110" t="s">
        <v>1189</v>
      </c>
      <c r="T366"/>
      <c r="U366"/>
      <c r="V366"/>
    </row>
    <row r="367" spans="1:22" x14ac:dyDescent="0.3">
      <c r="A367" s="105">
        <v>366</v>
      </c>
      <c r="B367" s="41">
        <v>12000000</v>
      </c>
      <c r="C367" s="41">
        <v>4.8999999999999998E-3</v>
      </c>
      <c r="D367" s="41">
        <v>19.0273</v>
      </c>
      <c r="E367" s="41">
        <v>30</v>
      </c>
      <c r="F367" s="41">
        <v>0</v>
      </c>
      <c r="G367" s="41" t="s">
        <v>104</v>
      </c>
      <c r="H367" s="41">
        <v>1</v>
      </c>
      <c r="I367" s="41">
        <v>1</v>
      </c>
      <c r="J367" s="108">
        <f>POWER(POWER(Table2[[#This Row],[mv]],4)/10,0.25)</f>
        <v>2.7554724934327106E-3</v>
      </c>
      <c r="K367" s="41">
        <v>0</v>
      </c>
      <c r="L367" s="41">
        <v>55</v>
      </c>
      <c r="M367" s="41">
        <v>-1</v>
      </c>
      <c r="N367" s="41">
        <v>4</v>
      </c>
      <c r="O367" s="110" t="s">
        <v>824</v>
      </c>
      <c r="P367" s="109">
        <v>191992</v>
      </c>
      <c r="Q367" s="107"/>
      <c r="R367" s="111"/>
      <c r="S367" s="110" t="s">
        <v>1189</v>
      </c>
      <c r="T367"/>
      <c r="U367"/>
      <c r="V367"/>
    </row>
    <row r="368" spans="1:22" x14ac:dyDescent="0.3">
      <c r="A368" s="105">
        <v>367</v>
      </c>
      <c r="B368" s="41">
        <v>12000000</v>
      </c>
      <c r="C368" s="41">
        <v>5.4000000000000003E-3</v>
      </c>
      <c r="D368" s="41">
        <v>9.5137</v>
      </c>
      <c r="E368" s="41">
        <v>30</v>
      </c>
      <c r="F368" s="41">
        <v>0</v>
      </c>
      <c r="G368" s="41" t="s">
        <v>104</v>
      </c>
      <c r="H368" s="41">
        <v>1</v>
      </c>
      <c r="I368" s="41">
        <v>1</v>
      </c>
      <c r="J368" s="108">
        <f>POWER(POWER(Table2[[#This Row],[mv]],4)/10,0.25)</f>
        <v>3.0366431560278845E-3</v>
      </c>
      <c r="K368" s="41">
        <v>0</v>
      </c>
      <c r="L368" s="41">
        <v>55</v>
      </c>
      <c r="M368" s="41">
        <v>-1</v>
      </c>
      <c r="N368" s="41">
        <v>4</v>
      </c>
      <c r="O368" s="110" t="s">
        <v>825</v>
      </c>
      <c r="P368" s="109">
        <v>191992</v>
      </c>
      <c r="Q368" s="107"/>
      <c r="R368" s="111"/>
      <c r="S368" s="110" t="s">
        <v>1189</v>
      </c>
      <c r="T368"/>
      <c r="U368"/>
      <c r="V368"/>
    </row>
    <row r="369" spans="1:22" x14ac:dyDescent="0.3">
      <c r="A369" s="105">
        <v>368</v>
      </c>
      <c r="B369" s="41">
        <v>12000000</v>
      </c>
      <c r="C369" s="41">
        <v>5.4000000000000003E-3</v>
      </c>
      <c r="D369" s="41">
        <v>10.374700000000001</v>
      </c>
      <c r="E369" s="41">
        <v>30</v>
      </c>
      <c r="F369" s="41">
        <v>0</v>
      </c>
      <c r="G369" s="41" t="s">
        <v>104</v>
      </c>
      <c r="H369" s="41">
        <v>1</v>
      </c>
      <c r="I369" s="41">
        <v>1</v>
      </c>
      <c r="J369" s="108">
        <f>POWER(POWER(Table2[[#This Row],[mv]],4)/10,0.25)</f>
        <v>3.0366431560278845E-3</v>
      </c>
      <c r="K369" s="41">
        <v>0</v>
      </c>
      <c r="L369" s="41">
        <v>55</v>
      </c>
      <c r="M369" s="41">
        <v>-1</v>
      </c>
      <c r="N369" s="41">
        <v>4</v>
      </c>
      <c r="O369" s="110" t="s">
        <v>826</v>
      </c>
      <c r="P369" s="109">
        <v>191992</v>
      </c>
      <c r="Q369" s="107"/>
      <c r="R369" s="111"/>
      <c r="S369" s="110" t="s">
        <v>1189</v>
      </c>
      <c r="T369"/>
      <c r="U369"/>
      <c r="V369"/>
    </row>
    <row r="370" spans="1:22" x14ac:dyDescent="0.3">
      <c r="A370" s="105">
        <v>369</v>
      </c>
      <c r="B370" s="41">
        <v>12000000</v>
      </c>
      <c r="C370" s="41">
        <v>5.4000000000000003E-3</v>
      </c>
      <c r="D370" s="41">
        <v>11.313700000000001</v>
      </c>
      <c r="E370" s="41">
        <v>30</v>
      </c>
      <c r="F370" s="41">
        <v>0</v>
      </c>
      <c r="G370" s="41" t="s">
        <v>104</v>
      </c>
      <c r="H370" s="41">
        <v>1</v>
      </c>
      <c r="I370" s="41">
        <v>1</v>
      </c>
      <c r="J370" s="108">
        <f>POWER(POWER(Table2[[#This Row],[mv]],4)/10,0.25)</f>
        <v>3.0366431560278845E-3</v>
      </c>
      <c r="K370" s="41">
        <v>0</v>
      </c>
      <c r="L370" s="41">
        <v>55</v>
      </c>
      <c r="M370" s="41">
        <v>-1</v>
      </c>
      <c r="N370" s="41">
        <v>4</v>
      </c>
      <c r="O370" s="110" t="s">
        <v>827</v>
      </c>
      <c r="P370" s="109">
        <v>191992</v>
      </c>
      <c r="Q370" s="107"/>
      <c r="R370" s="111"/>
      <c r="S370" s="110" t="s">
        <v>1189</v>
      </c>
      <c r="T370"/>
      <c r="U370"/>
      <c r="V370"/>
    </row>
    <row r="371" spans="1:22" x14ac:dyDescent="0.3">
      <c r="A371" s="105">
        <v>370</v>
      </c>
      <c r="B371" s="41">
        <v>12000000</v>
      </c>
      <c r="C371" s="41">
        <v>5.4000000000000003E-3</v>
      </c>
      <c r="D371" s="41">
        <v>12.3377</v>
      </c>
      <c r="E371" s="41">
        <v>30</v>
      </c>
      <c r="F371" s="41">
        <v>0</v>
      </c>
      <c r="G371" s="41" t="s">
        <v>104</v>
      </c>
      <c r="H371" s="41">
        <v>1</v>
      </c>
      <c r="I371" s="41">
        <v>1</v>
      </c>
      <c r="J371" s="108">
        <f>POWER(POWER(Table2[[#This Row],[mv]],4)/10,0.25)</f>
        <v>3.0366431560278845E-3</v>
      </c>
      <c r="K371" s="41">
        <v>0</v>
      </c>
      <c r="L371" s="41">
        <v>55</v>
      </c>
      <c r="M371" s="41">
        <v>-1</v>
      </c>
      <c r="N371" s="41">
        <v>4</v>
      </c>
      <c r="O371" s="110" t="s">
        <v>828</v>
      </c>
      <c r="P371" s="109">
        <v>191992</v>
      </c>
      <c r="Q371" s="107"/>
      <c r="R371" s="111"/>
      <c r="S371" s="110" t="s">
        <v>1189</v>
      </c>
      <c r="T371"/>
      <c r="U371"/>
      <c r="V371"/>
    </row>
    <row r="372" spans="1:22" x14ac:dyDescent="0.3">
      <c r="A372" s="105">
        <v>371</v>
      </c>
      <c r="B372" s="41">
        <v>12000000</v>
      </c>
      <c r="C372" s="41">
        <v>5.4000000000000003E-3</v>
      </c>
      <c r="D372" s="41">
        <v>13.4543</v>
      </c>
      <c r="E372" s="41">
        <v>30</v>
      </c>
      <c r="F372" s="41">
        <v>0</v>
      </c>
      <c r="G372" s="41" t="s">
        <v>104</v>
      </c>
      <c r="H372" s="41">
        <v>1</v>
      </c>
      <c r="I372" s="41">
        <v>1</v>
      </c>
      <c r="J372" s="108">
        <f>POWER(POWER(Table2[[#This Row],[mv]],4)/10,0.25)</f>
        <v>3.0366431560278845E-3</v>
      </c>
      <c r="K372" s="41">
        <v>0</v>
      </c>
      <c r="L372" s="41">
        <v>55</v>
      </c>
      <c r="M372" s="41">
        <v>-1</v>
      </c>
      <c r="N372" s="41">
        <v>4</v>
      </c>
      <c r="O372" s="110" t="s">
        <v>829</v>
      </c>
      <c r="P372" s="109">
        <v>192000</v>
      </c>
      <c r="Q372" s="107"/>
      <c r="R372" s="111"/>
      <c r="S372" s="110" t="s">
        <v>1189</v>
      </c>
      <c r="T372"/>
      <c r="U372"/>
      <c r="V372"/>
    </row>
    <row r="373" spans="1:22" x14ac:dyDescent="0.3">
      <c r="A373" s="105">
        <v>372</v>
      </c>
      <c r="B373" s="41">
        <v>12000000</v>
      </c>
      <c r="C373" s="41">
        <v>5.4000000000000003E-3</v>
      </c>
      <c r="D373" s="41">
        <v>14.6721</v>
      </c>
      <c r="E373" s="41">
        <v>30</v>
      </c>
      <c r="F373" s="41">
        <v>0</v>
      </c>
      <c r="G373" s="41" t="s">
        <v>104</v>
      </c>
      <c r="H373" s="41">
        <v>1</v>
      </c>
      <c r="I373" s="41">
        <v>1</v>
      </c>
      <c r="J373" s="108">
        <f>POWER(POWER(Table2[[#This Row],[mv]],4)/10,0.25)</f>
        <v>3.0366431560278845E-3</v>
      </c>
      <c r="K373" s="41">
        <v>0</v>
      </c>
      <c r="L373" s="41">
        <v>55</v>
      </c>
      <c r="M373" s="41">
        <v>-1</v>
      </c>
      <c r="N373" s="41">
        <v>4</v>
      </c>
      <c r="O373" s="110" t="s">
        <v>830</v>
      </c>
      <c r="P373" s="109">
        <v>192000</v>
      </c>
      <c r="Q373" s="107"/>
      <c r="R373" s="111"/>
      <c r="S373" s="110" t="s">
        <v>1189</v>
      </c>
      <c r="T373"/>
      <c r="U373"/>
      <c r="V373"/>
    </row>
    <row r="374" spans="1:22" x14ac:dyDescent="0.3">
      <c r="A374" s="105">
        <v>373</v>
      </c>
      <c r="B374" s="41">
        <v>12000000</v>
      </c>
      <c r="C374" s="41">
        <v>5.4000000000000003E-3</v>
      </c>
      <c r="D374" s="41">
        <v>16</v>
      </c>
      <c r="E374" s="41">
        <v>30</v>
      </c>
      <c r="F374" s="41">
        <v>0</v>
      </c>
      <c r="G374" s="41" t="s">
        <v>104</v>
      </c>
      <c r="H374" s="41">
        <v>1</v>
      </c>
      <c r="I374" s="41">
        <v>1</v>
      </c>
      <c r="J374" s="108">
        <f>POWER(POWER(Table2[[#This Row],[mv]],4)/10,0.25)</f>
        <v>3.0366431560278845E-3</v>
      </c>
      <c r="K374" s="41">
        <v>0</v>
      </c>
      <c r="L374" s="41">
        <v>55</v>
      </c>
      <c r="M374" s="41">
        <v>-1</v>
      </c>
      <c r="N374" s="41">
        <v>4</v>
      </c>
      <c r="O374" s="110" t="s">
        <v>831</v>
      </c>
      <c r="P374" s="109">
        <v>192000</v>
      </c>
      <c r="Q374" s="107"/>
      <c r="R374" s="111"/>
      <c r="S374" s="110" t="s">
        <v>1189</v>
      </c>
      <c r="T374"/>
      <c r="U374"/>
      <c r="V374"/>
    </row>
    <row r="375" spans="1:22" x14ac:dyDescent="0.3">
      <c r="A375" s="105">
        <v>374</v>
      </c>
      <c r="B375" s="41">
        <v>12000000</v>
      </c>
      <c r="C375" s="41">
        <v>5.4000000000000003E-3</v>
      </c>
      <c r="D375" s="41">
        <v>17.4481</v>
      </c>
      <c r="E375" s="41">
        <v>30</v>
      </c>
      <c r="F375" s="41">
        <v>0</v>
      </c>
      <c r="G375" s="41" t="s">
        <v>104</v>
      </c>
      <c r="H375" s="41">
        <v>1</v>
      </c>
      <c r="I375" s="41">
        <v>1</v>
      </c>
      <c r="J375" s="108">
        <f>POWER(POWER(Table2[[#This Row],[mv]],4)/10,0.25)</f>
        <v>3.0366431560278845E-3</v>
      </c>
      <c r="K375" s="41">
        <v>0</v>
      </c>
      <c r="L375" s="41">
        <v>55</v>
      </c>
      <c r="M375" s="41">
        <v>-1</v>
      </c>
      <c r="N375" s="41">
        <v>4</v>
      </c>
      <c r="O375" s="110" t="s">
        <v>832</v>
      </c>
      <c r="P375" s="109">
        <v>192000</v>
      </c>
      <c r="Q375" s="107"/>
      <c r="R375" s="111"/>
      <c r="S375" s="110" t="s">
        <v>1189</v>
      </c>
      <c r="T375"/>
      <c r="U375"/>
      <c r="V375"/>
    </row>
    <row r="376" spans="1:22" x14ac:dyDescent="0.3">
      <c r="A376" s="105">
        <v>375</v>
      </c>
      <c r="B376" s="41">
        <v>12000000</v>
      </c>
      <c r="C376" s="41">
        <v>5.4000000000000003E-3</v>
      </c>
      <c r="D376" s="41">
        <v>19.0273</v>
      </c>
      <c r="E376" s="41">
        <v>30</v>
      </c>
      <c r="F376" s="41">
        <v>0</v>
      </c>
      <c r="G376" s="41" t="s">
        <v>104</v>
      </c>
      <c r="H376" s="41">
        <v>1</v>
      </c>
      <c r="I376" s="41">
        <v>1</v>
      </c>
      <c r="J376" s="108">
        <f>POWER(POWER(Table2[[#This Row],[mv]],4)/10,0.25)</f>
        <v>3.0366431560278845E-3</v>
      </c>
      <c r="K376" s="41">
        <v>0</v>
      </c>
      <c r="L376" s="41">
        <v>55</v>
      </c>
      <c r="M376" s="41">
        <v>-1</v>
      </c>
      <c r="N376" s="41">
        <v>4</v>
      </c>
      <c r="O376" s="110" t="s">
        <v>833</v>
      </c>
      <c r="P376" s="109">
        <v>192000</v>
      </c>
      <c r="Q376" s="107"/>
      <c r="R376" s="111"/>
      <c r="S376" s="110" t="s">
        <v>1189</v>
      </c>
      <c r="T376"/>
      <c r="U376"/>
      <c r="V376"/>
    </row>
    <row r="377" spans="1:22" x14ac:dyDescent="0.3">
      <c r="A377" s="105">
        <v>376</v>
      </c>
      <c r="B377" s="41">
        <v>12000000</v>
      </c>
      <c r="C377" s="41">
        <v>5.8999999999999999E-3</v>
      </c>
      <c r="D377" s="41">
        <v>11.313700000000001</v>
      </c>
      <c r="E377" s="41">
        <v>30</v>
      </c>
      <c r="F377" s="41">
        <v>0</v>
      </c>
      <c r="G377" s="41" t="s">
        <v>104</v>
      </c>
      <c r="H377" s="41">
        <v>1</v>
      </c>
      <c r="I377" s="41">
        <v>1</v>
      </c>
      <c r="J377" s="108">
        <f>POWER(POWER(Table2[[#This Row],[mv]],4)/10,0.25)</f>
        <v>3.3178138186230597E-3</v>
      </c>
      <c r="K377" s="41">
        <v>0</v>
      </c>
      <c r="L377" s="41">
        <v>55</v>
      </c>
      <c r="M377" s="41">
        <v>-1</v>
      </c>
      <c r="N377" s="41">
        <v>4</v>
      </c>
      <c r="O377" s="110" t="s">
        <v>834</v>
      </c>
      <c r="P377" s="109">
        <v>192000</v>
      </c>
      <c r="Q377" s="107"/>
      <c r="R377" s="111"/>
      <c r="S377" s="110" t="s">
        <v>1189</v>
      </c>
      <c r="T377"/>
      <c r="U377"/>
      <c r="V377"/>
    </row>
    <row r="378" spans="1:22" x14ac:dyDescent="0.3">
      <c r="A378" s="105">
        <v>377</v>
      </c>
      <c r="B378" s="41">
        <v>12000000</v>
      </c>
      <c r="C378" s="41">
        <v>5.8999999999999999E-3</v>
      </c>
      <c r="D378" s="41">
        <v>12.3377</v>
      </c>
      <c r="E378" s="41">
        <v>30</v>
      </c>
      <c r="F378" s="41">
        <v>0</v>
      </c>
      <c r="G378" s="41" t="s">
        <v>104</v>
      </c>
      <c r="H378" s="41">
        <v>1</v>
      </c>
      <c r="I378" s="41">
        <v>1</v>
      </c>
      <c r="J378" s="108">
        <f>POWER(POWER(Table2[[#This Row],[mv]],4)/10,0.25)</f>
        <v>3.3178138186230597E-3</v>
      </c>
      <c r="K378" s="41">
        <v>0</v>
      </c>
      <c r="L378" s="41">
        <v>55</v>
      </c>
      <c r="M378" s="41">
        <v>-1</v>
      </c>
      <c r="N378" s="41">
        <v>4</v>
      </c>
      <c r="O378" s="110" t="s">
        <v>835</v>
      </c>
      <c r="P378" s="109">
        <v>192000</v>
      </c>
      <c r="Q378" s="107"/>
      <c r="R378" s="111"/>
      <c r="S378" s="110" t="s">
        <v>1189</v>
      </c>
      <c r="T378"/>
      <c r="U378"/>
      <c r="V378"/>
    </row>
    <row r="379" spans="1:22" x14ac:dyDescent="0.3">
      <c r="A379" s="105">
        <v>378</v>
      </c>
      <c r="B379" s="41">
        <v>12000000</v>
      </c>
      <c r="C379" s="41">
        <v>5.8999999999999999E-3</v>
      </c>
      <c r="D379" s="41">
        <v>13.4543</v>
      </c>
      <c r="E379" s="41">
        <v>30</v>
      </c>
      <c r="F379" s="41">
        <v>0</v>
      </c>
      <c r="G379" s="41" t="s">
        <v>104</v>
      </c>
      <c r="H379" s="41">
        <v>1</v>
      </c>
      <c r="I379" s="41">
        <v>1</v>
      </c>
      <c r="J379" s="108">
        <f>POWER(POWER(Table2[[#This Row],[mv]],4)/10,0.25)</f>
        <v>3.3178138186230597E-3</v>
      </c>
      <c r="K379" s="41">
        <v>0</v>
      </c>
      <c r="L379" s="41">
        <v>55</v>
      </c>
      <c r="M379" s="41">
        <v>-1</v>
      </c>
      <c r="N379" s="41">
        <v>4</v>
      </c>
      <c r="O379" s="110" t="s">
        <v>836</v>
      </c>
      <c r="P379" s="109">
        <v>192000</v>
      </c>
      <c r="Q379" s="107"/>
      <c r="R379" s="111"/>
      <c r="S379" s="110" t="s">
        <v>1189</v>
      </c>
      <c r="T379"/>
      <c r="U379"/>
      <c r="V379"/>
    </row>
    <row r="380" spans="1:22" x14ac:dyDescent="0.3">
      <c r="A380" s="105">
        <v>379</v>
      </c>
      <c r="B380" s="41">
        <v>12000000</v>
      </c>
      <c r="C380" s="41">
        <v>5.8999999999999999E-3</v>
      </c>
      <c r="D380" s="41">
        <v>14.6721</v>
      </c>
      <c r="E380" s="41">
        <v>30</v>
      </c>
      <c r="F380" s="41">
        <v>0</v>
      </c>
      <c r="G380" s="41" t="s">
        <v>104</v>
      </c>
      <c r="H380" s="41">
        <v>1</v>
      </c>
      <c r="I380" s="41">
        <v>1</v>
      </c>
      <c r="J380" s="108">
        <f>POWER(POWER(Table2[[#This Row],[mv]],4)/10,0.25)</f>
        <v>3.3178138186230597E-3</v>
      </c>
      <c r="K380" s="41">
        <v>0</v>
      </c>
      <c r="L380" s="41">
        <v>55</v>
      </c>
      <c r="M380" s="41">
        <v>-1</v>
      </c>
      <c r="N380" s="41">
        <v>4</v>
      </c>
      <c r="O380" s="110" t="s">
        <v>837</v>
      </c>
      <c r="P380" s="109">
        <v>192000</v>
      </c>
      <c r="Q380" s="107"/>
      <c r="R380" s="111"/>
      <c r="S380" s="110" t="s">
        <v>1189</v>
      </c>
      <c r="T380"/>
      <c r="U380"/>
      <c r="V380"/>
    </row>
    <row r="381" spans="1:22" x14ac:dyDescent="0.3">
      <c r="A381" s="105">
        <v>380</v>
      </c>
      <c r="B381" s="41">
        <v>12000000</v>
      </c>
      <c r="C381" s="41">
        <v>5.8999999999999999E-3</v>
      </c>
      <c r="D381" s="41">
        <v>16</v>
      </c>
      <c r="E381" s="41">
        <v>30</v>
      </c>
      <c r="F381" s="41">
        <v>0</v>
      </c>
      <c r="G381" s="41" t="s">
        <v>104</v>
      </c>
      <c r="H381" s="41">
        <v>1</v>
      </c>
      <c r="I381" s="41">
        <v>1</v>
      </c>
      <c r="J381" s="108">
        <f>POWER(POWER(Table2[[#This Row],[mv]],4)/10,0.25)</f>
        <v>3.3178138186230597E-3</v>
      </c>
      <c r="K381" s="41">
        <v>0</v>
      </c>
      <c r="L381" s="41">
        <v>55</v>
      </c>
      <c r="M381" s="41">
        <v>-1</v>
      </c>
      <c r="N381" s="41">
        <v>4</v>
      </c>
      <c r="O381" s="110" t="s">
        <v>838</v>
      </c>
      <c r="P381" s="109">
        <v>192000</v>
      </c>
      <c r="Q381" s="107"/>
      <c r="R381" s="111"/>
      <c r="S381" s="110" t="s">
        <v>1189</v>
      </c>
      <c r="T381"/>
      <c r="U381"/>
      <c r="V381"/>
    </row>
    <row r="382" spans="1:22" x14ac:dyDescent="0.3">
      <c r="A382" s="105">
        <v>381</v>
      </c>
      <c r="B382" s="41">
        <v>12000000</v>
      </c>
      <c r="C382" s="41">
        <v>5.8999999999999999E-3</v>
      </c>
      <c r="D382" s="41">
        <v>17.4481</v>
      </c>
      <c r="E382" s="41">
        <v>30</v>
      </c>
      <c r="F382" s="41">
        <v>0</v>
      </c>
      <c r="G382" s="41" t="s">
        <v>104</v>
      </c>
      <c r="H382" s="41">
        <v>1</v>
      </c>
      <c r="I382" s="41">
        <v>1</v>
      </c>
      <c r="J382" s="108">
        <f>POWER(POWER(Table2[[#This Row],[mv]],4)/10,0.25)</f>
        <v>3.3178138186230597E-3</v>
      </c>
      <c r="K382" s="41">
        <v>0</v>
      </c>
      <c r="L382" s="41">
        <v>55</v>
      </c>
      <c r="M382" s="41">
        <v>-1</v>
      </c>
      <c r="N382" s="41">
        <v>4</v>
      </c>
      <c r="O382" s="110" t="s">
        <v>839</v>
      </c>
      <c r="P382" s="109">
        <v>192000</v>
      </c>
      <c r="Q382" s="107"/>
      <c r="R382" s="111"/>
      <c r="S382" s="110" t="s">
        <v>1189</v>
      </c>
      <c r="T382"/>
      <c r="U382"/>
      <c r="V382"/>
    </row>
    <row r="383" spans="1:22" x14ac:dyDescent="0.3">
      <c r="A383" s="105">
        <v>382</v>
      </c>
      <c r="B383" s="41">
        <v>12000000</v>
      </c>
      <c r="C383" s="41">
        <v>5.8999999999999999E-3</v>
      </c>
      <c r="D383" s="41">
        <v>19.0273</v>
      </c>
      <c r="E383" s="41">
        <v>30</v>
      </c>
      <c r="F383" s="41">
        <v>0</v>
      </c>
      <c r="G383" s="41" t="s">
        <v>104</v>
      </c>
      <c r="H383" s="41">
        <v>1</v>
      </c>
      <c r="I383" s="41">
        <v>1</v>
      </c>
      <c r="J383" s="108">
        <f>POWER(POWER(Table2[[#This Row],[mv]],4)/10,0.25)</f>
        <v>3.3178138186230597E-3</v>
      </c>
      <c r="K383" s="41">
        <v>0</v>
      </c>
      <c r="L383" s="41">
        <v>55</v>
      </c>
      <c r="M383" s="41">
        <v>-1</v>
      </c>
      <c r="N383" s="41">
        <v>4</v>
      </c>
      <c r="O383" s="110" t="s">
        <v>840</v>
      </c>
      <c r="P383" s="109">
        <v>192000</v>
      </c>
      <c r="Q383" s="107"/>
      <c r="R383" s="111"/>
      <c r="S383" s="110" t="s">
        <v>1189</v>
      </c>
      <c r="T383"/>
      <c r="U383"/>
      <c r="V383"/>
    </row>
    <row r="384" spans="1:22" x14ac:dyDescent="0.3">
      <c r="A384" s="105">
        <v>383</v>
      </c>
      <c r="B384" s="41">
        <v>12000000</v>
      </c>
      <c r="C384" s="41">
        <v>6.4000000000000003E-3</v>
      </c>
      <c r="D384" s="41">
        <v>13.4543</v>
      </c>
      <c r="E384" s="41">
        <v>30</v>
      </c>
      <c r="F384" s="41">
        <v>0</v>
      </c>
      <c r="G384" s="41" t="s">
        <v>104</v>
      </c>
      <c r="H384" s="41">
        <v>1</v>
      </c>
      <c r="I384" s="41">
        <v>1</v>
      </c>
      <c r="J384" s="108">
        <f>POWER(POWER(Table2[[#This Row],[mv]],4)/10,0.25)</f>
        <v>3.5989844812182349E-3</v>
      </c>
      <c r="K384" s="41">
        <v>0</v>
      </c>
      <c r="L384" s="41">
        <v>55</v>
      </c>
      <c r="M384" s="41">
        <v>-1</v>
      </c>
      <c r="N384" s="41">
        <v>4</v>
      </c>
      <c r="O384" s="110" t="s">
        <v>841</v>
      </c>
      <c r="P384" s="109">
        <v>192000</v>
      </c>
      <c r="Q384" s="107"/>
      <c r="R384" s="111"/>
      <c r="S384" s="110" t="s">
        <v>1189</v>
      </c>
      <c r="T384"/>
      <c r="U384"/>
      <c r="V384"/>
    </row>
    <row r="385" spans="1:22" x14ac:dyDescent="0.3">
      <c r="A385" s="105">
        <v>384</v>
      </c>
      <c r="B385" s="41">
        <v>12000000</v>
      </c>
      <c r="C385" s="41">
        <v>6.4000000000000003E-3</v>
      </c>
      <c r="D385" s="41">
        <v>14.6721</v>
      </c>
      <c r="E385" s="41">
        <v>30</v>
      </c>
      <c r="F385" s="41">
        <v>0</v>
      </c>
      <c r="G385" s="41" t="s">
        <v>104</v>
      </c>
      <c r="H385" s="41">
        <v>1</v>
      </c>
      <c r="I385" s="41">
        <v>1</v>
      </c>
      <c r="J385" s="108">
        <f>POWER(POWER(Table2[[#This Row],[mv]],4)/10,0.25)</f>
        <v>3.5989844812182349E-3</v>
      </c>
      <c r="K385" s="41">
        <v>0</v>
      </c>
      <c r="L385" s="41">
        <v>55</v>
      </c>
      <c r="M385" s="41">
        <v>-1</v>
      </c>
      <c r="N385" s="41">
        <v>4</v>
      </c>
      <c r="O385" s="110" t="s">
        <v>842</v>
      </c>
      <c r="P385" s="109">
        <v>192000</v>
      </c>
      <c r="Q385" s="107"/>
      <c r="R385" s="111"/>
      <c r="S385" s="110" t="s">
        <v>1189</v>
      </c>
      <c r="T385"/>
      <c r="U385"/>
      <c r="V385"/>
    </row>
    <row r="386" spans="1:22" x14ac:dyDescent="0.3">
      <c r="A386" s="105">
        <v>385</v>
      </c>
      <c r="B386" s="41">
        <v>12000000</v>
      </c>
      <c r="C386" s="41">
        <v>6.4000000000000003E-3</v>
      </c>
      <c r="D386" s="41">
        <v>16</v>
      </c>
      <c r="E386" s="41">
        <v>30</v>
      </c>
      <c r="F386" s="41">
        <v>0</v>
      </c>
      <c r="G386" s="41" t="s">
        <v>104</v>
      </c>
      <c r="H386" s="41">
        <v>1</v>
      </c>
      <c r="I386" s="41">
        <v>1</v>
      </c>
      <c r="J386" s="108">
        <f>POWER(POWER(Table2[[#This Row],[mv]],4)/10,0.25)</f>
        <v>3.5989844812182349E-3</v>
      </c>
      <c r="K386" s="41">
        <v>0</v>
      </c>
      <c r="L386" s="41">
        <v>55</v>
      </c>
      <c r="M386" s="41">
        <v>-1</v>
      </c>
      <c r="N386" s="41">
        <v>4</v>
      </c>
      <c r="O386" s="110" t="s">
        <v>843</v>
      </c>
      <c r="P386" s="109">
        <v>192000</v>
      </c>
      <c r="Q386" s="107"/>
      <c r="R386" s="111"/>
      <c r="S386" s="110" t="s">
        <v>1189</v>
      </c>
      <c r="T386"/>
      <c r="U386"/>
      <c r="V386"/>
    </row>
    <row r="387" spans="1:22" x14ac:dyDescent="0.3">
      <c r="A387" s="105">
        <v>386</v>
      </c>
      <c r="B387" s="41">
        <v>12000000</v>
      </c>
      <c r="C387" s="41">
        <v>6.4000000000000003E-3</v>
      </c>
      <c r="D387" s="41">
        <v>17.4481</v>
      </c>
      <c r="E387" s="41">
        <v>30</v>
      </c>
      <c r="F387" s="41">
        <v>0</v>
      </c>
      <c r="G387" s="41" t="s">
        <v>104</v>
      </c>
      <c r="H387" s="41">
        <v>1</v>
      </c>
      <c r="I387" s="41">
        <v>1</v>
      </c>
      <c r="J387" s="108">
        <f>POWER(POWER(Table2[[#This Row],[mv]],4)/10,0.25)</f>
        <v>3.5989844812182349E-3</v>
      </c>
      <c r="K387" s="41">
        <v>0</v>
      </c>
      <c r="L387" s="41">
        <v>55</v>
      </c>
      <c r="M387" s="41">
        <v>-1</v>
      </c>
      <c r="N387" s="41">
        <v>4</v>
      </c>
      <c r="O387" s="110" t="s">
        <v>844</v>
      </c>
      <c r="P387" s="109">
        <v>192000</v>
      </c>
      <c r="Q387" s="107"/>
      <c r="R387" s="111"/>
      <c r="S387" s="110" t="s">
        <v>1189</v>
      </c>
      <c r="T387"/>
      <c r="U387"/>
      <c r="V387"/>
    </row>
    <row r="388" spans="1:22" x14ac:dyDescent="0.3">
      <c r="A388" s="105">
        <v>387</v>
      </c>
      <c r="B388" s="41">
        <v>12000000</v>
      </c>
      <c r="C388" s="41">
        <v>6.4000000000000003E-3</v>
      </c>
      <c r="D388" s="41">
        <v>19.0273</v>
      </c>
      <c r="E388" s="41">
        <v>30</v>
      </c>
      <c r="F388" s="41">
        <v>0</v>
      </c>
      <c r="G388" s="41" t="s">
        <v>104</v>
      </c>
      <c r="H388" s="41">
        <v>1</v>
      </c>
      <c r="I388" s="41">
        <v>1</v>
      </c>
      <c r="J388" s="108">
        <f>POWER(POWER(Table2[[#This Row],[mv]],4)/10,0.25)</f>
        <v>3.5989844812182349E-3</v>
      </c>
      <c r="K388" s="41">
        <v>0</v>
      </c>
      <c r="L388" s="41">
        <v>55</v>
      </c>
      <c r="M388" s="41">
        <v>-1</v>
      </c>
      <c r="N388" s="41">
        <v>4</v>
      </c>
      <c r="O388" s="110" t="s">
        <v>845</v>
      </c>
      <c r="P388" s="109">
        <v>192000</v>
      </c>
      <c r="Q388" s="107"/>
      <c r="R388" s="111"/>
      <c r="S388" s="110" t="s">
        <v>1189</v>
      </c>
      <c r="T388"/>
      <c r="U388"/>
      <c r="V388"/>
    </row>
    <row r="389" spans="1:22" x14ac:dyDescent="0.3">
      <c r="A389" s="105">
        <v>388</v>
      </c>
      <c r="B389" s="41">
        <v>12000000</v>
      </c>
      <c r="C389" s="41">
        <v>7.0000000000000001E-3</v>
      </c>
      <c r="D389" s="41">
        <v>16</v>
      </c>
      <c r="E389" s="41">
        <v>30</v>
      </c>
      <c r="F389" s="41">
        <v>0</v>
      </c>
      <c r="G389" s="41" t="s">
        <v>104</v>
      </c>
      <c r="H389" s="41">
        <v>1</v>
      </c>
      <c r="I389" s="41">
        <v>1</v>
      </c>
      <c r="J389" s="108">
        <f>POWER(POWER(Table2[[#This Row],[mv]],4)/10,0.25)</f>
        <v>3.9363892763324441E-3</v>
      </c>
      <c r="K389" s="41">
        <v>0</v>
      </c>
      <c r="L389" s="41">
        <v>55</v>
      </c>
      <c r="M389" s="41">
        <v>-1</v>
      </c>
      <c r="N389" s="41">
        <v>4</v>
      </c>
      <c r="O389" s="110" t="s">
        <v>846</v>
      </c>
      <c r="P389" s="109">
        <v>192000</v>
      </c>
      <c r="Q389" s="107"/>
      <c r="R389" s="111"/>
      <c r="S389" s="110" t="s">
        <v>1189</v>
      </c>
      <c r="T389"/>
      <c r="U389"/>
      <c r="V389"/>
    </row>
    <row r="390" spans="1:22" x14ac:dyDescent="0.3">
      <c r="A390" s="105">
        <v>389</v>
      </c>
      <c r="B390" s="41">
        <v>12000000</v>
      </c>
      <c r="C390" s="41">
        <v>7.0000000000000001E-3</v>
      </c>
      <c r="D390" s="41">
        <v>17.4481</v>
      </c>
      <c r="E390" s="41">
        <v>30</v>
      </c>
      <c r="F390" s="41">
        <v>0</v>
      </c>
      <c r="G390" s="41" t="s">
        <v>104</v>
      </c>
      <c r="H390" s="41">
        <v>1</v>
      </c>
      <c r="I390" s="41">
        <v>1</v>
      </c>
      <c r="J390" s="108">
        <f>POWER(POWER(Table2[[#This Row],[mv]],4)/10,0.25)</f>
        <v>3.9363892763324441E-3</v>
      </c>
      <c r="K390" s="41">
        <v>0</v>
      </c>
      <c r="L390" s="41">
        <v>55</v>
      </c>
      <c r="M390" s="41">
        <v>-1</v>
      </c>
      <c r="N390" s="41">
        <v>4</v>
      </c>
      <c r="O390" s="110" t="s">
        <v>847</v>
      </c>
      <c r="P390" s="109">
        <v>192000</v>
      </c>
      <c r="Q390" s="107"/>
      <c r="R390" s="111"/>
      <c r="S390" s="110" t="s">
        <v>1189</v>
      </c>
      <c r="T390"/>
      <c r="U390"/>
      <c r="V390"/>
    </row>
    <row r="391" spans="1:22" x14ac:dyDescent="0.3">
      <c r="A391" s="105">
        <v>390</v>
      </c>
      <c r="B391" s="41">
        <v>12000000</v>
      </c>
      <c r="C391" s="41">
        <v>7.0000000000000001E-3</v>
      </c>
      <c r="D391" s="41">
        <v>19.0273</v>
      </c>
      <c r="E391" s="41">
        <v>30</v>
      </c>
      <c r="F391" s="41">
        <v>0</v>
      </c>
      <c r="G391" s="41" t="s">
        <v>104</v>
      </c>
      <c r="H391" s="41">
        <v>1</v>
      </c>
      <c r="I391" s="41">
        <v>1</v>
      </c>
      <c r="J391" s="108">
        <f>POWER(POWER(Table2[[#This Row],[mv]],4)/10,0.25)</f>
        <v>3.9363892763324441E-3</v>
      </c>
      <c r="K391" s="41">
        <v>0</v>
      </c>
      <c r="L391" s="41">
        <v>55</v>
      </c>
      <c r="M391" s="41">
        <v>-1</v>
      </c>
      <c r="N391" s="41">
        <v>4</v>
      </c>
      <c r="O391" s="110" t="s">
        <v>848</v>
      </c>
      <c r="P391" s="109">
        <v>192000</v>
      </c>
      <c r="Q391" s="107"/>
      <c r="R391" s="111"/>
      <c r="S391" s="110" t="s">
        <v>1189</v>
      </c>
      <c r="T391"/>
      <c r="U391"/>
      <c r="V391"/>
    </row>
    <row r="392" spans="1:22" x14ac:dyDescent="0.3">
      <c r="A392" s="105">
        <v>391</v>
      </c>
      <c r="B392" s="41">
        <v>12000000</v>
      </c>
      <c r="C392" s="41">
        <v>7.6E-3</v>
      </c>
      <c r="D392" s="41">
        <v>19.0273</v>
      </c>
      <c r="E392" s="41">
        <v>30</v>
      </c>
      <c r="F392" s="41">
        <v>0</v>
      </c>
      <c r="G392" s="41" t="s">
        <v>104</v>
      </c>
      <c r="H392" s="41">
        <v>1</v>
      </c>
      <c r="I392" s="41">
        <v>1</v>
      </c>
      <c r="J392" s="108">
        <f>POWER(POWER(Table2[[#This Row],[mv]],4)/10,0.25)</f>
        <v>4.2737940714466516E-3</v>
      </c>
      <c r="K392" s="41">
        <v>0</v>
      </c>
      <c r="L392" s="41">
        <v>55</v>
      </c>
      <c r="M392" s="41">
        <v>-1</v>
      </c>
      <c r="N392" s="41">
        <v>4</v>
      </c>
      <c r="O392" s="110" t="s">
        <v>849</v>
      </c>
      <c r="P392" s="109">
        <v>192000</v>
      </c>
      <c r="Q392" s="107"/>
      <c r="R392" s="111"/>
      <c r="S392" s="110" t="s">
        <v>1189</v>
      </c>
      <c r="T392"/>
      <c r="U392"/>
      <c r="V392"/>
    </row>
    <row r="393" spans="1:22" x14ac:dyDescent="0.3">
      <c r="A393" s="105">
        <v>392</v>
      </c>
      <c r="B393" s="41">
        <v>12000000</v>
      </c>
      <c r="C393" s="41">
        <v>2.8999999999999998E-3</v>
      </c>
      <c r="D393" s="41">
        <v>3.6680000000000001</v>
      </c>
      <c r="E393" s="41">
        <v>30</v>
      </c>
      <c r="F393" s="41">
        <v>0</v>
      </c>
      <c r="G393" s="41" t="s">
        <v>104</v>
      </c>
      <c r="H393" s="41">
        <v>1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10" t="s">
        <v>854</v>
      </c>
      <c r="P393" s="109">
        <v>191033</v>
      </c>
      <c r="Q393" s="107"/>
      <c r="R393" s="111"/>
      <c r="S393" s="110" t="s">
        <v>1189</v>
      </c>
      <c r="T393"/>
      <c r="U393"/>
      <c r="V393"/>
    </row>
    <row r="394" spans="1:22" x14ac:dyDescent="0.3">
      <c r="A394" s="105">
        <v>393</v>
      </c>
      <c r="B394" s="41">
        <v>12000000</v>
      </c>
      <c r="C394" s="41">
        <v>2.8999999999999998E-3</v>
      </c>
      <c r="D394" s="41">
        <v>4</v>
      </c>
      <c r="E394" s="41">
        <v>30</v>
      </c>
      <c r="F394" s="41">
        <v>0</v>
      </c>
      <c r="G394" s="41" t="s">
        <v>104</v>
      </c>
      <c r="H394" s="41">
        <v>1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10" t="s">
        <v>855</v>
      </c>
      <c r="P394" s="109">
        <v>191033</v>
      </c>
      <c r="Q394" s="107"/>
      <c r="R394" s="111"/>
      <c r="S394" s="110" t="s">
        <v>1189</v>
      </c>
      <c r="T394"/>
      <c r="U394"/>
      <c r="V394"/>
    </row>
    <row r="395" spans="1:22" x14ac:dyDescent="0.3">
      <c r="A395" s="105">
        <v>394</v>
      </c>
      <c r="B395" s="41">
        <v>12000000</v>
      </c>
      <c r="C395" s="41">
        <v>2.8999999999999998E-3</v>
      </c>
      <c r="D395" s="41">
        <v>4.3620000000000001</v>
      </c>
      <c r="E395" s="41">
        <v>30</v>
      </c>
      <c r="F395" s="41">
        <v>0</v>
      </c>
      <c r="G395" s="41" t="s">
        <v>104</v>
      </c>
      <c r="H395" s="41">
        <v>1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10" t="s">
        <v>856</v>
      </c>
      <c r="P395" s="109">
        <v>191033</v>
      </c>
      <c r="Q395" s="107"/>
      <c r="R395" s="111"/>
      <c r="S395" s="110" t="s">
        <v>1189</v>
      </c>
      <c r="T395"/>
      <c r="U395"/>
      <c r="V395"/>
    </row>
    <row r="396" spans="1:22" x14ac:dyDescent="0.3">
      <c r="A396" s="105">
        <v>395</v>
      </c>
      <c r="B396" s="41">
        <v>12000000</v>
      </c>
      <c r="C396" s="41">
        <v>2.8999999999999998E-3</v>
      </c>
      <c r="D396" s="41">
        <v>4.7568000000000001</v>
      </c>
      <c r="E396" s="41">
        <v>30</v>
      </c>
      <c r="F396" s="41">
        <v>0</v>
      </c>
      <c r="G396" s="41" t="s">
        <v>104</v>
      </c>
      <c r="H396" s="41">
        <v>1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10" t="s">
        <v>857</v>
      </c>
      <c r="P396" s="109">
        <v>191033</v>
      </c>
      <c r="Q396" s="107"/>
      <c r="R396" s="111"/>
      <c r="S396" s="110" t="s">
        <v>1189</v>
      </c>
      <c r="T396"/>
      <c r="U396"/>
      <c r="V396"/>
    </row>
    <row r="397" spans="1:22" x14ac:dyDescent="0.3">
      <c r="A397" s="105">
        <v>396</v>
      </c>
      <c r="B397" s="41">
        <v>12000000</v>
      </c>
      <c r="C397" s="41">
        <v>2.8999999999999998E-3</v>
      </c>
      <c r="D397" s="41">
        <v>5.1874000000000002</v>
      </c>
      <c r="E397" s="41">
        <v>30</v>
      </c>
      <c r="F397" s="41">
        <v>0</v>
      </c>
      <c r="G397" s="41" t="s">
        <v>104</v>
      </c>
      <c r="H397" s="41">
        <v>1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10" t="s">
        <v>858</v>
      </c>
      <c r="P397" s="109">
        <v>191033</v>
      </c>
      <c r="Q397" s="107"/>
      <c r="R397" s="111"/>
      <c r="S397" s="110" t="s">
        <v>1189</v>
      </c>
      <c r="T397"/>
      <c r="U397"/>
      <c r="V397"/>
    </row>
    <row r="398" spans="1:22" x14ac:dyDescent="0.3">
      <c r="A398" s="105">
        <v>397</v>
      </c>
      <c r="B398" s="41">
        <v>12000000</v>
      </c>
      <c r="C398" s="41">
        <v>2.8999999999999998E-3</v>
      </c>
      <c r="D398" s="41">
        <v>5.6569000000000003</v>
      </c>
      <c r="E398" s="41">
        <v>30</v>
      </c>
      <c r="F398" s="41">
        <v>0</v>
      </c>
      <c r="G398" s="41" t="s">
        <v>104</v>
      </c>
      <c r="H398" s="41">
        <v>1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10" t="s">
        <v>859</v>
      </c>
      <c r="P398" s="109">
        <v>191033</v>
      </c>
      <c r="Q398" s="107"/>
      <c r="R398" s="111"/>
      <c r="S398" s="110" t="s">
        <v>1189</v>
      </c>
      <c r="T398"/>
      <c r="U398"/>
      <c r="V398"/>
    </row>
    <row r="399" spans="1:22" x14ac:dyDescent="0.3">
      <c r="A399" s="105">
        <v>398</v>
      </c>
      <c r="B399" s="41">
        <v>12000000</v>
      </c>
      <c r="C399" s="41">
        <v>2.8999999999999998E-3</v>
      </c>
      <c r="D399" s="41">
        <v>6.1688000000000001</v>
      </c>
      <c r="E399" s="41">
        <v>30</v>
      </c>
      <c r="F399" s="41">
        <v>0</v>
      </c>
      <c r="G399" s="41" t="s">
        <v>104</v>
      </c>
      <c r="H399" s="41">
        <v>1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10" t="s">
        <v>860</v>
      </c>
      <c r="P399" s="109">
        <v>191033</v>
      </c>
      <c r="Q399" s="107"/>
      <c r="R399" s="111"/>
      <c r="S399" s="110" t="s">
        <v>1189</v>
      </c>
      <c r="T399"/>
      <c r="U399"/>
      <c r="V399"/>
    </row>
    <row r="400" spans="1:22" x14ac:dyDescent="0.3">
      <c r="A400" s="105">
        <v>399</v>
      </c>
      <c r="B400" s="41">
        <v>12000000</v>
      </c>
      <c r="C400" s="41">
        <v>2.8999999999999998E-3</v>
      </c>
      <c r="D400" s="41">
        <v>6.7271999999999998</v>
      </c>
      <c r="E400" s="41">
        <v>30</v>
      </c>
      <c r="F400" s="41">
        <v>0</v>
      </c>
      <c r="G400" s="41" t="s">
        <v>104</v>
      </c>
      <c r="H400" s="41">
        <v>1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10" t="s">
        <v>861</v>
      </c>
      <c r="P400" s="109">
        <v>191033</v>
      </c>
      <c r="Q400" s="107"/>
      <c r="R400" s="111"/>
      <c r="S400" s="110" t="s">
        <v>1189</v>
      </c>
      <c r="T400"/>
      <c r="U400"/>
      <c r="V400"/>
    </row>
    <row r="401" spans="1:22" x14ac:dyDescent="0.3">
      <c r="A401" s="105">
        <v>400</v>
      </c>
      <c r="B401" s="41">
        <v>12000000</v>
      </c>
      <c r="C401" s="41">
        <v>2.8999999999999998E-3</v>
      </c>
      <c r="D401" s="41">
        <v>7.3360000000000003</v>
      </c>
      <c r="E401" s="41">
        <v>30</v>
      </c>
      <c r="F401" s="41">
        <v>0</v>
      </c>
      <c r="G401" s="41" t="s">
        <v>104</v>
      </c>
      <c r="H401" s="41">
        <v>1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10" t="s">
        <v>862</v>
      </c>
      <c r="P401" s="109">
        <v>191033</v>
      </c>
      <c r="Q401" s="107"/>
      <c r="R401" s="111"/>
      <c r="S401" s="110" t="s">
        <v>1189</v>
      </c>
      <c r="T401"/>
      <c r="U401"/>
      <c r="V401"/>
    </row>
    <row r="402" spans="1:22" x14ac:dyDescent="0.3">
      <c r="A402" s="105">
        <v>401</v>
      </c>
      <c r="B402" s="41">
        <v>12000000</v>
      </c>
      <c r="C402" s="41">
        <v>2.8999999999999998E-3</v>
      </c>
      <c r="D402" s="41">
        <v>8</v>
      </c>
      <c r="E402" s="41">
        <v>30</v>
      </c>
      <c r="F402" s="41">
        <v>0</v>
      </c>
      <c r="G402" s="41" t="s">
        <v>104</v>
      </c>
      <c r="H402" s="41">
        <v>1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10" t="s">
        <v>863</v>
      </c>
      <c r="P402" s="109">
        <v>191033</v>
      </c>
      <c r="Q402" s="107"/>
      <c r="R402" s="111"/>
      <c r="S402" s="110" t="s">
        <v>1189</v>
      </c>
      <c r="T402"/>
      <c r="U402"/>
      <c r="V402"/>
    </row>
    <row r="403" spans="1:22" x14ac:dyDescent="0.3">
      <c r="A403" s="105">
        <v>402</v>
      </c>
      <c r="B403" s="41">
        <v>12000000</v>
      </c>
      <c r="C403" s="41">
        <v>2.8999999999999998E-3</v>
      </c>
      <c r="D403" s="41">
        <v>8.7241</v>
      </c>
      <c r="E403" s="41">
        <v>30</v>
      </c>
      <c r="F403" s="41">
        <v>0</v>
      </c>
      <c r="G403" s="41" t="s">
        <v>104</v>
      </c>
      <c r="H403" s="41">
        <v>1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10" t="s">
        <v>864</v>
      </c>
      <c r="P403" s="109">
        <v>191033</v>
      </c>
      <c r="Q403" s="107"/>
      <c r="R403" s="111"/>
      <c r="S403" s="110" t="s">
        <v>1189</v>
      </c>
      <c r="T403"/>
      <c r="U403"/>
      <c r="V403"/>
    </row>
    <row r="404" spans="1:22" x14ac:dyDescent="0.3">
      <c r="A404" s="105">
        <v>403</v>
      </c>
      <c r="B404" s="41">
        <v>12000000</v>
      </c>
      <c r="C404" s="41">
        <v>2.8999999999999998E-3</v>
      </c>
      <c r="D404" s="41">
        <v>9.5137</v>
      </c>
      <c r="E404" s="41">
        <v>30</v>
      </c>
      <c r="F404" s="41">
        <v>0</v>
      </c>
      <c r="G404" s="41" t="s">
        <v>104</v>
      </c>
      <c r="H404" s="41">
        <v>1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10" t="s">
        <v>865</v>
      </c>
      <c r="P404" s="109">
        <v>191033</v>
      </c>
      <c r="Q404" s="107"/>
      <c r="R404" s="111"/>
      <c r="S404" s="110" t="s">
        <v>1189</v>
      </c>
      <c r="T404"/>
      <c r="U404"/>
      <c r="V404"/>
    </row>
    <row r="405" spans="1:22" x14ac:dyDescent="0.3">
      <c r="A405" s="105">
        <v>404</v>
      </c>
      <c r="B405" s="41">
        <v>12000000</v>
      </c>
      <c r="C405" s="41">
        <v>2.8999999999999998E-3</v>
      </c>
      <c r="D405" s="41">
        <v>10.374700000000001</v>
      </c>
      <c r="E405" s="41">
        <v>30</v>
      </c>
      <c r="F405" s="41">
        <v>0</v>
      </c>
      <c r="G405" s="41" t="s">
        <v>104</v>
      </c>
      <c r="H405" s="41">
        <v>1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10" t="s">
        <v>866</v>
      </c>
      <c r="P405" s="109">
        <v>191033</v>
      </c>
      <c r="Q405" s="107"/>
      <c r="R405" s="111"/>
      <c r="S405" s="110" t="s">
        <v>1189</v>
      </c>
      <c r="T405"/>
      <c r="U405"/>
      <c r="V405"/>
    </row>
    <row r="406" spans="1:22" x14ac:dyDescent="0.3">
      <c r="A406" s="105">
        <v>405</v>
      </c>
      <c r="B406" s="41">
        <v>12000000</v>
      </c>
      <c r="C406" s="41">
        <v>2.8999999999999998E-3</v>
      </c>
      <c r="D406" s="41">
        <v>11.313700000000001</v>
      </c>
      <c r="E406" s="41">
        <v>30</v>
      </c>
      <c r="F406" s="41">
        <v>0</v>
      </c>
      <c r="G406" s="41" t="s">
        <v>104</v>
      </c>
      <c r="H406" s="41">
        <v>1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10" t="s">
        <v>867</v>
      </c>
      <c r="P406" s="109">
        <v>191033</v>
      </c>
      <c r="Q406" s="107"/>
      <c r="R406" s="111"/>
      <c r="S406" s="110" t="s">
        <v>1189</v>
      </c>
      <c r="T406"/>
      <c r="U406"/>
      <c r="V406"/>
    </row>
    <row r="407" spans="1:22" x14ac:dyDescent="0.3">
      <c r="A407" s="105">
        <v>406</v>
      </c>
      <c r="B407" s="41">
        <v>12000000</v>
      </c>
      <c r="C407" s="41">
        <v>2.8999999999999998E-3</v>
      </c>
      <c r="D407" s="41">
        <v>12.3377</v>
      </c>
      <c r="E407" s="41">
        <v>30</v>
      </c>
      <c r="F407" s="41">
        <v>0</v>
      </c>
      <c r="G407" s="41" t="s">
        <v>104</v>
      </c>
      <c r="H407" s="41">
        <v>1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10" t="s">
        <v>868</v>
      </c>
      <c r="P407" s="109">
        <v>191033</v>
      </c>
      <c r="Q407" s="107"/>
      <c r="R407" s="111"/>
      <c r="S407" s="110" t="s">
        <v>1189</v>
      </c>
      <c r="T407"/>
      <c r="U407"/>
      <c r="V407"/>
    </row>
    <row r="408" spans="1:22" x14ac:dyDescent="0.3">
      <c r="A408" s="105">
        <v>407</v>
      </c>
      <c r="B408" s="41">
        <v>12000000</v>
      </c>
      <c r="C408" s="41">
        <v>2.8999999999999998E-3</v>
      </c>
      <c r="D408" s="41">
        <v>13.4543</v>
      </c>
      <c r="E408" s="41">
        <v>30</v>
      </c>
      <c r="F408" s="41">
        <v>0</v>
      </c>
      <c r="G408" s="41" t="s">
        <v>104</v>
      </c>
      <c r="H408" s="41">
        <v>1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10" t="s">
        <v>869</v>
      </c>
      <c r="P408" s="109">
        <v>191033</v>
      </c>
      <c r="Q408" s="107"/>
      <c r="R408" s="111"/>
      <c r="S408" s="110" t="s">
        <v>1189</v>
      </c>
      <c r="T408"/>
      <c r="U408"/>
      <c r="V408"/>
    </row>
    <row r="409" spans="1:22" x14ac:dyDescent="0.3">
      <c r="A409" s="105">
        <v>408</v>
      </c>
      <c r="B409" s="41">
        <v>12000000</v>
      </c>
      <c r="C409" s="41">
        <v>2.8999999999999998E-3</v>
      </c>
      <c r="D409" s="41">
        <v>14.6721</v>
      </c>
      <c r="E409" s="41">
        <v>30</v>
      </c>
      <c r="F409" s="41">
        <v>0</v>
      </c>
      <c r="G409" s="41" t="s">
        <v>104</v>
      </c>
      <c r="H409" s="41">
        <v>1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10" t="s">
        <v>870</v>
      </c>
      <c r="P409" s="109">
        <v>191033</v>
      </c>
      <c r="Q409" s="107"/>
      <c r="R409" s="111"/>
      <c r="S409" s="110" t="s">
        <v>1189</v>
      </c>
      <c r="T409"/>
      <c r="U409"/>
      <c r="V409"/>
    </row>
    <row r="410" spans="1:22" x14ac:dyDescent="0.3">
      <c r="A410" s="105">
        <v>409</v>
      </c>
      <c r="B410" s="41">
        <v>12000000</v>
      </c>
      <c r="C410" s="41">
        <v>2.8999999999999998E-3</v>
      </c>
      <c r="D410" s="41">
        <v>16</v>
      </c>
      <c r="E410" s="41">
        <v>30</v>
      </c>
      <c r="F410" s="41">
        <v>0</v>
      </c>
      <c r="G410" s="41" t="s">
        <v>104</v>
      </c>
      <c r="H410" s="41">
        <v>1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10" t="s">
        <v>871</v>
      </c>
      <c r="P410" s="109">
        <v>191033</v>
      </c>
      <c r="Q410" s="107"/>
      <c r="R410" s="111"/>
      <c r="S410" s="110" t="s">
        <v>1189</v>
      </c>
      <c r="T410"/>
      <c r="U410"/>
      <c r="V410"/>
    </row>
    <row r="411" spans="1:22" x14ac:dyDescent="0.3">
      <c r="A411" s="105">
        <v>410</v>
      </c>
      <c r="B411" s="41">
        <v>12000000</v>
      </c>
      <c r="C411" s="41">
        <v>2.8999999999999998E-3</v>
      </c>
      <c r="D411" s="41">
        <v>17.4481</v>
      </c>
      <c r="E411" s="41">
        <v>30</v>
      </c>
      <c r="F411" s="41">
        <v>0</v>
      </c>
      <c r="G411" s="41" t="s">
        <v>104</v>
      </c>
      <c r="H411" s="41">
        <v>1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10" t="s">
        <v>872</v>
      </c>
      <c r="P411" s="109">
        <v>191033</v>
      </c>
      <c r="Q411" s="107"/>
      <c r="R411" s="111"/>
      <c r="S411" s="110" t="s">
        <v>1189</v>
      </c>
      <c r="T411"/>
      <c r="U411"/>
      <c r="V411"/>
    </row>
    <row r="412" spans="1:22" x14ac:dyDescent="0.3">
      <c r="A412" s="105">
        <v>411</v>
      </c>
      <c r="B412" s="41">
        <v>12000000</v>
      </c>
      <c r="C412" s="41">
        <v>2.8999999999999998E-3</v>
      </c>
      <c r="D412" s="41">
        <v>19.0273</v>
      </c>
      <c r="E412" s="41">
        <v>30</v>
      </c>
      <c r="F412" s="41">
        <v>0</v>
      </c>
      <c r="G412" s="41" t="s">
        <v>104</v>
      </c>
      <c r="H412" s="41">
        <v>1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10" t="s">
        <v>873</v>
      </c>
      <c r="P412" s="109">
        <v>191033</v>
      </c>
      <c r="Q412" s="107"/>
      <c r="R412" s="111"/>
      <c r="S412" s="110" t="s">
        <v>1189</v>
      </c>
      <c r="T412"/>
      <c r="U412"/>
      <c r="V412"/>
    </row>
    <row r="413" spans="1:22" x14ac:dyDescent="0.3">
      <c r="A413" s="105">
        <v>412</v>
      </c>
      <c r="B413" s="41">
        <v>12000000</v>
      </c>
      <c r="C413" s="41">
        <v>3.2000000000000002E-3</v>
      </c>
      <c r="D413" s="41">
        <v>3.3635999999999999</v>
      </c>
      <c r="E413" s="41">
        <v>30</v>
      </c>
      <c r="F413" s="41">
        <v>0</v>
      </c>
      <c r="G413" s="41" t="s">
        <v>104</v>
      </c>
      <c r="H413" s="41">
        <v>1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10" t="s">
        <v>874</v>
      </c>
      <c r="P413" s="109">
        <v>191033</v>
      </c>
      <c r="Q413" s="107"/>
      <c r="R413" s="111"/>
      <c r="S413" s="110" t="s">
        <v>1189</v>
      </c>
      <c r="T413"/>
      <c r="U413"/>
      <c r="V413"/>
    </row>
    <row r="414" spans="1:22" x14ac:dyDescent="0.3">
      <c r="A414" s="105">
        <v>413</v>
      </c>
      <c r="B414" s="41">
        <v>12000000</v>
      </c>
      <c r="C414" s="41">
        <v>3.2000000000000002E-3</v>
      </c>
      <c r="D414" s="41">
        <v>3.6680000000000001</v>
      </c>
      <c r="E414" s="41">
        <v>30</v>
      </c>
      <c r="F414" s="41">
        <v>0</v>
      </c>
      <c r="G414" s="41" t="s">
        <v>104</v>
      </c>
      <c r="H414" s="41">
        <v>1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10" t="s">
        <v>875</v>
      </c>
      <c r="P414" s="109">
        <v>191033</v>
      </c>
      <c r="Q414" s="107"/>
      <c r="R414" s="111"/>
      <c r="S414" s="110" t="s">
        <v>1189</v>
      </c>
      <c r="T414"/>
      <c r="U414"/>
      <c r="V414"/>
    </row>
    <row r="415" spans="1:22" x14ac:dyDescent="0.3">
      <c r="A415" s="105">
        <v>414</v>
      </c>
      <c r="B415" s="41">
        <v>12000000</v>
      </c>
      <c r="C415" s="41">
        <v>3.2000000000000002E-3</v>
      </c>
      <c r="D415" s="41">
        <v>4</v>
      </c>
      <c r="E415" s="41">
        <v>30</v>
      </c>
      <c r="F415" s="41">
        <v>0</v>
      </c>
      <c r="G415" s="41" t="s">
        <v>104</v>
      </c>
      <c r="H415" s="41">
        <v>1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10" t="s">
        <v>876</v>
      </c>
      <c r="P415" s="109">
        <v>191033</v>
      </c>
      <c r="Q415" s="107"/>
      <c r="R415" s="111"/>
      <c r="S415" s="110" t="s">
        <v>1189</v>
      </c>
      <c r="T415"/>
      <c r="U415"/>
      <c r="V415"/>
    </row>
    <row r="416" spans="1:22" x14ac:dyDescent="0.3">
      <c r="A416" s="105">
        <v>415</v>
      </c>
      <c r="B416" s="41">
        <v>12000000</v>
      </c>
      <c r="C416" s="41">
        <v>3.2000000000000002E-3</v>
      </c>
      <c r="D416" s="41">
        <v>4.3620000000000001</v>
      </c>
      <c r="E416" s="41">
        <v>30</v>
      </c>
      <c r="F416" s="41">
        <v>0</v>
      </c>
      <c r="G416" s="41" t="s">
        <v>104</v>
      </c>
      <c r="H416" s="41">
        <v>1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10" t="s">
        <v>877</v>
      </c>
      <c r="P416" s="109">
        <v>191033</v>
      </c>
      <c r="Q416" s="107"/>
      <c r="R416" s="111"/>
      <c r="S416" s="110" t="s">
        <v>1189</v>
      </c>
      <c r="T416"/>
      <c r="U416"/>
      <c r="V416"/>
    </row>
    <row r="417" spans="1:22" x14ac:dyDescent="0.3">
      <c r="A417" s="105">
        <v>416</v>
      </c>
      <c r="B417" s="41">
        <v>12000000</v>
      </c>
      <c r="C417" s="41">
        <v>3.2000000000000002E-3</v>
      </c>
      <c r="D417" s="41">
        <v>4.7568000000000001</v>
      </c>
      <c r="E417" s="41">
        <v>30</v>
      </c>
      <c r="F417" s="41">
        <v>0</v>
      </c>
      <c r="G417" s="41" t="s">
        <v>104</v>
      </c>
      <c r="H417" s="41">
        <v>1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10" t="s">
        <v>878</v>
      </c>
      <c r="P417" s="109">
        <v>191033</v>
      </c>
      <c r="Q417" s="107"/>
      <c r="R417" s="111"/>
      <c r="S417" s="110" t="s">
        <v>1189</v>
      </c>
      <c r="T417"/>
      <c r="U417"/>
      <c r="V417"/>
    </row>
    <row r="418" spans="1:22" x14ac:dyDescent="0.3">
      <c r="A418" s="105">
        <v>417</v>
      </c>
      <c r="B418" s="41">
        <v>12000000</v>
      </c>
      <c r="C418" s="41">
        <v>3.2000000000000002E-3</v>
      </c>
      <c r="D418" s="41">
        <v>5.1874000000000002</v>
      </c>
      <c r="E418" s="41">
        <v>30</v>
      </c>
      <c r="F418" s="41">
        <v>0</v>
      </c>
      <c r="G418" s="41" t="s">
        <v>104</v>
      </c>
      <c r="H418" s="41">
        <v>1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10" t="s">
        <v>879</v>
      </c>
      <c r="P418" s="109">
        <v>191033</v>
      </c>
      <c r="Q418" s="107"/>
      <c r="R418" s="111"/>
      <c r="S418" s="110" t="s">
        <v>1189</v>
      </c>
      <c r="T418"/>
      <c r="U418"/>
      <c r="V418"/>
    </row>
    <row r="419" spans="1:22" x14ac:dyDescent="0.3">
      <c r="A419" s="105">
        <v>418</v>
      </c>
      <c r="B419" s="41">
        <v>12000000</v>
      </c>
      <c r="C419" s="41">
        <v>3.2000000000000002E-3</v>
      </c>
      <c r="D419" s="41">
        <v>5.6569000000000003</v>
      </c>
      <c r="E419" s="41">
        <v>30</v>
      </c>
      <c r="F419" s="41">
        <v>0</v>
      </c>
      <c r="G419" s="41" t="s">
        <v>104</v>
      </c>
      <c r="H419" s="41">
        <v>1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10" t="s">
        <v>880</v>
      </c>
      <c r="P419" s="109">
        <v>191033</v>
      </c>
      <c r="Q419" s="107"/>
      <c r="R419" s="111"/>
      <c r="S419" s="110" t="s">
        <v>1189</v>
      </c>
      <c r="T419"/>
      <c r="U419"/>
      <c r="V419"/>
    </row>
    <row r="420" spans="1:22" x14ac:dyDescent="0.3">
      <c r="A420" s="105">
        <v>419</v>
      </c>
      <c r="B420" s="41">
        <v>12000000</v>
      </c>
      <c r="C420" s="41">
        <v>3.2000000000000002E-3</v>
      </c>
      <c r="D420" s="41">
        <v>6.1688000000000001</v>
      </c>
      <c r="E420" s="41">
        <v>30</v>
      </c>
      <c r="F420" s="41">
        <v>0</v>
      </c>
      <c r="G420" s="41" t="s">
        <v>104</v>
      </c>
      <c r="H420" s="41">
        <v>1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10" t="s">
        <v>881</v>
      </c>
      <c r="P420" s="109">
        <v>191033</v>
      </c>
      <c r="Q420" s="107"/>
      <c r="R420" s="111"/>
      <c r="S420" s="110" t="s">
        <v>1189</v>
      </c>
      <c r="T420"/>
      <c r="U420"/>
      <c r="V420"/>
    </row>
    <row r="421" spans="1:22" x14ac:dyDescent="0.3">
      <c r="A421" s="105">
        <v>420</v>
      </c>
      <c r="B421" s="41">
        <v>12000000</v>
      </c>
      <c r="C421" s="41">
        <v>3.2000000000000002E-3</v>
      </c>
      <c r="D421" s="41">
        <v>6.7271999999999998</v>
      </c>
      <c r="E421" s="41">
        <v>30</v>
      </c>
      <c r="F421" s="41">
        <v>0</v>
      </c>
      <c r="G421" s="41" t="s">
        <v>104</v>
      </c>
      <c r="H421" s="41">
        <v>1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10" t="s">
        <v>882</v>
      </c>
      <c r="P421" s="109">
        <v>191033</v>
      </c>
      <c r="Q421" s="107"/>
      <c r="R421" s="111"/>
      <c r="S421" s="110" t="s">
        <v>1189</v>
      </c>
      <c r="T421"/>
      <c r="U421"/>
      <c r="V421"/>
    </row>
    <row r="422" spans="1:22" x14ac:dyDescent="0.3">
      <c r="A422" s="105">
        <v>421</v>
      </c>
      <c r="B422" s="41">
        <v>12000000</v>
      </c>
      <c r="C422" s="41">
        <v>3.2000000000000002E-3</v>
      </c>
      <c r="D422" s="41">
        <v>7.3360000000000003</v>
      </c>
      <c r="E422" s="41">
        <v>30</v>
      </c>
      <c r="F422" s="41">
        <v>0</v>
      </c>
      <c r="G422" s="41" t="s">
        <v>104</v>
      </c>
      <c r="H422" s="41">
        <v>1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10" t="s">
        <v>883</v>
      </c>
      <c r="P422" s="109">
        <v>191033</v>
      </c>
      <c r="Q422" s="107"/>
      <c r="R422" s="111"/>
      <c r="S422" s="110" t="s">
        <v>1189</v>
      </c>
      <c r="T422"/>
      <c r="U422"/>
      <c r="V422"/>
    </row>
    <row r="423" spans="1:22" x14ac:dyDescent="0.3">
      <c r="A423" s="105">
        <v>422</v>
      </c>
      <c r="B423" s="41">
        <v>12000000</v>
      </c>
      <c r="C423" s="41">
        <v>3.2000000000000002E-3</v>
      </c>
      <c r="D423" s="41">
        <v>8</v>
      </c>
      <c r="E423" s="41">
        <v>30</v>
      </c>
      <c r="F423" s="41">
        <v>0</v>
      </c>
      <c r="G423" s="41" t="s">
        <v>104</v>
      </c>
      <c r="H423" s="41">
        <v>1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10" t="s">
        <v>884</v>
      </c>
      <c r="P423" s="109">
        <v>191033</v>
      </c>
      <c r="Q423" s="107"/>
      <c r="R423" s="111"/>
      <c r="S423" s="110" t="s">
        <v>1189</v>
      </c>
      <c r="T423"/>
      <c r="U423"/>
      <c r="V423"/>
    </row>
    <row r="424" spans="1:22" x14ac:dyDescent="0.3">
      <c r="A424" s="105">
        <v>423</v>
      </c>
      <c r="B424" s="41">
        <v>12000000</v>
      </c>
      <c r="C424" s="41">
        <v>3.2000000000000002E-3</v>
      </c>
      <c r="D424" s="41">
        <v>8.7241</v>
      </c>
      <c r="E424" s="41">
        <v>30</v>
      </c>
      <c r="F424" s="41">
        <v>0</v>
      </c>
      <c r="G424" s="41" t="s">
        <v>104</v>
      </c>
      <c r="H424" s="41">
        <v>1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10" t="s">
        <v>885</v>
      </c>
      <c r="P424" s="109">
        <v>191038</v>
      </c>
      <c r="Q424" s="107"/>
      <c r="R424" s="111"/>
      <c r="S424" s="110" t="s">
        <v>1189</v>
      </c>
      <c r="T424"/>
      <c r="U424"/>
      <c r="V424"/>
    </row>
    <row r="425" spans="1:22" x14ac:dyDescent="0.3">
      <c r="A425" s="105">
        <v>424</v>
      </c>
      <c r="B425" s="41">
        <v>12000000</v>
      </c>
      <c r="C425" s="41">
        <v>3.2000000000000002E-3</v>
      </c>
      <c r="D425" s="41">
        <v>9.5137</v>
      </c>
      <c r="E425" s="41">
        <v>30</v>
      </c>
      <c r="F425" s="41">
        <v>0</v>
      </c>
      <c r="G425" s="41" t="s">
        <v>104</v>
      </c>
      <c r="H425" s="41">
        <v>1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10" t="s">
        <v>886</v>
      </c>
      <c r="P425" s="109">
        <v>191038</v>
      </c>
      <c r="Q425" s="107"/>
      <c r="R425" s="111"/>
      <c r="S425" s="110" t="s">
        <v>1189</v>
      </c>
      <c r="T425"/>
      <c r="U425"/>
      <c r="V425"/>
    </row>
    <row r="426" spans="1:22" x14ac:dyDescent="0.3">
      <c r="A426" s="105">
        <v>425</v>
      </c>
      <c r="B426" s="41">
        <v>12000000</v>
      </c>
      <c r="C426" s="41">
        <v>3.2000000000000002E-3</v>
      </c>
      <c r="D426" s="41">
        <v>10.374700000000001</v>
      </c>
      <c r="E426" s="41">
        <v>30</v>
      </c>
      <c r="F426" s="41">
        <v>0</v>
      </c>
      <c r="G426" s="41" t="s">
        <v>104</v>
      </c>
      <c r="H426" s="41">
        <v>1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10" t="s">
        <v>887</v>
      </c>
      <c r="P426" s="109">
        <v>191038</v>
      </c>
      <c r="Q426" s="107"/>
      <c r="R426" s="111"/>
      <c r="S426" s="110" t="s">
        <v>1189</v>
      </c>
      <c r="T426"/>
      <c r="U426"/>
      <c r="V426"/>
    </row>
    <row r="427" spans="1:22" x14ac:dyDescent="0.3">
      <c r="A427" s="105">
        <v>426</v>
      </c>
      <c r="B427" s="41">
        <v>12000000</v>
      </c>
      <c r="C427" s="41">
        <v>3.2000000000000002E-3</v>
      </c>
      <c r="D427" s="41">
        <v>11.313700000000001</v>
      </c>
      <c r="E427" s="41">
        <v>30</v>
      </c>
      <c r="F427" s="41">
        <v>0</v>
      </c>
      <c r="G427" s="41" t="s">
        <v>104</v>
      </c>
      <c r="H427" s="41">
        <v>1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10" t="s">
        <v>888</v>
      </c>
      <c r="P427" s="109">
        <v>191038</v>
      </c>
      <c r="Q427" s="107"/>
      <c r="R427" s="111"/>
      <c r="S427" s="110" t="s">
        <v>1189</v>
      </c>
      <c r="T427"/>
      <c r="U427"/>
      <c r="V427"/>
    </row>
    <row r="428" spans="1:22" x14ac:dyDescent="0.3">
      <c r="A428" s="105">
        <v>427</v>
      </c>
      <c r="B428" s="41">
        <v>12000000</v>
      </c>
      <c r="C428" s="41">
        <v>3.2000000000000002E-3</v>
      </c>
      <c r="D428" s="41">
        <v>12.3377</v>
      </c>
      <c r="E428" s="41">
        <v>30</v>
      </c>
      <c r="F428" s="41">
        <v>0</v>
      </c>
      <c r="G428" s="41" t="s">
        <v>104</v>
      </c>
      <c r="H428" s="41">
        <v>1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10" t="s">
        <v>889</v>
      </c>
      <c r="P428" s="109">
        <v>191038</v>
      </c>
      <c r="Q428" s="107"/>
      <c r="R428" s="111"/>
      <c r="S428" s="110" t="s">
        <v>1189</v>
      </c>
      <c r="T428"/>
      <c r="U428"/>
      <c r="V428"/>
    </row>
    <row r="429" spans="1:22" x14ac:dyDescent="0.3">
      <c r="A429" s="105">
        <v>428</v>
      </c>
      <c r="B429" s="41">
        <v>12000000</v>
      </c>
      <c r="C429" s="41">
        <v>3.2000000000000002E-3</v>
      </c>
      <c r="D429" s="41">
        <v>13.4543</v>
      </c>
      <c r="E429" s="41">
        <v>30</v>
      </c>
      <c r="F429" s="41">
        <v>0</v>
      </c>
      <c r="G429" s="41" t="s">
        <v>104</v>
      </c>
      <c r="H429" s="41">
        <v>1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10" t="s">
        <v>890</v>
      </c>
      <c r="P429" s="109">
        <v>191038</v>
      </c>
      <c r="Q429" s="107"/>
      <c r="R429" s="111"/>
      <c r="S429" s="110" t="s">
        <v>1189</v>
      </c>
      <c r="T429"/>
      <c r="U429"/>
      <c r="V429"/>
    </row>
    <row r="430" spans="1:22" x14ac:dyDescent="0.3">
      <c r="A430" s="105">
        <v>429</v>
      </c>
      <c r="B430" s="41">
        <v>12000000</v>
      </c>
      <c r="C430" s="41">
        <v>3.2000000000000002E-3</v>
      </c>
      <c r="D430" s="41">
        <v>14.6721</v>
      </c>
      <c r="E430" s="41">
        <v>30</v>
      </c>
      <c r="F430" s="41">
        <v>0</v>
      </c>
      <c r="G430" s="41" t="s">
        <v>104</v>
      </c>
      <c r="H430" s="41">
        <v>1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10" t="s">
        <v>891</v>
      </c>
      <c r="P430" s="109">
        <v>191038</v>
      </c>
      <c r="Q430" s="107"/>
      <c r="R430" s="111"/>
      <c r="S430" s="110" t="s">
        <v>1189</v>
      </c>
      <c r="T430"/>
      <c r="U430"/>
      <c r="V430"/>
    </row>
    <row r="431" spans="1:22" x14ac:dyDescent="0.3">
      <c r="A431" s="105">
        <v>430</v>
      </c>
      <c r="B431" s="41">
        <v>12000000</v>
      </c>
      <c r="C431" s="41">
        <v>3.2000000000000002E-3</v>
      </c>
      <c r="D431" s="41">
        <v>16</v>
      </c>
      <c r="E431" s="41">
        <v>30</v>
      </c>
      <c r="F431" s="41">
        <v>0</v>
      </c>
      <c r="G431" s="41" t="s">
        <v>104</v>
      </c>
      <c r="H431" s="41">
        <v>1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10" t="s">
        <v>892</v>
      </c>
      <c r="P431" s="109">
        <v>191038</v>
      </c>
      <c r="Q431" s="107"/>
      <c r="R431" s="111"/>
      <c r="S431" s="110" t="s">
        <v>1189</v>
      </c>
      <c r="T431"/>
      <c r="U431"/>
      <c r="V431"/>
    </row>
    <row r="432" spans="1:22" x14ac:dyDescent="0.3">
      <c r="A432" s="105">
        <v>431</v>
      </c>
      <c r="B432" s="41">
        <v>12000000</v>
      </c>
      <c r="C432" s="41">
        <v>3.2000000000000002E-3</v>
      </c>
      <c r="D432" s="41">
        <v>17.4481</v>
      </c>
      <c r="E432" s="41">
        <v>30</v>
      </c>
      <c r="F432" s="41">
        <v>0</v>
      </c>
      <c r="G432" s="41" t="s">
        <v>104</v>
      </c>
      <c r="H432" s="41">
        <v>1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10" t="s">
        <v>893</v>
      </c>
      <c r="P432" s="109">
        <v>191038</v>
      </c>
      <c r="Q432" s="107"/>
      <c r="R432" s="111"/>
      <c r="S432" s="110" t="s">
        <v>1189</v>
      </c>
      <c r="T432"/>
      <c r="U432"/>
      <c r="V432"/>
    </row>
    <row r="433" spans="1:22" x14ac:dyDescent="0.3">
      <c r="A433" s="105">
        <v>432</v>
      </c>
      <c r="B433" s="41">
        <v>12000000</v>
      </c>
      <c r="C433" s="41">
        <v>3.2000000000000002E-3</v>
      </c>
      <c r="D433" s="41">
        <v>19.0273</v>
      </c>
      <c r="E433" s="41">
        <v>30</v>
      </c>
      <c r="F433" s="41">
        <v>0</v>
      </c>
      <c r="G433" s="41" t="s">
        <v>104</v>
      </c>
      <c r="H433" s="41">
        <v>1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10" t="s">
        <v>894</v>
      </c>
      <c r="P433" s="109">
        <v>191038</v>
      </c>
      <c r="Q433" s="107"/>
      <c r="R433" s="111"/>
      <c r="S433" s="110" t="s">
        <v>1189</v>
      </c>
      <c r="T433"/>
      <c r="U433"/>
      <c r="V433"/>
    </row>
    <row r="434" spans="1:22" x14ac:dyDescent="0.3">
      <c r="A434" s="105">
        <v>433</v>
      </c>
      <c r="B434" s="41">
        <v>12000000</v>
      </c>
      <c r="C434" s="41">
        <v>3.5000000000000001E-3</v>
      </c>
      <c r="D434" s="41">
        <v>4</v>
      </c>
      <c r="E434" s="41">
        <v>30</v>
      </c>
      <c r="F434" s="41">
        <v>0</v>
      </c>
      <c r="G434" s="41" t="s">
        <v>104</v>
      </c>
      <c r="H434" s="41">
        <v>1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10" t="s">
        <v>895</v>
      </c>
      <c r="P434" s="109">
        <v>191038</v>
      </c>
      <c r="Q434" s="107"/>
      <c r="R434" s="111"/>
      <c r="S434" s="110" t="s">
        <v>1189</v>
      </c>
      <c r="T434"/>
      <c r="U434"/>
      <c r="V434"/>
    </row>
    <row r="435" spans="1:22" x14ac:dyDescent="0.3">
      <c r="A435" s="105">
        <v>434</v>
      </c>
      <c r="B435" s="41">
        <v>12000000</v>
      </c>
      <c r="C435" s="41">
        <v>3.5000000000000001E-3</v>
      </c>
      <c r="D435" s="41">
        <v>4.3620000000000001</v>
      </c>
      <c r="E435" s="41">
        <v>30</v>
      </c>
      <c r="F435" s="41">
        <v>0</v>
      </c>
      <c r="G435" s="41" t="s">
        <v>104</v>
      </c>
      <c r="H435" s="41">
        <v>1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10" t="s">
        <v>896</v>
      </c>
      <c r="P435" s="109">
        <v>191038</v>
      </c>
      <c r="Q435" s="107"/>
      <c r="R435" s="111"/>
      <c r="S435" s="110" t="s">
        <v>1189</v>
      </c>
      <c r="T435"/>
      <c r="U435"/>
      <c r="V435"/>
    </row>
    <row r="436" spans="1:22" x14ac:dyDescent="0.3">
      <c r="A436" s="105">
        <v>435</v>
      </c>
      <c r="B436" s="41">
        <v>12000000</v>
      </c>
      <c r="C436" s="41">
        <v>3.5000000000000001E-3</v>
      </c>
      <c r="D436" s="41">
        <v>4.7568000000000001</v>
      </c>
      <c r="E436" s="41">
        <v>30</v>
      </c>
      <c r="F436" s="41">
        <v>0</v>
      </c>
      <c r="G436" s="41" t="s">
        <v>104</v>
      </c>
      <c r="H436" s="41">
        <v>1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10" t="s">
        <v>897</v>
      </c>
      <c r="P436" s="109">
        <v>191038</v>
      </c>
      <c r="Q436" s="107"/>
      <c r="R436" s="111"/>
      <c r="S436" s="110" t="s">
        <v>1189</v>
      </c>
      <c r="T436"/>
      <c r="U436"/>
      <c r="V436"/>
    </row>
    <row r="437" spans="1:22" x14ac:dyDescent="0.3">
      <c r="A437" s="105">
        <v>436</v>
      </c>
      <c r="B437" s="41">
        <v>12000000</v>
      </c>
      <c r="C437" s="41">
        <v>3.5000000000000001E-3</v>
      </c>
      <c r="D437" s="41">
        <v>5.1874000000000002</v>
      </c>
      <c r="E437" s="41">
        <v>30</v>
      </c>
      <c r="F437" s="41">
        <v>0</v>
      </c>
      <c r="G437" s="41" t="s">
        <v>104</v>
      </c>
      <c r="H437" s="41">
        <v>1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10" t="s">
        <v>898</v>
      </c>
      <c r="P437" s="109">
        <v>191038</v>
      </c>
      <c r="Q437" s="107"/>
      <c r="R437" s="111"/>
      <c r="S437" s="110" t="s">
        <v>1189</v>
      </c>
      <c r="T437"/>
      <c r="U437"/>
      <c r="V437"/>
    </row>
    <row r="438" spans="1:22" x14ac:dyDescent="0.3">
      <c r="A438" s="105">
        <v>437</v>
      </c>
      <c r="B438" s="41">
        <v>12000000</v>
      </c>
      <c r="C438" s="41">
        <v>3.5000000000000001E-3</v>
      </c>
      <c r="D438" s="41">
        <v>5.6569000000000003</v>
      </c>
      <c r="E438" s="41">
        <v>30</v>
      </c>
      <c r="F438" s="41">
        <v>0</v>
      </c>
      <c r="G438" s="41" t="s">
        <v>104</v>
      </c>
      <c r="H438" s="41">
        <v>1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10" t="s">
        <v>899</v>
      </c>
      <c r="P438" s="109">
        <v>191038</v>
      </c>
      <c r="Q438" s="107"/>
      <c r="R438" s="111"/>
      <c r="S438" s="110" t="s">
        <v>1189</v>
      </c>
      <c r="T438"/>
      <c r="U438"/>
      <c r="V438"/>
    </row>
    <row r="439" spans="1:22" x14ac:dyDescent="0.3">
      <c r="A439" s="105">
        <v>438</v>
      </c>
      <c r="B439" s="41">
        <v>12000000</v>
      </c>
      <c r="C439" s="41">
        <v>3.5000000000000001E-3</v>
      </c>
      <c r="D439" s="41">
        <v>6.1688000000000001</v>
      </c>
      <c r="E439" s="41">
        <v>30</v>
      </c>
      <c r="F439" s="41">
        <v>0</v>
      </c>
      <c r="G439" s="41" t="s">
        <v>104</v>
      </c>
      <c r="H439" s="41">
        <v>1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10" t="s">
        <v>900</v>
      </c>
      <c r="P439" s="109">
        <v>191038</v>
      </c>
      <c r="Q439" s="107"/>
      <c r="R439" s="111"/>
      <c r="S439" s="110" t="s">
        <v>1189</v>
      </c>
      <c r="T439"/>
      <c r="U439"/>
      <c r="V439"/>
    </row>
    <row r="440" spans="1:22" x14ac:dyDescent="0.3">
      <c r="A440" s="105">
        <v>439</v>
      </c>
      <c r="B440" s="41">
        <v>12000000</v>
      </c>
      <c r="C440" s="41">
        <v>3.5000000000000001E-3</v>
      </c>
      <c r="D440" s="41">
        <v>6.7271999999999998</v>
      </c>
      <c r="E440" s="41">
        <v>30</v>
      </c>
      <c r="F440" s="41">
        <v>0</v>
      </c>
      <c r="G440" s="41" t="s">
        <v>104</v>
      </c>
      <c r="H440" s="41">
        <v>1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10" t="s">
        <v>901</v>
      </c>
      <c r="P440" s="109">
        <v>191038</v>
      </c>
      <c r="Q440" s="107"/>
      <c r="R440" s="111"/>
      <c r="S440" s="110" t="s">
        <v>1189</v>
      </c>
      <c r="T440"/>
      <c r="U440"/>
      <c r="V440"/>
    </row>
    <row r="441" spans="1:22" x14ac:dyDescent="0.3">
      <c r="A441" s="105">
        <v>440</v>
      </c>
      <c r="B441" s="41">
        <v>12000000</v>
      </c>
      <c r="C441" s="41">
        <v>3.5000000000000001E-3</v>
      </c>
      <c r="D441" s="41">
        <v>7.3360000000000003</v>
      </c>
      <c r="E441" s="41">
        <v>30</v>
      </c>
      <c r="F441" s="41">
        <v>0</v>
      </c>
      <c r="G441" s="41" t="s">
        <v>104</v>
      </c>
      <c r="H441" s="41">
        <v>1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10" t="s">
        <v>902</v>
      </c>
      <c r="P441" s="109">
        <v>191038</v>
      </c>
      <c r="Q441" s="107"/>
      <c r="R441" s="111"/>
      <c r="S441" s="110" t="s">
        <v>1189</v>
      </c>
      <c r="T441"/>
      <c r="U441"/>
      <c r="V441"/>
    </row>
    <row r="442" spans="1:22" x14ac:dyDescent="0.3">
      <c r="A442" s="105">
        <v>441</v>
      </c>
      <c r="B442" s="41">
        <v>12000000</v>
      </c>
      <c r="C442" s="41">
        <v>3.5000000000000001E-3</v>
      </c>
      <c r="D442" s="41">
        <v>8</v>
      </c>
      <c r="E442" s="41">
        <v>30</v>
      </c>
      <c r="F442" s="41">
        <v>0</v>
      </c>
      <c r="G442" s="41" t="s">
        <v>104</v>
      </c>
      <c r="H442" s="41">
        <v>1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10" t="s">
        <v>903</v>
      </c>
      <c r="P442" s="109">
        <v>191038</v>
      </c>
      <c r="Q442" s="107"/>
      <c r="R442" s="111"/>
      <c r="S442" s="110" t="s">
        <v>1189</v>
      </c>
      <c r="T442"/>
      <c r="U442"/>
      <c r="V442"/>
    </row>
    <row r="443" spans="1:22" x14ac:dyDescent="0.3">
      <c r="A443" s="105">
        <v>442</v>
      </c>
      <c r="B443" s="41">
        <v>12000000</v>
      </c>
      <c r="C443" s="41">
        <v>3.5000000000000001E-3</v>
      </c>
      <c r="D443" s="41">
        <v>8.7241</v>
      </c>
      <c r="E443" s="41">
        <v>30</v>
      </c>
      <c r="F443" s="41">
        <v>0</v>
      </c>
      <c r="G443" s="41" t="s">
        <v>104</v>
      </c>
      <c r="H443" s="41">
        <v>1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10" t="s">
        <v>904</v>
      </c>
      <c r="P443" s="109">
        <v>191038</v>
      </c>
      <c r="Q443" s="107"/>
      <c r="R443" s="111"/>
      <c r="S443" s="110" t="s">
        <v>1189</v>
      </c>
      <c r="T443"/>
      <c r="U443"/>
      <c r="V443"/>
    </row>
    <row r="444" spans="1:22" x14ac:dyDescent="0.3">
      <c r="A444" s="105">
        <v>443</v>
      </c>
      <c r="B444" s="41">
        <v>12000000</v>
      </c>
      <c r="C444" s="41">
        <v>3.5000000000000001E-3</v>
      </c>
      <c r="D444" s="41">
        <v>9.5137</v>
      </c>
      <c r="E444" s="41">
        <v>30</v>
      </c>
      <c r="F444" s="41">
        <v>0</v>
      </c>
      <c r="G444" s="41" t="s">
        <v>104</v>
      </c>
      <c r="H444" s="41">
        <v>1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10" t="s">
        <v>905</v>
      </c>
      <c r="P444" s="109">
        <v>191038</v>
      </c>
      <c r="Q444" s="107"/>
      <c r="R444" s="111"/>
      <c r="S444" s="110" t="s">
        <v>1189</v>
      </c>
      <c r="T444"/>
      <c r="U444"/>
      <c r="V444"/>
    </row>
    <row r="445" spans="1:22" x14ac:dyDescent="0.3">
      <c r="A445" s="105">
        <v>444</v>
      </c>
      <c r="B445" s="41">
        <v>12000000</v>
      </c>
      <c r="C445" s="41">
        <v>3.5000000000000001E-3</v>
      </c>
      <c r="D445" s="41">
        <v>10.374700000000001</v>
      </c>
      <c r="E445" s="41">
        <v>30</v>
      </c>
      <c r="F445" s="41">
        <v>0</v>
      </c>
      <c r="G445" s="41" t="s">
        <v>104</v>
      </c>
      <c r="H445" s="41">
        <v>1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10" t="s">
        <v>906</v>
      </c>
      <c r="P445" s="109">
        <v>191038</v>
      </c>
      <c r="Q445" s="107"/>
      <c r="R445" s="111"/>
      <c r="S445" s="110" t="s">
        <v>1189</v>
      </c>
      <c r="T445"/>
      <c r="U445"/>
      <c r="V445"/>
    </row>
    <row r="446" spans="1:22" x14ac:dyDescent="0.3">
      <c r="A446" s="105">
        <v>445</v>
      </c>
      <c r="B446" s="41">
        <v>12000000</v>
      </c>
      <c r="C446" s="41">
        <v>3.5000000000000001E-3</v>
      </c>
      <c r="D446" s="41">
        <v>11.313700000000001</v>
      </c>
      <c r="E446" s="41">
        <v>30</v>
      </c>
      <c r="F446" s="41">
        <v>0</v>
      </c>
      <c r="G446" s="41" t="s">
        <v>104</v>
      </c>
      <c r="H446" s="41">
        <v>1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10" t="s">
        <v>907</v>
      </c>
      <c r="P446" s="109">
        <v>191038</v>
      </c>
      <c r="Q446" s="107"/>
      <c r="R446" s="111"/>
      <c r="S446" s="110" t="s">
        <v>1189</v>
      </c>
      <c r="T446"/>
      <c r="U446"/>
      <c r="V446"/>
    </row>
    <row r="447" spans="1:22" x14ac:dyDescent="0.3">
      <c r="A447" s="105">
        <v>446</v>
      </c>
      <c r="B447" s="41">
        <v>12000000</v>
      </c>
      <c r="C447" s="41">
        <v>3.5000000000000001E-3</v>
      </c>
      <c r="D447" s="41">
        <v>12.3377</v>
      </c>
      <c r="E447" s="41">
        <v>30</v>
      </c>
      <c r="F447" s="41">
        <v>0</v>
      </c>
      <c r="G447" s="41" t="s">
        <v>104</v>
      </c>
      <c r="H447" s="41">
        <v>1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10" t="s">
        <v>908</v>
      </c>
      <c r="P447" s="109">
        <v>191038</v>
      </c>
      <c r="Q447" s="107"/>
      <c r="R447" s="111"/>
      <c r="S447" s="110" t="s">
        <v>1189</v>
      </c>
      <c r="T447"/>
      <c r="U447"/>
      <c r="V447"/>
    </row>
    <row r="448" spans="1:22" x14ac:dyDescent="0.3">
      <c r="A448" s="105">
        <v>447</v>
      </c>
      <c r="B448" s="41">
        <v>12000000</v>
      </c>
      <c r="C448" s="41">
        <v>3.5000000000000001E-3</v>
      </c>
      <c r="D448" s="41">
        <v>13.4543</v>
      </c>
      <c r="E448" s="41">
        <v>30</v>
      </c>
      <c r="F448" s="41">
        <v>0</v>
      </c>
      <c r="G448" s="41" t="s">
        <v>104</v>
      </c>
      <c r="H448" s="41">
        <v>1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10" t="s">
        <v>909</v>
      </c>
      <c r="P448" s="109">
        <v>191038</v>
      </c>
      <c r="Q448" s="107"/>
      <c r="R448" s="111"/>
      <c r="S448" s="110" t="s">
        <v>1189</v>
      </c>
      <c r="T448"/>
      <c r="U448"/>
      <c r="V448"/>
    </row>
    <row r="449" spans="1:22" x14ac:dyDescent="0.3">
      <c r="A449" s="105">
        <v>448</v>
      </c>
      <c r="B449" s="41">
        <v>12000000</v>
      </c>
      <c r="C449" s="41">
        <v>3.5000000000000001E-3</v>
      </c>
      <c r="D449" s="41">
        <v>14.6721</v>
      </c>
      <c r="E449" s="41">
        <v>30</v>
      </c>
      <c r="F449" s="41">
        <v>0</v>
      </c>
      <c r="G449" s="41" t="s">
        <v>104</v>
      </c>
      <c r="H449" s="41">
        <v>1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10" t="s">
        <v>910</v>
      </c>
      <c r="P449" s="109">
        <v>191038</v>
      </c>
      <c r="Q449" s="107"/>
      <c r="R449" s="111"/>
      <c r="S449" s="110" t="s">
        <v>1189</v>
      </c>
      <c r="T449"/>
      <c r="U449"/>
      <c r="V449"/>
    </row>
    <row r="450" spans="1:22" x14ac:dyDescent="0.3">
      <c r="A450" s="105">
        <v>449</v>
      </c>
      <c r="B450" s="41">
        <v>12000000</v>
      </c>
      <c r="C450" s="41">
        <v>3.5000000000000001E-3</v>
      </c>
      <c r="D450" s="41">
        <v>16</v>
      </c>
      <c r="E450" s="41">
        <v>30</v>
      </c>
      <c r="F450" s="41">
        <v>0</v>
      </c>
      <c r="G450" s="41" t="s">
        <v>104</v>
      </c>
      <c r="H450" s="41">
        <v>1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10" t="s">
        <v>911</v>
      </c>
      <c r="P450" s="109">
        <v>191038</v>
      </c>
      <c r="Q450" s="107"/>
      <c r="R450" s="111"/>
      <c r="S450" s="110" t="s">
        <v>1189</v>
      </c>
      <c r="T450"/>
      <c r="U450"/>
      <c r="V450"/>
    </row>
    <row r="451" spans="1:22" x14ac:dyDescent="0.3">
      <c r="A451" s="105">
        <v>450</v>
      </c>
      <c r="B451" s="41">
        <v>12000000</v>
      </c>
      <c r="C451" s="41">
        <v>3.5000000000000001E-3</v>
      </c>
      <c r="D451" s="41">
        <v>17.4481</v>
      </c>
      <c r="E451" s="41">
        <v>30</v>
      </c>
      <c r="F451" s="41">
        <v>0</v>
      </c>
      <c r="G451" s="41" t="s">
        <v>104</v>
      </c>
      <c r="H451" s="41">
        <v>1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10" t="s">
        <v>912</v>
      </c>
      <c r="P451" s="109">
        <v>191038</v>
      </c>
      <c r="Q451" s="107"/>
      <c r="R451" s="111"/>
      <c r="S451" s="110" t="s">
        <v>1189</v>
      </c>
      <c r="T451"/>
      <c r="U451"/>
      <c r="V451"/>
    </row>
    <row r="452" spans="1:22" x14ac:dyDescent="0.3">
      <c r="A452" s="105">
        <v>451</v>
      </c>
      <c r="B452" s="41">
        <v>12000000</v>
      </c>
      <c r="C452" s="41">
        <v>3.5000000000000001E-3</v>
      </c>
      <c r="D452" s="41">
        <v>19.0273</v>
      </c>
      <c r="E452" s="41">
        <v>30</v>
      </c>
      <c r="F452" s="41">
        <v>0</v>
      </c>
      <c r="G452" s="41" t="s">
        <v>104</v>
      </c>
      <c r="H452" s="41">
        <v>1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10" t="s">
        <v>913</v>
      </c>
      <c r="P452" s="109">
        <v>191038</v>
      </c>
      <c r="Q452" s="107"/>
      <c r="R452" s="111"/>
      <c r="S452" s="110" t="s">
        <v>1189</v>
      </c>
      <c r="T452"/>
      <c r="U452"/>
      <c r="V452"/>
    </row>
    <row r="453" spans="1:22" x14ac:dyDescent="0.3">
      <c r="A453" s="105">
        <v>452</v>
      </c>
      <c r="B453" s="41">
        <v>12000000</v>
      </c>
      <c r="C453" s="41">
        <v>3.8E-3</v>
      </c>
      <c r="D453" s="41">
        <v>4.7568000000000001</v>
      </c>
      <c r="E453" s="41">
        <v>30</v>
      </c>
      <c r="F453" s="41">
        <v>0</v>
      </c>
      <c r="G453" s="41" t="s">
        <v>104</v>
      </c>
      <c r="H453" s="41">
        <v>1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10" t="s">
        <v>914</v>
      </c>
      <c r="P453" s="109">
        <v>192124</v>
      </c>
      <c r="Q453" s="107"/>
      <c r="R453" s="111"/>
      <c r="S453" s="110" t="s">
        <v>1189</v>
      </c>
      <c r="T453"/>
      <c r="U453"/>
      <c r="V453"/>
    </row>
    <row r="454" spans="1:22" x14ac:dyDescent="0.3">
      <c r="A454" s="105">
        <v>453</v>
      </c>
      <c r="B454" s="41">
        <v>12000000</v>
      </c>
      <c r="C454" s="41">
        <v>3.8E-3</v>
      </c>
      <c r="D454" s="41">
        <v>5.1874000000000002</v>
      </c>
      <c r="E454" s="41">
        <v>30</v>
      </c>
      <c r="F454" s="41">
        <v>0</v>
      </c>
      <c r="G454" s="41" t="s">
        <v>104</v>
      </c>
      <c r="H454" s="41">
        <v>1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10" t="s">
        <v>915</v>
      </c>
      <c r="P454" s="109">
        <v>192124</v>
      </c>
      <c r="Q454" s="107"/>
      <c r="R454" s="111"/>
      <c r="S454" s="110" t="s">
        <v>1189</v>
      </c>
      <c r="T454"/>
      <c r="U454"/>
      <c r="V454"/>
    </row>
    <row r="455" spans="1:22" x14ac:dyDescent="0.3">
      <c r="A455" s="105">
        <v>454</v>
      </c>
      <c r="B455" s="41">
        <v>12000000</v>
      </c>
      <c r="C455" s="41">
        <v>3.8E-3</v>
      </c>
      <c r="D455" s="41">
        <v>5.6569000000000003</v>
      </c>
      <c r="E455" s="41">
        <v>30</v>
      </c>
      <c r="F455" s="41">
        <v>0</v>
      </c>
      <c r="G455" s="41" t="s">
        <v>104</v>
      </c>
      <c r="H455" s="41">
        <v>1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10" t="s">
        <v>916</v>
      </c>
      <c r="P455" s="109">
        <v>192124</v>
      </c>
      <c r="Q455" s="107"/>
      <c r="R455" s="111"/>
      <c r="S455" s="110" t="s">
        <v>1189</v>
      </c>
      <c r="T455"/>
      <c r="U455"/>
      <c r="V455"/>
    </row>
    <row r="456" spans="1:22" x14ac:dyDescent="0.3">
      <c r="A456" s="105">
        <v>455</v>
      </c>
      <c r="B456" s="41">
        <v>12000000</v>
      </c>
      <c r="C456" s="41">
        <v>3.8E-3</v>
      </c>
      <c r="D456" s="41">
        <v>6.1688000000000001</v>
      </c>
      <c r="E456" s="41">
        <v>30</v>
      </c>
      <c r="F456" s="41">
        <v>0</v>
      </c>
      <c r="G456" s="41" t="s">
        <v>104</v>
      </c>
      <c r="H456" s="41">
        <v>1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10" t="s">
        <v>917</v>
      </c>
      <c r="P456" s="109">
        <v>192124</v>
      </c>
      <c r="Q456" s="107"/>
      <c r="R456" s="111"/>
      <c r="S456" s="110" t="s">
        <v>1189</v>
      </c>
      <c r="T456"/>
      <c r="U456"/>
      <c r="V456"/>
    </row>
    <row r="457" spans="1:22" x14ac:dyDescent="0.3">
      <c r="A457" s="105">
        <v>456</v>
      </c>
      <c r="B457" s="41">
        <v>12000000</v>
      </c>
      <c r="C457" s="41">
        <v>3.8E-3</v>
      </c>
      <c r="D457" s="41">
        <v>6.7271999999999998</v>
      </c>
      <c r="E457" s="41">
        <v>30</v>
      </c>
      <c r="F457" s="41">
        <v>0</v>
      </c>
      <c r="G457" s="41" t="s">
        <v>104</v>
      </c>
      <c r="H457" s="41">
        <v>1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10" t="s">
        <v>918</v>
      </c>
      <c r="P457" s="109">
        <v>192124</v>
      </c>
      <c r="Q457" s="107"/>
      <c r="R457" s="111"/>
      <c r="S457" s="110" t="s">
        <v>1189</v>
      </c>
      <c r="T457"/>
      <c r="U457"/>
      <c r="V457"/>
    </row>
    <row r="458" spans="1:22" x14ac:dyDescent="0.3">
      <c r="A458" s="105">
        <v>457</v>
      </c>
      <c r="B458" s="41">
        <v>12000000</v>
      </c>
      <c r="C458" s="41">
        <v>3.8E-3</v>
      </c>
      <c r="D458" s="41">
        <v>7.3360000000000003</v>
      </c>
      <c r="E458" s="41">
        <v>30</v>
      </c>
      <c r="F458" s="41">
        <v>0</v>
      </c>
      <c r="G458" s="41" t="s">
        <v>104</v>
      </c>
      <c r="H458" s="41">
        <v>1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10" t="s">
        <v>919</v>
      </c>
      <c r="P458" s="109">
        <v>192124</v>
      </c>
      <c r="Q458" s="107"/>
      <c r="R458" s="111"/>
      <c r="S458" s="110" t="s">
        <v>1189</v>
      </c>
      <c r="T458"/>
      <c r="U458"/>
      <c r="V458"/>
    </row>
    <row r="459" spans="1:22" x14ac:dyDescent="0.3">
      <c r="A459" s="105">
        <v>458</v>
      </c>
      <c r="B459" s="41">
        <v>12000000</v>
      </c>
      <c r="C459" s="41">
        <v>3.8E-3</v>
      </c>
      <c r="D459" s="41">
        <v>8</v>
      </c>
      <c r="E459" s="41">
        <v>30</v>
      </c>
      <c r="F459" s="41">
        <v>0</v>
      </c>
      <c r="G459" s="41" t="s">
        <v>104</v>
      </c>
      <c r="H459" s="41">
        <v>1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10" t="s">
        <v>920</v>
      </c>
      <c r="P459" s="109">
        <v>192124</v>
      </c>
      <c r="Q459" s="107"/>
      <c r="R459" s="111"/>
      <c r="S459" s="110" t="s">
        <v>1189</v>
      </c>
      <c r="T459"/>
      <c r="U459"/>
      <c r="V459"/>
    </row>
    <row r="460" spans="1:22" x14ac:dyDescent="0.3">
      <c r="A460" s="105">
        <v>459</v>
      </c>
      <c r="B460" s="41">
        <v>12000000</v>
      </c>
      <c r="C460" s="41">
        <v>3.8E-3</v>
      </c>
      <c r="D460" s="41">
        <v>8.7241</v>
      </c>
      <c r="E460" s="41">
        <v>30</v>
      </c>
      <c r="F460" s="41">
        <v>0</v>
      </c>
      <c r="G460" s="41" t="s">
        <v>104</v>
      </c>
      <c r="H460" s="41">
        <v>1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10" t="s">
        <v>921</v>
      </c>
      <c r="P460" s="109">
        <v>192124</v>
      </c>
      <c r="Q460" s="107"/>
      <c r="R460" s="111"/>
      <c r="S460" s="110" t="s">
        <v>1189</v>
      </c>
      <c r="T460"/>
      <c r="U460"/>
      <c r="V460"/>
    </row>
    <row r="461" spans="1:22" x14ac:dyDescent="0.3">
      <c r="A461" s="105">
        <v>460</v>
      </c>
      <c r="B461" s="41">
        <v>12000000</v>
      </c>
      <c r="C461" s="41">
        <v>3.8E-3</v>
      </c>
      <c r="D461" s="41">
        <v>9.5137</v>
      </c>
      <c r="E461" s="41">
        <v>30</v>
      </c>
      <c r="F461" s="41">
        <v>0</v>
      </c>
      <c r="G461" s="41" t="s">
        <v>104</v>
      </c>
      <c r="H461" s="41">
        <v>1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10" t="s">
        <v>922</v>
      </c>
      <c r="P461" s="109">
        <v>192124</v>
      </c>
      <c r="Q461" s="107"/>
      <c r="R461" s="111"/>
      <c r="S461" s="110" t="s">
        <v>1189</v>
      </c>
      <c r="T461"/>
      <c r="U461"/>
      <c r="V461"/>
    </row>
    <row r="462" spans="1:22" x14ac:dyDescent="0.3">
      <c r="A462" s="105">
        <v>461</v>
      </c>
      <c r="B462" s="41">
        <v>12000000</v>
      </c>
      <c r="C462" s="41">
        <v>3.8E-3</v>
      </c>
      <c r="D462" s="41">
        <v>10.374700000000001</v>
      </c>
      <c r="E462" s="41">
        <v>30</v>
      </c>
      <c r="F462" s="41">
        <v>0</v>
      </c>
      <c r="G462" s="41" t="s">
        <v>104</v>
      </c>
      <c r="H462" s="41">
        <v>1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10" t="s">
        <v>923</v>
      </c>
      <c r="P462" s="109">
        <v>192124</v>
      </c>
      <c r="Q462" s="107"/>
      <c r="R462" s="111"/>
      <c r="S462" s="110" t="s">
        <v>1189</v>
      </c>
      <c r="T462"/>
      <c r="U462"/>
      <c r="V462"/>
    </row>
    <row r="463" spans="1:22" x14ac:dyDescent="0.3">
      <c r="A463" s="105">
        <v>462</v>
      </c>
      <c r="B463" s="41">
        <v>12000000</v>
      </c>
      <c r="C463" s="41">
        <v>3.8E-3</v>
      </c>
      <c r="D463" s="41">
        <v>11.313700000000001</v>
      </c>
      <c r="E463" s="41">
        <v>30</v>
      </c>
      <c r="F463" s="41">
        <v>0</v>
      </c>
      <c r="G463" s="41" t="s">
        <v>104</v>
      </c>
      <c r="H463" s="41">
        <v>1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10" t="s">
        <v>924</v>
      </c>
      <c r="P463" s="109">
        <v>192124</v>
      </c>
      <c r="Q463" s="107"/>
      <c r="R463" s="111"/>
      <c r="S463" s="110" t="s">
        <v>1189</v>
      </c>
      <c r="T463"/>
      <c r="U463"/>
      <c r="V463"/>
    </row>
    <row r="464" spans="1:22" x14ac:dyDescent="0.3">
      <c r="A464" s="105">
        <v>463</v>
      </c>
      <c r="B464" s="41">
        <v>12000000</v>
      </c>
      <c r="C464" s="41">
        <v>3.8E-3</v>
      </c>
      <c r="D464" s="41">
        <v>12.3377</v>
      </c>
      <c r="E464" s="41">
        <v>30</v>
      </c>
      <c r="F464" s="41">
        <v>0</v>
      </c>
      <c r="G464" s="41" t="s">
        <v>104</v>
      </c>
      <c r="H464" s="41">
        <v>1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10" t="s">
        <v>925</v>
      </c>
      <c r="P464" s="109">
        <v>192124</v>
      </c>
      <c r="Q464" s="107"/>
      <c r="R464" s="111"/>
      <c r="S464" s="110" t="s">
        <v>1189</v>
      </c>
      <c r="T464"/>
      <c r="U464"/>
      <c r="V464"/>
    </row>
    <row r="465" spans="1:22" x14ac:dyDescent="0.3">
      <c r="A465" s="105">
        <v>464</v>
      </c>
      <c r="B465" s="41">
        <v>12000000</v>
      </c>
      <c r="C465" s="41">
        <v>3.8E-3</v>
      </c>
      <c r="D465" s="41">
        <v>13.4543</v>
      </c>
      <c r="E465" s="41">
        <v>30</v>
      </c>
      <c r="F465" s="41">
        <v>0</v>
      </c>
      <c r="G465" s="41" t="s">
        <v>104</v>
      </c>
      <c r="H465" s="41">
        <v>1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10" t="s">
        <v>926</v>
      </c>
      <c r="P465" s="109">
        <v>192124</v>
      </c>
      <c r="Q465" s="107"/>
      <c r="R465" s="111"/>
      <c r="S465" s="110" t="s">
        <v>1189</v>
      </c>
      <c r="T465"/>
      <c r="U465"/>
      <c r="V465"/>
    </row>
    <row r="466" spans="1:22" x14ac:dyDescent="0.3">
      <c r="A466" s="105">
        <v>465</v>
      </c>
      <c r="B466" s="41">
        <v>12000000</v>
      </c>
      <c r="C466" s="41">
        <v>3.8E-3</v>
      </c>
      <c r="D466" s="41">
        <v>14.6721</v>
      </c>
      <c r="E466" s="41">
        <v>30</v>
      </c>
      <c r="F466" s="41">
        <v>0</v>
      </c>
      <c r="G466" s="41" t="s">
        <v>104</v>
      </c>
      <c r="H466" s="41">
        <v>1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10" t="s">
        <v>927</v>
      </c>
      <c r="P466" s="109">
        <v>192124</v>
      </c>
      <c r="Q466" s="107"/>
      <c r="R466" s="111"/>
      <c r="S466" s="110" t="s">
        <v>1189</v>
      </c>
      <c r="T466"/>
      <c r="U466"/>
      <c r="V466"/>
    </row>
    <row r="467" spans="1:22" x14ac:dyDescent="0.3">
      <c r="A467" s="105">
        <v>466</v>
      </c>
      <c r="B467" s="41">
        <v>12000000</v>
      </c>
      <c r="C467" s="41">
        <v>3.8E-3</v>
      </c>
      <c r="D467" s="41">
        <v>16</v>
      </c>
      <c r="E467" s="41">
        <v>30</v>
      </c>
      <c r="F467" s="41">
        <v>0</v>
      </c>
      <c r="G467" s="41" t="s">
        <v>104</v>
      </c>
      <c r="H467" s="41">
        <v>1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10" t="s">
        <v>928</v>
      </c>
      <c r="P467" s="109">
        <v>192124</v>
      </c>
      <c r="Q467" s="107"/>
      <c r="R467" s="111"/>
      <c r="S467" s="110" t="s">
        <v>1189</v>
      </c>
      <c r="T467"/>
      <c r="U467"/>
      <c r="V467"/>
    </row>
    <row r="468" spans="1:22" x14ac:dyDescent="0.3">
      <c r="A468" s="105">
        <v>467</v>
      </c>
      <c r="B468" s="41">
        <v>12000000</v>
      </c>
      <c r="C468" s="41">
        <v>3.8E-3</v>
      </c>
      <c r="D468" s="41">
        <v>17.4481</v>
      </c>
      <c r="E468" s="41">
        <v>30</v>
      </c>
      <c r="F468" s="41">
        <v>0</v>
      </c>
      <c r="G468" s="41" t="s">
        <v>104</v>
      </c>
      <c r="H468" s="41">
        <v>1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10" t="s">
        <v>929</v>
      </c>
      <c r="P468" s="109">
        <v>192124</v>
      </c>
      <c r="Q468" s="107"/>
      <c r="R468" s="111"/>
      <c r="S468" s="110" t="s">
        <v>1189</v>
      </c>
      <c r="T468"/>
      <c r="U468"/>
      <c r="V468"/>
    </row>
    <row r="469" spans="1:22" x14ac:dyDescent="0.3">
      <c r="A469" s="105">
        <v>468</v>
      </c>
      <c r="B469" s="41">
        <v>12000000</v>
      </c>
      <c r="C469" s="41">
        <v>3.8E-3</v>
      </c>
      <c r="D469" s="41">
        <v>19.0273</v>
      </c>
      <c r="E469" s="41">
        <v>30</v>
      </c>
      <c r="F469" s="41">
        <v>0</v>
      </c>
      <c r="G469" s="41" t="s">
        <v>104</v>
      </c>
      <c r="H469" s="41">
        <v>1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10" t="s">
        <v>930</v>
      </c>
      <c r="P469" s="109">
        <v>192124</v>
      </c>
      <c r="Q469" s="107"/>
      <c r="R469" s="111"/>
      <c r="S469" s="110" t="s">
        <v>1189</v>
      </c>
      <c r="T469"/>
      <c r="U469"/>
      <c r="V469"/>
    </row>
    <row r="470" spans="1:22" x14ac:dyDescent="0.3">
      <c r="A470" s="105">
        <v>469</v>
      </c>
      <c r="B470" s="41">
        <v>12000000</v>
      </c>
      <c r="C470" s="41">
        <v>4.1999999999999997E-3</v>
      </c>
      <c r="D470" s="41">
        <v>5.6569000000000003</v>
      </c>
      <c r="E470" s="41">
        <v>30</v>
      </c>
      <c r="F470" s="41">
        <v>0</v>
      </c>
      <c r="G470" s="41" t="s">
        <v>104</v>
      </c>
      <c r="H470" s="41">
        <v>1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10" t="s">
        <v>931</v>
      </c>
      <c r="P470" s="109">
        <v>192124</v>
      </c>
      <c r="Q470" s="107"/>
      <c r="R470" s="111"/>
      <c r="S470" s="110" t="s">
        <v>1189</v>
      </c>
      <c r="T470"/>
      <c r="U470"/>
      <c r="V470"/>
    </row>
    <row r="471" spans="1:22" x14ac:dyDescent="0.3">
      <c r="A471" s="105">
        <v>470</v>
      </c>
      <c r="B471" s="41">
        <v>12000000</v>
      </c>
      <c r="C471" s="41">
        <v>4.1999999999999997E-3</v>
      </c>
      <c r="D471" s="41">
        <v>6.1688000000000001</v>
      </c>
      <c r="E471" s="41">
        <v>30</v>
      </c>
      <c r="F471" s="41">
        <v>0</v>
      </c>
      <c r="G471" s="41" t="s">
        <v>104</v>
      </c>
      <c r="H471" s="41">
        <v>1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10" t="s">
        <v>932</v>
      </c>
      <c r="P471" s="109">
        <v>192124</v>
      </c>
      <c r="Q471" s="107"/>
      <c r="R471" s="111"/>
      <c r="S471" s="110" t="s">
        <v>1189</v>
      </c>
      <c r="T471"/>
      <c r="U471"/>
      <c r="V471"/>
    </row>
    <row r="472" spans="1:22" x14ac:dyDescent="0.3">
      <c r="A472" s="105">
        <v>471</v>
      </c>
      <c r="B472" s="41">
        <v>12000000</v>
      </c>
      <c r="C472" s="41">
        <v>4.1999999999999997E-3</v>
      </c>
      <c r="D472" s="41">
        <v>6.7271999999999998</v>
      </c>
      <c r="E472" s="41">
        <v>30</v>
      </c>
      <c r="F472" s="41">
        <v>0</v>
      </c>
      <c r="G472" s="41" t="s">
        <v>104</v>
      </c>
      <c r="H472" s="41">
        <v>1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10" t="s">
        <v>933</v>
      </c>
      <c r="P472" s="109">
        <v>192124</v>
      </c>
      <c r="Q472" s="107"/>
      <c r="R472" s="111"/>
      <c r="S472" s="110" t="s">
        <v>1189</v>
      </c>
      <c r="T472"/>
      <c r="U472"/>
      <c r="V472"/>
    </row>
    <row r="473" spans="1:22" x14ac:dyDescent="0.3">
      <c r="A473" s="105">
        <v>472</v>
      </c>
      <c r="B473" s="41">
        <v>12000000</v>
      </c>
      <c r="C473" s="41">
        <v>4.1999999999999997E-3</v>
      </c>
      <c r="D473" s="41">
        <v>7.3360000000000003</v>
      </c>
      <c r="E473" s="41">
        <v>30</v>
      </c>
      <c r="F473" s="41">
        <v>0</v>
      </c>
      <c r="G473" s="41" t="s">
        <v>104</v>
      </c>
      <c r="H473" s="41">
        <v>1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10" t="s">
        <v>934</v>
      </c>
      <c r="P473" s="109">
        <v>192125</v>
      </c>
      <c r="Q473" s="107"/>
      <c r="R473" s="111"/>
      <c r="S473" s="110" t="s">
        <v>1189</v>
      </c>
      <c r="T473"/>
      <c r="U473"/>
      <c r="V473"/>
    </row>
    <row r="474" spans="1:22" x14ac:dyDescent="0.3">
      <c r="A474" s="105">
        <v>473</v>
      </c>
      <c r="B474" s="41">
        <v>12000000</v>
      </c>
      <c r="C474" s="41">
        <v>4.1999999999999997E-3</v>
      </c>
      <c r="D474" s="41">
        <v>8</v>
      </c>
      <c r="E474" s="41">
        <v>30</v>
      </c>
      <c r="F474" s="41">
        <v>0</v>
      </c>
      <c r="G474" s="41" t="s">
        <v>104</v>
      </c>
      <c r="H474" s="41">
        <v>1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10" t="s">
        <v>935</v>
      </c>
      <c r="P474" s="109">
        <v>192125</v>
      </c>
      <c r="Q474" s="107"/>
      <c r="R474" s="111"/>
      <c r="S474" s="110" t="s">
        <v>1189</v>
      </c>
      <c r="T474"/>
      <c r="U474"/>
      <c r="V474"/>
    </row>
    <row r="475" spans="1:22" x14ac:dyDescent="0.3">
      <c r="A475" s="105">
        <v>474</v>
      </c>
      <c r="B475" s="41">
        <v>12000000</v>
      </c>
      <c r="C475" s="41">
        <v>4.1999999999999997E-3</v>
      </c>
      <c r="D475" s="41">
        <v>8.7241</v>
      </c>
      <c r="E475" s="41">
        <v>30</v>
      </c>
      <c r="F475" s="41">
        <v>0</v>
      </c>
      <c r="G475" s="41" t="s">
        <v>104</v>
      </c>
      <c r="H475" s="41">
        <v>1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10" t="s">
        <v>936</v>
      </c>
      <c r="P475" s="109">
        <v>192125</v>
      </c>
      <c r="Q475" s="107"/>
      <c r="R475" s="111"/>
      <c r="S475" s="110" t="s">
        <v>1189</v>
      </c>
      <c r="T475"/>
      <c r="U475"/>
      <c r="V475"/>
    </row>
    <row r="476" spans="1:22" x14ac:dyDescent="0.3">
      <c r="A476" s="105">
        <v>475</v>
      </c>
      <c r="B476" s="41">
        <v>12000000</v>
      </c>
      <c r="C476" s="41">
        <v>4.1999999999999997E-3</v>
      </c>
      <c r="D476" s="41">
        <v>9.5137</v>
      </c>
      <c r="E476" s="41">
        <v>30</v>
      </c>
      <c r="F476" s="41">
        <v>0</v>
      </c>
      <c r="G476" s="41" t="s">
        <v>104</v>
      </c>
      <c r="H476" s="41">
        <v>1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10" t="s">
        <v>937</v>
      </c>
      <c r="P476" s="109">
        <v>192125</v>
      </c>
      <c r="Q476" s="107"/>
      <c r="R476" s="111"/>
      <c r="S476" s="110" t="s">
        <v>1189</v>
      </c>
      <c r="T476"/>
      <c r="U476"/>
      <c r="V476"/>
    </row>
    <row r="477" spans="1:22" x14ac:dyDescent="0.3">
      <c r="A477" s="105">
        <v>476</v>
      </c>
      <c r="B477" s="41">
        <v>12000000</v>
      </c>
      <c r="C477" s="41">
        <v>4.1999999999999997E-3</v>
      </c>
      <c r="D477" s="41">
        <v>10.374700000000001</v>
      </c>
      <c r="E477" s="41">
        <v>30</v>
      </c>
      <c r="F477" s="41">
        <v>0</v>
      </c>
      <c r="G477" s="41" t="s">
        <v>104</v>
      </c>
      <c r="H477" s="41">
        <v>1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10" t="s">
        <v>938</v>
      </c>
      <c r="P477" s="109">
        <v>192125</v>
      </c>
      <c r="Q477" s="107"/>
      <c r="R477" s="111"/>
      <c r="S477" s="110" t="s">
        <v>1189</v>
      </c>
      <c r="T477"/>
      <c r="U477"/>
      <c r="V477"/>
    </row>
    <row r="478" spans="1:22" x14ac:dyDescent="0.3">
      <c r="A478" s="105">
        <v>477</v>
      </c>
      <c r="B478" s="41">
        <v>12000000</v>
      </c>
      <c r="C478" s="41">
        <v>4.1999999999999997E-3</v>
      </c>
      <c r="D478" s="41">
        <v>11.313700000000001</v>
      </c>
      <c r="E478" s="41">
        <v>30</v>
      </c>
      <c r="F478" s="41">
        <v>0</v>
      </c>
      <c r="G478" s="41" t="s">
        <v>104</v>
      </c>
      <c r="H478" s="41">
        <v>1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10" t="s">
        <v>939</v>
      </c>
      <c r="P478" s="109">
        <v>192125</v>
      </c>
      <c r="Q478" s="107"/>
      <c r="R478" s="111"/>
      <c r="S478" s="110" t="s">
        <v>1189</v>
      </c>
      <c r="T478"/>
      <c r="U478"/>
      <c r="V478"/>
    </row>
    <row r="479" spans="1:22" x14ac:dyDescent="0.3">
      <c r="A479" s="105">
        <v>478</v>
      </c>
      <c r="B479" s="41">
        <v>12000000</v>
      </c>
      <c r="C479" s="41">
        <v>4.1999999999999997E-3</v>
      </c>
      <c r="D479" s="41">
        <v>12.3377</v>
      </c>
      <c r="E479" s="41">
        <v>30</v>
      </c>
      <c r="F479" s="41">
        <v>0</v>
      </c>
      <c r="G479" s="41" t="s">
        <v>104</v>
      </c>
      <c r="H479" s="41">
        <v>1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10" t="s">
        <v>940</v>
      </c>
      <c r="P479" s="109">
        <v>192125</v>
      </c>
      <c r="Q479" s="107"/>
      <c r="R479" s="111"/>
      <c r="S479" s="110" t="s">
        <v>1189</v>
      </c>
      <c r="T479"/>
      <c r="U479"/>
      <c r="V479"/>
    </row>
    <row r="480" spans="1:22" x14ac:dyDescent="0.3">
      <c r="A480" s="105">
        <v>479</v>
      </c>
      <c r="B480" s="41">
        <v>12000000</v>
      </c>
      <c r="C480" s="41">
        <v>4.1999999999999997E-3</v>
      </c>
      <c r="D480" s="41">
        <v>13.4543</v>
      </c>
      <c r="E480" s="41">
        <v>30</v>
      </c>
      <c r="F480" s="41">
        <v>0</v>
      </c>
      <c r="G480" s="41" t="s">
        <v>104</v>
      </c>
      <c r="H480" s="41">
        <v>1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10" t="s">
        <v>941</v>
      </c>
      <c r="P480" s="109">
        <v>192125</v>
      </c>
      <c r="Q480" s="107"/>
      <c r="R480" s="111"/>
      <c r="S480" s="110" t="s">
        <v>1189</v>
      </c>
      <c r="T480"/>
      <c r="U480"/>
      <c r="V480"/>
    </row>
    <row r="481" spans="1:22" x14ac:dyDescent="0.3">
      <c r="A481" s="105">
        <v>480</v>
      </c>
      <c r="B481" s="41">
        <v>12000000</v>
      </c>
      <c r="C481" s="41">
        <v>4.1999999999999997E-3</v>
      </c>
      <c r="D481" s="41">
        <v>14.6721</v>
      </c>
      <c r="E481" s="41">
        <v>30</v>
      </c>
      <c r="F481" s="41">
        <v>0</v>
      </c>
      <c r="G481" s="41" t="s">
        <v>104</v>
      </c>
      <c r="H481" s="41">
        <v>1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10" t="s">
        <v>942</v>
      </c>
      <c r="P481" s="109">
        <v>192125</v>
      </c>
      <c r="Q481" s="107"/>
      <c r="R481" s="111"/>
      <c r="S481" s="110" t="s">
        <v>1189</v>
      </c>
      <c r="T481"/>
      <c r="U481"/>
      <c r="V481"/>
    </row>
    <row r="482" spans="1:22" x14ac:dyDescent="0.3">
      <c r="A482" s="105">
        <v>481</v>
      </c>
      <c r="B482" s="41">
        <v>12000000</v>
      </c>
      <c r="C482" s="41">
        <v>4.1999999999999997E-3</v>
      </c>
      <c r="D482" s="41">
        <v>16</v>
      </c>
      <c r="E482" s="41">
        <v>30</v>
      </c>
      <c r="F482" s="41">
        <v>0</v>
      </c>
      <c r="G482" s="41" t="s">
        <v>104</v>
      </c>
      <c r="H482" s="41">
        <v>1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10" t="s">
        <v>943</v>
      </c>
      <c r="P482" s="109">
        <v>192125</v>
      </c>
      <c r="Q482" s="107"/>
      <c r="R482" s="111"/>
      <c r="S482" s="110" t="s">
        <v>1189</v>
      </c>
      <c r="T482"/>
      <c r="U482"/>
      <c r="V482"/>
    </row>
    <row r="483" spans="1:22" x14ac:dyDescent="0.3">
      <c r="A483" s="105">
        <v>482</v>
      </c>
      <c r="B483" s="41">
        <v>12000000</v>
      </c>
      <c r="C483" s="41">
        <v>4.1999999999999997E-3</v>
      </c>
      <c r="D483" s="41">
        <v>17.4481</v>
      </c>
      <c r="E483" s="41">
        <v>30</v>
      </c>
      <c r="F483" s="41">
        <v>0</v>
      </c>
      <c r="G483" s="41" t="s">
        <v>104</v>
      </c>
      <c r="H483" s="41">
        <v>1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10" t="s">
        <v>944</v>
      </c>
      <c r="P483" s="109">
        <v>192125</v>
      </c>
      <c r="Q483" s="107"/>
      <c r="R483" s="111"/>
      <c r="S483" s="110" t="s">
        <v>1189</v>
      </c>
      <c r="T483"/>
      <c r="U483"/>
      <c r="V483"/>
    </row>
    <row r="484" spans="1:22" x14ac:dyDescent="0.3">
      <c r="A484" s="105">
        <v>483</v>
      </c>
      <c r="B484" s="41">
        <v>12000000</v>
      </c>
      <c r="C484" s="41">
        <v>4.1999999999999997E-3</v>
      </c>
      <c r="D484" s="41">
        <v>19.0273</v>
      </c>
      <c r="E484" s="41">
        <v>30</v>
      </c>
      <c r="F484" s="41">
        <v>0</v>
      </c>
      <c r="G484" s="41" t="s">
        <v>104</v>
      </c>
      <c r="H484" s="41">
        <v>1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10" t="s">
        <v>945</v>
      </c>
      <c r="P484" s="109">
        <v>192125</v>
      </c>
      <c r="Q484" s="107"/>
      <c r="R484" s="111"/>
      <c r="S484" s="110" t="s">
        <v>1189</v>
      </c>
      <c r="T484"/>
      <c r="U484"/>
      <c r="V484"/>
    </row>
    <row r="485" spans="1:22" x14ac:dyDescent="0.3">
      <c r="A485" s="105">
        <v>484</v>
      </c>
      <c r="B485" s="41">
        <v>12000000</v>
      </c>
      <c r="C485" s="41">
        <v>4.4999999999999997E-3</v>
      </c>
      <c r="D485" s="41">
        <v>6.7271999999999998</v>
      </c>
      <c r="E485" s="41">
        <v>30</v>
      </c>
      <c r="F485" s="41">
        <v>0</v>
      </c>
      <c r="G485" s="41" t="s">
        <v>104</v>
      </c>
      <c r="H485" s="41">
        <v>1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10" t="s">
        <v>946</v>
      </c>
      <c r="P485" s="109">
        <v>192125</v>
      </c>
      <c r="Q485" s="107"/>
      <c r="R485" s="111"/>
      <c r="S485" s="110" t="s">
        <v>1189</v>
      </c>
      <c r="T485"/>
      <c r="U485"/>
      <c r="V485"/>
    </row>
    <row r="486" spans="1:22" x14ac:dyDescent="0.3">
      <c r="A486" s="105">
        <v>485</v>
      </c>
      <c r="B486" s="41">
        <v>12000000</v>
      </c>
      <c r="C486" s="41">
        <v>4.4999999999999997E-3</v>
      </c>
      <c r="D486" s="41">
        <v>7.3360000000000003</v>
      </c>
      <c r="E486" s="41">
        <v>30</v>
      </c>
      <c r="F486" s="41">
        <v>0</v>
      </c>
      <c r="G486" s="41" t="s">
        <v>104</v>
      </c>
      <c r="H486" s="41">
        <v>1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10" t="s">
        <v>947</v>
      </c>
      <c r="P486" s="109">
        <v>192125</v>
      </c>
      <c r="Q486" s="107"/>
      <c r="R486" s="111"/>
      <c r="S486" s="110" t="s">
        <v>1189</v>
      </c>
      <c r="T486"/>
      <c r="U486"/>
      <c r="V486"/>
    </row>
    <row r="487" spans="1:22" x14ac:dyDescent="0.3">
      <c r="A487" s="105">
        <v>486</v>
      </c>
      <c r="B487" s="41">
        <v>12000000</v>
      </c>
      <c r="C487" s="41">
        <v>4.4999999999999997E-3</v>
      </c>
      <c r="D487" s="41">
        <v>8</v>
      </c>
      <c r="E487" s="41">
        <v>30</v>
      </c>
      <c r="F487" s="41">
        <v>0</v>
      </c>
      <c r="G487" s="41" t="s">
        <v>104</v>
      </c>
      <c r="H487" s="41">
        <v>1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10" t="s">
        <v>948</v>
      </c>
      <c r="P487" s="109">
        <v>192125</v>
      </c>
      <c r="Q487" s="107"/>
      <c r="R487" s="111"/>
      <c r="S487" s="110" t="s">
        <v>1189</v>
      </c>
      <c r="T487"/>
      <c r="U487"/>
      <c r="V487"/>
    </row>
    <row r="488" spans="1:22" x14ac:dyDescent="0.3">
      <c r="A488" s="105">
        <v>487</v>
      </c>
      <c r="B488" s="41">
        <v>12000000</v>
      </c>
      <c r="C488" s="41">
        <v>4.4999999999999997E-3</v>
      </c>
      <c r="D488" s="41">
        <v>8.7241</v>
      </c>
      <c r="E488" s="41">
        <v>30</v>
      </c>
      <c r="F488" s="41">
        <v>0</v>
      </c>
      <c r="G488" s="41" t="s">
        <v>104</v>
      </c>
      <c r="H488" s="41">
        <v>1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10" t="s">
        <v>949</v>
      </c>
      <c r="P488" s="109">
        <v>192125</v>
      </c>
      <c r="Q488" s="107"/>
      <c r="R488" s="111"/>
      <c r="S488" s="110" t="s">
        <v>1189</v>
      </c>
      <c r="T488"/>
      <c r="U488"/>
      <c r="V488"/>
    </row>
    <row r="489" spans="1:22" x14ac:dyDescent="0.3">
      <c r="A489" s="105">
        <v>488</v>
      </c>
      <c r="B489" s="41">
        <v>12000000</v>
      </c>
      <c r="C489" s="41">
        <v>4.4999999999999997E-3</v>
      </c>
      <c r="D489" s="41">
        <v>9.5137</v>
      </c>
      <c r="E489" s="41">
        <v>30</v>
      </c>
      <c r="F489" s="41">
        <v>0</v>
      </c>
      <c r="G489" s="41" t="s">
        <v>104</v>
      </c>
      <c r="H489" s="41">
        <v>1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10" t="s">
        <v>950</v>
      </c>
      <c r="P489" s="109">
        <v>192125</v>
      </c>
      <c r="Q489" s="107"/>
      <c r="R489" s="111"/>
      <c r="S489" s="110" t="s">
        <v>1189</v>
      </c>
      <c r="T489"/>
      <c r="U489"/>
      <c r="V489"/>
    </row>
    <row r="490" spans="1:22" x14ac:dyDescent="0.3">
      <c r="A490" s="105">
        <v>489</v>
      </c>
      <c r="B490" s="41">
        <v>12000000</v>
      </c>
      <c r="C490" s="41">
        <v>4.4999999999999997E-3</v>
      </c>
      <c r="D490" s="41">
        <v>10.374700000000001</v>
      </c>
      <c r="E490" s="41">
        <v>30</v>
      </c>
      <c r="F490" s="41">
        <v>0</v>
      </c>
      <c r="G490" s="41" t="s">
        <v>104</v>
      </c>
      <c r="H490" s="41">
        <v>1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10" t="s">
        <v>951</v>
      </c>
      <c r="P490" s="109">
        <v>192125</v>
      </c>
      <c r="Q490" s="107"/>
      <c r="R490" s="111"/>
      <c r="S490" s="110" t="s">
        <v>1189</v>
      </c>
      <c r="T490"/>
      <c r="U490"/>
      <c r="V490"/>
    </row>
    <row r="491" spans="1:22" x14ac:dyDescent="0.3">
      <c r="A491" s="105">
        <v>490</v>
      </c>
      <c r="B491" s="41">
        <v>12000000</v>
      </c>
      <c r="C491" s="41">
        <v>4.4999999999999997E-3</v>
      </c>
      <c r="D491" s="41">
        <v>11.313700000000001</v>
      </c>
      <c r="E491" s="41">
        <v>30</v>
      </c>
      <c r="F491" s="41">
        <v>0</v>
      </c>
      <c r="G491" s="41" t="s">
        <v>104</v>
      </c>
      <c r="H491" s="41">
        <v>1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10" t="s">
        <v>952</v>
      </c>
      <c r="P491" s="109">
        <v>192125</v>
      </c>
      <c r="Q491" s="107"/>
      <c r="R491" s="111"/>
      <c r="S491" s="110" t="s">
        <v>1189</v>
      </c>
      <c r="T491"/>
      <c r="U491"/>
      <c r="V491"/>
    </row>
    <row r="492" spans="1:22" x14ac:dyDescent="0.3">
      <c r="A492" s="105">
        <v>491</v>
      </c>
      <c r="B492" s="41">
        <v>12000000</v>
      </c>
      <c r="C492" s="41">
        <v>4.4999999999999997E-3</v>
      </c>
      <c r="D492" s="41">
        <v>12.3377</v>
      </c>
      <c r="E492" s="41">
        <v>30</v>
      </c>
      <c r="F492" s="41">
        <v>0</v>
      </c>
      <c r="G492" s="41" t="s">
        <v>104</v>
      </c>
      <c r="H492" s="41">
        <v>1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10" t="s">
        <v>953</v>
      </c>
      <c r="P492" s="109">
        <v>192125</v>
      </c>
      <c r="Q492" s="107"/>
      <c r="R492" s="111"/>
      <c r="S492" s="110" t="s">
        <v>1189</v>
      </c>
      <c r="T492"/>
      <c r="U492"/>
      <c r="V492"/>
    </row>
    <row r="493" spans="1:22" x14ac:dyDescent="0.3">
      <c r="A493" s="105">
        <v>492</v>
      </c>
      <c r="B493" s="41">
        <v>12000000</v>
      </c>
      <c r="C493" s="41">
        <v>4.4999999999999997E-3</v>
      </c>
      <c r="D493" s="41">
        <v>13.4543</v>
      </c>
      <c r="E493" s="41">
        <v>30</v>
      </c>
      <c r="F493" s="41">
        <v>0</v>
      </c>
      <c r="G493" s="41" t="s">
        <v>104</v>
      </c>
      <c r="H493" s="41">
        <v>1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10" t="s">
        <v>954</v>
      </c>
      <c r="P493" s="109">
        <v>192141</v>
      </c>
      <c r="Q493" s="107"/>
      <c r="R493" s="111"/>
      <c r="S493" s="110" t="s">
        <v>1189</v>
      </c>
      <c r="T493"/>
      <c r="U493"/>
      <c r="V493"/>
    </row>
    <row r="494" spans="1:22" x14ac:dyDescent="0.3">
      <c r="A494" s="105">
        <v>493</v>
      </c>
      <c r="B494" s="41">
        <v>12000000</v>
      </c>
      <c r="C494" s="41">
        <v>4.4999999999999997E-3</v>
      </c>
      <c r="D494" s="41">
        <v>14.6721</v>
      </c>
      <c r="E494" s="41">
        <v>30</v>
      </c>
      <c r="F494" s="41">
        <v>0</v>
      </c>
      <c r="G494" s="41" t="s">
        <v>104</v>
      </c>
      <c r="H494" s="41">
        <v>1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10" t="s">
        <v>955</v>
      </c>
      <c r="P494" s="109">
        <v>192141</v>
      </c>
      <c r="Q494" s="107"/>
      <c r="R494" s="111"/>
      <c r="S494" s="110" t="s">
        <v>1189</v>
      </c>
      <c r="T494"/>
      <c r="U494"/>
      <c r="V494"/>
    </row>
    <row r="495" spans="1:22" x14ac:dyDescent="0.3">
      <c r="A495" s="105">
        <v>494</v>
      </c>
      <c r="B495" s="41">
        <v>12000000</v>
      </c>
      <c r="C495" s="41">
        <v>4.4999999999999997E-3</v>
      </c>
      <c r="D495" s="41">
        <v>16</v>
      </c>
      <c r="E495" s="41">
        <v>30</v>
      </c>
      <c r="F495" s="41">
        <v>0</v>
      </c>
      <c r="G495" s="41" t="s">
        <v>104</v>
      </c>
      <c r="H495" s="41">
        <v>1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10" t="s">
        <v>956</v>
      </c>
      <c r="P495" s="109">
        <v>192141</v>
      </c>
      <c r="Q495" s="107"/>
      <c r="R495" s="111"/>
      <c r="S495" s="110" t="s">
        <v>1189</v>
      </c>
      <c r="T495"/>
      <c r="U495"/>
      <c r="V495"/>
    </row>
    <row r="496" spans="1:22" x14ac:dyDescent="0.3">
      <c r="A496" s="105">
        <v>495</v>
      </c>
      <c r="B496" s="41">
        <v>12000000</v>
      </c>
      <c r="C496" s="41">
        <v>4.4999999999999997E-3</v>
      </c>
      <c r="D496" s="41">
        <v>17.4481</v>
      </c>
      <c r="E496" s="41">
        <v>30</v>
      </c>
      <c r="F496" s="41">
        <v>0</v>
      </c>
      <c r="G496" s="41" t="s">
        <v>104</v>
      </c>
      <c r="H496" s="41">
        <v>1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10" t="s">
        <v>957</v>
      </c>
      <c r="P496" s="109">
        <v>192141</v>
      </c>
      <c r="Q496" s="107"/>
      <c r="R496" s="111"/>
      <c r="S496" s="110" t="s">
        <v>1189</v>
      </c>
      <c r="T496"/>
      <c r="U496"/>
      <c r="V496"/>
    </row>
    <row r="497" spans="1:22" x14ac:dyDescent="0.3">
      <c r="A497" s="105">
        <v>496</v>
      </c>
      <c r="B497" s="41">
        <v>12000000</v>
      </c>
      <c r="C497" s="41">
        <v>4.4999999999999997E-3</v>
      </c>
      <c r="D497" s="41">
        <v>19.0273</v>
      </c>
      <c r="E497" s="41">
        <v>30</v>
      </c>
      <c r="F497" s="41">
        <v>0</v>
      </c>
      <c r="G497" s="41" t="s">
        <v>104</v>
      </c>
      <c r="H497" s="41">
        <v>1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10" t="s">
        <v>958</v>
      </c>
      <c r="P497" s="109">
        <v>192141</v>
      </c>
      <c r="Q497" s="107"/>
      <c r="R497" s="111"/>
      <c r="S497" s="110" t="s">
        <v>1189</v>
      </c>
      <c r="T497"/>
      <c r="U497"/>
      <c r="V497"/>
    </row>
    <row r="498" spans="1:22" x14ac:dyDescent="0.3">
      <c r="A498" s="105">
        <v>497</v>
      </c>
      <c r="B498" s="41">
        <v>12000000</v>
      </c>
      <c r="C498" s="41">
        <v>4.8999999999999998E-3</v>
      </c>
      <c r="D498" s="41">
        <v>8</v>
      </c>
      <c r="E498" s="41">
        <v>30</v>
      </c>
      <c r="F498" s="41">
        <v>0</v>
      </c>
      <c r="G498" s="41" t="s">
        <v>104</v>
      </c>
      <c r="H498" s="41">
        <v>1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10" t="s">
        <v>959</v>
      </c>
      <c r="P498" s="109">
        <v>192141</v>
      </c>
      <c r="Q498" s="107"/>
      <c r="R498" s="111"/>
      <c r="S498" s="110" t="s">
        <v>1189</v>
      </c>
      <c r="T498"/>
      <c r="U498"/>
      <c r="V498"/>
    </row>
    <row r="499" spans="1:22" x14ac:dyDescent="0.3">
      <c r="A499" s="105">
        <v>498</v>
      </c>
      <c r="B499" s="41">
        <v>12000000</v>
      </c>
      <c r="C499" s="41">
        <v>4.8999999999999998E-3</v>
      </c>
      <c r="D499" s="41">
        <v>8.7241</v>
      </c>
      <c r="E499" s="41">
        <v>30</v>
      </c>
      <c r="F499" s="41">
        <v>0</v>
      </c>
      <c r="G499" s="41" t="s">
        <v>104</v>
      </c>
      <c r="H499" s="41">
        <v>1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10" t="s">
        <v>960</v>
      </c>
      <c r="P499" s="109">
        <v>192141</v>
      </c>
      <c r="Q499" s="107"/>
      <c r="R499" s="111"/>
      <c r="S499" s="110" t="s">
        <v>1189</v>
      </c>
      <c r="T499"/>
      <c r="U499"/>
      <c r="V499"/>
    </row>
    <row r="500" spans="1:22" x14ac:dyDescent="0.3">
      <c r="A500" s="105">
        <v>499</v>
      </c>
      <c r="B500" s="41">
        <v>12000000</v>
      </c>
      <c r="C500" s="41">
        <v>4.8999999999999998E-3</v>
      </c>
      <c r="D500" s="41">
        <v>9.5137</v>
      </c>
      <c r="E500" s="41">
        <v>30</v>
      </c>
      <c r="F500" s="41">
        <v>0</v>
      </c>
      <c r="G500" s="41" t="s">
        <v>104</v>
      </c>
      <c r="H500" s="41">
        <v>1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10" t="s">
        <v>961</v>
      </c>
      <c r="P500" s="109">
        <v>192141</v>
      </c>
      <c r="Q500" s="107"/>
      <c r="R500" s="111"/>
      <c r="S500" s="110" t="s">
        <v>1189</v>
      </c>
      <c r="T500"/>
      <c r="U500"/>
      <c r="V500"/>
    </row>
    <row r="501" spans="1:22" x14ac:dyDescent="0.3">
      <c r="A501" s="105">
        <v>500</v>
      </c>
      <c r="B501" s="41">
        <v>12000000</v>
      </c>
      <c r="C501" s="41">
        <v>4.8999999999999998E-3</v>
      </c>
      <c r="D501" s="41">
        <v>10.374700000000001</v>
      </c>
      <c r="E501" s="41">
        <v>30</v>
      </c>
      <c r="F501" s="41">
        <v>0</v>
      </c>
      <c r="G501" s="41" t="s">
        <v>104</v>
      </c>
      <c r="H501" s="41">
        <v>1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10" t="s">
        <v>962</v>
      </c>
      <c r="P501" s="109">
        <v>192141</v>
      </c>
      <c r="Q501" s="107"/>
      <c r="R501" s="111"/>
      <c r="S501" s="110" t="s">
        <v>1189</v>
      </c>
      <c r="T501"/>
      <c r="U501"/>
      <c r="V501"/>
    </row>
    <row r="502" spans="1:22" x14ac:dyDescent="0.3">
      <c r="A502" s="105">
        <v>501</v>
      </c>
      <c r="B502" s="41">
        <v>12000000</v>
      </c>
      <c r="C502" s="41">
        <v>4.8999999999999998E-3</v>
      </c>
      <c r="D502" s="41">
        <v>11.313700000000001</v>
      </c>
      <c r="E502" s="41">
        <v>30</v>
      </c>
      <c r="F502" s="41">
        <v>0</v>
      </c>
      <c r="G502" s="41" t="s">
        <v>104</v>
      </c>
      <c r="H502" s="41">
        <v>1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10" t="s">
        <v>963</v>
      </c>
      <c r="P502" s="109">
        <v>192141</v>
      </c>
      <c r="Q502" s="107"/>
      <c r="R502" s="111"/>
      <c r="S502" s="110" t="s">
        <v>1189</v>
      </c>
      <c r="T502"/>
      <c r="U502"/>
      <c r="V502"/>
    </row>
    <row r="503" spans="1:22" x14ac:dyDescent="0.3">
      <c r="A503" s="105">
        <v>502</v>
      </c>
      <c r="B503" s="41">
        <v>12000000</v>
      </c>
      <c r="C503" s="41">
        <v>4.8999999999999998E-3</v>
      </c>
      <c r="D503" s="41">
        <v>12.3377</v>
      </c>
      <c r="E503" s="41">
        <v>30</v>
      </c>
      <c r="F503" s="41">
        <v>0</v>
      </c>
      <c r="G503" s="41" t="s">
        <v>104</v>
      </c>
      <c r="H503" s="41">
        <v>1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10" t="s">
        <v>964</v>
      </c>
      <c r="P503" s="109">
        <v>192141</v>
      </c>
      <c r="Q503" s="107"/>
      <c r="R503" s="111"/>
      <c r="S503" s="110" t="s">
        <v>1189</v>
      </c>
      <c r="T503"/>
      <c r="U503"/>
      <c r="V503"/>
    </row>
    <row r="504" spans="1:22" x14ac:dyDescent="0.3">
      <c r="A504" s="105">
        <v>503</v>
      </c>
      <c r="B504" s="41">
        <v>12000000</v>
      </c>
      <c r="C504" s="41">
        <v>4.8999999999999998E-3</v>
      </c>
      <c r="D504" s="41">
        <v>13.4543</v>
      </c>
      <c r="E504" s="41">
        <v>30</v>
      </c>
      <c r="F504" s="41">
        <v>0</v>
      </c>
      <c r="G504" s="41" t="s">
        <v>104</v>
      </c>
      <c r="H504" s="41">
        <v>1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10" t="s">
        <v>965</v>
      </c>
      <c r="P504" s="109">
        <v>192141</v>
      </c>
      <c r="Q504" s="107"/>
      <c r="R504" s="111"/>
      <c r="S504" s="110" t="s">
        <v>1189</v>
      </c>
      <c r="T504"/>
      <c r="U504"/>
      <c r="V504"/>
    </row>
    <row r="505" spans="1:22" x14ac:dyDescent="0.3">
      <c r="A505" s="105">
        <v>504</v>
      </c>
      <c r="B505" s="41">
        <v>12000000</v>
      </c>
      <c r="C505" s="41">
        <v>4.8999999999999998E-3</v>
      </c>
      <c r="D505" s="41">
        <v>14.6721</v>
      </c>
      <c r="E505" s="41">
        <v>30</v>
      </c>
      <c r="F505" s="41">
        <v>0</v>
      </c>
      <c r="G505" s="41" t="s">
        <v>104</v>
      </c>
      <c r="H505" s="41">
        <v>1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10" t="s">
        <v>966</v>
      </c>
      <c r="P505" s="109">
        <v>192141</v>
      </c>
      <c r="Q505" s="107"/>
      <c r="R505" s="111"/>
      <c r="S505" s="110" t="s">
        <v>1189</v>
      </c>
      <c r="T505"/>
      <c r="U505"/>
      <c r="V505"/>
    </row>
    <row r="506" spans="1:22" x14ac:dyDescent="0.3">
      <c r="A506" s="105">
        <v>505</v>
      </c>
      <c r="B506" s="41">
        <v>12000000</v>
      </c>
      <c r="C506" s="41">
        <v>4.8999999999999998E-3</v>
      </c>
      <c r="D506" s="41">
        <v>16</v>
      </c>
      <c r="E506" s="41">
        <v>30</v>
      </c>
      <c r="F506" s="41">
        <v>0</v>
      </c>
      <c r="G506" s="41" t="s">
        <v>104</v>
      </c>
      <c r="H506" s="41">
        <v>1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10" t="s">
        <v>967</v>
      </c>
      <c r="P506" s="109">
        <v>192141</v>
      </c>
      <c r="Q506" s="107"/>
      <c r="R506" s="111"/>
      <c r="S506" s="110" t="s">
        <v>1189</v>
      </c>
      <c r="T506"/>
      <c r="U506"/>
      <c r="V506"/>
    </row>
    <row r="507" spans="1:22" x14ac:dyDescent="0.3">
      <c r="A507" s="105">
        <v>506</v>
      </c>
      <c r="B507" s="41">
        <v>12000000</v>
      </c>
      <c r="C507" s="41">
        <v>4.8999999999999998E-3</v>
      </c>
      <c r="D507" s="41">
        <v>17.4481</v>
      </c>
      <c r="E507" s="41">
        <v>30</v>
      </c>
      <c r="F507" s="41">
        <v>0</v>
      </c>
      <c r="G507" s="41" t="s">
        <v>104</v>
      </c>
      <c r="H507" s="41">
        <v>1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10" t="s">
        <v>968</v>
      </c>
      <c r="P507" s="109">
        <v>192141</v>
      </c>
      <c r="Q507" s="107"/>
      <c r="R507" s="111"/>
      <c r="S507" s="110" t="s">
        <v>1189</v>
      </c>
      <c r="T507"/>
      <c r="U507"/>
      <c r="V507"/>
    </row>
    <row r="508" spans="1:22" x14ac:dyDescent="0.3">
      <c r="A508" s="105">
        <v>507</v>
      </c>
      <c r="B508" s="41">
        <v>12000000</v>
      </c>
      <c r="C508" s="41">
        <v>4.8999999999999998E-3</v>
      </c>
      <c r="D508" s="41">
        <v>19.0273</v>
      </c>
      <c r="E508" s="41">
        <v>30</v>
      </c>
      <c r="F508" s="41">
        <v>0</v>
      </c>
      <c r="G508" s="41" t="s">
        <v>104</v>
      </c>
      <c r="H508" s="41">
        <v>1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10" t="s">
        <v>969</v>
      </c>
      <c r="P508" s="109">
        <v>192141</v>
      </c>
      <c r="Q508" s="107"/>
      <c r="R508" s="111"/>
      <c r="S508" s="110" t="s">
        <v>1189</v>
      </c>
      <c r="T508"/>
      <c r="U508"/>
      <c r="V508"/>
    </row>
    <row r="509" spans="1:22" x14ac:dyDescent="0.3">
      <c r="A509" s="105">
        <v>508</v>
      </c>
      <c r="B509" s="41">
        <v>12000000</v>
      </c>
      <c r="C509" s="41">
        <v>5.4000000000000003E-3</v>
      </c>
      <c r="D509" s="41">
        <v>9.5137</v>
      </c>
      <c r="E509" s="41">
        <v>30</v>
      </c>
      <c r="F509" s="41">
        <v>0</v>
      </c>
      <c r="G509" s="41" t="s">
        <v>104</v>
      </c>
      <c r="H509" s="41">
        <v>1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10" t="s">
        <v>970</v>
      </c>
      <c r="P509" s="109">
        <v>192141</v>
      </c>
      <c r="Q509" s="107"/>
      <c r="R509" s="111"/>
      <c r="S509" s="110" t="s">
        <v>1189</v>
      </c>
      <c r="T509"/>
      <c r="U509"/>
      <c r="V509"/>
    </row>
    <row r="510" spans="1:22" x14ac:dyDescent="0.3">
      <c r="A510" s="105">
        <v>509</v>
      </c>
      <c r="B510" s="41">
        <v>12000000</v>
      </c>
      <c r="C510" s="41">
        <v>5.4000000000000003E-3</v>
      </c>
      <c r="D510" s="41">
        <v>10.374700000000001</v>
      </c>
      <c r="E510" s="41">
        <v>30</v>
      </c>
      <c r="F510" s="41">
        <v>0</v>
      </c>
      <c r="G510" s="41" t="s">
        <v>104</v>
      </c>
      <c r="H510" s="41">
        <v>1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10" t="s">
        <v>971</v>
      </c>
      <c r="P510" s="109">
        <v>192141</v>
      </c>
      <c r="Q510" s="107"/>
      <c r="R510" s="111"/>
      <c r="S510" s="110" t="s">
        <v>1189</v>
      </c>
      <c r="T510"/>
      <c r="U510"/>
      <c r="V510"/>
    </row>
    <row r="511" spans="1:22" x14ac:dyDescent="0.3">
      <c r="A511" s="105">
        <v>510</v>
      </c>
      <c r="B511" s="41">
        <v>12000000</v>
      </c>
      <c r="C511" s="41">
        <v>5.4000000000000003E-3</v>
      </c>
      <c r="D511" s="41">
        <v>11.313700000000001</v>
      </c>
      <c r="E511" s="41">
        <v>30</v>
      </c>
      <c r="F511" s="41">
        <v>0</v>
      </c>
      <c r="G511" s="41" t="s">
        <v>104</v>
      </c>
      <c r="H511" s="41">
        <v>1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10" t="s">
        <v>972</v>
      </c>
      <c r="P511" s="109">
        <v>192141</v>
      </c>
      <c r="Q511" s="107"/>
      <c r="R511" s="111"/>
      <c r="S511" s="110" t="s">
        <v>1189</v>
      </c>
      <c r="T511"/>
      <c r="U511"/>
      <c r="V511"/>
    </row>
    <row r="512" spans="1:22" x14ac:dyDescent="0.3">
      <c r="A512" s="105">
        <v>511</v>
      </c>
      <c r="B512" s="41">
        <v>12000000</v>
      </c>
      <c r="C512" s="41">
        <v>5.4000000000000003E-3</v>
      </c>
      <c r="D512" s="41">
        <v>12.3377</v>
      </c>
      <c r="E512" s="41">
        <v>30</v>
      </c>
      <c r="F512" s="41">
        <v>0</v>
      </c>
      <c r="G512" s="41" t="s">
        <v>104</v>
      </c>
      <c r="H512" s="41">
        <v>1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10" t="s">
        <v>973</v>
      </c>
      <c r="P512" s="109">
        <v>192141</v>
      </c>
      <c r="Q512" s="107"/>
      <c r="R512" s="111"/>
      <c r="S512" s="110" t="s">
        <v>1189</v>
      </c>
      <c r="T512"/>
      <c r="U512"/>
      <c r="V512"/>
    </row>
    <row r="513" spans="1:22" x14ac:dyDescent="0.3">
      <c r="A513" s="105">
        <v>512</v>
      </c>
      <c r="B513" s="41">
        <v>12000000</v>
      </c>
      <c r="C513" s="41">
        <v>5.4000000000000003E-3</v>
      </c>
      <c r="D513" s="41">
        <v>13.4543</v>
      </c>
      <c r="E513" s="41">
        <v>30</v>
      </c>
      <c r="F513" s="41">
        <v>0</v>
      </c>
      <c r="G513" s="41" t="s">
        <v>104</v>
      </c>
      <c r="H513" s="41">
        <v>1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10" t="s">
        <v>974</v>
      </c>
      <c r="P513" s="109">
        <v>192141</v>
      </c>
      <c r="Q513" s="107"/>
      <c r="R513" s="111"/>
      <c r="S513" s="110" t="s">
        <v>1189</v>
      </c>
      <c r="T513"/>
      <c r="U513"/>
      <c r="V513"/>
    </row>
    <row r="514" spans="1:22" x14ac:dyDescent="0.3">
      <c r="A514" s="105">
        <v>513</v>
      </c>
      <c r="B514" s="41">
        <v>12000000</v>
      </c>
      <c r="C514" s="41">
        <v>5.4000000000000003E-3</v>
      </c>
      <c r="D514" s="41">
        <v>14.6721</v>
      </c>
      <c r="E514" s="41">
        <v>30</v>
      </c>
      <c r="F514" s="41">
        <v>0</v>
      </c>
      <c r="G514" s="41" t="s">
        <v>104</v>
      </c>
      <c r="H514" s="41">
        <v>1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10" t="s">
        <v>975</v>
      </c>
      <c r="P514" s="109">
        <v>192141</v>
      </c>
      <c r="Q514" s="107"/>
      <c r="R514" s="111"/>
      <c r="S514" s="110" t="s">
        <v>1189</v>
      </c>
      <c r="T514"/>
      <c r="U514"/>
      <c r="V514"/>
    </row>
    <row r="515" spans="1:22" x14ac:dyDescent="0.3">
      <c r="A515" s="105">
        <v>514</v>
      </c>
      <c r="B515" s="41">
        <v>12000000</v>
      </c>
      <c r="C515" s="41">
        <v>5.4000000000000003E-3</v>
      </c>
      <c r="D515" s="41">
        <v>16</v>
      </c>
      <c r="E515" s="41">
        <v>30</v>
      </c>
      <c r="F515" s="41">
        <v>0</v>
      </c>
      <c r="G515" s="41" t="s">
        <v>104</v>
      </c>
      <c r="H515" s="41">
        <v>1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10" t="s">
        <v>976</v>
      </c>
      <c r="P515" s="109">
        <v>192141</v>
      </c>
      <c r="Q515" s="107"/>
      <c r="R515" s="111"/>
      <c r="S515" s="110" t="s">
        <v>1189</v>
      </c>
      <c r="T515"/>
      <c r="U515"/>
      <c r="V515"/>
    </row>
    <row r="516" spans="1:22" x14ac:dyDescent="0.3">
      <c r="A516" s="105">
        <v>515</v>
      </c>
      <c r="B516" s="41">
        <v>12000000</v>
      </c>
      <c r="C516" s="41">
        <v>5.4000000000000003E-3</v>
      </c>
      <c r="D516" s="41">
        <v>17.4481</v>
      </c>
      <c r="E516" s="41">
        <v>30</v>
      </c>
      <c r="F516" s="41">
        <v>0</v>
      </c>
      <c r="G516" s="41" t="s">
        <v>104</v>
      </c>
      <c r="H516" s="41">
        <v>1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10" t="s">
        <v>977</v>
      </c>
      <c r="P516" s="109">
        <v>192141</v>
      </c>
      <c r="Q516" s="107"/>
      <c r="R516" s="111"/>
      <c r="S516" s="110" t="s">
        <v>1189</v>
      </c>
      <c r="T516"/>
      <c r="U516"/>
      <c r="V516"/>
    </row>
    <row r="517" spans="1:22" x14ac:dyDescent="0.3">
      <c r="A517" s="105">
        <v>516</v>
      </c>
      <c r="B517" s="41">
        <v>12000000</v>
      </c>
      <c r="C517" s="41">
        <v>5.4000000000000003E-3</v>
      </c>
      <c r="D517" s="41">
        <v>19.0273</v>
      </c>
      <c r="E517" s="41">
        <v>30</v>
      </c>
      <c r="F517" s="41">
        <v>0</v>
      </c>
      <c r="G517" s="41" t="s">
        <v>104</v>
      </c>
      <c r="H517" s="41">
        <v>1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10" t="s">
        <v>978</v>
      </c>
      <c r="P517" s="109">
        <v>192141</v>
      </c>
      <c r="Q517" s="107"/>
      <c r="R517" s="111"/>
      <c r="S517" s="110" t="s">
        <v>1189</v>
      </c>
      <c r="T517"/>
      <c r="U517"/>
      <c r="V517"/>
    </row>
    <row r="518" spans="1:22" x14ac:dyDescent="0.3">
      <c r="A518" s="105">
        <v>517</v>
      </c>
      <c r="B518" s="41">
        <v>12000000</v>
      </c>
      <c r="C518" s="41">
        <v>5.8999999999999999E-3</v>
      </c>
      <c r="D518" s="41">
        <v>11.313700000000001</v>
      </c>
      <c r="E518" s="41">
        <v>30</v>
      </c>
      <c r="F518" s="41">
        <v>0</v>
      </c>
      <c r="G518" s="41" t="s">
        <v>104</v>
      </c>
      <c r="H518" s="41">
        <v>1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10" t="s">
        <v>979</v>
      </c>
      <c r="P518" s="109">
        <v>192141</v>
      </c>
      <c r="Q518" s="107"/>
      <c r="R518" s="111"/>
      <c r="S518" s="110" t="s">
        <v>1189</v>
      </c>
      <c r="T518"/>
      <c r="U518"/>
      <c r="V518"/>
    </row>
    <row r="519" spans="1:22" x14ac:dyDescent="0.3">
      <c r="A519" s="105">
        <v>518</v>
      </c>
      <c r="B519" s="41">
        <v>12000000</v>
      </c>
      <c r="C519" s="41">
        <v>5.8999999999999999E-3</v>
      </c>
      <c r="D519" s="41">
        <v>12.3377</v>
      </c>
      <c r="E519" s="41">
        <v>30</v>
      </c>
      <c r="F519" s="41">
        <v>0</v>
      </c>
      <c r="G519" s="41" t="s">
        <v>104</v>
      </c>
      <c r="H519" s="41">
        <v>1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10" t="s">
        <v>980</v>
      </c>
      <c r="P519" s="109">
        <v>192141</v>
      </c>
      <c r="Q519" s="107"/>
      <c r="R519" s="111"/>
      <c r="S519" s="110" t="s">
        <v>1189</v>
      </c>
      <c r="T519"/>
      <c r="U519"/>
      <c r="V519"/>
    </row>
    <row r="520" spans="1:22" x14ac:dyDescent="0.3">
      <c r="A520" s="105">
        <v>519</v>
      </c>
      <c r="B520" s="41">
        <v>12000000</v>
      </c>
      <c r="C520" s="41">
        <v>5.8999999999999999E-3</v>
      </c>
      <c r="D520" s="41">
        <v>13.4543</v>
      </c>
      <c r="E520" s="41">
        <v>30</v>
      </c>
      <c r="F520" s="41">
        <v>0</v>
      </c>
      <c r="G520" s="41" t="s">
        <v>104</v>
      </c>
      <c r="H520" s="41">
        <v>1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10" t="s">
        <v>981</v>
      </c>
      <c r="P520" s="109">
        <v>192141</v>
      </c>
      <c r="Q520" s="107"/>
      <c r="R520" s="111"/>
      <c r="S520" s="110" t="s">
        <v>1189</v>
      </c>
      <c r="T520"/>
      <c r="U520"/>
      <c r="V520"/>
    </row>
    <row r="521" spans="1:22" x14ac:dyDescent="0.3">
      <c r="A521" s="105">
        <v>520</v>
      </c>
      <c r="B521" s="41">
        <v>12000000</v>
      </c>
      <c r="C521" s="41">
        <v>5.8999999999999999E-3</v>
      </c>
      <c r="D521" s="41">
        <v>14.6721</v>
      </c>
      <c r="E521" s="41">
        <v>30</v>
      </c>
      <c r="F521" s="41">
        <v>0</v>
      </c>
      <c r="G521" s="41" t="s">
        <v>104</v>
      </c>
      <c r="H521" s="41">
        <v>1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10" t="s">
        <v>982</v>
      </c>
      <c r="P521" s="109">
        <v>192141</v>
      </c>
      <c r="Q521" s="107"/>
      <c r="R521" s="111"/>
      <c r="S521" s="110" t="s">
        <v>1189</v>
      </c>
      <c r="T521"/>
      <c r="U521"/>
      <c r="V521"/>
    </row>
    <row r="522" spans="1:22" x14ac:dyDescent="0.3">
      <c r="A522" s="105">
        <v>521</v>
      </c>
      <c r="B522" s="41">
        <v>12000000</v>
      </c>
      <c r="C522" s="41">
        <v>5.8999999999999999E-3</v>
      </c>
      <c r="D522" s="41">
        <v>16</v>
      </c>
      <c r="E522" s="41">
        <v>30</v>
      </c>
      <c r="F522" s="41">
        <v>0</v>
      </c>
      <c r="G522" s="41" t="s">
        <v>104</v>
      </c>
      <c r="H522" s="41">
        <v>1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10" t="s">
        <v>983</v>
      </c>
      <c r="P522" s="109">
        <v>192141</v>
      </c>
      <c r="Q522" s="107"/>
      <c r="R522" s="111"/>
      <c r="S522" s="110" t="s">
        <v>1189</v>
      </c>
      <c r="T522"/>
      <c r="U522"/>
      <c r="V522"/>
    </row>
    <row r="523" spans="1:22" x14ac:dyDescent="0.3">
      <c r="A523" s="105">
        <v>522</v>
      </c>
      <c r="B523" s="41">
        <v>12000000</v>
      </c>
      <c r="C523" s="41">
        <v>5.8999999999999999E-3</v>
      </c>
      <c r="D523" s="41">
        <v>17.4481</v>
      </c>
      <c r="E523" s="41">
        <v>30</v>
      </c>
      <c r="F523" s="41">
        <v>0</v>
      </c>
      <c r="G523" s="41" t="s">
        <v>104</v>
      </c>
      <c r="H523" s="41">
        <v>1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10" t="s">
        <v>984</v>
      </c>
      <c r="P523" s="109">
        <v>192141</v>
      </c>
      <c r="Q523" s="107"/>
      <c r="R523" s="111"/>
      <c r="S523" s="110" t="s">
        <v>1189</v>
      </c>
      <c r="T523"/>
      <c r="U523"/>
      <c r="V523"/>
    </row>
    <row r="524" spans="1:22" x14ac:dyDescent="0.3">
      <c r="A524" s="105">
        <v>523</v>
      </c>
      <c r="B524" s="41">
        <v>12000000</v>
      </c>
      <c r="C524" s="41">
        <v>5.8999999999999999E-3</v>
      </c>
      <c r="D524" s="41">
        <v>19.0273</v>
      </c>
      <c r="E524" s="41">
        <v>30</v>
      </c>
      <c r="F524" s="41">
        <v>0</v>
      </c>
      <c r="G524" s="41" t="s">
        <v>104</v>
      </c>
      <c r="H524" s="41">
        <v>1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10" t="s">
        <v>985</v>
      </c>
      <c r="P524" s="109">
        <v>192141</v>
      </c>
      <c r="Q524" s="107"/>
      <c r="R524" s="111"/>
      <c r="S524" s="110" t="s">
        <v>1189</v>
      </c>
      <c r="T524"/>
      <c r="U524"/>
      <c r="V524"/>
    </row>
    <row r="525" spans="1:22" x14ac:dyDescent="0.3">
      <c r="A525" s="105">
        <v>524</v>
      </c>
      <c r="B525" s="41">
        <v>12000000</v>
      </c>
      <c r="C525" s="41">
        <v>6.4000000000000003E-3</v>
      </c>
      <c r="D525" s="41">
        <v>13.4543</v>
      </c>
      <c r="E525" s="41">
        <v>30</v>
      </c>
      <c r="F525" s="41">
        <v>0</v>
      </c>
      <c r="G525" s="41" t="s">
        <v>104</v>
      </c>
      <c r="H525" s="41">
        <v>1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10" t="s">
        <v>986</v>
      </c>
      <c r="P525" s="109">
        <v>192141</v>
      </c>
      <c r="Q525" s="107"/>
      <c r="R525" s="111"/>
      <c r="S525" s="110" t="s">
        <v>1189</v>
      </c>
      <c r="T525"/>
      <c r="U525"/>
      <c r="V525"/>
    </row>
    <row r="526" spans="1:22" x14ac:dyDescent="0.3">
      <c r="A526" s="105">
        <v>525</v>
      </c>
      <c r="B526" s="41">
        <v>12000000</v>
      </c>
      <c r="C526" s="41">
        <v>6.4000000000000003E-3</v>
      </c>
      <c r="D526" s="41">
        <v>14.6721</v>
      </c>
      <c r="E526" s="41">
        <v>30</v>
      </c>
      <c r="F526" s="41">
        <v>0</v>
      </c>
      <c r="G526" s="41" t="s">
        <v>104</v>
      </c>
      <c r="H526" s="41">
        <v>1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10" t="s">
        <v>987</v>
      </c>
      <c r="P526" s="109">
        <v>192141</v>
      </c>
      <c r="Q526" s="107"/>
      <c r="R526" s="111"/>
      <c r="S526" s="110" t="s">
        <v>1189</v>
      </c>
      <c r="T526"/>
      <c r="U526"/>
      <c r="V526"/>
    </row>
    <row r="527" spans="1:22" x14ac:dyDescent="0.3">
      <c r="A527" s="105">
        <v>526</v>
      </c>
      <c r="B527" s="41">
        <v>12000000</v>
      </c>
      <c r="C527" s="41">
        <v>6.4000000000000003E-3</v>
      </c>
      <c r="D527" s="41">
        <v>16</v>
      </c>
      <c r="E527" s="41">
        <v>30</v>
      </c>
      <c r="F527" s="41">
        <v>0</v>
      </c>
      <c r="G527" s="41" t="s">
        <v>104</v>
      </c>
      <c r="H527" s="41">
        <v>1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10" t="s">
        <v>988</v>
      </c>
      <c r="P527" s="109">
        <v>192141</v>
      </c>
      <c r="Q527" s="107"/>
      <c r="R527" s="111"/>
      <c r="S527" s="110" t="s">
        <v>1189</v>
      </c>
      <c r="T527"/>
      <c r="U527"/>
      <c r="V527"/>
    </row>
    <row r="528" spans="1:22" x14ac:dyDescent="0.3">
      <c r="A528" s="105">
        <v>527</v>
      </c>
      <c r="B528" s="41">
        <v>12000000</v>
      </c>
      <c r="C528" s="41">
        <v>6.4000000000000003E-3</v>
      </c>
      <c r="D528" s="41">
        <v>17.4481</v>
      </c>
      <c r="E528" s="41">
        <v>30</v>
      </c>
      <c r="F528" s="41">
        <v>0</v>
      </c>
      <c r="G528" s="41" t="s">
        <v>104</v>
      </c>
      <c r="H528" s="41">
        <v>1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10" t="s">
        <v>989</v>
      </c>
      <c r="P528" s="109">
        <v>192141</v>
      </c>
      <c r="Q528" s="107"/>
      <c r="R528" s="111"/>
      <c r="S528" s="110" t="s">
        <v>1189</v>
      </c>
      <c r="T528"/>
      <c r="U528"/>
      <c r="V528"/>
    </row>
    <row r="529" spans="1:22" x14ac:dyDescent="0.3">
      <c r="A529" s="105">
        <v>528</v>
      </c>
      <c r="B529" s="41">
        <v>12000000</v>
      </c>
      <c r="C529" s="41">
        <v>6.4000000000000003E-3</v>
      </c>
      <c r="D529" s="41">
        <v>19.0273</v>
      </c>
      <c r="E529" s="41">
        <v>30</v>
      </c>
      <c r="F529" s="41">
        <v>0</v>
      </c>
      <c r="G529" s="41" t="s">
        <v>104</v>
      </c>
      <c r="H529" s="41">
        <v>1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10" t="s">
        <v>990</v>
      </c>
      <c r="P529" s="109">
        <v>192141</v>
      </c>
      <c r="Q529" s="107"/>
      <c r="R529" s="111"/>
      <c r="S529" s="110" t="s">
        <v>1189</v>
      </c>
      <c r="T529"/>
      <c r="U529"/>
      <c r="V529"/>
    </row>
    <row r="530" spans="1:22" x14ac:dyDescent="0.3">
      <c r="A530" s="105">
        <v>529</v>
      </c>
      <c r="B530" s="41">
        <v>12000000</v>
      </c>
      <c r="C530" s="41">
        <v>7.0000000000000001E-3</v>
      </c>
      <c r="D530" s="41">
        <v>16</v>
      </c>
      <c r="E530" s="41">
        <v>30</v>
      </c>
      <c r="F530" s="41">
        <v>0</v>
      </c>
      <c r="G530" s="41" t="s">
        <v>104</v>
      </c>
      <c r="H530" s="41">
        <v>1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10" t="s">
        <v>991</v>
      </c>
      <c r="P530" s="109">
        <v>192201</v>
      </c>
      <c r="Q530" s="107"/>
      <c r="R530" s="111"/>
      <c r="S530" s="110" t="s">
        <v>1189</v>
      </c>
      <c r="T530"/>
      <c r="U530"/>
      <c r="V530"/>
    </row>
    <row r="531" spans="1:22" x14ac:dyDescent="0.3">
      <c r="A531" s="105">
        <v>530</v>
      </c>
      <c r="B531" s="41">
        <v>12000000</v>
      </c>
      <c r="C531" s="41">
        <v>7.0000000000000001E-3</v>
      </c>
      <c r="D531" s="41">
        <v>17.4481</v>
      </c>
      <c r="E531" s="41">
        <v>30</v>
      </c>
      <c r="F531" s="41">
        <v>0</v>
      </c>
      <c r="G531" s="41" t="s">
        <v>104</v>
      </c>
      <c r="H531" s="41">
        <v>1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10" t="s">
        <v>992</v>
      </c>
      <c r="P531" s="109">
        <v>192201</v>
      </c>
      <c r="Q531" s="107"/>
      <c r="R531" s="111"/>
      <c r="S531" s="110" t="s">
        <v>1189</v>
      </c>
      <c r="T531"/>
      <c r="U531"/>
      <c r="V531"/>
    </row>
    <row r="532" spans="1:22" x14ac:dyDescent="0.3">
      <c r="A532" s="105">
        <v>531</v>
      </c>
      <c r="B532" s="41">
        <v>12000000</v>
      </c>
      <c r="C532" s="41">
        <v>7.0000000000000001E-3</v>
      </c>
      <c r="D532" s="41">
        <v>19.0273</v>
      </c>
      <c r="E532" s="41">
        <v>30</v>
      </c>
      <c r="F532" s="41">
        <v>0</v>
      </c>
      <c r="G532" s="41" t="s">
        <v>104</v>
      </c>
      <c r="H532" s="41">
        <v>1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10" t="s">
        <v>993</v>
      </c>
      <c r="P532" s="109">
        <v>192201</v>
      </c>
      <c r="Q532" s="107"/>
      <c r="R532" s="111"/>
      <c r="S532" s="110" t="s">
        <v>1189</v>
      </c>
      <c r="T532"/>
      <c r="U532"/>
      <c r="V532"/>
    </row>
    <row r="533" spans="1:22" x14ac:dyDescent="0.3">
      <c r="A533" s="105">
        <v>532</v>
      </c>
      <c r="B533" s="41">
        <v>12000000</v>
      </c>
      <c r="C533" s="41">
        <v>7.6E-3</v>
      </c>
      <c r="D533" s="41">
        <v>19.0273</v>
      </c>
      <c r="E533" s="41">
        <v>30</v>
      </c>
      <c r="F533" s="41">
        <v>0</v>
      </c>
      <c r="G533" s="41" t="s">
        <v>104</v>
      </c>
      <c r="H533" s="41">
        <v>1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10" t="s">
        <v>994</v>
      </c>
      <c r="P533" s="109">
        <v>192201</v>
      </c>
      <c r="Q533" s="107"/>
      <c r="R533" s="111"/>
      <c r="S533" s="110" t="s">
        <v>1189</v>
      </c>
      <c r="T533"/>
      <c r="U533"/>
      <c r="V533"/>
    </row>
    <row r="534" spans="1:22" x14ac:dyDescent="0.3">
      <c r="A534" s="105">
        <v>533</v>
      </c>
      <c r="B534" s="41">
        <v>12000000</v>
      </c>
      <c r="C534" s="41">
        <v>2.8999999999999998E-3</v>
      </c>
      <c r="D534" s="41">
        <v>3.6680000000000001</v>
      </c>
      <c r="E534" s="41">
        <v>30</v>
      </c>
      <c r="F534" s="41">
        <v>0</v>
      </c>
      <c r="G534" s="41" t="s">
        <v>104</v>
      </c>
      <c r="H534" s="41">
        <v>1</v>
      </c>
      <c r="I534" s="41">
        <v>1</v>
      </c>
      <c r="J534" s="108">
        <f>POWER(POWER(Table2[[#This Row],[mv]],4)*0.02,0.25)</f>
        <v>1.0905748969950537E-3</v>
      </c>
      <c r="K534" s="41">
        <v>0</v>
      </c>
      <c r="L534" s="41">
        <v>55</v>
      </c>
      <c r="M534" s="41">
        <v>-1</v>
      </c>
      <c r="N534" s="41">
        <v>4</v>
      </c>
      <c r="O534" s="110" t="s">
        <v>997</v>
      </c>
      <c r="P534" s="109">
        <v>192200</v>
      </c>
      <c r="Q534" s="107"/>
      <c r="R534" s="111"/>
      <c r="S534" s="110" t="s">
        <v>1189</v>
      </c>
      <c r="T534"/>
      <c r="U534"/>
      <c r="V534"/>
    </row>
    <row r="535" spans="1:22" x14ac:dyDescent="0.3">
      <c r="A535" s="105">
        <v>534</v>
      </c>
      <c r="B535" s="41">
        <v>12000000</v>
      </c>
      <c r="C535" s="41">
        <v>2.8999999999999998E-3</v>
      </c>
      <c r="D535" s="41">
        <v>4</v>
      </c>
      <c r="E535" s="41">
        <v>30</v>
      </c>
      <c r="F535" s="41">
        <v>0</v>
      </c>
      <c r="G535" s="41" t="s">
        <v>104</v>
      </c>
      <c r="H535" s="41">
        <v>1</v>
      </c>
      <c r="I535" s="41">
        <v>1</v>
      </c>
      <c r="J535" s="108">
        <f>POWER(POWER(Table2[[#This Row],[mv]],4)*0.02,0.25)</f>
        <v>1.0905748969950537E-3</v>
      </c>
      <c r="K535" s="41">
        <v>0</v>
      </c>
      <c r="L535" s="41">
        <v>55</v>
      </c>
      <c r="M535" s="41">
        <v>-1</v>
      </c>
      <c r="N535" s="41">
        <v>4</v>
      </c>
      <c r="O535" s="110" t="s">
        <v>998</v>
      </c>
      <c r="P535" s="109">
        <v>192200</v>
      </c>
      <c r="Q535" s="107"/>
      <c r="R535" s="111"/>
      <c r="S535" s="110" t="s">
        <v>1189</v>
      </c>
      <c r="T535"/>
      <c r="U535"/>
      <c r="V535"/>
    </row>
    <row r="536" spans="1:22" x14ac:dyDescent="0.3">
      <c r="A536" s="105">
        <v>535</v>
      </c>
      <c r="B536" s="41">
        <v>12000000</v>
      </c>
      <c r="C536" s="41">
        <v>2.8999999999999998E-3</v>
      </c>
      <c r="D536" s="41">
        <v>4.3620000000000001</v>
      </c>
      <c r="E536" s="41">
        <v>30</v>
      </c>
      <c r="F536" s="41">
        <v>0</v>
      </c>
      <c r="G536" s="41" t="s">
        <v>104</v>
      </c>
      <c r="H536" s="41">
        <v>1</v>
      </c>
      <c r="I536" s="41">
        <v>1</v>
      </c>
      <c r="J536" s="108">
        <f>POWER(POWER(Table2[[#This Row],[mv]],4)*0.02,0.25)</f>
        <v>1.0905748969950537E-3</v>
      </c>
      <c r="K536" s="41">
        <v>0</v>
      </c>
      <c r="L536" s="41">
        <v>55</v>
      </c>
      <c r="M536" s="41">
        <v>-1</v>
      </c>
      <c r="N536" s="41">
        <v>4</v>
      </c>
      <c r="O536" s="110" t="s">
        <v>999</v>
      </c>
      <c r="P536" s="109">
        <v>192200</v>
      </c>
      <c r="Q536" s="107"/>
      <c r="R536" s="111"/>
      <c r="S536" s="110" t="s">
        <v>1189</v>
      </c>
      <c r="T536"/>
      <c r="U536"/>
      <c r="V536"/>
    </row>
    <row r="537" spans="1:22" x14ac:dyDescent="0.3">
      <c r="A537" s="105">
        <v>536</v>
      </c>
      <c r="B537" s="41">
        <v>12000000</v>
      </c>
      <c r="C537" s="41">
        <v>2.8999999999999998E-3</v>
      </c>
      <c r="D537" s="41">
        <v>4.7568000000000001</v>
      </c>
      <c r="E537" s="41">
        <v>30</v>
      </c>
      <c r="F537" s="41">
        <v>0</v>
      </c>
      <c r="G537" s="41" t="s">
        <v>104</v>
      </c>
      <c r="H537" s="41">
        <v>1</v>
      </c>
      <c r="I537" s="41">
        <v>1</v>
      </c>
      <c r="J537" s="108">
        <f>POWER(POWER(Table2[[#This Row],[mv]],4)*0.02,0.25)</f>
        <v>1.0905748969950537E-3</v>
      </c>
      <c r="K537" s="41">
        <v>0</v>
      </c>
      <c r="L537" s="41">
        <v>55</v>
      </c>
      <c r="M537" s="41">
        <v>-1</v>
      </c>
      <c r="N537" s="41">
        <v>4</v>
      </c>
      <c r="O537" s="110" t="s">
        <v>1000</v>
      </c>
      <c r="P537" s="109">
        <v>192200</v>
      </c>
      <c r="Q537" s="107"/>
      <c r="R537" s="111"/>
      <c r="S537" s="110" t="s">
        <v>1189</v>
      </c>
      <c r="T537"/>
      <c r="U537"/>
      <c r="V537"/>
    </row>
    <row r="538" spans="1:22" x14ac:dyDescent="0.3">
      <c r="A538" s="105">
        <v>537</v>
      </c>
      <c r="B538" s="41">
        <v>12000000</v>
      </c>
      <c r="C538" s="41">
        <v>2.8999999999999998E-3</v>
      </c>
      <c r="D538" s="41">
        <v>5.1874000000000002</v>
      </c>
      <c r="E538" s="41">
        <v>30</v>
      </c>
      <c r="F538" s="41">
        <v>0</v>
      </c>
      <c r="G538" s="41" t="s">
        <v>104</v>
      </c>
      <c r="H538" s="41">
        <v>1</v>
      </c>
      <c r="I538" s="41">
        <v>1</v>
      </c>
      <c r="J538" s="108">
        <f>POWER(POWER(Table2[[#This Row],[mv]],4)*0.02,0.25)</f>
        <v>1.0905748969950537E-3</v>
      </c>
      <c r="K538" s="41">
        <v>0</v>
      </c>
      <c r="L538" s="41">
        <v>55</v>
      </c>
      <c r="M538" s="41">
        <v>-1</v>
      </c>
      <c r="N538" s="41">
        <v>4</v>
      </c>
      <c r="O538" s="110" t="s">
        <v>1001</v>
      </c>
      <c r="P538" s="109">
        <v>192200</v>
      </c>
      <c r="Q538" s="107"/>
      <c r="R538" s="111"/>
      <c r="S538" s="110" t="s">
        <v>1189</v>
      </c>
      <c r="T538"/>
      <c r="U538"/>
      <c r="V538"/>
    </row>
    <row r="539" spans="1:22" x14ac:dyDescent="0.3">
      <c r="A539" s="105">
        <v>538</v>
      </c>
      <c r="B539" s="41">
        <v>12000000</v>
      </c>
      <c r="C539" s="41">
        <v>2.8999999999999998E-3</v>
      </c>
      <c r="D539" s="41">
        <v>5.6569000000000003</v>
      </c>
      <c r="E539" s="41">
        <v>30</v>
      </c>
      <c r="F539" s="41">
        <v>0</v>
      </c>
      <c r="G539" s="41" t="s">
        <v>104</v>
      </c>
      <c r="H539" s="41">
        <v>1</v>
      </c>
      <c r="I539" s="41">
        <v>1</v>
      </c>
      <c r="J539" s="108">
        <f>POWER(POWER(Table2[[#This Row],[mv]],4)*0.02,0.25)</f>
        <v>1.0905748969950537E-3</v>
      </c>
      <c r="K539" s="41">
        <v>0</v>
      </c>
      <c r="L539" s="41">
        <v>55</v>
      </c>
      <c r="M539" s="41">
        <v>-1</v>
      </c>
      <c r="N539" s="41">
        <v>4</v>
      </c>
      <c r="O539" s="110" t="s">
        <v>1002</v>
      </c>
      <c r="P539" s="109">
        <v>192200</v>
      </c>
      <c r="Q539" s="107"/>
      <c r="R539" s="111"/>
      <c r="S539" s="110" t="s">
        <v>1189</v>
      </c>
      <c r="T539"/>
      <c r="U539"/>
      <c r="V539"/>
    </row>
    <row r="540" spans="1:22" x14ac:dyDescent="0.3">
      <c r="A540" s="105">
        <v>539</v>
      </c>
      <c r="B540" s="41">
        <v>12000000</v>
      </c>
      <c r="C540" s="41">
        <v>2.8999999999999998E-3</v>
      </c>
      <c r="D540" s="41">
        <v>6.1688000000000001</v>
      </c>
      <c r="E540" s="41">
        <v>30</v>
      </c>
      <c r="F540" s="41">
        <v>0</v>
      </c>
      <c r="G540" s="41" t="s">
        <v>104</v>
      </c>
      <c r="H540" s="41">
        <v>1</v>
      </c>
      <c r="I540" s="41">
        <v>1</v>
      </c>
      <c r="J540" s="108">
        <f>POWER(POWER(Table2[[#This Row],[mv]],4)*0.02,0.25)</f>
        <v>1.0905748969950537E-3</v>
      </c>
      <c r="K540" s="41">
        <v>0</v>
      </c>
      <c r="L540" s="41">
        <v>55</v>
      </c>
      <c r="M540" s="41">
        <v>-1</v>
      </c>
      <c r="N540" s="41">
        <v>4</v>
      </c>
      <c r="O540" s="110" t="s">
        <v>1003</v>
      </c>
      <c r="P540" s="109">
        <v>192200</v>
      </c>
      <c r="Q540" s="107"/>
      <c r="R540" s="111"/>
      <c r="S540" s="110" t="s">
        <v>1189</v>
      </c>
      <c r="T540"/>
      <c r="U540"/>
      <c r="V540"/>
    </row>
    <row r="541" spans="1:22" x14ac:dyDescent="0.3">
      <c r="A541" s="105">
        <v>540</v>
      </c>
      <c r="B541" s="41">
        <v>12000000</v>
      </c>
      <c r="C541" s="41">
        <v>2.8999999999999998E-3</v>
      </c>
      <c r="D541" s="41">
        <v>6.7271999999999998</v>
      </c>
      <c r="E541" s="41">
        <v>30</v>
      </c>
      <c r="F541" s="41">
        <v>0</v>
      </c>
      <c r="G541" s="41" t="s">
        <v>104</v>
      </c>
      <c r="H541" s="41">
        <v>1</v>
      </c>
      <c r="I541" s="41">
        <v>1</v>
      </c>
      <c r="J541" s="108">
        <f>POWER(POWER(Table2[[#This Row],[mv]],4)*0.02,0.25)</f>
        <v>1.0905748969950537E-3</v>
      </c>
      <c r="K541" s="41">
        <v>0</v>
      </c>
      <c r="L541" s="41">
        <v>55</v>
      </c>
      <c r="M541" s="41">
        <v>-1</v>
      </c>
      <c r="N541" s="41">
        <v>4</v>
      </c>
      <c r="O541" s="110" t="s">
        <v>1004</v>
      </c>
      <c r="P541" s="109">
        <v>192200</v>
      </c>
      <c r="Q541" s="107"/>
      <c r="R541" s="111"/>
      <c r="S541" s="110" t="s">
        <v>1189</v>
      </c>
      <c r="T541"/>
      <c r="U541"/>
      <c r="V541"/>
    </row>
    <row r="542" spans="1:22" x14ac:dyDescent="0.3">
      <c r="A542" s="105">
        <v>541</v>
      </c>
      <c r="B542" s="41">
        <v>12000000</v>
      </c>
      <c r="C542" s="41">
        <v>2.8999999999999998E-3</v>
      </c>
      <c r="D542" s="41">
        <v>7.3360000000000003</v>
      </c>
      <c r="E542" s="41">
        <v>30</v>
      </c>
      <c r="F542" s="41">
        <v>0</v>
      </c>
      <c r="G542" s="41" t="s">
        <v>104</v>
      </c>
      <c r="H542" s="41">
        <v>1</v>
      </c>
      <c r="I542" s="41">
        <v>1</v>
      </c>
      <c r="J542" s="108">
        <f>POWER(POWER(Table2[[#This Row],[mv]],4)*0.02,0.25)</f>
        <v>1.0905748969950537E-3</v>
      </c>
      <c r="K542" s="41">
        <v>0</v>
      </c>
      <c r="L542" s="41">
        <v>55</v>
      </c>
      <c r="M542" s="41">
        <v>-1</v>
      </c>
      <c r="N542" s="41">
        <v>4</v>
      </c>
      <c r="O542" s="110" t="s">
        <v>1005</v>
      </c>
      <c r="P542" s="109">
        <v>192200</v>
      </c>
      <c r="Q542" s="107"/>
      <c r="R542" s="111"/>
      <c r="S542" s="110" t="s">
        <v>1189</v>
      </c>
      <c r="T542"/>
      <c r="U542"/>
      <c r="V542"/>
    </row>
    <row r="543" spans="1:22" x14ac:dyDescent="0.3">
      <c r="A543" s="105">
        <v>542</v>
      </c>
      <c r="B543" s="41">
        <v>12000000</v>
      </c>
      <c r="C543" s="41">
        <v>2.8999999999999998E-3</v>
      </c>
      <c r="D543" s="41">
        <v>8</v>
      </c>
      <c r="E543" s="41">
        <v>30</v>
      </c>
      <c r="F543" s="41">
        <v>0</v>
      </c>
      <c r="G543" s="41" t="s">
        <v>104</v>
      </c>
      <c r="H543" s="41">
        <v>1</v>
      </c>
      <c r="I543" s="41">
        <v>1</v>
      </c>
      <c r="J543" s="108">
        <f>POWER(POWER(Table2[[#This Row],[mv]],4)*0.02,0.25)</f>
        <v>1.0905748969950537E-3</v>
      </c>
      <c r="K543" s="41">
        <v>0</v>
      </c>
      <c r="L543" s="41">
        <v>55</v>
      </c>
      <c r="M543" s="41">
        <v>-1</v>
      </c>
      <c r="N543" s="41">
        <v>4</v>
      </c>
      <c r="O543" s="110" t="s">
        <v>1006</v>
      </c>
      <c r="P543" s="109">
        <v>192200</v>
      </c>
      <c r="Q543" s="107"/>
      <c r="R543" s="111"/>
      <c r="S543" s="110" t="s">
        <v>1189</v>
      </c>
      <c r="T543"/>
      <c r="U543"/>
      <c r="V543"/>
    </row>
    <row r="544" spans="1:22" x14ac:dyDescent="0.3">
      <c r="A544" s="105">
        <v>543</v>
      </c>
      <c r="B544" s="41">
        <v>12000000</v>
      </c>
      <c r="C544" s="41">
        <v>2.8999999999999998E-3</v>
      </c>
      <c r="D544" s="41">
        <v>8.7241</v>
      </c>
      <c r="E544" s="41">
        <v>30</v>
      </c>
      <c r="F544" s="41">
        <v>0</v>
      </c>
      <c r="G544" s="41" t="s">
        <v>104</v>
      </c>
      <c r="H544" s="41">
        <v>1</v>
      </c>
      <c r="I544" s="41">
        <v>1</v>
      </c>
      <c r="J544" s="108">
        <f>POWER(POWER(Table2[[#This Row],[mv]],4)*0.02,0.25)</f>
        <v>1.0905748969950537E-3</v>
      </c>
      <c r="K544" s="41">
        <v>0</v>
      </c>
      <c r="L544" s="41">
        <v>55</v>
      </c>
      <c r="M544" s="41">
        <v>-1</v>
      </c>
      <c r="N544" s="41">
        <v>4</v>
      </c>
      <c r="O544" s="110" t="s">
        <v>1007</v>
      </c>
      <c r="P544" s="109">
        <v>192200</v>
      </c>
      <c r="Q544" s="107"/>
      <c r="R544" s="111"/>
      <c r="S544" s="110" t="s">
        <v>1189</v>
      </c>
      <c r="T544"/>
      <c r="U544"/>
      <c r="V544"/>
    </row>
    <row r="545" spans="1:22" x14ac:dyDescent="0.3">
      <c r="A545" s="105">
        <v>544</v>
      </c>
      <c r="B545" s="41">
        <v>12000000</v>
      </c>
      <c r="C545" s="41">
        <v>2.8999999999999998E-3</v>
      </c>
      <c r="D545" s="41">
        <v>9.5137</v>
      </c>
      <c r="E545" s="41">
        <v>30</v>
      </c>
      <c r="F545" s="41">
        <v>0</v>
      </c>
      <c r="G545" s="41" t="s">
        <v>104</v>
      </c>
      <c r="H545" s="41">
        <v>1</v>
      </c>
      <c r="I545" s="41">
        <v>1</v>
      </c>
      <c r="J545" s="108">
        <f>POWER(POWER(Table2[[#This Row],[mv]],4)*0.02,0.25)</f>
        <v>1.0905748969950537E-3</v>
      </c>
      <c r="K545" s="41">
        <v>0</v>
      </c>
      <c r="L545" s="41">
        <v>55</v>
      </c>
      <c r="M545" s="41">
        <v>-1</v>
      </c>
      <c r="N545" s="41">
        <v>4</v>
      </c>
      <c r="O545" s="110" t="s">
        <v>1008</v>
      </c>
      <c r="P545" s="109">
        <v>192200</v>
      </c>
      <c r="Q545" s="107"/>
      <c r="R545" s="111"/>
      <c r="S545" s="110" t="s">
        <v>1189</v>
      </c>
      <c r="T545"/>
      <c r="U545"/>
      <c r="V545"/>
    </row>
    <row r="546" spans="1:22" x14ac:dyDescent="0.3">
      <c r="A546" s="105">
        <v>545</v>
      </c>
      <c r="B546" s="41">
        <v>12000000</v>
      </c>
      <c r="C546" s="41">
        <v>2.8999999999999998E-3</v>
      </c>
      <c r="D546" s="41">
        <v>10.374700000000001</v>
      </c>
      <c r="E546" s="41">
        <v>30</v>
      </c>
      <c r="F546" s="41">
        <v>0</v>
      </c>
      <c r="G546" s="41" t="s">
        <v>104</v>
      </c>
      <c r="H546" s="41">
        <v>1</v>
      </c>
      <c r="I546" s="41">
        <v>1</v>
      </c>
      <c r="J546" s="108">
        <f>POWER(POWER(Table2[[#This Row],[mv]],4)*0.02,0.25)</f>
        <v>1.0905748969950537E-3</v>
      </c>
      <c r="K546" s="41">
        <v>0</v>
      </c>
      <c r="L546" s="41">
        <v>55</v>
      </c>
      <c r="M546" s="41">
        <v>-1</v>
      </c>
      <c r="N546" s="41">
        <v>4</v>
      </c>
      <c r="O546" s="110" t="s">
        <v>1009</v>
      </c>
      <c r="P546" s="109">
        <v>192200</v>
      </c>
      <c r="Q546" s="107"/>
      <c r="R546" s="111"/>
      <c r="S546" s="110" t="s">
        <v>1189</v>
      </c>
      <c r="T546"/>
      <c r="U546"/>
      <c r="V546"/>
    </row>
    <row r="547" spans="1:22" x14ac:dyDescent="0.3">
      <c r="A547" s="105">
        <v>546</v>
      </c>
      <c r="B547" s="41">
        <v>12000000</v>
      </c>
      <c r="C547" s="41">
        <v>2.8999999999999998E-3</v>
      </c>
      <c r="D547" s="41">
        <v>11.313700000000001</v>
      </c>
      <c r="E547" s="41">
        <v>30</v>
      </c>
      <c r="F547" s="41">
        <v>0</v>
      </c>
      <c r="G547" s="41" t="s">
        <v>104</v>
      </c>
      <c r="H547" s="41">
        <v>1</v>
      </c>
      <c r="I547" s="41">
        <v>1</v>
      </c>
      <c r="J547" s="108">
        <f>POWER(POWER(Table2[[#This Row],[mv]],4)*0.02,0.25)</f>
        <v>1.0905748969950537E-3</v>
      </c>
      <c r="K547" s="41">
        <v>0</v>
      </c>
      <c r="L547" s="41">
        <v>55</v>
      </c>
      <c r="M547" s="41">
        <v>-1</v>
      </c>
      <c r="N547" s="41">
        <v>4</v>
      </c>
      <c r="O547" s="110" t="s">
        <v>1010</v>
      </c>
      <c r="P547" s="109">
        <v>192200</v>
      </c>
      <c r="Q547" s="107"/>
      <c r="R547" s="111"/>
      <c r="S547" s="110" t="s">
        <v>1189</v>
      </c>
      <c r="T547"/>
      <c r="U547"/>
      <c r="V547"/>
    </row>
    <row r="548" spans="1:22" x14ac:dyDescent="0.3">
      <c r="A548" s="105">
        <v>547</v>
      </c>
      <c r="B548" s="41">
        <v>12000000</v>
      </c>
      <c r="C548" s="41">
        <v>2.8999999999999998E-3</v>
      </c>
      <c r="D548" s="41">
        <v>12.3377</v>
      </c>
      <c r="E548" s="41">
        <v>30</v>
      </c>
      <c r="F548" s="41">
        <v>0</v>
      </c>
      <c r="G548" s="41" t="s">
        <v>104</v>
      </c>
      <c r="H548" s="41">
        <v>1</v>
      </c>
      <c r="I548" s="41">
        <v>1</v>
      </c>
      <c r="J548" s="108">
        <f>POWER(POWER(Table2[[#This Row],[mv]],4)*0.02,0.25)</f>
        <v>1.0905748969950537E-3</v>
      </c>
      <c r="K548" s="41">
        <v>0</v>
      </c>
      <c r="L548" s="41">
        <v>55</v>
      </c>
      <c r="M548" s="41">
        <v>-1</v>
      </c>
      <c r="N548" s="41">
        <v>4</v>
      </c>
      <c r="O548" s="110" t="s">
        <v>1011</v>
      </c>
      <c r="P548" s="109">
        <v>192200</v>
      </c>
      <c r="Q548" s="107"/>
      <c r="R548" s="111"/>
      <c r="S548" s="110" t="s">
        <v>1189</v>
      </c>
      <c r="T548"/>
      <c r="U548"/>
      <c r="V548"/>
    </row>
    <row r="549" spans="1:22" x14ac:dyDescent="0.3">
      <c r="A549" s="105">
        <v>548</v>
      </c>
      <c r="B549" s="41">
        <v>12000000</v>
      </c>
      <c r="C549" s="41">
        <v>2.8999999999999998E-3</v>
      </c>
      <c r="D549" s="41">
        <v>13.4543</v>
      </c>
      <c r="E549" s="41">
        <v>30</v>
      </c>
      <c r="F549" s="41">
        <v>0</v>
      </c>
      <c r="G549" s="41" t="s">
        <v>104</v>
      </c>
      <c r="H549" s="41">
        <v>1</v>
      </c>
      <c r="I549" s="41">
        <v>1</v>
      </c>
      <c r="J549" s="108">
        <f>POWER(POWER(Table2[[#This Row],[mv]],4)*0.02,0.25)</f>
        <v>1.0905748969950537E-3</v>
      </c>
      <c r="K549" s="41">
        <v>0</v>
      </c>
      <c r="L549" s="41">
        <v>55</v>
      </c>
      <c r="M549" s="41">
        <v>-1</v>
      </c>
      <c r="N549" s="41">
        <v>4</v>
      </c>
      <c r="O549" s="110" t="s">
        <v>1012</v>
      </c>
      <c r="P549" s="109">
        <v>192200</v>
      </c>
      <c r="Q549" s="107"/>
      <c r="R549" s="111"/>
      <c r="S549" s="110" t="s">
        <v>1189</v>
      </c>
      <c r="T549"/>
      <c r="U549"/>
      <c r="V549"/>
    </row>
    <row r="550" spans="1:22" x14ac:dyDescent="0.3">
      <c r="A550" s="105">
        <v>549</v>
      </c>
      <c r="B550" s="41">
        <v>12000000</v>
      </c>
      <c r="C550" s="41">
        <v>2.8999999999999998E-3</v>
      </c>
      <c r="D550" s="41">
        <v>14.6721</v>
      </c>
      <c r="E550" s="41">
        <v>30</v>
      </c>
      <c r="F550" s="41">
        <v>0</v>
      </c>
      <c r="G550" s="41" t="s">
        <v>104</v>
      </c>
      <c r="H550" s="41">
        <v>1</v>
      </c>
      <c r="I550" s="41">
        <v>1</v>
      </c>
      <c r="J550" s="108">
        <f>POWER(POWER(Table2[[#This Row],[mv]],4)*0.02,0.25)</f>
        <v>1.0905748969950537E-3</v>
      </c>
      <c r="K550" s="41">
        <v>0</v>
      </c>
      <c r="L550" s="41">
        <v>55</v>
      </c>
      <c r="M550" s="41">
        <v>-1</v>
      </c>
      <c r="N550" s="41">
        <v>4</v>
      </c>
      <c r="O550" s="110" t="s">
        <v>1013</v>
      </c>
      <c r="P550" s="109">
        <v>192200</v>
      </c>
      <c r="Q550" s="107"/>
      <c r="R550" s="111"/>
      <c r="S550" s="110" t="s">
        <v>1189</v>
      </c>
      <c r="T550"/>
      <c r="U550"/>
      <c r="V550"/>
    </row>
    <row r="551" spans="1:22" x14ac:dyDescent="0.3">
      <c r="A551" s="105">
        <v>550</v>
      </c>
      <c r="B551" s="41">
        <v>12000000</v>
      </c>
      <c r="C551" s="41">
        <v>2.8999999999999998E-3</v>
      </c>
      <c r="D551" s="41">
        <v>16</v>
      </c>
      <c r="E551" s="41">
        <v>30</v>
      </c>
      <c r="F551" s="41">
        <v>0</v>
      </c>
      <c r="G551" s="41" t="s">
        <v>104</v>
      </c>
      <c r="H551" s="41">
        <v>1</v>
      </c>
      <c r="I551" s="41">
        <v>1</v>
      </c>
      <c r="J551" s="108">
        <f>POWER(POWER(Table2[[#This Row],[mv]],4)*0.02,0.25)</f>
        <v>1.0905748969950537E-3</v>
      </c>
      <c r="K551" s="41">
        <v>0</v>
      </c>
      <c r="L551" s="41">
        <v>55</v>
      </c>
      <c r="M551" s="41">
        <v>-1</v>
      </c>
      <c r="N551" s="41">
        <v>4</v>
      </c>
      <c r="O551" s="110" t="s">
        <v>1014</v>
      </c>
      <c r="P551" s="109">
        <v>192200</v>
      </c>
      <c r="Q551" s="107"/>
      <c r="R551" s="111"/>
      <c r="S551" s="110" t="s">
        <v>1189</v>
      </c>
      <c r="T551"/>
      <c r="U551"/>
      <c r="V551"/>
    </row>
    <row r="552" spans="1:22" x14ac:dyDescent="0.3">
      <c r="A552" s="105">
        <v>551</v>
      </c>
      <c r="B552" s="41">
        <v>12000000</v>
      </c>
      <c r="C552" s="41">
        <v>2.8999999999999998E-3</v>
      </c>
      <c r="D552" s="41">
        <v>17.4481</v>
      </c>
      <c r="E552" s="41">
        <v>30</v>
      </c>
      <c r="F552" s="41">
        <v>0</v>
      </c>
      <c r="G552" s="41" t="s">
        <v>104</v>
      </c>
      <c r="H552" s="41">
        <v>1</v>
      </c>
      <c r="I552" s="41">
        <v>1</v>
      </c>
      <c r="J552" s="108">
        <f>POWER(POWER(Table2[[#This Row],[mv]],4)*0.02,0.25)</f>
        <v>1.0905748969950537E-3</v>
      </c>
      <c r="K552" s="41">
        <v>0</v>
      </c>
      <c r="L552" s="41">
        <v>55</v>
      </c>
      <c r="M552" s="41">
        <v>-1</v>
      </c>
      <c r="N552" s="41">
        <v>4</v>
      </c>
      <c r="O552" s="110" t="s">
        <v>1015</v>
      </c>
      <c r="P552" s="109">
        <v>192200</v>
      </c>
      <c r="Q552" s="107"/>
      <c r="R552" s="111"/>
      <c r="S552" s="110" t="s">
        <v>1189</v>
      </c>
      <c r="T552"/>
      <c r="U552"/>
      <c r="V552"/>
    </row>
    <row r="553" spans="1:22" x14ac:dyDescent="0.3">
      <c r="A553" s="105">
        <v>552</v>
      </c>
      <c r="B553" s="41">
        <v>12000000</v>
      </c>
      <c r="C553" s="41">
        <v>2.8999999999999998E-3</v>
      </c>
      <c r="D553" s="41">
        <v>19.0273</v>
      </c>
      <c r="E553" s="41">
        <v>30</v>
      </c>
      <c r="F553" s="41">
        <v>0</v>
      </c>
      <c r="G553" s="41" t="s">
        <v>104</v>
      </c>
      <c r="H553" s="41">
        <v>1</v>
      </c>
      <c r="I553" s="41">
        <v>1</v>
      </c>
      <c r="J553" s="108">
        <f>POWER(POWER(Table2[[#This Row],[mv]],4)*0.02,0.25)</f>
        <v>1.0905748969950537E-3</v>
      </c>
      <c r="K553" s="41">
        <v>0</v>
      </c>
      <c r="L553" s="41">
        <v>55</v>
      </c>
      <c r="M553" s="41">
        <v>-1</v>
      </c>
      <c r="N553" s="41">
        <v>4</v>
      </c>
      <c r="O553" s="110" t="s">
        <v>1016</v>
      </c>
      <c r="P553" s="109">
        <v>192200</v>
      </c>
      <c r="Q553" s="107"/>
      <c r="R553" s="111"/>
      <c r="S553" s="110" t="s">
        <v>1189</v>
      </c>
      <c r="T553"/>
      <c r="U553"/>
      <c r="V553"/>
    </row>
    <row r="554" spans="1:22" x14ac:dyDescent="0.3">
      <c r="A554" s="105">
        <v>553</v>
      </c>
      <c r="B554" s="41">
        <v>12000000</v>
      </c>
      <c r="C554" s="41">
        <v>3.2000000000000002E-3</v>
      </c>
      <c r="D554" s="41">
        <v>3.3635999999999999</v>
      </c>
      <c r="E554" s="41">
        <v>30</v>
      </c>
      <c r="F554" s="41">
        <v>0</v>
      </c>
      <c r="G554" s="41" t="s">
        <v>104</v>
      </c>
      <c r="H554" s="41">
        <v>1</v>
      </c>
      <c r="I554" s="41">
        <v>1</v>
      </c>
      <c r="J554" s="108">
        <f>POWER(POWER(Table2[[#This Row],[mv]],4)*0.02,0.25)</f>
        <v>1.2033929897876463E-3</v>
      </c>
      <c r="K554" s="41">
        <v>0</v>
      </c>
      <c r="L554" s="41">
        <v>55</v>
      </c>
      <c r="M554" s="41">
        <v>-1</v>
      </c>
      <c r="N554" s="41">
        <v>4</v>
      </c>
      <c r="O554" s="110" t="s">
        <v>1017</v>
      </c>
      <c r="P554" s="109">
        <v>192200</v>
      </c>
      <c r="Q554" s="107"/>
      <c r="R554" s="111"/>
      <c r="S554" s="110" t="s">
        <v>1189</v>
      </c>
      <c r="T554"/>
      <c r="U554"/>
      <c r="V554"/>
    </row>
    <row r="555" spans="1:22" x14ac:dyDescent="0.3">
      <c r="A555" s="105">
        <v>554</v>
      </c>
      <c r="B555" s="41">
        <v>12000000</v>
      </c>
      <c r="C555" s="41">
        <v>3.2000000000000002E-3</v>
      </c>
      <c r="D555" s="41">
        <v>3.6680000000000001</v>
      </c>
      <c r="E555" s="41">
        <v>30</v>
      </c>
      <c r="F555" s="41">
        <v>0</v>
      </c>
      <c r="G555" s="41" t="s">
        <v>104</v>
      </c>
      <c r="H555" s="41">
        <v>1</v>
      </c>
      <c r="I555" s="41">
        <v>1</v>
      </c>
      <c r="J555" s="108">
        <f>POWER(POWER(Table2[[#This Row],[mv]],4)*0.02,0.25)</f>
        <v>1.2033929897876463E-3</v>
      </c>
      <c r="K555" s="41">
        <v>0</v>
      </c>
      <c r="L555" s="41">
        <v>55</v>
      </c>
      <c r="M555" s="41">
        <v>-1</v>
      </c>
      <c r="N555" s="41">
        <v>4</v>
      </c>
      <c r="O555" s="110" t="s">
        <v>1018</v>
      </c>
      <c r="P555" s="109">
        <v>192200</v>
      </c>
      <c r="Q555" s="107"/>
      <c r="R555" s="111"/>
      <c r="S555" s="110" t="s">
        <v>1189</v>
      </c>
      <c r="T555"/>
      <c r="U555"/>
      <c r="V555"/>
    </row>
    <row r="556" spans="1:22" x14ac:dyDescent="0.3">
      <c r="A556" s="105">
        <v>555</v>
      </c>
      <c r="B556" s="41">
        <v>12000000</v>
      </c>
      <c r="C556" s="41">
        <v>3.2000000000000002E-3</v>
      </c>
      <c r="D556" s="41">
        <v>4</v>
      </c>
      <c r="E556" s="41">
        <v>30</v>
      </c>
      <c r="F556" s="41">
        <v>0</v>
      </c>
      <c r="G556" s="41" t="s">
        <v>104</v>
      </c>
      <c r="H556" s="41">
        <v>1</v>
      </c>
      <c r="I556" s="41">
        <v>1</v>
      </c>
      <c r="J556" s="108">
        <f>POWER(POWER(Table2[[#This Row],[mv]],4)*0.02,0.25)</f>
        <v>1.2033929897876463E-3</v>
      </c>
      <c r="K556" s="41">
        <v>0</v>
      </c>
      <c r="L556" s="41">
        <v>55</v>
      </c>
      <c r="M556" s="41">
        <v>-1</v>
      </c>
      <c r="N556" s="41">
        <v>4</v>
      </c>
      <c r="O556" s="110" t="s">
        <v>1019</v>
      </c>
      <c r="P556" s="109">
        <v>192200</v>
      </c>
      <c r="Q556" s="107"/>
      <c r="R556" s="111"/>
      <c r="S556" s="110" t="s">
        <v>1189</v>
      </c>
      <c r="T556"/>
      <c r="U556"/>
      <c r="V556"/>
    </row>
    <row r="557" spans="1:22" x14ac:dyDescent="0.3">
      <c r="A557" s="105">
        <v>556</v>
      </c>
      <c r="B557" s="41">
        <v>12000000</v>
      </c>
      <c r="C557" s="41">
        <v>3.2000000000000002E-3</v>
      </c>
      <c r="D557" s="41">
        <v>4.3620000000000001</v>
      </c>
      <c r="E557" s="41">
        <v>30</v>
      </c>
      <c r="F557" s="41">
        <v>0</v>
      </c>
      <c r="G557" s="41" t="s">
        <v>104</v>
      </c>
      <c r="H557" s="41">
        <v>1</v>
      </c>
      <c r="I557" s="41">
        <v>1</v>
      </c>
      <c r="J557" s="108">
        <f>POWER(POWER(Table2[[#This Row],[mv]],4)*0.02,0.25)</f>
        <v>1.2033929897876463E-3</v>
      </c>
      <c r="K557" s="41">
        <v>0</v>
      </c>
      <c r="L557" s="41">
        <v>55</v>
      </c>
      <c r="M557" s="41">
        <v>-1</v>
      </c>
      <c r="N557" s="41">
        <v>4</v>
      </c>
      <c r="O557" s="110" t="s">
        <v>1020</v>
      </c>
      <c r="P557" s="109">
        <v>192200</v>
      </c>
      <c r="Q557" s="107"/>
      <c r="R557" s="111"/>
      <c r="S557" s="110" t="s">
        <v>1189</v>
      </c>
      <c r="T557"/>
      <c r="U557"/>
      <c r="V557"/>
    </row>
    <row r="558" spans="1:22" x14ac:dyDescent="0.3">
      <c r="A558" s="105">
        <v>557</v>
      </c>
      <c r="B558" s="41">
        <v>12000000</v>
      </c>
      <c r="C558" s="41">
        <v>3.2000000000000002E-3</v>
      </c>
      <c r="D558" s="41">
        <v>4.7568000000000001</v>
      </c>
      <c r="E558" s="41">
        <v>30</v>
      </c>
      <c r="F558" s="41">
        <v>0</v>
      </c>
      <c r="G558" s="41" t="s">
        <v>104</v>
      </c>
      <c r="H558" s="41">
        <v>1</v>
      </c>
      <c r="I558" s="41">
        <v>1</v>
      </c>
      <c r="J558" s="108">
        <f>POWER(POWER(Table2[[#This Row],[mv]],4)*0.02,0.25)</f>
        <v>1.2033929897876463E-3</v>
      </c>
      <c r="K558" s="41">
        <v>0</v>
      </c>
      <c r="L558" s="41">
        <v>55</v>
      </c>
      <c r="M558" s="41">
        <v>-1</v>
      </c>
      <c r="N558" s="41">
        <v>4</v>
      </c>
      <c r="O558" s="110" t="s">
        <v>1021</v>
      </c>
      <c r="P558" s="109">
        <v>192200</v>
      </c>
      <c r="Q558" s="107"/>
      <c r="R558" s="111"/>
      <c r="S558" s="110" t="s">
        <v>1189</v>
      </c>
      <c r="T558"/>
      <c r="U558"/>
      <c r="V558"/>
    </row>
    <row r="559" spans="1:22" x14ac:dyDescent="0.3">
      <c r="A559" s="105">
        <v>558</v>
      </c>
      <c r="B559" s="41">
        <v>12000000</v>
      </c>
      <c r="C559" s="41">
        <v>3.2000000000000002E-3</v>
      </c>
      <c r="D559" s="41">
        <v>5.1874000000000002</v>
      </c>
      <c r="E559" s="41">
        <v>30</v>
      </c>
      <c r="F559" s="41">
        <v>0</v>
      </c>
      <c r="G559" s="41" t="s">
        <v>104</v>
      </c>
      <c r="H559" s="41">
        <v>1</v>
      </c>
      <c r="I559" s="41">
        <v>1</v>
      </c>
      <c r="J559" s="108">
        <f>POWER(POWER(Table2[[#This Row],[mv]],4)*0.02,0.25)</f>
        <v>1.2033929897876463E-3</v>
      </c>
      <c r="K559" s="41">
        <v>0</v>
      </c>
      <c r="L559" s="41">
        <v>55</v>
      </c>
      <c r="M559" s="41">
        <v>-1</v>
      </c>
      <c r="N559" s="41">
        <v>4</v>
      </c>
      <c r="O559" s="110" t="s">
        <v>1022</v>
      </c>
      <c r="P559" s="109">
        <v>192200</v>
      </c>
      <c r="Q559" s="107"/>
      <c r="R559" s="111"/>
      <c r="S559" s="110" t="s">
        <v>1189</v>
      </c>
      <c r="T559"/>
      <c r="U559"/>
      <c r="V559"/>
    </row>
    <row r="560" spans="1:22" x14ac:dyDescent="0.3">
      <c r="A560" s="105">
        <v>559</v>
      </c>
      <c r="B560" s="41">
        <v>12000000</v>
      </c>
      <c r="C560" s="41">
        <v>3.2000000000000002E-3</v>
      </c>
      <c r="D560" s="41">
        <v>5.6569000000000003</v>
      </c>
      <c r="E560" s="41">
        <v>30</v>
      </c>
      <c r="F560" s="41">
        <v>0</v>
      </c>
      <c r="G560" s="41" t="s">
        <v>104</v>
      </c>
      <c r="H560" s="41">
        <v>1</v>
      </c>
      <c r="I560" s="41">
        <v>1</v>
      </c>
      <c r="J560" s="108">
        <f>POWER(POWER(Table2[[#This Row],[mv]],4)*0.02,0.25)</f>
        <v>1.2033929897876463E-3</v>
      </c>
      <c r="K560" s="41">
        <v>0</v>
      </c>
      <c r="L560" s="41">
        <v>55</v>
      </c>
      <c r="M560" s="41">
        <v>-1</v>
      </c>
      <c r="N560" s="41">
        <v>4</v>
      </c>
      <c r="O560" s="110" t="s">
        <v>1023</v>
      </c>
      <c r="P560" s="109">
        <v>192200</v>
      </c>
      <c r="Q560" s="107"/>
      <c r="R560" s="111"/>
      <c r="S560" s="110" t="s">
        <v>1189</v>
      </c>
      <c r="T560"/>
      <c r="U560"/>
      <c r="V560"/>
    </row>
    <row r="561" spans="1:22" x14ac:dyDescent="0.3">
      <c r="A561" s="105">
        <v>560</v>
      </c>
      <c r="B561" s="41">
        <v>12000000</v>
      </c>
      <c r="C561" s="41">
        <v>3.2000000000000002E-3</v>
      </c>
      <c r="D561" s="41">
        <v>6.1688000000000001</v>
      </c>
      <c r="E561" s="41">
        <v>30</v>
      </c>
      <c r="F561" s="41">
        <v>0</v>
      </c>
      <c r="G561" s="41" t="s">
        <v>104</v>
      </c>
      <c r="H561" s="41">
        <v>1</v>
      </c>
      <c r="I561" s="41">
        <v>1</v>
      </c>
      <c r="J561" s="108">
        <f>POWER(POWER(Table2[[#This Row],[mv]],4)*0.02,0.25)</f>
        <v>1.2033929897876463E-3</v>
      </c>
      <c r="K561" s="41">
        <v>0</v>
      </c>
      <c r="L561" s="41">
        <v>55</v>
      </c>
      <c r="M561" s="41">
        <v>-1</v>
      </c>
      <c r="N561" s="41">
        <v>4</v>
      </c>
      <c r="O561" s="110" t="s">
        <v>1024</v>
      </c>
      <c r="P561" s="109">
        <v>192200</v>
      </c>
      <c r="Q561" s="107"/>
      <c r="R561" s="111"/>
      <c r="S561" s="110" t="s">
        <v>1189</v>
      </c>
      <c r="T561"/>
      <c r="U561"/>
      <c r="V561"/>
    </row>
    <row r="562" spans="1:22" x14ac:dyDescent="0.3">
      <c r="A562" s="105">
        <v>561</v>
      </c>
      <c r="B562" s="41">
        <v>12000000</v>
      </c>
      <c r="C562" s="41">
        <v>3.2000000000000002E-3</v>
      </c>
      <c r="D562" s="41">
        <v>6.7271999999999998</v>
      </c>
      <c r="E562" s="41">
        <v>30</v>
      </c>
      <c r="F562" s="41">
        <v>0</v>
      </c>
      <c r="G562" s="41" t="s">
        <v>104</v>
      </c>
      <c r="H562" s="41">
        <v>1</v>
      </c>
      <c r="I562" s="41">
        <v>1</v>
      </c>
      <c r="J562" s="108">
        <f>POWER(POWER(Table2[[#This Row],[mv]],4)*0.02,0.25)</f>
        <v>1.2033929897876463E-3</v>
      </c>
      <c r="K562" s="41">
        <v>0</v>
      </c>
      <c r="L562" s="41">
        <v>55</v>
      </c>
      <c r="M562" s="41">
        <v>-1</v>
      </c>
      <c r="N562" s="41">
        <v>4</v>
      </c>
      <c r="O562" s="110" t="s">
        <v>1025</v>
      </c>
      <c r="P562" s="109">
        <v>192200</v>
      </c>
      <c r="Q562" s="107"/>
      <c r="R562" s="111"/>
      <c r="S562" s="110" t="s">
        <v>1189</v>
      </c>
      <c r="T562"/>
      <c r="U562"/>
      <c r="V562"/>
    </row>
    <row r="563" spans="1:22" x14ac:dyDescent="0.3">
      <c r="A563" s="105">
        <v>562</v>
      </c>
      <c r="B563" s="41">
        <v>12000000</v>
      </c>
      <c r="C563" s="41">
        <v>3.2000000000000002E-3</v>
      </c>
      <c r="D563" s="41">
        <v>7.3360000000000003</v>
      </c>
      <c r="E563" s="41">
        <v>30</v>
      </c>
      <c r="F563" s="41">
        <v>0</v>
      </c>
      <c r="G563" s="41" t="s">
        <v>104</v>
      </c>
      <c r="H563" s="41">
        <v>1</v>
      </c>
      <c r="I563" s="41">
        <v>1</v>
      </c>
      <c r="J563" s="108">
        <f>POWER(POWER(Table2[[#This Row],[mv]],4)*0.02,0.25)</f>
        <v>1.2033929897876463E-3</v>
      </c>
      <c r="K563" s="41">
        <v>0</v>
      </c>
      <c r="L563" s="41">
        <v>55</v>
      </c>
      <c r="M563" s="41">
        <v>-1</v>
      </c>
      <c r="N563" s="41">
        <v>4</v>
      </c>
      <c r="O563" s="110" t="s">
        <v>1026</v>
      </c>
      <c r="P563" s="109">
        <v>192200</v>
      </c>
      <c r="Q563" s="107"/>
      <c r="R563" s="111"/>
      <c r="S563" s="110" t="s">
        <v>1189</v>
      </c>
      <c r="T563"/>
      <c r="U563"/>
      <c r="V563"/>
    </row>
    <row r="564" spans="1:22" x14ac:dyDescent="0.3">
      <c r="A564" s="105">
        <v>563</v>
      </c>
      <c r="B564" s="41">
        <v>12000000</v>
      </c>
      <c r="C564" s="41">
        <v>3.2000000000000002E-3</v>
      </c>
      <c r="D564" s="41">
        <v>8</v>
      </c>
      <c r="E564" s="41">
        <v>30</v>
      </c>
      <c r="F564" s="41">
        <v>0</v>
      </c>
      <c r="G564" s="41" t="s">
        <v>104</v>
      </c>
      <c r="H564" s="41">
        <v>1</v>
      </c>
      <c r="I564" s="41">
        <v>1</v>
      </c>
      <c r="J564" s="108">
        <f>POWER(POWER(Table2[[#This Row],[mv]],4)*0.02,0.25)</f>
        <v>1.2033929897876463E-3</v>
      </c>
      <c r="K564" s="41">
        <v>0</v>
      </c>
      <c r="L564" s="41">
        <v>55</v>
      </c>
      <c r="M564" s="41">
        <v>-1</v>
      </c>
      <c r="N564" s="41">
        <v>4</v>
      </c>
      <c r="O564" s="110" t="s">
        <v>1027</v>
      </c>
      <c r="P564" s="109">
        <v>192200</v>
      </c>
      <c r="Q564" s="107"/>
      <c r="R564" s="111"/>
      <c r="S564" s="110" t="s">
        <v>1189</v>
      </c>
      <c r="T564"/>
      <c r="U564"/>
      <c r="V564"/>
    </row>
    <row r="565" spans="1:22" x14ac:dyDescent="0.3">
      <c r="A565" s="105">
        <v>564</v>
      </c>
      <c r="B565" s="41">
        <v>12000000</v>
      </c>
      <c r="C565" s="41">
        <v>3.2000000000000002E-3</v>
      </c>
      <c r="D565" s="41">
        <v>8.7241</v>
      </c>
      <c r="E565" s="41">
        <v>30</v>
      </c>
      <c r="F565" s="41">
        <v>0</v>
      </c>
      <c r="G565" s="41" t="s">
        <v>104</v>
      </c>
      <c r="H565" s="41">
        <v>1</v>
      </c>
      <c r="I565" s="41">
        <v>1</v>
      </c>
      <c r="J565" s="108">
        <f>POWER(POWER(Table2[[#This Row],[mv]],4)*0.02,0.25)</f>
        <v>1.2033929897876463E-3</v>
      </c>
      <c r="K565" s="41">
        <v>0</v>
      </c>
      <c r="L565" s="41">
        <v>55</v>
      </c>
      <c r="M565" s="41">
        <v>-1</v>
      </c>
      <c r="N565" s="41">
        <v>4</v>
      </c>
      <c r="O565" s="110" t="s">
        <v>1028</v>
      </c>
      <c r="P565" s="109">
        <v>192200</v>
      </c>
      <c r="Q565" s="107"/>
      <c r="R565" s="111"/>
      <c r="S565" s="110" t="s">
        <v>1189</v>
      </c>
      <c r="T565"/>
      <c r="U565"/>
      <c r="V565"/>
    </row>
    <row r="566" spans="1:22" x14ac:dyDescent="0.3">
      <c r="A566" s="105">
        <v>565</v>
      </c>
      <c r="B566" s="41">
        <v>12000000</v>
      </c>
      <c r="C566" s="41">
        <v>3.2000000000000002E-3</v>
      </c>
      <c r="D566" s="41">
        <v>9.5137</v>
      </c>
      <c r="E566" s="41">
        <v>30</v>
      </c>
      <c r="F566" s="41">
        <v>0</v>
      </c>
      <c r="G566" s="41" t="s">
        <v>104</v>
      </c>
      <c r="H566" s="41">
        <v>1</v>
      </c>
      <c r="I566" s="41">
        <v>1</v>
      </c>
      <c r="J566" s="108">
        <f>POWER(POWER(Table2[[#This Row],[mv]],4)*0.02,0.25)</f>
        <v>1.2033929897876463E-3</v>
      </c>
      <c r="K566" s="41">
        <v>0</v>
      </c>
      <c r="L566" s="41">
        <v>55</v>
      </c>
      <c r="M566" s="41">
        <v>-1</v>
      </c>
      <c r="N566" s="41">
        <v>4</v>
      </c>
      <c r="O566" s="110" t="s">
        <v>1029</v>
      </c>
      <c r="P566" s="109">
        <v>192200</v>
      </c>
      <c r="Q566" s="107"/>
      <c r="R566" s="111"/>
      <c r="S566" s="110" t="s">
        <v>1189</v>
      </c>
      <c r="T566"/>
      <c r="U566"/>
      <c r="V566"/>
    </row>
    <row r="567" spans="1:22" x14ac:dyDescent="0.3">
      <c r="A567" s="105">
        <v>566</v>
      </c>
      <c r="B567" s="41">
        <v>12000000</v>
      </c>
      <c r="C567" s="41">
        <v>3.2000000000000002E-3</v>
      </c>
      <c r="D567" s="41">
        <v>10.374700000000001</v>
      </c>
      <c r="E567" s="41">
        <v>30</v>
      </c>
      <c r="F567" s="41">
        <v>0</v>
      </c>
      <c r="G567" s="41" t="s">
        <v>104</v>
      </c>
      <c r="H567" s="41">
        <v>1</v>
      </c>
      <c r="I567" s="41">
        <v>1</v>
      </c>
      <c r="J567" s="108">
        <f>POWER(POWER(Table2[[#This Row],[mv]],4)*0.02,0.25)</f>
        <v>1.2033929897876463E-3</v>
      </c>
      <c r="K567" s="41">
        <v>0</v>
      </c>
      <c r="L567" s="41">
        <v>55</v>
      </c>
      <c r="M567" s="41">
        <v>-1</v>
      </c>
      <c r="N567" s="41">
        <v>4</v>
      </c>
      <c r="O567" s="110" t="s">
        <v>1030</v>
      </c>
      <c r="P567" s="109">
        <v>192200</v>
      </c>
      <c r="Q567" s="107"/>
      <c r="R567" s="111"/>
      <c r="S567" s="110" t="s">
        <v>1189</v>
      </c>
      <c r="T567"/>
      <c r="U567"/>
      <c r="V567"/>
    </row>
    <row r="568" spans="1:22" x14ac:dyDescent="0.3">
      <c r="A568" s="105">
        <v>567</v>
      </c>
      <c r="B568" s="41">
        <v>12000000</v>
      </c>
      <c r="C568" s="41">
        <v>3.2000000000000002E-3</v>
      </c>
      <c r="D568" s="41">
        <v>11.313700000000001</v>
      </c>
      <c r="E568" s="41">
        <v>30</v>
      </c>
      <c r="F568" s="41">
        <v>0</v>
      </c>
      <c r="G568" s="41" t="s">
        <v>104</v>
      </c>
      <c r="H568" s="41">
        <v>1</v>
      </c>
      <c r="I568" s="41">
        <v>1</v>
      </c>
      <c r="J568" s="108">
        <f>POWER(POWER(Table2[[#This Row],[mv]],4)*0.02,0.25)</f>
        <v>1.2033929897876463E-3</v>
      </c>
      <c r="K568" s="41">
        <v>0</v>
      </c>
      <c r="L568" s="41">
        <v>55</v>
      </c>
      <c r="M568" s="41">
        <v>-1</v>
      </c>
      <c r="N568" s="41">
        <v>4</v>
      </c>
      <c r="O568" s="110" t="s">
        <v>1031</v>
      </c>
      <c r="P568" s="109">
        <v>192200</v>
      </c>
      <c r="Q568" s="107"/>
      <c r="R568" s="111"/>
      <c r="S568" s="110" t="s">
        <v>1189</v>
      </c>
      <c r="T568"/>
      <c r="U568"/>
      <c r="V568"/>
    </row>
    <row r="569" spans="1:22" x14ac:dyDescent="0.3">
      <c r="A569" s="105">
        <v>568</v>
      </c>
      <c r="B569" s="41">
        <v>12000000</v>
      </c>
      <c r="C569" s="41">
        <v>3.2000000000000002E-3</v>
      </c>
      <c r="D569" s="41">
        <v>12.3377</v>
      </c>
      <c r="E569" s="41">
        <v>30</v>
      </c>
      <c r="F569" s="41">
        <v>0</v>
      </c>
      <c r="G569" s="41" t="s">
        <v>104</v>
      </c>
      <c r="H569" s="41">
        <v>1</v>
      </c>
      <c r="I569" s="41">
        <v>1</v>
      </c>
      <c r="J569" s="108">
        <f>POWER(POWER(Table2[[#This Row],[mv]],4)*0.02,0.25)</f>
        <v>1.2033929897876463E-3</v>
      </c>
      <c r="K569" s="41">
        <v>0</v>
      </c>
      <c r="L569" s="41">
        <v>55</v>
      </c>
      <c r="M569" s="41">
        <v>-1</v>
      </c>
      <c r="N569" s="41">
        <v>4</v>
      </c>
      <c r="O569" s="110" t="s">
        <v>1032</v>
      </c>
      <c r="P569" s="109">
        <v>192200</v>
      </c>
      <c r="Q569" s="107"/>
      <c r="R569" s="111"/>
      <c r="S569" s="110" t="s">
        <v>1189</v>
      </c>
      <c r="T569"/>
      <c r="U569"/>
      <c r="V569"/>
    </row>
    <row r="570" spans="1:22" x14ac:dyDescent="0.3">
      <c r="A570" s="105">
        <v>569</v>
      </c>
      <c r="B570" s="41">
        <v>12000000</v>
      </c>
      <c r="C570" s="41">
        <v>3.2000000000000002E-3</v>
      </c>
      <c r="D570" s="41">
        <v>13.4543</v>
      </c>
      <c r="E570" s="41">
        <v>30</v>
      </c>
      <c r="F570" s="41">
        <v>0</v>
      </c>
      <c r="G570" s="41" t="s">
        <v>104</v>
      </c>
      <c r="H570" s="41">
        <v>1</v>
      </c>
      <c r="I570" s="41">
        <v>1</v>
      </c>
      <c r="J570" s="108">
        <f>POWER(POWER(Table2[[#This Row],[mv]],4)*0.02,0.25)</f>
        <v>1.2033929897876463E-3</v>
      </c>
      <c r="K570" s="41">
        <v>0</v>
      </c>
      <c r="L570" s="41">
        <v>55</v>
      </c>
      <c r="M570" s="41">
        <v>-1</v>
      </c>
      <c r="N570" s="41">
        <v>4</v>
      </c>
      <c r="O570" s="110" t="s">
        <v>1033</v>
      </c>
      <c r="P570" s="109">
        <v>192200</v>
      </c>
      <c r="Q570" s="107"/>
      <c r="R570" s="111"/>
      <c r="S570" s="110" t="s">
        <v>1189</v>
      </c>
      <c r="T570"/>
      <c r="U570"/>
      <c r="V570"/>
    </row>
    <row r="571" spans="1:22" x14ac:dyDescent="0.3">
      <c r="A571" s="105">
        <v>570</v>
      </c>
      <c r="B571" s="41">
        <v>12000000</v>
      </c>
      <c r="C571" s="41">
        <v>3.2000000000000002E-3</v>
      </c>
      <c r="D571" s="41">
        <v>14.6721</v>
      </c>
      <c r="E571" s="41">
        <v>30</v>
      </c>
      <c r="F571" s="41">
        <v>0</v>
      </c>
      <c r="G571" s="41" t="s">
        <v>104</v>
      </c>
      <c r="H571" s="41">
        <v>1</v>
      </c>
      <c r="I571" s="41">
        <v>1</v>
      </c>
      <c r="J571" s="108">
        <f>POWER(POWER(Table2[[#This Row],[mv]],4)*0.02,0.25)</f>
        <v>1.2033929897876463E-3</v>
      </c>
      <c r="K571" s="41">
        <v>0</v>
      </c>
      <c r="L571" s="41">
        <v>55</v>
      </c>
      <c r="M571" s="41">
        <v>-1</v>
      </c>
      <c r="N571" s="41">
        <v>4</v>
      </c>
      <c r="O571" s="110" t="s">
        <v>1034</v>
      </c>
      <c r="P571" s="109">
        <v>192200</v>
      </c>
      <c r="Q571" s="107"/>
      <c r="R571" s="111"/>
      <c r="S571" s="110" t="s">
        <v>1189</v>
      </c>
      <c r="T571"/>
      <c r="U571"/>
      <c r="V571"/>
    </row>
    <row r="572" spans="1:22" x14ac:dyDescent="0.3">
      <c r="A572" s="105">
        <v>571</v>
      </c>
      <c r="B572" s="41">
        <v>12000000</v>
      </c>
      <c r="C572" s="41">
        <v>3.2000000000000002E-3</v>
      </c>
      <c r="D572" s="41">
        <v>16</v>
      </c>
      <c r="E572" s="41">
        <v>30</v>
      </c>
      <c r="F572" s="41">
        <v>0</v>
      </c>
      <c r="G572" s="41" t="s">
        <v>104</v>
      </c>
      <c r="H572" s="41">
        <v>1</v>
      </c>
      <c r="I572" s="41">
        <v>1</v>
      </c>
      <c r="J572" s="108">
        <f>POWER(POWER(Table2[[#This Row],[mv]],4)*0.02,0.25)</f>
        <v>1.2033929897876463E-3</v>
      </c>
      <c r="K572" s="41">
        <v>0</v>
      </c>
      <c r="L572" s="41">
        <v>55</v>
      </c>
      <c r="M572" s="41">
        <v>-1</v>
      </c>
      <c r="N572" s="41">
        <v>4</v>
      </c>
      <c r="O572" s="110" t="s">
        <v>1035</v>
      </c>
      <c r="P572" s="109">
        <v>192200</v>
      </c>
      <c r="Q572" s="107"/>
      <c r="R572" s="111"/>
      <c r="S572" s="110" t="s">
        <v>1189</v>
      </c>
      <c r="T572"/>
      <c r="U572"/>
      <c r="V572"/>
    </row>
    <row r="573" spans="1:22" x14ac:dyDescent="0.3">
      <c r="A573" s="105">
        <v>572</v>
      </c>
      <c r="B573" s="41">
        <v>12000000</v>
      </c>
      <c r="C573" s="41">
        <v>3.2000000000000002E-3</v>
      </c>
      <c r="D573" s="41">
        <v>17.4481</v>
      </c>
      <c r="E573" s="41">
        <v>30</v>
      </c>
      <c r="F573" s="41">
        <v>0</v>
      </c>
      <c r="G573" s="41" t="s">
        <v>104</v>
      </c>
      <c r="H573" s="41">
        <v>1</v>
      </c>
      <c r="I573" s="41">
        <v>1</v>
      </c>
      <c r="J573" s="108">
        <f>POWER(POWER(Table2[[#This Row],[mv]],4)*0.02,0.25)</f>
        <v>1.2033929897876463E-3</v>
      </c>
      <c r="K573" s="41">
        <v>0</v>
      </c>
      <c r="L573" s="41">
        <v>55</v>
      </c>
      <c r="M573" s="41">
        <v>-1</v>
      </c>
      <c r="N573" s="41">
        <v>4</v>
      </c>
      <c r="O573" s="110" t="s">
        <v>1036</v>
      </c>
      <c r="P573" s="109">
        <v>192200</v>
      </c>
      <c r="Q573" s="107"/>
      <c r="R573" s="111"/>
      <c r="S573" s="110" t="s">
        <v>1189</v>
      </c>
      <c r="T573"/>
      <c r="U573"/>
      <c r="V573"/>
    </row>
    <row r="574" spans="1:22" x14ac:dyDescent="0.3">
      <c r="A574" s="105">
        <v>573</v>
      </c>
      <c r="B574" s="41">
        <v>12000000</v>
      </c>
      <c r="C574" s="41">
        <v>3.2000000000000002E-3</v>
      </c>
      <c r="D574" s="41">
        <v>19.0273</v>
      </c>
      <c r="E574" s="41">
        <v>30</v>
      </c>
      <c r="F574" s="41">
        <v>0</v>
      </c>
      <c r="G574" s="41" t="s">
        <v>104</v>
      </c>
      <c r="H574" s="41">
        <v>1</v>
      </c>
      <c r="I574" s="41">
        <v>1</v>
      </c>
      <c r="J574" s="108">
        <f>POWER(POWER(Table2[[#This Row],[mv]],4)*0.02,0.25)</f>
        <v>1.2033929897876463E-3</v>
      </c>
      <c r="K574" s="41">
        <v>0</v>
      </c>
      <c r="L574" s="41">
        <v>55</v>
      </c>
      <c r="M574" s="41">
        <v>-1</v>
      </c>
      <c r="N574" s="41">
        <v>4</v>
      </c>
      <c r="O574" s="110" t="s">
        <v>1037</v>
      </c>
      <c r="P574" s="109">
        <v>192200</v>
      </c>
      <c r="Q574" s="107"/>
      <c r="R574" s="111"/>
      <c r="S574" s="110" t="s">
        <v>1189</v>
      </c>
      <c r="T574"/>
      <c r="U574"/>
      <c r="V574"/>
    </row>
    <row r="575" spans="1:22" x14ac:dyDescent="0.3">
      <c r="A575" s="105">
        <v>574</v>
      </c>
      <c r="B575" s="41">
        <v>12000000</v>
      </c>
      <c r="C575" s="41">
        <v>3.5000000000000001E-3</v>
      </c>
      <c r="D575" s="41">
        <v>4</v>
      </c>
      <c r="E575" s="41">
        <v>30</v>
      </c>
      <c r="F575" s="41">
        <v>0</v>
      </c>
      <c r="G575" s="41" t="s">
        <v>104</v>
      </c>
      <c r="H575" s="41">
        <v>1</v>
      </c>
      <c r="I575" s="41">
        <v>1</v>
      </c>
      <c r="J575" s="108">
        <f>POWER(POWER(Table2[[#This Row],[mv]],4)*0.02,0.25)</f>
        <v>1.3162110825802381E-3</v>
      </c>
      <c r="K575" s="41">
        <v>0</v>
      </c>
      <c r="L575" s="41">
        <v>55</v>
      </c>
      <c r="M575" s="41">
        <v>-1</v>
      </c>
      <c r="N575" s="41">
        <v>4</v>
      </c>
      <c r="O575" s="110" t="s">
        <v>1038</v>
      </c>
      <c r="P575" s="109">
        <v>192200</v>
      </c>
      <c r="Q575" s="107"/>
      <c r="R575" s="111"/>
      <c r="S575" s="110" t="s">
        <v>1189</v>
      </c>
      <c r="T575"/>
      <c r="U575"/>
      <c r="V575"/>
    </row>
    <row r="576" spans="1:22" x14ac:dyDescent="0.3">
      <c r="A576" s="105">
        <v>575</v>
      </c>
      <c r="B576" s="41">
        <v>12000000</v>
      </c>
      <c r="C576" s="41">
        <v>3.5000000000000001E-3</v>
      </c>
      <c r="D576" s="41">
        <v>4.3620000000000001</v>
      </c>
      <c r="E576" s="41">
        <v>30</v>
      </c>
      <c r="F576" s="41">
        <v>0</v>
      </c>
      <c r="G576" s="41" t="s">
        <v>104</v>
      </c>
      <c r="H576" s="41">
        <v>1</v>
      </c>
      <c r="I576" s="41">
        <v>1</v>
      </c>
      <c r="J576" s="108">
        <f>POWER(POWER(Table2[[#This Row],[mv]],4)*0.02,0.25)</f>
        <v>1.3162110825802381E-3</v>
      </c>
      <c r="K576" s="41">
        <v>0</v>
      </c>
      <c r="L576" s="41">
        <v>55</v>
      </c>
      <c r="M576" s="41">
        <v>-1</v>
      </c>
      <c r="N576" s="41">
        <v>4</v>
      </c>
      <c r="O576" s="110" t="s">
        <v>1039</v>
      </c>
      <c r="P576" s="109">
        <v>192200</v>
      </c>
      <c r="Q576" s="107"/>
      <c r="R576" s="111"/>
      <c r="S576" s="110" t="s">
        <v>1189</v>
      </c>
      <c r="T576"/>
      <c r="U576"/>
      <c r="V576"/>
    </row>
    <row r="577" spans="1:22" x14ac:dyDescent="0.3">
      <c r="A577" s="105">
        <v>576</v>
      </c>
      <c r="B577" s="41">
        <v>12000000</v>
      </c>
      <c r="C577" s="41">
        <v>3.5000000000000001E-3</v>
      </c>
      <c r="D577" s="41">
        <v>4.7568000000000001</v>
      </c>
      <c r="E577" s="41">
        <v>30</v>
      </c>
      <c r="F577" s="41">
        <v>0</v>
      </c>
      <c r="G577" s="41" t="s">
        <v>104</v>
      </c>
      <c r="H577" s="41">
        <v>1</v>
      </c>
      <c r="I577" s="41">
        <v>1</v>
      </c>
      <c r="J577" s="108">
        <f>POWER(POWER(Table2[[#This Row],[mv]],4)*0.02,0.25)</f>
        <v>1.3162110825802381E-3</v>
      </c>
      <c r="K577" s="41">
        <v>0</v>
      </c>
      <c r="L577" s="41">
        <v>55</v>
      </c>
      <c r="M577" s="41">
        <v>-1</v>
      </c>
      <c r="N577" s="41">
        <v>4</v>
      </c>
      <c r="O577" s="110" t="s">
        <v>1040</v>
      </c>
      <c r="P577" s="109">
        <v>192200</v>
      </c>
      <c r="Q577" s="107"/>
      <c r="R577" s="111"/>
      <c r="S577" s="110" t="s">
        <v>1189</v>
      </c>
      <c r="T577"/>
      <c r="U577"/>
      <c r="V577"/>
    </row>
    <row r="578" spans="1:22" x14ac:dyDescent="0.3">
      <c r="A578" s="105">
        <v>577</v>
      </c>
      <c r="B578" s="41">
        <v>12000000</v>
      </c>
      <c r="C578" s="41">
        <v>3.5000000000000001E-3</v>
      </c>
      <c r="D578" s="41">
        <v>5.1874000000000002</v>
      </c>
      <c r="E578" s="41">
        <v>30</v>
      </c>
      <c r="F578" s="41">
        <v>0</v>
      </c>
      <c r="G578" s="41" t="s">
        <v>104</v>
      </c>
      <c r="H578" s="41">
        <v>1</v>
      </c>
      <c r="I578" s="41">
        <v>1</v>
      </c>
      <c r="J578" s="108">
        <f>POWER(POWER(Table2[[#This Row],[mv]],4)*0.02,0.25)</f>
        <v>1.3162110825802381E-3</v>
      </c>
      <c r="K578" s="41">
        <v>0</v>
      </c>
      <c r="L578" s="41">
        <v>55</v>
      </c>
      <c r="M578" s="41">
        <v>-1</v>
      </c>
      <c r="N578" s="41">
        <v>4</v>
      </c>
      <c r="O578" s="110" t="s">
        <v>1041</v>
      </c>
      <c r="P578" s="109">
        <v>192200</v>
      </c>
      <c r="Q578" s="107"/>
      <c r="R578" s="111"/>
      <c r="S578" s="110" t="s">
        <v>1189</v>
      </c>
      <c r="T578"/>
      <c r="U578"/>
      <c r="V578"/>
    </row>
    <row r="579" spans="1:22" x14ac:dyDescent="0.3">
      <c r="A579" s="105">
        <v>578</v>
      </c>
      <c r="B579" s="41">
        <v>12000000</v>
      </c>
      <c r="C579" s="41">
        <v>3.5000000000000001E-3</v>
      </c>
      <c r="D579" s="41">
        <v>5.6569000000000003</v>
      </c>
      <c r="E579" s="41">
        <v>30</v>
      </c>
      <c r="F579" s="41">
        <v>0</v>
      </c>
      <c r="G579" s="41" t="s">
        <v>104</v>
      </c>
      <c r="H579" s="41">
        <v>1</v>
      </c>
      <c r="I579" s="41">
        <v>1</v>
      </c>
      <c r="J579" s="108">
        <f>POWER(POWER(Table2[[#This Row],[mv]],4)*0.02,0.25)</f>
        <v>1.3162110825802381E-3</v>
      </c>
      <c r="K579" s="41">
        <v>0</v>
      </c>
      <c r="L579" s="41">
        <v>55</v>
      </c>
      <c r="M579" s="41">
        <v>-1</v>
      </c>
      <c r="N579" s="41">
        <v>4</v>
      </c>
      <c r="O579" s="110" t="s">
        <v>1042</v>
      </c>
      <c r="P579" s="109">
        <v>192200</v>
      </c>
      <c r="Q579" s="107"/>
      <c r="R579" s="111"/>
      <c r="S579" s="110" t="s">
        <v>1189</v>
      </c>
      <c r="T579"/>
      <c r="U579"/>
      <c r="V579"/>
    </row>
    <row r="580" spans="1:22" x14ac:dyDescent="0.3">
      <c r="A580" s="105">
        <v>579</v>
      </c>
      <c r="B580" s="41">
        <v>12000000</v>
      </c>
      <c r="C580" s="41">
        <v>3.5000000000000001E-3</v>
      </c>
      <c r="D580" s="41">
        <v>6.1688000000000001</v>
      </c>
      <c r="E580" s="41">
        <v>30</v>
      </c>
      <c r="F580" s="41">
        <v>0</v>
      </c>
      <c r="G580" s="41" t="s">
        <v>104</v>
      </c>
      <c r="H580" s="41">
        <v>1</v>
      </c>
      <c r="I580" s="41">
        <v>1</v>
      </c>
      <c r="J580" s="108">
        <f>POWER(POWER(Table2[[#This Row],[mv]],4)*0.02,0.25)</f>
        <v>1.3162110825802381E-3</v>
      </c>
      <c r="K580" s="41">
        <v>0</v>
      </c>
      <c r="L580" s="41">
        <v>55</v>
      </c>
      <c r="M580" s="41">
        <v>-1</v>
      </c>
      <c r="N580" s="41">
        <v>4</v>
      </c>
      <c r="O580" s="110" t="s">
        <v>1043</v>
      </c>
      <c r="P580" s="109">
        <v>192200</v>
      </c>
      <c r="Q580" s="107"/>
      <c r="R580" s="111"/>
      <c r="S580" s="110" t="s">
        <v>1189</v>
      </c>
      <c r="T580"/>
      <c r="U580"/>
      <c r="V580"/>
    </row>
    <row r="581" spans="1:22" x14ac:dyDescent="0.3">
      <c r="A581" s="105">
        <v>580</v>
      </c>
      <c r="B581" s="41">
        <v>12000000</v>
      </c>
      <c r="C581" s="41">
        <v>3.5000000000000001E-3</v>
      </c>
      <c r="D581" s="41">
        <v>6.7271999999999998</v>
      </c>
      <c r="E581" s="41">
        <v>30</v>
      </c>
      <c r="F581" s="41">
        <v>0</v>
      </c>
      <c r="G581" s="41" t="s">
        <v>104</v>
      </c>
      <c r="H581" s="41">
        <v>1</v>
      </c>
      <c r="I581" s="41">
        <v>1</v>
      </c>
      <c r="J581" s="108">
        <f>POWER(POWER(Table2[[#This Row],[mv]],4)*0.02,0.25)</f>
        <v>1.3162110825802381E-3</v>
      </c>
      <c r="K581" s="41">
        <v>0</v>
      </c>
      <c r="L581" s="41">
        <v>55</v>
      </c>
      <c r="M581" s="41">
        <v>-1</v>
      </c>
      <c r="N581" s="41">
        <v>4</v>
      </c>
      <c r="O581" s="110" t="s">
        <v>1044</v>
      </c>
      <c r="P581" s="109">
        <v>192205</v>
      </c>
      <c r="Q581" s="107"/>
      <c r="R581" s="111"/>
      <c r="S581" s="110" t="s">
        <v>1189</v>
      </c>
      <c r="T581"/>
      <c r="U581"/>
      <c r="V581"/>
    </row>
    <row r="582" spans="1:22" x14ac:dyDescent="0.3">
      <c r="A582" s="105">
        <v>581</v>
      </c>
      <c r="B582" s="41">
        <v>12000000</v>
      </c>
      <c r="C582" s="41">
        <v>3.5000000000000001E-3</v>
      </c>
      <c r="D582" s="41">
        <v>7.3360000000000003</v>
      </c>
      <c r="E582" s="41">
        <v>30</v>
      </c>
      <c r="F582" s="41">
        <v>0</v>
      </c>
      <c r="G582" s="41" t="s">
        <v>104</v>
      </c>
      <c r="H582" s="41">
        <v>1</v>
      </c>
      <c r="I582" s="41">
        <v>1</v>
      </c>
      <c r="J582" s="108">
        <f>POWER(POWER(Table2[[#This Row],[mv]],4)*0.02,0.25)</f>
        <v>1.3162110825802381E-3</v>
      </c>
      <c r="K582" s="41">
        <v>0</v>
      </c>
      <c r="L582" s="41">
        <v>55</v>
      </c>
      <c r="M582" s="41">
        <v>-1</v>
      </c>
      <c r="N582" s="41">
        <v>4</v>
      </c>
      <c r="O582" s="110" t="s">
        <v>1045</v>
      </c>
      <c r="P582" s="109">
        <v>192205</v>
      </c>
      <c r="Q582" s="107"/>
      <c r="R582" s="111"/>
      <c r="S582" s="110" t="s">
        <v>1189</v>
      </c>
      <c r="T582"/>
      <c r="U582"/>
      <c r="V582"/>
    </row>
    <row r="583" spans="1:22" x14ac:dyDescent="0.3">
      <c r="A583" s="105">
        <v>582</v>
      </c>
      <c r="B583" s="41">
        <v>12000000</v>
      </c>
      <c r="C583" s="41">
        <v>3.5000000000000001E-3</v>
      </c>
      <c r="D583" s="41">
        <v>8</v>
      </c>
      <c r="E583" s="41">
        <v>30</v>
      </c>
      <c r="F583" s="41">
        <v>0</v>
      </c>
      <c r="G583" s="41" t="s">
        <v>104</v>
      </c>
      <c r="H583" s="41">
        <v>1</v>
      </c>
      <c r="I583" s="41">
        <v>1</v>
      </c>
      <c r="J583" s="108">
        <f>POWER(POWER(Table2[[#This Row],[mv]],4)*0.02,0.25)</f>
        <v>1.3162110825802381E-3</v>
      </c>
      <c r="K583" s="41">
        <v>0</v>
      </c>
      <c r="L583" s="41">
        <v>55</v>
      </c>
      <c r="M583" s="41">
        <v>-1</v>
      </c>
      <c r="N583" s="41">
        <v>4</v>
      </c>
      <c r="O583" s="110" t="s">
        <v>1046</v>
      </c>
      <c r="P583" s="109">
        <v>192205</v>
      </c>
      <c r="Q583" s="107"/>
      <c r="R583" s="111"/>
      <c r="S583" s="110" t="s">
        <v>1189</v>
      </c>
      <c r="T583"/>
      <c r="U583"/>
      <c r="V583"/>
    </row>
    <row r="584" spans="1:22" x14ac:dyDescent="0.3">
      <c r="A584" s="105">
        <v>583</v>
      </c>
      <c r="B584" s="41">
        <v>12000000</v>
      </c>
      <c r="C584" s="41">
        <v>3.5000000000000001E-3</v>
      </c>
      <c r="D584" s="41">
        <v>8.7241</v>
      </c>
      <c r="E584" s="41">
        <v>30</v>
      </c>
      <c r="F584" s="41">
        <v>0</v>
      </c>
      <c r="G584" s="41" t="s">
        <v>104</v>
      </c>
      <c r="H584" s="41">
        <v>1</v>
      </c>
      <c r="I584" s="41">
        <v>1</v>
      </c>
      <c r="J584" s="108">
        <f>POWER(POWER(Table2[[#This Row],[mv]],4)*0.02,0.25)</f>
        <v>1.3162110825802381E-3</v>
      </c>
      <c r="K584" s="41">
        <v>0</v>
      </c>
      <c r="L584" s="41">
        <v>55</v>
      </c>
      <c r="M584" s="41">
        <v>-1</v>
      </c>
      <c r="N584" s="41">
        <v>4</v>
      </c>
      <c r="O584" s="110" t="s">
        <v>1047</v>
      </c>
      <c r="P584" s="109">
        <v>192205</v>
      </c>
      <c r="Q584" s="107"/>
      <c r="R584" s="111"/>
      <c r="S584" s="110" t="s">
        <v>1189</v>
      </c>
      <c r="T584"/>
      <c r="U584"/>
      <c r="V584"/>
    </row>
    <row r="585" spans="1:22" x14ac:dyDescent="0.3">
      <c r="A585" s="105">
        <v>584</v>
      </c>
      <c r="B585" s="41">
        <v>12000000</v>
      </c>
      <c r="C585" s="41">
        <v>3.5000000000000001E-3</v>
      </c>
      <c r="D585" s="41">
        <v>9.5137</v>
      </c>
      <c r="E585" s="41">
        <v>30</v>
      </c>
      <c r="F585" s="41">
        <v>0</v>
      </c>
      <c r="G585" s="41" t="s">
        <v>104</v>
      </c>
      <c r="H585" s="41">
        <v>1</v>
      </c>
      <c r="I585" s="41">
        <v>1</v>
      </c>
      <c r="J585" s="108">
        <f>POWER(POWER(Table2[[#This Row],[mv]],4)*0.02,0.25)</f>
        <v>1.3162110825802381E-3</v>
      </c>
      <c r="K585" s="41">
        <v>0</v>
      </c>
      <c r="L585" s="41">
        <v>55</v>
      </c>
      <c r="M585" s="41">
        <v>-1</v>
      </c>
      <c r="N585" s="41">
        <v>4</v>
      </c>
      <c r="O585" s="110" t="s">
        <v>1048</v>
      </c>
      <c r="P585" s="109">
        <v>192205</v>
      </c>
      <c r="Q585" s="107"/>
      <c r="R585" s="111"/>
      <c r="S585" s="110" t="s">
        <v>1189</v>
      </c>
      <c r="T585"/>
      <c r="U585"/>
      <c r="V585"/>
    </row>
    <row r="586" spans="1:22" x14ac:dyDescent="0.3">
      <c r="A586" s="105">
        <v>585</v>
      </c>
      <c r="B586" s="41">
        <v>12000000</v>
      </c>
      <c r="C586" s="41">
        <v>3.5000000000000001E-3</v>
      </c>
      <c r="D586" s="41">
        <v>10.374700000000001</v>
      </c>
      <c r="E586" s="41">
        <v>30</v>
      </c>
      <c r="F586" s="41">
        <v>0</v>
      </c>
      <c r="G586" s="41" t="s">
        <v>104</v>
      </c>
      <c r="H586" s="41">
        <v>1</v>
      </c>
      <c r="I586" s="41">
        <v>1</v>
      </c>
      <c r="J586" s="108">
        <f>POWER(POWER(Table2[[#This Row],[mv]],4)*0.02,0.25)</f>
        <v>1.3162110825802381E-3</v>
      </c>
      <c r="K586" s="41">
        <v>0</v>
      </c>
      <c r="L586" s="41">
        <v>55</v>
      </c>
      <c r="M586" s="41">
        <v>-1</v>
      </c>
      <c r="N586" s="41">
        <v>4</v>
      </c>
      <c r="O586" s="110" t="s">
        <v>1049</v>
      </c>
      <c r="P586" s="109">
        <v>192205</v>
      </c>
      <c r="Q586" s="107"/>
      <c r="R586" s="111"/>
      <c r="S586" s="110" t="s">
        <v>1189</v>
      </c>
      <c r="T586"/>
      <c r="U586"/>
      <c r="V586"/>
    </row>
    <row r="587" spans="1:22" x14ac:dyDescent="0.3">
      <c r="A587" s="105">
        <v>586</v>
      </c>
      <c r="B587" s="41">
        <v>12000000</v>
      </c>
      <c r="C587" s="41">
        <v>3.5000000000000001E-3</v>
      </c>
      <c r="D587" s="41">
        <v>11.313700000000001</v>
      </c>
      <c r="E587" s="41">
        <v>30</v>
      </c>
      <c r="F587" s="41">
        <v>0</v>
      </c>
      <c r="G587" s="41" t="s">
        <v>104</v>
      </c>
      <c r="H587" s="41">
        <v>1</v>
      </c>
      <c r="I587" s="41">
        <v>1</v>
      </c>
      <c r="J587" s="108">
        <f>POWER(POWER(Table2[[#This Row],[mv]],4)*0.02,0.25)</f>
        <v>1.3162110825802381E-3</v>
      </c>
      <c r="K587" s="41">
        <v>0</v>
      </c>
      <c r="L587" s="41">
        <v>55</v>
      </c>
      <c r="M587" s="41">
        <v>-1</v>
      </c>
      <c r="N587" s="41">
        <v>4</v>
      </c>
      <c r="O587" s="110" t="s">
        <v>1050</v>
      </c>
      <c r="P587" s="109">
        <v>192205</v>
      </c>
      <c r="Q587" s="107"/>
      <c r="R587" s="111"/>
      <c r="S587" s="110" t="s">
        <v>1189</v>
      </c>
      <c r="T587"/>
      <c r="U587"/>
      <c r="V587"/>
    </row>
    <row r="588" spans="1:22" x14ac:dyDescent="0.3">
      <c r="A588" s="105">
        <v>587</v>
      </c>
      <c r="B588" s="41">
        <v>12000000</v>
      </c>
      <c r="C588" s="41">
        <v>3.5000000000000001E-3</v>
      </c>
      <c r="D588" s="41">
        <v>12.3377</v>
      </c>
      <c r="E588" s="41">
        <v>30</v>
      </c>
      <c r="F588" s="41">
        <v>0</v>
      </c>
      <c r="G588" s="41" t="s">
        <v>104</v>
      </c>
      <c r="H588" s="41">
        <v>1</v>
      </c>
      <c r="I588" s="41">
        <v>1</v>
      </c>
      <c r="J588" s="108">
        <f>POWER(POWER(Table2[[#This Row],[mv]],4)*0.02,0.25)</f>
        <v>1.3162110825802381E-3</v>
      </c>
      <c r="K588" s="41">
        <v>0</v>
      </c>
      <c r="L588" s="41">
        <v>55</v>
      </c>
      <c r="M588" s="41">
        <v>-1</v>
      </c>
      <c r="N588" s="41">
        <v>4</v>
      </c>
      <c r="O588" s="110" t="s">
        <v>1051</v>
      </c>
      <c r="P588" s="109">
        <v>192205</v>
      </c>
      <c r="Q588" s="107"/>
      <c r="R588" s="111"/>
      <c r="S588" s="110" t="s">
        <v>1189</v>
      </c>
      <c r="T588"/>
      <c r="U588"/>
      <c r="V588"/>
    </row>
    <row r="589" spans="1:22" x14ac:dyDescent="0.3">
      <c r="A589" s="105">
        <v>588</v>
      </c>
      <c r="B589" s="41">
        <v>12000000</v>
      </c>
      <c r="C589" s="41">
        <v>3.5000000000000001E-3</v>
      </c>
      <c r="D589" s="41">
        <v>13.4543</v>
      </c>
      <c r="E589" s="41">
        <v>30</v>
      </c>
      <c r="F589" s="41">
        <v>0</v>
      </c>
      <c r="G589" s="41" t="s">
        <v>104</v>
      </c>
      <c r="H589" s="41">
        <v>1</v>
      </c>
      <c r="I589" s="41">
        <v>1</v>
      </c>
      <c r="J589" s="108">
        <f>POWER(POWER(Table2[[#This Row],[mv]],4)*0.02,0.25)</f>
        <v>1.3162110825802381E-3</v>
      </c>
      <c r="K589" s="41">
        <v>0</v>
      </c>
      <c r="L589" s="41">
        <v>55</v>
      </c>
      <c r="M589" s="41">
        <v>-1</v>
      </c>
      <c r="N589" s="41">
        <v>4</v>
      </c>
      <c r="O589" s="110" t="s">
        <v>1052</v>
      </c>
      <c r="P589" s="109">
        <v>192205</v>
      </c>
      <c r="Q589" s="107"/>
      <c r="R589" s="111"/>
      <c r="S589" s="110" t="s">
        <v>1189</v>
      </c>
      <c r="T589"/>
      <c r="U589"/>
      <c r="V589"/>
    </row>
    <row r="590" spans="1:22" x14ac:dyDescent="0.3">
      <c r="A590" s="105">
        <v>589</v>
      </c>
      <c r="B590" s="41">
        <v>12000000</v>
      </c>
      <c r="C590" s="41">
        <v>3.5000000000000001E-3</v>
      </c>
      <c r="D590" s="41">
        <v>14.6721</v>
      </c>
      <c r="E590" s="41">
        <v>30</v>
      </c>
      <c r="F590" s="41">
        <v>0</v>
      </c>
      <c r="G590" s="41" t="s">
        <v>104</v>
      </c>
      <c r="H590" s="41">
        <v>1</v>
      </c>
      <c r="I590" s="41">
        <v>1</v>
      </c>
      <c r="J590" s="108">
        <f>POWER(POWER(Table2[[#This Row],[mv]],4)*0.02,0.25)</f>
        <v>1.3162110825802381E-3</v>
      </c>
      <c r="K590" s="41">
        <v>0</v>
      </c>
      <c r="L590" s="41">
        <v>55</v>
      </c>
      <c r="M590" s="41">
        <v>-1</v>
      </c>
      <c r="N590" s="41">
        <v>4</v>
      </c>
      <c r="O590" s="110" t="s">
        <v>1053</v>
      </c>
      <c r="P590" s="109">
        <v>192205</v>
      </c>
      <c r="Q590" s="107"/>
      <c r="R590" s="111"/>
      <c r="S590" s="110" t="s">
        <v>1189</v>
      </c>
      <c r="T590"/>
      <c r="U590"/>
      <c r="V590"/>
    </row>
    <row r="591" spans="1:22" x14ac:dyDescent="0.3">
      <c r="A591" s="105">
        <v>590</v>
      </c>
      <c r="B591" s="41">
        <v>12000000</v>
      </c>
      <c r="C591" s="41">
        <v>3.5000000000000001E-3</v>
      </c>
      <c r="D591" s="41">
        <v>16</v>
      </c>
      <c r="E591" s="41">
        <v>30</v>
      </c>
      <c r="F591" s="41">
        <v>0</v>
      </c>
      <c r="G591" s="41" t="s">
        <v>104</v>
      </c>
      <c r="H591" s="41">
        <v>1</v>
      </c>
      <c r="I591" s="41">
        <v>1</v>
      </c>
      <c r="J591" s="108">
        <f>POWER(POWER(Table2[[#This Row],[mv]],4)*0.02,0.25)</f>
        <v>1.3162110825802381E-3</v>
      </c>
      <c r="K591" s="41">
        <v>0</v>
      </c>
      <c r="L591" s="41">
        <v>55</v>
      </c>
      <c r="M591" s="41">
        <v>-1</v>
      </c>
      <c r="N591" s="41">
        <v>4</v>
      </c>
      <c r="O591" s="110" t="s">
        <v>1054</v>
      </c>
      <c r="P591" s="109">
        <v>192205</v>
      </c>
      <c r="Q591" s="107"/>
      <c r="R591" s="111"/>
      <c r="S591" s="110" t="s">
        <v>1189</v>
      </c>
      <c r="T591"/>
      <c r="U591"/>
      <c r="V591"/>
    </row>
    <row r="592" spans="1:22" x14ac:dyDescent="0.3">
      <c r="A592" s="105">
        <v>591</v>
      </c>
      <c r="B592" s="41">
        <v>12000000</v>
      </c>
      <c r="C592" s="41">
        <v>3.5000000000000001E-3</v>
      </c>
      <c r="D592" s="41">
        <v>17.4481</v>
      </c>
      <c r="E592" s="41">
        <v>30</v>
      </c>
      <c r="F592" s="41">
        <v>0</v>
      </c>
      <c r="G592" s="41" t="s">
        <v>104</v>
      </c>
      <c r="H592" s="41">
        <v>1</v>
      </c>
      <c r="I592" s="41">
        <v>1</v>
      </c>
      <c r="J592" s="108">
        <f>POWER(POWER(Table2[[#This Row],[mv]],4)*0.02,0.25)</f>
        <v>1.3162110825802381E-3</v>
      </c>
      <c r="K592" s="41">
        <v>0</v>
      </c>
      <c r="L592" s="41">
        <v>55</v>
      </c>
      <c r="M592" s="41">
        <v>-1</v>
      </c>
      <c r="N592" s="41">
        <v>4</v>
      </c>
      <c r="O592" s="110" t="s">
        <v>1055</v>
      </c>
      <c r="P592" s="109">
        <v>192205</v>
      </c>
      <c r="Q592" s="107"/>
      <c r="R592" s="111"/>
      <c r="S592" s="110" t="s">
        <v>1189</v>
      </c>
      <c r="T592"/>
      <c r="U592"/>
      <c r="V592"/>
    </row>
    <row r="593" spans="1:22" x14ac:dyDescent="0.3">
      <c r="A593" s="105">
        <v>592</v>
      </c>
      <c r="B593" s="41">
        <v>12000000</v>
      </c>
      <c r="C593" s="41">
        <v>3.5000000000000001E-3</v>
      </c>
      <c r="D593" s="41">
        <v>19.0273</v>
      </c>
      <c r="E593" s="41">
        <v>30</v>
      </c>
      <c r="F593" s="41">
        <v>0</v>
      </c>
      <c r="G593" s="41" t="s">
        <v>104</v>
      </c>
      <c r="H593" s="41">
        <v>1</v>
      </c>
      <c r="I593" s="41">
        <v>1</v>
      </c>
      <c r="J593" s="108">
        <f>POWER(POWER(Table2[[#This Row],[mv]],4)*0.02,0.25)</f>
        <v>1.3162110825802381E-3</v>
      </c>
      <c r="K593" s="41">
        <v>0</v>
      </c>
      <c r="L593" s="41">
        <v>55</v>
      </c>
      <c r="M593" s="41">
        <v>-1</v>
      </c>
      <c r="N593" s="41">
        <v>4</v>
      </c>
      <c r="O593" s="110" t="s">
        <v>1056</v>
      </c>
      <c r="P593" s="109">
        <v>192205</v>
      </c>
      <c r="Q593" s="107"/>
      <c r="R593" s="111"/>
      <c r="S593" s="110" t="s">
        <v>1189</v>
      </c>
      <c r="T593"/>
      <c r="U593"/>
      <c r="V593"/>
    </row>
    <row r="594" spans="1:22" x14ac:dyDescent="0.3">
      <c r="A594" s="105">
        <v>593</v>
      </c>
      <c r="B594" s="41">
        <v>12000000</v>
      </c>
      <c r="C594" s="41">
        <v>3.8E-3</v>
      </c>
      <c r="D594" s="41">
        <v>4.7568000000000001</v>
      </c>
      <c r="E594" s="41">
        <v>30</v>
      </c>
      <c r="F594" s="41">
        <v>0</v>
      </c>
      <c r="G594" s="41" t="s">
        <v>104</v>
      </c>
      <c r="H594" s="41">
        <v>1</v>
      </c>
      <c r="I594" s="41">
        <v>1</v>
      </c>
      <c r="J594" s="108">
        <f>POWER(POWER(Table2[[#This Row],[mv]],4)*0.02,0.25)</f>
        <v>1.4290291753728294E-3</v>
      </c>
      <c r="K594" s="41">
        <v>0</v>
      </c>
      <c r="L594" s="41">
        <v>55</v>
      </c>
      <c r="M594" s="41">
        <v>-1</v>
      </c>
      <c r="N594" s="41">
        <v>4</v>
      </c>
      <c r="O594" s="110" t="s">
        <v>1057</v>
      </c>
      <c r="P594" s="109">
        <v>192205</v>
      </c>
      <c r="Q594" s="107"/>
      <c r="R594" s="111"/>
      <c r="S594" s="110" t="s">
        <v>1189</v>
      </c>
      <c r="T594"/>
      <c r="U594"/>
      <c r="V594"/>
    </row>
    <row r="595" spans="1:22" x14ac:dyDescent="0.3">
      <c r="A595" s="105">
        <v>594</v>
      </c>
      <c r="B595" s="41">
        <v>12000000</v>
      </c>
      <c r="C595" s="41">
        <v>3.8E-3</v>
      </c>
      <c r="D595" s="41">
        <v>5.1874000000000002</v>
      </c>
      <c r="E595" s="41">
        <v>30</v>
      </c>
      <c r="F595" s="41">
        <v>0</v>
      </c>
      <c r="G595" s="41" t="s">
        <v>104</v>
      </c>
      <c r="H595" s="41">
        <v>1</v>
      </c>
      <c r="I595" s="41">
        <v>1</v>
      </c>
      <c r="J595" s="108">
        <f>POWER(POWER(Table2[[#This Row],[mv]],4)*0.02,0.25)</f>
        <v>1.4290291753728294E-3</v>
      </c>
      <c r="K595" s="41">
        <v>0</v>
      </c>
      <c r="L595" s="41">
        <v>55</v>
      </c>
      <c r="M595" s="41">
        <v>-1</v>
      </c>
      <c r="N595" s="41">
        <v>4</v>
      </c>
      <c r="O595" s="110" t="s">
        <v>1058</v>
      </c>
      <c r="P595" s="109">
        <v>192205</v>
      </c>
      <c r="Q595" s="107"/>
      <c r="R595" s="111"/>
      <c r="S595" s="110" t="s">
        <v>1189</v>
      </c>
      <c r="T595"/>
      <c r="U595"/>
      <c r="V595"/>
    </row>
    <row r="596" spans="1:22" x14ac:dyDescent="0.3">
      <c r="A596" s="105">
        <v>595</v>
      </c>
      <c r="B596" s="41">
        <v>12000000</v>
      </c>
      <c r="C596" s="41">
        <v>3.8E-3</v>
      </c>
      <c r="D596" s="41">
        <v>5.6569000000000003</v>
      </c>
      <c r="E596" s="41">
        <v>30</v>
      </c>
      <c r="F596" s="41">
        <v>0</v>
      </c>
      <c r="G596" s="41" t="s">
        <v>104</v>
      </c>
      <c r="H596" s="41">
        <v>1</v>
      </c>
      <c r="I596" s="41">
        <v>1</v>
      </c>
      <c r="J596" s="108">
        <f>POWER(POWER(Table2[[#This Row],[mv]],4)*0.02,0.25)</f>
        <v>1.4290291753728294E-3</v>
      </c>
      <c r="K596" s="41">
        <v>0</v>
      </c>
      <c r="L596" s="41">
        <v>55</v>
      </c>
      <c r="M596" s="41">
        <v>-1</v>
      </c>
      <c r="N596" s="41">
        <v>4</v>
      </c>
      <c r="O596" s="110" t="s">
        <v>1059</v>
      </c>
      <c r="P596" s="109">
        <v>192205</v>
      </c>
      <c r="Q596" s="107"/>
      <c r="R596" s="111"/>
      <c r="S596" s="110" t="s">
        <v>1189</v>
      </c>
      <c r="T596"/>
      <c r="U596"/>
      <c r="V596"/>
    </row>
    <row r="597" spans="1:22" x14ac:dyDescent="0.3">
      <c r="A597" s="105">
        <v>596</v>
      </c>
      <c r="B597" s="41">
        <v>12000000</v>
      </c>
      <c r="C597" s="41">
        <v>3.8E-3</v>
      </c>
      <c r="D597" s="41">
        <v>6.1688000000000001</v>
      </c>
      <c r="E597" s="41">
        <v>30</v>
      </c>
      <c r="F597" s="41">
        <v>0</v>
      </c>
      <c r="G597" s="41" t="s">
        <v>104</v>
      </c>
      <c r="H597" s="41">
        <v>1</v>
      </c>
      <c r="I597" s="41">
        <v>1</v>
      </c>
      <c r="J597" s="108">
        <f>POWER(POWER(Table2[[#This Row],[mv]],4)*0.02,0.25)</f>
        <v>1.4290291753728294E-3</v>
      </c>
      <c r="K597" s="41">
        <v>0</v>
      </c>
      <c r="L597" s="41">
        <v>55</v>
      </c>
      <c r="M597" s="41">
        <v>-1</v>
      </c>
      <c r="N597" s="41">
        <v>4</v>
      </c>
      <c r="O597" s="110" t="s">
        <v>1060</v>
      </c>
      <c r="P597" s="109">
        <v>192205</v>
      </c>
      <c r="Q597" s="107"/>
      <c r="R597" s="111"/>
      <c r="S597" s="110" t="s">
        <v>1189</v>
      </c>
      <c r="T597"/>
      <c r="U597"/>
      <c r="V597"/>
    </row>
    <row r="598" spans="1:22" x14ac:dyDescent="0.3">
      <c r="A598" s="105">
        <v>597</v>
      </c>
      <c r="B598" s="41">
        <v>12000000</v>
      </c>
      <c r="C598" s="41">
        <v>3.8E-3</v>
      </c>
      <c r="D598" s="41">
        <v>6.7271999999999998</v>
      </c>
      <c r="E598" s="41">
        <v>30</v>
      </c>
      <c r="F598" s="41">
        <v>0</v>
      </c>
      <c r="G598" s="41" t="s">
        <v>104</v>
      </c>
      <c r="H598" s="41">
        <v>1</v>
      </c>
      <c r="I598" s="41">
        <v>1</v>
      </c>
      <c r="J598" s="108">
        <f>POWER(POWER(Table2[[#This Row],[mv]],4)*0.02,0.25)</f>
        <v>1.4290291753728294E-3</v>
      </c>
      <c r="K598" s="41">
        <v>0</v>
      </c>
      <c r="L598" s="41">
        <v>55</v>
      </c>
      <c r="M598" s="41">
        <v>-1</v>
      </c>
      <c r="N598" s="41">
        <v>4</v>
      </c>
      <c r="O598" s="110" t="s">
        <v>1061</v>
      </c>
      <c r="P598" s="109">
        <v>192205</v>
      </c>
      <c r="Q598" s="107"/>
      <c r="R598" s="111"/>
      <c r="S598" s="110" t="s">
        <v>1189</v>
      </c>
      <c r="T598"/>
      <c r="U598"/>
      <c r="V598"/>
    </row>
    <row r="599" spans="1:22" x14ac:dyDescent="0.3">
      <c r="A599" s="105">
        <v>598</v>
      </c>
      <c r="B599" s="41">
        <v>12000000</v>
      </c>
      <c r="C599" s="41">
        <v>3.8E-3</v>
      </c>
      <c r="D599" s="41">
        <v>7.3360000000000003</v>
      </c>
      <c r="E599" s="41">
        <v>30</v>
      </c>
      <c r="F599" s="41">
        <v>0</v>
      </c>
      <c r="G599" s="41" t="s">
        <v>104</v>
      </c>
      <c r="H599" s="41">
        <v>1</v>
      </c>
      <c r="I599" s="41">
        <v>1</v>
      </c>
      <c r="J599" s="108">
        <f>POWER(POWER(Table2[[#This Row],[mv]],4)*0.02,0.25)</f>
        <v>1.4290291753728294E-3</v>
      </c>
      <c r="K599" s="41">
        <v>0</v>
      </c>
      <c r="L599" s="41">
        <v>55</v>
      </c>
      <c r="M599" s="41">
        <v>-1</v>
      </c>
      <c r="N599" s="41">
        <v>4</v>
      </c>
      <c r="O599" s="110" t="s">
        <v>1062</v>
      </c>
      <c r="P599" s="109">
        <v>192205</v>
      </c>
      <c r="Q599" s="107"/>
      <c r="R599" s="111"/>
      <c r="S599" s="110" t="s">
        <v>1189</v>
      </c>
      <c r="T599"/>
      <c r="U599"/>
      <c r="V599"/>
    </row>
    <row r="600" spans="1:22" x14ac:dyDescent="0.3">
      <c r="A600" s="105">
        <v>599</v>
      </c>
      <c r="B600" s="41">
        <v>12000000</v>
      </c>
      <c r="C600" s="41">
        <v>3.8E-3</v>
      </c>
      <c r="D600" s="41">
        <v>8</v>
      </c>
      <c r="E600" s="41">
        <v>30</v>
      </c>
      <c r="F600" s="41">
        <v>0</v>
      </c>
      <c r="G600" s="41" t="s">
        <v>104</v>
      </c>
      <c r="H600" s="41">
        <v>1</v>
      </c>
      <c r="I600" s="41">
        <v>1</v>
      </c>
      <c r="J600" s="108">
        <f>POWER(POWER(Table2[[#This Row],[mv]],4)*0.02,0.25)</f>
        <v>1.4290291753728294E-3</v>
      </c>
      <c r="K600" s="41">
        <v>0</v>
      </c>
      <c r="L600" s="41">
        <v>55</v>
      </c>
      <c r="M600" s="41">
        <v>-1</v>
      </c>
      <c r="N600" s="41">
        <v>4</v>
      </c>
      <c r="O600" s="110" t="s">
        <v>1063</v>
      </c>
      <c r="P600" s="109">
        <v>192205</v>
      </c>
      <c r="Q600" s="107"/>
      <c r="R600" s="111"/>
      <c r="S600" s="110" t="s">
        <v>1189</v>
      </c>
      <c r="T600"/>
      <c r="U600"/>
      <c r="V600"/>
    </row>
    <row r="601" spans="1:22" x14ac:dyDescent="0.3">
      <c r="A601" s="105">
        <v>600</v>
      </c>
      <c r="B601" s="41">
        <v>12000000</v>
      </c>
      <c r="C601" s="41">
        <v>3.8E-3</v>
      </c>
      <c r="D601" s="41">
        <v>8.7241</v>
      </c>
      <c r="E601" s="41">
        <v>30</v>
      </c>
      <c r="F601" s="41">
        <v>0</v>
      </c>
      <c r="G601" s="41" t="s">
        <v>104</v>
      </c>
      <c r="H601" s="41">
        <v>1</v>
      </c>
      <c r="I601" s="41">
        <v>1</v>
      </c>
      <c r="J601" s="108">
        <f>POWER(POWER(Table2[[#This Row],[mv]],4)*0.02,0.25)</f>
        <v>1.4290291753728294E-3</v>
      </c>
      <c r="K601" s="41">
        <v>0</v>
      </c>
      <c r="L601" s="41">
        <v>55</v>
      </c>
      <c r="M601" s="41">
        <v>-1</v>
      </c>
      <c r="N601" s="41">
        <v>4</v>
      </c>
      <c r="O601" s="110" t="s">
        <v>1064</v>
      </c>
      <c r="P601" s="109">
        <v>192205</v>
      </c>
      <c r="Q601" s="107"/>
      <c r="R601" s="111"/>
      <c r="S601" s="110" t="s">
        <v>1189</v>
      </c>
      <c r="T601"/>
      <c r="U601"/>
      <c r="V601"/>
    </row>
    <row r="602" spans="1:22" x14ac:dyDescent="0.3">
      <c r="A602" s="105">
        <v>601</v>
      </c>
      <c r="B602" s="41">
        <v>12000000</v>
      </c>
      <c r="C602" s="41">
        <v>3.8E-3</v>
      </c>
      <c r="D602" s="41">
        <v>9.5137</v>
      </c>
      <c r="E602" s="41">
        <v>30</v>
      </c>
      <c r="F602" s="41">
        <v>0</v>
      </c>
      <c r="G602" s="41" t="s">
        <v>104</v>
      </c>
      <c r="H602" s="41">
        <v>1</v>
      </c>
      <c r="I602" s="41">
        <v>1</v>
      </c>
      <c r="J602" s="108">
        <f>POWER(POWER(Table2[[#This Row],[mv]],4)*0.02,0.25)</f>
        <v>1.4290291753728294E-3</v>
      </c>
      <c r="K602" s="41">
        <v>0</v>
      </c>
      <c r="L602" s="41">
        <v>55</v>
      </c>
      <c r="M602" s="41">
        <v>-1</v>
      </c>
      <c r="N602" s="41">
        <v>4</v>
      </c>
      <c r="O602" s="110" t="s">
        <v>1065</v>
      </c>
      <c r="P602" s="109">
        <v>192205</v>
      </c>
      <c r="Q602" s="107"/>
      <c r="R602" s="111"/>
      <c r="S602" s="110" t="s">
        <v>1189</v>
      </c>
      <c r="T602"/>
      <c r="U602"/>
      <c r="V602"/>
    </row>
    <row r="603" spans="1:22" x14ac:dyDescent="0.3">
      <c r="A603" s="105">
        <v>602</v>
      </c>
      <c r="B603" s="41">
        <v>12000000</v>
      </c>
      <c r="C603" s="41">
        <v>3.8E-3</v>
      </c>
      <c r="D603" s="41">
        <v>10.374700000000001</v>
      </c>
      <c r="E603" s="41">
        <v>30</v>
      </c>
      <c r="F603" s="41">
        <v>0</v>
      </c>
      <c r="G603" s="41" t="s">
        <v>104</v>
      </c>
      <c r="H603" s="41">
        <v>1</v>
      </c>
      <c r="I603" s="41">
        <v>1</v>
      </c>
      <c r="J603" s="108">
        <f>POWER(POWER(Table2[[#This Row],[mv]],4)*0.02,0.25)</f>
        <v>1.4290291753728294E-3</v>
      </c>
      <c r="K603" s="41">
        <v>0</v>
      </c>
      <c r="L603" s="41">
        <v>55</v>
      </c>
      <c r="M603" s="41">
        <v>-1</v>
      </c>
      <c r="N603" s="41">
        <v>4</v>
      </c>
      <c r="O603" s="110" t="s">
        <v>1066</v>
      </c>
      <c r="P603" s="109">
        <v>192205</v>
      </c>
      <c r="Q603" s="107"/>
      <c r="R603" s="111"/>
      <c r="S603" s="110" t="s">
        <v>1189</v>
      </c>
      <c r="T603"/>
      <c r="U603"/>
      <c r="V603"/>
    </row>
    <row r="604" spans="1:22" x14ac:dyDescent="0.3">
      <c r="A604" s="105">
        <v>603</v>
      </c>
      <c r="B604" s="41">
        <v>12000000</v>
      </c>
      <c r="C604" s="41">
        <v>3.8E-3</v>
      </c>
      <c r="D604" s="41">
        <v>11.313700000000001</v>
      </c>
      <c r="E604" s="41">
        <v>30</v>
      </c>
      <c r="F604" s="41">
        <v>0</v>
      </c>
      <c r="G604" s="41" t="s">
        <v>104</v>
      </c>
      <c r="H604" s="41">
        <v>1</v>
      </c>
      <c r="I604" s="41">
        <v>1</v>
      </c>
      <c r="J604" s="108">
        <f>POWER(POWER(Table2[[#This Row],[mv]],4)*0.02,0.25)</f>
        <v>1.4290291753728294E-3</v>
      </c>
      <c r="K604" s="41">
        <v>0</v>
      </c>
      <c r="L604" s="41">
        <v>55</v>
      </c>
      <c r="M604" s="41">
        <v>-1</v>
      </c>
      <c r="N604" s="41">
        <v>4</v>
      </c>
      <c r="O604" s="110" t="s">
        <v>1067</v>
      </c>
      <c r="P604" s="109">
        <v>192205</v>
      </c>
      <c r="Q604" s="107"/>
      <c r="R604" s="111"/>
      <c r="S604" s="110" t="s">
        <v>1189</v>
      </c>
      <c r="T604"/>
      <c r="U604"/>
      <c r="V604"/>
    </row>
    <row r="605" spans="1:22" x14ac:dyDescent="0.3">
      <c r="A605" s="105">
        <v>604</v>
      </c>
      <c r="B605" s="41">
        <v>12000000</v>
      </c>
      <c r="C605" s="41">
        <v>3.8E-3</v>
      </c>
      <c r="D605" s="41">
        <v>12.3377</v>
      </c>
      <c r="E605" s="41">
        <v>30</v>
      </c>
      <c r="F605" s="41">
        <v>0</v>
      </c>
      <c r="G605" s="41" t="s">
        <v>104</v>
      </c>
      <c r="H605" s="41">
        <v>1</v>
      </c>
      <c r="I605" s="41">
        <v>1</v>
      </c>
      <c r="J605" s="108">
        <f>POWER(POWER(Table2[[#This Row],[mv]],4)*0.02,0.25)</f>
        <v>1.4290291753728294E-3</v>
      </c>
      <c r="K605" s="41">
        <v>0</v>
      </c>
      <c r="L605" s="41">
        <v>55</v>
      </c>
      <c r="M605" s="41">
        <v>-1</v>
      </c>
      <c r="N605" s="41">
        <v>4</v>
      </c>
      <c r="O605" s="110" t="s">
        <v>1068</v>
      </c>
      <c r="P605" s="109">
        <v>192205</v>
      </c>
      <c r="Q605" s="107"/>
      <c r="R605" s="111"/>
      <c r="S605" s="110" t="s">
        <v>1189</v>
      </c>
      <c r="T605"/>
      <c r="U605"/>
      <c r="V605"/>
    </row>
    <row r="606" spans="1:22" x14ac:dyDescent="0.3">
      <c r="A606" s="105">
        <v>605</v>
      </c>
      <c r="B606" s="41">
        <v>12000000</v>
      </c>
      <c r="C606" s="41">
        <v>3.8E-3</v>
      </c>
      <c r="D606" s="41">
        <v>13.4543</v>
      </c>
      <c r="E606" s="41">
        <v>30</v>
      </c>
      <c r="F606" s="41">
        <v>0</v>
      </c>
      <c r="G606" s="41" t="s">
        <v>104</v>
      </c>
      <c r="H606" s="41">
        <v>1</v>
      </c>
      <c r="I606" s="41">
        <v>1</v>
      </c>
      <c r="J606" s="108">
        <f>POWER(POWER(Table2[[#This Row],[mv]],4)*0.02,0.25)</f>
        <v>1.4290291753728294E-3</v>
      </c>
      <c r="K606" s="41">
        <v>0</v>
      </c>
      <c r="L606" s="41">
        <v>55</v>
      </c>
      <c r="M606" s="41">
        <v>-1</v>
      </c>
      <c r="N606" s="41">
        <v>4</v>
      </c>
      <c r="O606" s="110" t="s">
        <v>1069</v>
      </c>
      <c r="P606" s="109">
        <v>192205</v>
      </c>
      <c r="Q606" s="107"/>
      <c r="R606" s="111"/>
      <c r="S606" s="110" t="s">
        <v>1189</v>
      </c>
      <c r="T606"/>
      <c r="U606"/>
      <c r="V606"/>
    </row>
    <row r="607" spans="1:22" x14ac:dyDescent="0.3">
      <c r="A607" s="105">
        <v>606</v>
      </c>
      <c r="B607" s="41">
        <v>12000000</v>
      </c>
      <c r="C607" s="41">
        <v>3.8E-3</v>
      </c>
      <c r="D607" s="41">
        <v>14.6721</v>
      </c>
      <c r="E607" s="41">
        <v>30</v>
      </c>
      <c r="F607" s="41">
        <v>0</v>
      </c>
      <c r="G607" s="41" t="s">
        <v>104</v>
      </c>
      <c r="H607" s="41">
        <v>1</v>
      </c>
      <c r="I607" s="41">
        <v>1</v>
      </c>
      <c r="J607" s="108">
        <f>POWER(POWER(Table2[[#This Row],[mv]],4)*0.02,0.25)</f>
        <v>1.4290291753728294E-3</v>
      </c>
      <c r="K607" s="41">
        <v>0</v>
      </c>
      <c r="L607" s="41">
        <v>55</v>
      </c>
      <c r="M607" s="41">
        <v>-1</v>
      </c>
      <c r="N607" s="41">
        <v>4</v>
      </c>
      <c r="O607" s="110" t="s">
        <v>1070</v>
      </c>
      <c r="P607" s="109">
        <v>192205</v>
      </c>
      <c r="Q607" s="107"/>
      <c r="R607" s="111"/>
      <c r="S607" s="110" t="s">
        <v>1189</v>
      </c>
      <c r="T607"/>
      <c r="U607"/>
      <c r="V607"/>
    </row>
    <row r="608" spans="1:22" x14ac:dyDescent="0.3">
      <c r="A608" s="105">
        <v>607</v>
      </c>
      <c r="B608" s="41">
        <v>12000000</v>
      </c>
      <c r="C608" s="41">
        <v>3.8E-3</v>
      </c>
      <c r="D608" s="41">
        <v>16</v>
      </c>
      <c r="E608" s="41">
        <v>30</v>
      </c>
      <c r="F608" s="41">
        <v>0</v>
      </c>
      <c r="G608" s="41" t="s">
        <v>104</v>
      </c>
      <c r="H608" s="41">
        <v>1</v>
      </c>
      <c r="I608" s="41">
        <v>1</v>
      </c>
      <c r="J608" s="108">
        <f>POWER(POWER(Table2[[#This Row],[mv]],4)*0.02,0.25)</f>
        <v>1.4290291753728294E-3</v>
      </c>
      <c r="K608" s="41">
        <v>0</v>
      </c>
      <c r="L608" s="41">
        <v>55</v>
      </c>
      <c r="M608" s="41">
        <v>-1</v>
      </c>
      <c r="N608" s="41">
        <v>4</v>
      </c>
      <c r="O608" s="110" t="s">
        <v>1071</v>
      </c>
      <c r="P608" s="109">
        <v>192205</v>
      </c>
      <c r="Q608" s="107"/>
      <c r="R608" s="111"/>
      <c r="S608" s="110" t="s">
        <v>1189</v>
      </c>
      <c r="T608"/>
      <c r="U608"/>
      <c r="V608"/>
    </row>
    <row r="609" spans="1:22" x14ac:dyDescent="0.3">
      <c r="A609" s="105">
        <v>608</v>
      </c>
      <c r="B609" s="41">
        <v>12000000</v>
      </c>
      <c r="C609" s="41">
        <v>3.8E-3</v>
      </c>
      <c r="D609" s="41">
        <v>17.4481</v>
      </c>
      <c r="E609" s="41">
        <v>30</v>
      </c>
      <c r="F609" s="41">
        <v>0</v>
      </c>
      <c r="G609" s="41" t="s">
        <v>104</v>
      </c>
      <c r="H609" s="41">
        <v>1</v>
      </c>
      <c r="I609" s="41">
        <v>1</v>
      </c>
      <c r="J609" s="108">
        <f>POWER(POWER(Table2[[#This Row],[mv]],4)*0.02,0.25)</f>
        <v>1.4290291753728294E-3</v>
      </c>
      <c r="K609" s="41">
        <v>0</v>
      </c>
      <c r="L609" s="41">
        <v>55</v>
      </c>
      <c r="M609" s="41">
        <v>-1</v>
      </c>
      <c r="N609" s="41">
        <v>4</v>
      </c>
      <c r="O609" s="110" t="s">
        <v>1072</v>
      </c>
      <c r="P609" s="109">
        <v>192205</v>
      </c>
      <c r="Q609" s="107"/>
      <c r="R609" s="111"/>
      <c r="S609" s="110" t="s">
        <v>1189</v>
      </c>
      <c r="T609"/>
      <c r="U609"/>
      <c r="V609"/>
    </row>
    <row r="610" spans="1:22" x14ac:dyDescent="0.3">
      <c r="A610" s="105">
        <v>609</v>
      </c>
      <c r="B610" s="41">
        <v>12000000</v>
      </c>
      <c r="C610" s="41">
        <v>3.8E-3</v>
      </c>
      <c r="D610" s="41">
        <v>19.0273</v>
      </c>
      <c r="E610" s="41">
        <v>30</v>
      </c>
      <c r="F610" s="41">
        <v>0</v>
      </c>
      <c r="G610" s="41" t="s">
        <v>104</v>
      </c>
      <c r="H610" s="41">
        <v>1</v>
      </c>
      <c r="I610" s="41">
        <v>1</v>
      </c>
      <c r="J610" s="108">
        <f>POWER(POWER(Table2[[#This Row],[mv]],4)*0.02,0.25)</f>
        <v>1.4290291753728294E-3</v>
      </c>
      <c r="K610" s="41">
        <v>0</v>
      </c>
      <c r="L610" s="41">
        <v>55</v>
      </c>
      <c r="M610" s="41">
        <v>-1</v>
      </c>
      <c r="N610" s="41">
        <v>4</v>
      </c>
      <c r="O610" s="110" t="s">
        <v>1073</v>
      </c>
      <c r="P610" s="109">
        <v>192205</v>
      </c>
      <c r="Q610" s="107"/>
      <c r="R610" s="111"/>
      <c r="S610" s="110" t="s">
        <v>1189</v>
      </c>
      <c r="T610"/>
      <c r="U610"/>
      <c r="V610"/>
    </row>
    <row r="611" spans="1:22" x14ac:dyDescent="0.3">
      <c r="A611" s="105">
        <v>610</v>
      </c>
      <c r="B611" s="41">
        <v>12000000</v>
      </c>
      <c r="C611" s="41">
        <v>4.1999999999999997E-3</v>
      </c>
      <c r="D611" s="41">
        <v>5.6569000000000003</v>
      </c>
      <c r="E611" s="41">
        <v>30</v>
      </c>
      <c r="F611" s="41">
        <v>0</v>
      </c>
      <c r="G611" s="41" t="s">
        <v>104</v>
      </c>
      <c r="H611" s="41">
        <v>1</v>
      </c>
      <c r="I611" s="41">
        <v>1</v>
      </c>
      <c r="J611" s="108">
        <f>POWER(POWER(Table2[[#This Row],[mv]],4)*0.02,0.25)</f>
        <v>1.5794532990962846E-3</v>
      </c>
      <c r="K611" s="41">
        <v>0</v>
      </c>
      <c r="L611" s="41">
        <v>55</v>
      </c>
      <c r="M611" s="41">
        <v>-1</v>
      </c>
      <c r="N611" s="41">
        <v>4</v>
      </c>
      <c r="O611" s="110" t="s">
        <v>1074</v>
      </c>
      <c r="P611" s="109">
        <v>192205</v>
      </c>
      <c r="Q611" s="107"/>
      <c r="R611" s="111"/>
      <c r="S611" s="110" t="s">
        <v>1189</v>
      </c>
      <c r="T611"/>
      <c r="U611"/>
      <c r="V611"/>
    </row>
    <row r="612" spans="1:22" x14ac:dyDescent="0.3">
      <c r="A612" s="105">
        <v>611</v>
      </c>
      <c r="B612" s="41">
        <v>12000000</v>
      </c>
      <c r="C612" s="41">
        <v>4.1999999999999997E-3</v>
      </c>
      <c r="D612" s="41">
        <v>6.1688000000000001</v>
      </c>
      <c r="E612" s="41">
        <v>30</v>
      </c>
      <c r="F612" s="41">
        <v>0</v>
      </c>
      <c r="G612" s="41" t="s">
        <v>104</v>
      </c>
      <c r="H612" s="41">
        <v>1</v>
      </c>
      <c r="I612" s="41">
        <v>1</v>
      </c>
      <c r="J612" s="108">
        <f>POWER(POWER(Table2[[#This Row],[mv]],4)*0.02,0.25)</f>
        <v>1.5794532990962846E-3</v>
      </c>
      <c r="K612" s="41">
        <v>0</v>
      </c>
      <c r="L612" s="41">
        <v>55</v>
      </c>
      <c r="M612" s="41">
        <v>-1</v>
      </c>
      <c r="N612" s="41">
        <v>4</v>
      </c>
      <c r="O612" s="110" t="s">
        <v>1075</v>
      </c>
      <c r="P612" s="109">
        <v>192205</v>
      </c>
      <c r="Q612" s="107"/>
      <c r="R612" s="111"/>
      <c r="S612" s="110" t="s">
        <v>1189</v>
      </c>
      <c r="T612"/>
      <c r="U612"/>
      <c r="V612"/>
    </row>
    <row r="613" spans="1:22" x14ac:dyDescent="0.3">
      <c r="A613" s="105">
        <v>612</v>
      </c>
      <c r="B613" s="41">
        <v>12000000</v>
      </c>
      <c r="C613" s="41">
        <v>4.1999999999999997E-3</v>
      </c>
      <c r="D613" s="41">
        <v>6.7271999999999998</v>
      </c>
      <c r="E613" s="41">
        <v>30</v>
      </c>
      <c r="F613" s="41">
        <v>0</v>
      </c>
      <c r="G613" s="41" t="s">
        <v>104</v>
      </c>
      <c r="H613" s="41">
        <v>1</v>
      </c>
      <c r="I613" s="41">
        <v>1</v>
      </c>
      <c r="J613" s="108">
        <f>POWER(POWER(Table2[[#This Row],[mv]],4)*0.02,0.25)</f>
        <v>1.5794532990962846E-3</v>
      </c>
      <c r="K613" s="41">
        <v>0</v>
      </c>
      <c r="L613" s="41">
        <v>55</v>
      </c>
      <c r="M613" s="41">
        <v>-1</v>
      </c>
      <c r="N613" s="41">
        <v>4</v>
      </c>
      <c r="O613" s="110" t="s">
        <v>1076</v>
      </c>
      <c r="P613" s="109">
        <v>192205</v>
      </c>
      <c r="Q613" s="107"/>
      <c r="R613" s="111"/>
      <c r="S613" s="110" t="s">
        <v>1189</v>
      </c>
      <c r="T613"/>
      <c r="U613"/>
      <c r="V613"/>
    </row>
    <row r="614" spans="1:22" x14ac:dyDescent="0.3">
      <c r="A614" s="105">
        <v>613</v>
      </c>
      <c r="B614" s="41">
        <v>12000000</v>
      </c>
      <c r="C614" s="41">
        <v>4.1999999999999997E-3</v>
      </c>
      <c r="D614" s="41">
        <v>7.3360000000000003</v>
      </c>
      <c r="E614" s="41">
        <v>30</v>
      </c>
      <c r="F614" s="41">
        <v>0</v>
      </c>
      <c r="G614" s="41" t="s">
        <v>104</v>
      </c>
      <c r="H614" s="41">
        <v>1</v>
      </c>
      <c r="I614" s="41">
        <v>1</v>
      </c>
      <c r="J614" s="108">
        <f>POWER(POWER(Table2[[#This Row],[mv]],4)*0.02,0.25)</f>
        <v>1.5794532990962846E-3</v>
      </c>
      <c r="K614" s="41">
        <v>0</v>
      </c>
      <c r="L614" s="41">
        <v>55</v>
      </c>
      <c r="M614" s="41">
        <v>-1</v>
      </c>
      <c r="N614" s="41">
        <v>4</v>
      </c>
      <c r="O614" s="110" t="s">
        <v>1077</v>
      </c>
      <c r="P614" s="109">
        <v>192205</v>
      </c>
      <c r="Q614" s="107"/>
      <c r="R614" s="111"/>
      <c r="S614" s="110" t="s">
        <v>1189</v>
      </c>
      <c r="T614"/>
      <c r="U614"/>
      <c r="V614"/>
    </row>
    <row r="615" spans="1:22" x14ac:dyDescent="0.3">
      <c r="A615" s="105">
        <v>614</v>
      </c>
      <c r="B615" s="41">
        <v>12000000</v>
      </c>
      <c r="C615" s="41">
        <v>4.1999999999999997E-3</v>
      </c>
      <c r="D615" s="41">
        <v>8</v>
      </c>
      <c r="E615" s="41">
        <v>30</v>
      </c>
      <c r="F615" s="41">
        <v>0</v>
      </c>
      <c r="G615" s="41" t="s">
        <v>104</v>
      </c>
      <c r="H615" s="41">
        <v>1</v>
      </c>
      <c r="I615" s="41">
        <v>1</v>
      </c>
      <c r="J615" s="108">
        <f>POWER(POWER(Table2[[#This Row],[mv]],4)*0.02,0.25)</f>
        <v>1.5794532990962846E-3</v>
      </c>
      <c r="K615" s="41">
        <v>0</v>
      </c>
      <c r="L615" s="41">
        <v>55</v>
      </c>
      <c r="M615" s="41">
        <v>-1</v>
      </c>
      <c r="N615" s="41">
        <v>4</v>
      </c>
      <c r="O615" s="110" t="s">
        <v>1078</v>
      </c>
      <c r="P615" s="109">
        <v>192205</v>
      </c>
      <c r="Q615" s="107"/>
      <c r="R615" s="111"/>
      <c r="S615" s="110" t="s">
        <v>1189</v>
      </c>
      <c r="T615"/>
      <c r="U615"/>
      <c r="V615"/>
    </row>
    <row r="616" spans="1:22" x14ac:dyDescent="0.3">
      <c r="A616" s="105">
        <v>615</v>
      </c>
      <c r="B616" s="41">
        <v>12000000</v>
      </c>
      <c r="C616" s="41">
        <v>4.1999999999999997E-3</v>
      </c>
      <c r="D616" s="41">
        <v>8.7241</v>
      </c>
      <c r="E616" s="41">
        <v>30</v>
      </c>
      <c r="F616" s="41">
        <v>0</v>
      </c>
      <c r="G616" s="41" t="s">
        <v>104</v>
      </c>
      <c r="H616" s="41">
        <v>1</v>
      </c>
      <c r="I616" s="41">
        <v>1</v>
      </c>
      <c r="J616" s="108">
        <f>POWER(POWER(Table2[[#This Row],[mv]],4)*0.02,0.25)</f>
        <v>1.5794532990962846E-3</v>
      </c>
      <c r="K616" s="41">
        <v>0</v>
      </c>
      <c r="L616" s="41">
        <v>55</v>
      </c>
      <c r="M616" s="41">
        <v>-1</v>
      </c>
      <c r="N616" s="41">
        <v>4</v>
      </c>
      <c r="O616" s="110" t="s">
        <v>1079</v>
      </c>
      <c r="P616" s="109">
        <v>192205</v>
      </c>
      <c r="Q616" s="107"/>
      <c r="R616" s="111"/>
      <c r="S616" s="110" t="s">
        <v>1189</v>
      </c>
      <c r="T616"/>
      <c r="U616"/>
      <c r="V616"/>
    </row>
    <row r="617" spans="1:22" x14ac:dyDescent="0.3">
      <c r="A617" s="105">
        <v>616</v>
      </c>
      <c r="B617" s="41">
        <v>12000000</v>
      </c>
      <c r="C617" s="41">
        <v>4.1999999999999997E-3</v>
      </c>
      <c r="D617" s="41">
        <v>9.5137</v>
      </c>
      <c r="E617" s="41">
        <v>30</v>
      </c>
      <c r="F617" s="41">
        <v>0</v>
      </c>
      <c r="G617" s="41" t="s">
        <v>104</v>
      </c>
      <c r="H617" s="41">
        <v>1</v>
      </c>
      <c r="I617" s="41">
        <v>1</v>
      </c>
      <c r="J617" s="108">
        <f>POWER(POWER(Table2[[#This Row],[mv]],4)*0.02,0.25)</f>
        <v>1.5794532990962846E-3</v>
      </c>
      <c r="K617" s="41">
        <v>0</v>
      </c>
      <c r="L617" s="41">
        <v>55</v>
      </c>
      <c r="M617" s="41">
        <v>-1</v>
      </c>
      <c r="N617" s="41">
        <v>4</v>
      </c>
      <c r="O617" s="110" t="s">
        <v>1080</v>
      </c>
      <c r="P617" s="109">
        <v>192205</v>
      </c>
      <c r="Q617" s="107"/>
      <c r="R617" s="111"/>
      <c r="S617" s="110" t="s">
        <v>1189</v>
      </c>
      <c r="T617"/>
      <c r="U617"/>
      <c r="V617"/>
    </row>
    <row r="618" spans="1:22" x14ac:dyDescent="0.3">
      <c r="A618" s="105">
        <v>617</v>
      </c>
      <c r="B618" s="41">
        <v>12000000</v>
      </c>
      <c r="C618" s="41">
        <v>4.1999999999999997E-3</v>
      </c>
      <c r="D618" s="41">
        <v>10.374700000000001</v>
      </c>
      <c r="E618" s="41">
        <v>30</v>
      </c>
      <c r="F618" s="41">
        <v>0</v>
      </c>
      <c r="G618" s="41" t="s">
        <v>104</v>
      </c>
      <c r="H618" s="41">
        <v>1</v>
      </c>
      <c r="I618" s="41">
        <v>1</v>
      </c>
      <c r="J618" s="108">
        <f>POWER(POWER(Table2[[#This Row],[mv]],4)*0.02,0.25)</f>
        <v>1.5794532990962846E-3</v>
      </c>
      <c r="K618" s="41">
        <v>0</v>
      </c>
      <c r="L618" s="41">
        <v>55</v>
      </c>
      <c r="M618" s="41">
        <v>-1</v>
      </c>
      <c r="N618" s="41">
        <v>4</v>
      </c>
      <c r="O618" s="110" t="s">
        <v>1081</v>
      </c>
      <c r="P618" s="109">
        <v>192205</v>
      </c>
      <c r="Q618" s="107"/>
      <c r="R618" s="111"/>
      <c r="S618" s="110" t="s">
        <v>1189</v>
      </c>
      <c r="T618"/>
      <c r="U618"/>
      <c r="V618"/>
    </row>
    <row r="619" spans="1:22" x14ac:dyDescent="0.3">
      <c r="A619" s="105">
        <v>618</v>
      </c>
      <c r="B619" s="41">
        <v>12000000</v>
      </c>
      <c r="C619" s="41">
        <v>4.1999999999999997E-3</v>
      </c>
      <c r="D619" s="41">
        <v>11.313700000000001</v>
      </c>
      <c r="E619" s="41">
        <v>30</v>
      </c>
      <c r="F619" s="41">
        <v>0</v>
      </c>
      <c r="G619" s="41" t="s">
        <v>104</v>
      </c>
      <c r="H619" s="41">
        <v>1</v>
      </c>
      <c r="I619" s="41">
        <v>1</v>
      </c>
      <c r="J619" s="108">
        <f>POWER(POWER(Table2[[#This Row],[mv]],4)*0.02,0.25)</f>
        <v>1.5794532990962846E-3</v>
      </c>
      <c r="K619" s="41">
        <v>0</v>
      </c>
      <c r="L619" s="41">
        <v>55</v>
      </c>
      <c r="M619" s="41">
        <v>-1</v>
      </c>
      <c r="N619" s="41">
        <v>4</v>
      </c>
      <c r="O619" s="110" t="s">
        <v>1082</v>
      </c>
      <c r="P619" s="109">
        <v>192205</v>
      </c>
      <c r="Q619" s="107"/>
      <c r="R619" s="111"/>
      <c r="S619" s="110" t="s">
        <v>1189</v>
      </c>
      <c r="T619"/>
      <c r="U619"/>
      <c r="V619"/>
    </row>
    <row r="620" spans="1:22" x14ac:dyDescent="0.3">
      <c r="A620" s="105">
        <v>619</v>
      </c>
      <c r="B620" s="41">
        <v>12000000</v>
      </c>
      <c r="C620" s="41">
        <v>4.1999999999999997E-3</v>
      </c>
      <c r="D620" s="41">
        <v>12.3377</v>
      </c>
      <c r="E620" s="41">
        <v>30</v>
      </c>
      <c r="F620" s="41">
        <v>0</v>
      </c>
      <c r="G620" s="41" t="s">
        <v>104</v>
      </c>
      <c r="H620" s="41">
        <v>1</v>
      </c>
      <c r="I620" s="41">
        <v>1</v>
      </c>
      <c r="J620" s="108">
        <f>POWER(POWER(Table2[[#This Row],[mv]],4)*0.02,0.25)</f>
        <v>1.5794532990962846E-3</v>
      </c>
      <c r="K620" s="41">
        <v>0</v>
      </c>
      <c r="L620" s="41">
        <v>55</v>
      </c>
      <c r="M620" s="41">
        <v>-1</v>
      </c>
      <c r="N620" s="41">
        <v>4</v>
      </c>
      <c r="O620" s="110" t="s">
        <v>1083</v>
      </c>
      <c r="P620" s="109">
        <v>192205</v>
      </c>
      <c r="Q620" s="107"/>
      <c r="R620" s="111"/>
      <c r="S620" s="110" t="s">
        <v>1189</v>
      </c>
      <c r="T620"/>
      <c r="U620"/>
      <c r="V620"/>
    </row>
    <row r="621" spans="1:22" x14ac:dyDescent="0.3">
      <c r="A621" s="105">
        <v>620</v>
      </c>
      <c r="B621" s="41">
        <v>12000000</v>
      </c>
      <c r="C621" s="41">
        <v>4.1999999999999997E-3</v>
      </c>
      <c r="D621" s="41">
        <v>13.4543</v>
      </c>
      <c r="E621" s="41">
        <v>30</v>
      </c>
      <c r="F621" s="41">
        <v>0</v>
      </c>
      <c r="G621" s="41" t="s">
        <v>104</v>
      </c>
      <c r="H621" s="41">
        <v>1</v>
      </c>
      <c r="I621" s="41">
        <v>1</v>
      </c>
      <c r="J621" s="108">
        <f>POWER(POWER(Table2[[#This Row],[mv]],4)*0.02,0.25)</f>
        <v>1.5794532990962846E-3</v>
      </c>
      <c r="K621" s="41">
        <v>0</v>
      </c>
      <c r="L621" s="41">
        <v>55</v>
      </c>
      <c r="M621" s="41">
        <v>-1</v>
      </c>
      <c r="N621" s="41">
        <v>4</v>
      </c>
      <c r="O621" s="110" t="s">
        <v>1084</v>
      </c>
      <c r="P621" s="109">
        <v>192205</v>
      </c>
      <c r="Q621" s="107"/>
      <c r="R621" s="111"/>
      <c r="S621" s="110" t="s">
        <v>1189</v>
      </c>
      <c r="T621"/>
      <c r="U621"/>
      <c r="V621"/>
    </row>
    <row r="622" spans="1:22" x14ac:dyDescent="0.3">
      <c r="A622" s="105">
        <v>621</v>
      </c>
      <c r="B622" s="41">
        <v>12000000</v>
      </c>
      <c r="C622" s="41">
        <v>4.1999999999999997E-3</v>
      </c>
      <c r="D622" s="41">
        <v>14.6721</v>
      </c>
      <c r="E622" s="41">
        <v>30</v>
      </c>
      <c r="F622" s="41">
        <v>0</v>
      </c>
      <c r="G622" s="41" t="s">
        <v>104</v>
      </c>
      <c r="H622" s="41">
        <v>1</v>
      </c>
      <c r="I622" s="41">
        <v>1</v>
      </c>
      <c r="J622" s="108">
        <f>POWER(POWER(Table2[[#This Row],[mv]],4)*0.02,0.25)</f>
        <v>1.5794532990962846E-3</v>
      </c>
      <c r="K622" s="41">
        <v>0</v>
      </c>
      <c r="L622" s="41">
        <v>55</v>
      </c>
      <c r="M622" s="41">
        <v>-1</v>
      </c>
      <c r="N622" s="41">
        <v>4</v>
      </c>
      <c r="O622" s="110" t="s">
        <v>1085</v>
      </c>
      <c r="P622" s="109">
        <v>192205</v>
      </c>
      <c r="Q622" s="107"/>
      <c r="R622" s="111"/>
      <c r="S622" s="110" t="s">
        <v>1189</v>
      </c>
      <c r="T622"/>
      <c r="U622"/>
      <c r="V622"/>
    </row>
    <row r="623" spans="1:22" x14ac:dyDescent="0.3">
      <c r="A623" s="105">
        <v>622</v>
      </c>
      <c r="B623" s="41">
        <v>12000000</v>
      </c>
      <c r="C623" s="41">
        <v>4.1999999999999997E-3</v>
      </c>
      <c r="D623" s="41">
        <v>16</v>
      </c>
      <c r="E623" s="41">
        <v>30</v>
      </c>
      <c r="F623" s="41">
        <v>0</v>
      </c>
      <c r="G623" s="41" t="s">
        <v>104</v>
      </c>
      <c r="H623" s="41">
        <v>1</v>
      </c>
      <c r="I623" s="41">
        <v>1</v>
      </c>
      <c r="J623" s="108">
        <f>POWER(POWER(Table2[[#This Row],[mv]],4)*0.02,0.25)</f>
        <v>1.5794532990962846E-3</v>
      </c>
      <c r="K623" s="41">
        <v>0</v>
      </c>
      <c r="L623" s="41">
        <v>55</v>
      </c>
      <c r="M623" s="41">
        <v>-1</v>
      </c>
      <c r="N623" s="41">
        <v>4</v>
      </c>
      <c r="O623" s="110" t="s">
        <v>1086</v>
      </c>
      <c r="P623" s="109">
        <v>192205</v>
      </c>
      <c r="Q623" s="107"/>
      <c r="R623" s="111"/>
      <c r="S623" s="110" t="s">
        <v>1189</v>
      </c>
      <c r="T623"/>
      <c r="U623"/>
      <c r="V623"/>
    </row>
    <row r="624" spans="1:22" x14ac:dyDescent="0.3">
      <c r="A624" s="105">
        <v>623</v>
      </c>
      <c r="B624" s="41">
        <v>12000000</v>
      </c>
      <c r="C624" s="41">
        <v>4.1999999999999997E-3</v>
      </c>
      <c r="D624" s="41">
        <v>17.4481</v>
      </c>
      <c r="E624" s="41">
        <v>30</v>
      </c>
      <c r="F624" s="41">
        <v>0</v>
      </c>
      <c r="G624" s="41" t="s">
        <v>104</v>
      </c>
      <c r="H624" s="41">
        <v>1</v>
      </c>
      <c r="I624" s="41">
        <v>1</v>
      </c>
      <c r="J624" s="108">
        <f>POWER(POWER(Table2[[#This Row],[mv]],4)*0.02,0.25)</f>
        <v>1.5794532990962846E-3</v>
      </c>
      <c r="K624" s="41">
        <v>0</v>
      </c>
      <c r="L624" s="41">
        <v>55</v>
      </c>
      <c r="M624" s="41">
        <v>-1</v>
      </c>
      <c r="N624" s="41">
        <v>4</v>
      </c>
      <c r="O624" s="110" t="s">
        <v>1087</v>
      </c>
      <c r="P624" s="109">
        <v>192205</v>
      </c>
      <c r="Q624" s="107"/>
      <c r="R624" s="111"/>
      <c r="S624" s="110" t="s">
        <v>1189</v>
      </c>
      <c r="T624"/>
      <c r="U624"/>
      <c r="V624"/>
    </row>
    <row r="625" spans="1:22" x14ac:dyDescent="0.3">
      <c r="A625" s="105">
        <v>624</v>
      </c>
      <c r="B625" s="41">
        <v>12000000</v>
      </c>
      <c r="C625" s="41">
        <v>4.1999999999999997E-3</v>
      </c>
      <c r="D625" s="41">
        <v>19.0273</v>
      </c>
      <c r="E625" s="41">
        <v>30</v>
      </c>
      <c r="F625" s="41">
        <v>0</v>
      </c>
      <c r="G625" s="41" t="s">
        <v>104</v>
      </c>
      <c r="H625" s="41">
        <v>1</v>
      </c>
      <c r="I625" s="41">
        <v>1</v>
      </c>
      <c r="J625" s="108">
        <f>POWER(POWER(Table2[[#This Row],[mv]],4)*0.02,0.25)</f>
        <v>1.5794532990962846E-3</v>
      </c>
      <c r="K625" s="41">
        <v>0</v>
      </c>
      <c r="L625" s="41">
        <v>55</v>
      </c>
      <c r="M625" s="41">
        <v>-1</v>
      </c>
      <c r="N625" s="41">
        <v>4</v>
      </c>
      <c r="O625" s="110" t="s">
        <v>1088</v>
      </c>
      <c r="P625" s="109">
        <v>192205</v>
      </c>
      <c r="Q625" s="107"/>
      <c r="R625" s="111"/>
      <c r="S625" s="110" t="s">
        <v>1189</v>
      </c>
      <c r="T625"/>
      <c r="U625"/>
      <c r="V625"/>
    </row>
    <row r="626" spans="1:22" x14ac:dyDescent="0.3">
      <c r="A626" s="105">
        <v>625</v>
      </c>
      <c r="B626" s="41">
        <v>12000000</v>
      </c>
      <c r="C626" s="41">
        <v>4.4999999999999997E-3</v>
      </c>
      <c r="D626" s="41">
        <v>6.7271999999999998</v>
      </c>
      <c r="E626" s="41">
        <v>30</v>
      </c>
      <c r="F626" s="41">
        <v>0</v>
      </c>
      <c r="G626" s="41" t="s">
        <v>104</v>
      </c>
      <c r="H626" s="41">
        <v>1</v>
      </c>
      <c r="I626" s="41">
        <v>1</v>
      </c>
      <c r="J626" s="108">
        <f>POWER(POWER(Table2[[#This Row],[mv]],4)*0.02,0.25)</f>
        <v>1.6922713918888768E-3</v>
      </c>
      <c r="K626" s="41">
        <v>0</v>
      </c>
      <c r="L626" s="41">
        <v>55</v>
      </c>
      <c r="M626" s="41">
        <v>-1</v>
      </c>
      <c r="N626" s="41">
        <v>4</v>
      </c>
      <c r="O626" s="110" t="s">
        <v>1089</v>
      </c>
      <c r="P626" s="109">
        <v>192205</v>
      </c>
      <c r="Q626" s="107"/>
      <c r="R626" s="111"/>
      <c r="S626" s="110" t="s">
        <v>1189</v>
      </c>
      <c r="T626"/>
      <c r="U626"/>
      <c r="V626"/>
    </row>
    <row r="627" spans="1:22" x14ac:dyDescent="0.3">
      <c r="A627" s="105">
        <v>626</v>
      </c>
      <c r="B627" s="41">
        <v>12000000</v>
      </c>
      <c r="C627" s="41">
        <v>4.4999999999999997E-3</v>
      </c>
      <c r="D627" s="41">
        <v>7.3360000000000003</v>
      </c>
      <c r="E627" s="41">
        <v>30</v>
      </c>
      <c r="F627" s="41">
        <v>0</v>
      </c>
      <c r="G627" s="41" t="s">
        <v>104</v>
      </c>
      <c r="H627" s="41">
        <v>1</v>
      </c>
      <c r="I627" s="41">
        <v>1</v>
      </c>
      <c r="J627" s="108">
        <f>POWER(POWER(Table2[[#This Row],[mv]],4)*0.02,0.25)</f>
        <v>1.6922713918888768E-3</v>
      </c>
      <c r="K627" s="41">
        <v>0</v>
      </c>
      <c r="L627" s="41">
        <v>55</v>
      </c>
      <c r="M627" s="41">
        <v>-1</v>
      </c>
      <c r="N627" s="41">
        <v>4</v>
      </c>
      <c r="O627" s="110" t="s">
        <v>1090</v>
      </c>
      <c r="P627" s="109">
        <v>192205</v>
      </c>
      <c r="Q627" s="107"/>
      <c r="R627" s="111"/>
      <c r="S627" s="110" t="s">
        <v>1189</v>
      </c>
      <c r="T627"/>
      <c r="U627"/>
      <c r="V627"/>
    </row>
    <row r="628" spans="1:22" x14ac:dyDescent="0.3">
      <c r="A628" s="105">
        <v>627</v>
      </c>
      <c r="B628" s="41">
        <v>12000000</v>
      </c>
      <c r="C628" s="41">
        <v>4.4999999999999997E-3</v>
      </c>
      <c r="D628" s="41">
        <v>8</v>
      </c>
      <c r="E628" s="41">
        <v>30</v>
      </c>
      <c r="F628" s="41">
        <v>0</v>
      </c>
      <c r="G628" s="41" t="s">
        <v>104</v>
      </c>
      <c r="H628" s="41">
        <v>1</v>
      </c>
      <c r="I628" s="41">
        <v>1</v>
      </c>
      <c r="J628" s="108">
        <f>POWER(POWER(Table2[[#This Row],[mv]],4)*0.02,0.25)</f>
        <v>1.6922713918888768E-3</v>
      </c>
      <c r="K628" s="41">
        <v>0</v>
      </c>
      <c r="L628" s="41">
        <v>55</v>
      </c>
      <c r="M628" s="41">
        <v>-1</v>
      </c>
      <c r="N628" s="41">
        <v>4</v>
      </c>
      <c r="O628" s="110" t="s">
        <v>1091</v>
      </c>
      <c r="P628" s="109">
        <v>192205</v>
      </c>
      <c r="Q628" s="107"/>
      <c r="R628" s="111"/>
      <c r="S628" s="110" t="s">
        <v>1189</v>
      </c>
      <c r="T628"/>
      <c r="U628"/>
      <c r="V628"/>
    </row>
    <row r="629" spans="1:22" x14ac:dyDescent="0.3">
      <c r="A629" s="105">
        <v>628</v>
      </c>
      <c r="B629" s="41">
        <v>12000000</v>
      </c>
      <c r="C629" s="41">
        <v>4.4999999999999997E-3</v>
      </c>
      <c r="D629" s="41">
        <v>8.7241</v>
      </c>
      <c r="E629" s="41">
        <v>30</v>
      </c>
      <c r="F629" s="41">
        <v>0</v>
      </c>
      <c r="G629" s="41" t="s">
        <v>104</v>
      </c>
      <c r="H629" s="41">
        <v>1</v>
      </c>
      <c r="I629" s="41">
        <v>1</v>
      </c>
      <c r="J629" s="108">
        <f>POWER(POWER(Table2[[#This Row],[mv]],4)*0.02,0.25)</f>
        <v>1.6922713918888768E-3</v>
      </c>
      <c r="K629" s="41">
        <v>0</v>
      </c>
      <c r="L629" s="41">
        <v>55</v>
      </c>
      <c r="M629" s="41">
        <v>-1</v>
      </c>
      <c r="N629" s="41">
        <v>4</v>
      </c>
      <c r="O629" s="110" t="s">
        <v>1092</v>
      </c>
      <c r="P629" s="109">
        <v>192205</v>
      </c>
      <c r="Q629" s="107"/>
      <c r="R629" s="111"/>
      <c r="S629" s="110" t="s">
        <v>1189</v>
      </c>
      <c r="T629"/>
      <c r="U629"/>
      <c r="V629"/>
    </row>
    <row r="630" spans="1:22" x14ac:dyDescent="0.3">
      <c r="A630" s="105">
        <v>629</v>
      </c>
      <c r="B630" s="41">
        <v>12000000</v>
      </c>
      <c r="C630" s="41">
        <v>4.4999999999999997E-3</v>
      </c>
      <c r="D630" s="41">
        <v>9.5137</v>
      </c>
      <c r="E630" s="41">
        <v>30</v>
      </c>
      <c r="F630" s="41">
        <v>0</v>
      </c>
      <c r="G630" s="41" t="s">
        <v>104</v>
      </c>
      <c r="H630" s="41">
        <v>1</v>
      </c>
      <c r="I630" s="41">
        <v>1</v>
      </c>
      <c r="J630" s="108">
        <f>POWER(POWER(Table2[[#This Row],[mv]],4)*0.02,0.25)</f>
        <v>1.6922713918888768E-3</v>
      </c>
      <c r="K630" s="41">
        <v>0</v>
      </c>
      <c r="L630" s="41">
        <v>55</v>
      </c>
      <c r="M630" s="41">
        <v>-1</v>
      </c>
      <c r="N630" s="41">
        <v>4</v>
      </c>
      <c r="O630" s="110" t="s">
        <v>1093</v>
      </c>
      <c r="P630" s="109">
        <v>192205</v>
      </c>
      <c r="Q630" s="107"/>
      <c r="R630" s="111"/>
      <c r="S630" s="110" t="s">
        <v>1189</v>
      </c>
      <c r="T630"/>
      <c r="U630"/>
      <c r="V630"/>
    </row>
    <row r="631" spans="1:22" x14ac:dyDescent="0.3">
      <c r="A631" s="105">
        <v>630</v>
      </c>
      <c r="B631" s="41">
        <v>12000000</v>
      </c>
      <c r="C631" s="41">
        <v>4.4999999999999997E-3</v>
      </c>
      <c r="D631" s="41">
        <v>10.374700000000001</v>
      </c>
      <c r="E631" s="41">
        <v>30</v>
      </c>
      <c r="F631" s="41">
        <v>0</v>
      </c>
      <c r="G631" s="41" t="s">
        <v>104</v>
      </c>
      <c r="H631" s="41">
        <v>1</v>
      </c>
      <c r="I631" s="41">
        <v>1</v>
      </c>
      <c r="J631" s="108">
        <f>POWER(POWER(Table2[[#This Row],[mv]],4)*0.02,0.25)</f>
        <v>1.6922713918888768E-3</v>
      </c>
      <c r="K631" s="41">
        <v>0</v>
      </c>
      <c r="L631" s="41">
        <v>55</v>
      </c>
      <c r="M631" s="41">
        <v>-1</v>
      </c>
      <c r="N631" s="41">
        <v>4</v>
      </c>
      <c r="O631" s="110" t="s">
        <v>1094</v>
      </c>
      <c r="P631" s="109">
        <v>192205</v>
      </c>
      <c r="Q631" s="107"/>
      <c r="R631" s="111"/>
      <c r="S631" s="110" t="s">
        <v>1189</v>
      </c>
      <c r="T631"/>
      <c r="U631"/>
      <c r="V631"/>
    </row>
    <row r="632" spans="1:22" x14ac:dyDescent="0.3">
      <c r="A632" s="105">
        <v>631</v>
      </c>
      <c r="B632" s="41">
        <v>12000000</v>
      </c>
      <c r="C632" s="41">
        <v>4.4999999999999997E-3</v>
      </c>
      <c r="D632" s="41">
        <v>11.313700000000001</v>
      </c>
      <c r="E632" s="41">
        <v>30</v>
      </c>
      <c r="F632" s="41">
        <v>0</v>
      </c>
      <c r="G632" s="41" t="s">
        <v>104</v>
      </c>
      <c r="H632" s="41">
        <v>1</v>
      </c>
      <c r="I632" s="41">
        <v>1</v>
      </c>
      <c r="J632" s="108">
        <f>POWER(POWER(Table2[[#This Row],[mv]],4)*0.02,0.25)</f>
        <v>1.6922713918888768E-3</v>
      </c>
      <c r="K632" s="41">
        <v>0</v>
      </c>
      <c r="L632" s="41">
        <v>55</v>
      </c>
      <c r="M632" s="41">
        <v>-1</v>
      </c>
      <c r="N632" s="41">
        <v>4</v>
      </c>
      <c r="O632" s="110" t="s">
        <v>1095</v>
      </c>
      <c r="P632" s="109">
        <v>192205</v>
      </c>
      <c r="Q632" s="107"/>
      <c r="R632" s="111"/>
      <c r="S632" s="110" t="s">
        <v>1189</v>
      </c>
      <c r="T632"/>
      <c r="U632"/>
      <c r="V632"/>
    </row>
    <row r="633" spans="1:22" x14ac:dyDescent="0.3">
      <c r="A633" s="105">
        <v>632</v>
      </c>
      <c r="B633" s="41">
        <v>12000000</v>
      </c>
      <c r="C633" s="41">
        <v>4.4999999999999997E-3</v>
      </c>
      <c r="D633" s="41">
        <v>12.3377</v>
      </c>
      <c r="E633" s="41">
        <v>30</v>
      </c>
      <c r="F633" s="41">
        <v>0</v>
      </c>
      <c r="G633" s="41" t="s">
        <v>104</v>
      </c>
      <c r="H633" s="41">
        <v>1</v>
      </c>
      <c r="I633" s="41">
        <v>1</v>
      </c>
      <c r="J633" s="108">
        <f>POWER(POWER(Table2[[#This Row],[mv]],4)*0.02,0.25)</f>
        <v>1.6922713918888768E-3</v>
      </c>
      <c r="K633" s="41">
        <v>0</v>
      </c>
      <c r="L633" s="41">
        <v>55</v>
      </c>
      <c r="M633" s="41">
        <v>-1</v>
      </c>
      <c r="N633" s="41">
        <v>4</v>
      </c>
      <c r="O633" s="110" t="s">
        <v>1096</v>
      </c>
      <c r="P633" s="109">
        <v>192205</v>
      </c>
      <c r="Q633" s="107"/>
      <c r="R633" s="111"/>
      <c r="S633" s="110" t="s">
        <v>1189</v>
      </c>
      <c r="T633"/>
      <c r="U633"/>
      <c r="V633"/>
    </row>
    <row r="634" spans="1:22" x14ac:dyDescent="0.3">
      <c r="A634" s="105">
        <v>633</v>
      </c>
      <c r="B634" s="41">
        <v>12000000</v>
      </c>
      <c r="C634" s="41">
        <v>4.4999999999999997E-3</v>
      </c>
      <c r="D634" s="41">
        <v>13.4543</v>
      </c>
      <c r="E634" s="41">
        <v>30</v>
      </c>
      <c r="F634" s="41">
        <v>0</v>
      </c>
      <c r="G634" s="41" t="s">
        <v>104</v>
      </c>
      <c r="H634" s="41">
        <v>1</v>
      </c>
      <c r="I634" s="41">
        <v>1</v>
      </c>
      <c r="J634" s="108">
        <f>POWER(POWER(Table2[[#This Row],[mv]],4)*0.02,0.25)</f>
        <v>1.6922713918888768E-3</v>
      </c>
      <c r="K634" s="41">
        <v>0</v>
      </c>
      <c r="L634" s="41">
        <v>55</v>
      </c>
      <c r="M634" s="41">
        <v>-1</v>
      </c>
      <c r="N634" s="41">
        <v>4</v>
      </c>
      <c r="O634" s="110" t="s">
        <v>1097</v>
      </c>
      <c r="P634" s="109">
        <v>192205</v>
      </c>
      <c r="Q634" s="107"/>
      <c r="R634" s="111"/>
      <c r="S634" s="110" t="s">
        <v>1189</v>
      </c>
      <c r="T634"/>
      <c r="U634"/>
      <c r="V634"/>
    </row>
    <row r="635" spans="1:22" x14ac:dyDescent="0.3">
      <c r="A635" s="105">
        <v>634</v>
      </c>
      <c r="B635" s="41">
        <v>12000000</v>
      </c>
      <c r="C635" s="41">
        <v>4.4999999999999997E-3</v>
      </c>
      <c r="D635" s="41">
        <v>14.6721</v>
      </c>
      <c r="E635" s="41">
        <v>30</v>
      </c>
      <c r="F635" s="41">
        <v>0</v>
      </c>
      <c r="G635" s="41" t="s">
        <v>104</v>
      </c>
      <c r="H635" s="41">
        <v>1</v>
      </c>
      <c r="I635" s="41">
        <v>1</v>
      </c>
      <c r="J635" s="108">
        <f>POWER(POWER(Table2[[#This Row],[mv]],4)*0.02,0.25)</f>
        <v>1.6922713918888768E-3</v>
      </c>
      <c r="K635" s="41">
        <v>0</v>
      </c>
      <c r="L635" s="41">
        <v>55</v>
      </c>
      <c r="M635" s="41">
        <v>-1</v>
      </c>
      <c r="N635" s="41">
        <v>4</v>
      </c>
      <c r="O635" s="110" t="s">
        <v>1098</v>
      </c>
      <c r="P635" s="109">
        <v>192205</v>
      </c>
      <c r="Q635" s="107"/>
      <c r="R635" s="111"/>
      <c r="S635" s="110" t="s">
        <v>1189</v>
      </c>
      <c r="T635"/>
      <c r="U635"/>
      <c r="V635"/>
    </row>
    <row r="636" spans="1:22" x14ac:dyDescent="0.3">
      <c r="A636" s="105">
        <v>635</v>
      </c>
      <c r="B636" s="41">
        <v>12000000</v>
      </c>
      <c r="C636" s="41">
        <v>4.4999999999999997E-3</v>
      </c>
      <c r="D636" s="41">
        <v>16</v>
      </c>
      <c r="E636" s="41">
        <v>30</v>
      </c>
      <c r="F636" s="41">
        <v>0</v>
      </c>
      <c r="G636" s="41" t="s">
        <v>104</v>
      </c>
      <c r="H636" s="41">
        <v>1</v>
      </c>
      <c r="I636" s="41">
        <v>1</v>
      </c>
      <c r="J636" s="108">
        <f>POWER(POWER(Table2[[#This Row],[mv]],4)*0.02,0.25)</f>
        <v>1.6922713918888768E-3</v>
      </c>
      <c r="K636" s="41">
        <v>0</v>
      </c>
      <c r="L636" s="41">
        <v>55</v>
      </c>
      <c r="M636" s="41">
        <v>-1</v>
      </c>
      <c r="N636" s="41">
        <v>4</v>
      </c>
      <c r="O636" s="110" t="s">
        <v>1099</v>
      </c>
      <c r="P636" s="109">
        <v>192205</v>
      </c>
      <c r="Q636" s="107"/>
      <c r="R636" s="111"/>
      <c r="S636" s="110" t="s">
        <v>1189</v>
      </c>
      <c r="T636"/>
      <c r="U636"/>
      <c r="V636"/>
    </row>
    <row r="637" spans="1:22" x14ac:dyDescent="0.3">
      <c r="A637" s="105">
        <v>636</v>
      </c>
      <c r="B637" s="41">
        <v>12000000</v>
      </c>
      <c r="C637" s="41">
        <v>4.4999999999999997E-3</v>
      </c>
      <c r="D637" s="41">
        <v>17.4481</v>
      </c>
      <c r="E637" s="41">
        <v>30</v>
      </c>
      <c r="F637" s="41">
        <v>0</v>
      </c>
      <c r="G637" s="41" t="s">
        <v>104</v>
      </c>
      <c r="H637" s="41">
        <v>1</v>
      </c>
      <c r="I637" s="41">
        <v>1</v>
      </c>
      <c r="J637" s="108">
        <f>POWER(POWER(Table2[[#This Row],[mv]],4)*0.02,0.25)</f>
        <v>1.6922713918888768E-3</v>
      </c>
      <c r="K637" s="41">
        <v>0</v>
      </c>
      <c r="L637" s="41">
        <v>55</v>
      </c>
      <c r="M637" s="41">
        <v>-1</v>
      </c>
      <c r="N637" s="41">
        <v>4</v>
      </c>
      <c r="O637" s="110" t="s">
        <v>1100</v>
      </c>
      <c r="P637" s="109">
        <v>192205</v>
      </c>
      <c r="Q637" s="107"/>
      <c r="R637" s="111"/>
      <c r="S637" s="110" t="s">
        <v>1189</v>
      </c>
      <c r="T637"/>
      <c r="U637"/>
      <c r="V637"/>
    </row>
    <row r="638" spans="1:22" x14ac:dyDescent="0.3">
      <c r="A638" s="105">
        <v>637</v>
      </c>
      <c r="B638" s="41">
        <v>12000000</v>
      </c>
      <c r="C638" s="41">
        <v>4.4999999999999997E-3</v>
      </c>
      <c r="D638" s="41">
        <v>19.0273</v>
      </c>
      <c r="E638" s="41">
        <v>30</v>
      </c>
      <c r="F638" s="41">
        <v>0</v>
      </c>
      <c r="G638" s="41" t="s">
        <v>104</v>
      </c>
      <c r="H638" s="41">
        <v>1</v>
      </c>
      <c r="I638" s="41">
        <v>1</v>
      </c>
      <c r="J638" s="108">
        <f>POWER(POWER(Table2[[#This Row],[mv]],4)*0.02,0.25)</f>
        <v>1.6922713918888768E-3</v>
      </c>
      <c r="K638" s="41">
        <v>0</v>
      </c>
      <c r="L638" s="41">
        <v>55</v>
      </c>
      <c r="M638" s="41">
        <v>-1</v>
      </c>
      <c r="N638" s="41">
        <v>4</v>
      </c>
      <c r="O638" s="110" t="s">
        <v>1101</v>
      </c>
      <c r="P638" s="109">
        <v>192205</v>
      </c>
      <c r="Q638" s="107"/>
      <c r="R638" s="111"/>
      <c r="S638" s="110" t="s">
        <v>1189</v>
      </c>
      <c r="T638"/>
      <c r="U638"/>
      <c r="V638"/>
    </row>
    <row r="639" spans="1:22" x14ac:dyDescent="0.3">
      <c r="A639" s="105">
        <v>638</v>
      </c>
      <c r="B639" s="41">
        <v>12000000</v>
      </c>
      <c r="C639" s="41">
        <v>4.8999999999999998E-3</v>
      </c>
      <c r="D639" s="41">
        <v>8</v>
      </c>
      <c r="E639" s="41">
        <v>30</v>
      </c>
      <c r="F639" s="41">
        <v>0</v>
      </c>
      <c r="G639" s="41" t="s">
        <v>104</v>
      </c>
      <c r="H639" s="41">
        <v>1</v>
      </c>
      <c r="I639" s="41">
        <v>1</v>
      </c>
      <c r="J639" s="108">
        <f>POWER(POWER(Table2[[#This Row],[mv]],4)*0.02,0.25)</f>
        <v>1.8426955156123333E-3</v>
      </c>
      <c r="K639" s="41">
        <v>0</v>
      </c>
      <c r="L639" s="41">
        <v>55</v>
      </c>
      <c r="M639" s="41">
        <v>-1</v>
      </c>
      <c r="N639" s="41">
        <v>4</v>
      </c>
      <c r="O639" s="110" t="s">
        <v>1102</v>
      </c>
      <c r="P639" s="109">
        <v>192205</v>
      </c>
      <c r="Q639" s="107"/>
      <c r="R639" s="111"/>
      <c r="S639" s="110" t="s">
        <v>1189</v>
      </c>
      <c r="T639"/>
      <c r="U639"/>
      <c r="V639"/>
    </row>
    <row r="640" spans="1:22" x14ac:dyDescent="0.3">
      <c r="A640" s="105">
        <v>639</v>
      </c>
      <c r="B640" s="41">
        <v>12000000</v>
      </c>
      <c r="C640" s="41">
        <v>4.8999999999999998E-3</v>
      </c>
      <c r="D640" s="41">
        <v>8.7241</v>
      </c>
      <c r="E640" s="41">
        <v>30</v>
      </c>
      <c r="F640" s="41">
        <v>0</v>
      </c>
      <c r="G640" s="41" t="s">
        <v>104</v>
      </c>
      <c r="H640" s="41">
        <v>1</v>
      </c>
      <c r="I640" s="41">
        <v>1</v>
      </c>
      <c r="J640" s="108">
        <f>POWER(POWER(Table2[[#This Row],[mv]],4)*0.02,0.25)</f>
        <v>1.8426955156123333E-3</v>
      </c>
      <c r="K640" s="41">
        <v>0</v>
      </c>
      <c r="L640" s="41">
        <v>55</v>
      </c>
      <c r="M640" s="41">
        <v>-1</v>
      </c>
      <c r="N640" s="41">
        <v>4</v>
      </c>
      <c r="O640" s="110" t="s">
        <v>1103</v>
      </c>
      <c r="P640" s="109">
        <v>192205</v>
      </c>
      <c r="Q640" s="107"/>
      <c r="R640" s="111"/>
      <c r="S640" s="110" t="s">
        <v>1189</v>
      </c>
      <c r="T640"/>
      <c r="U640"/>
      <c r="V640"/>
    </row>
    <row r="641" spans="1:22" x14ac:dyDescent="0.3">
      <c r="A641" s="105">
        <v>640</v>
      </c>
      <c r="B641" s="41">
        <v>12000000</v>
      </c>
      <c r="C641" s="41">
        <v>4.8999999999999998E-3</v>
      </c>
      <c r="D641" s="41">
        <v>9.5137</v>
      </c>
      <c r="E641" s="41">
        <v>30</v>
      </c>
      <c r="F641" s="41">
        <v>0</v>
      </c>
      <c r="G641" s="41" t="s">
        <v>104</v>
      </c>
      <c r="H641" s="41">
        <v>1</v>
      </c>
      <c r="I641" s="41">
        <v>1</v>
      </c>
      <c r="J641" s="108">
        <f>POWER(POWER(Table2[[#This Row],[mv]],4)*0.02,0.25)</f>
        <v>1.8426955156123333E-3</v>
      </c>
      <c r="K641" s="41">
        <v>0</v>
      </c>
      <c r="L641" s="41">
        <v>55</v>
      </c>
      <c r="M641" s="41">
        <v>-1</v>
      </c>
      <c r="N641" s="41">
        <v>4</v>
      </c>
      <c r="O641" s="110" t="s">
        <v>1104</v>
      </c>
      <c r="P641" s="109">
        <v>192205</v>
      </c>
      <c r="Q641" s="107"/>
      <c r="R641" s="111"/>
      <c r="S641" s="110" t="s">
        <v>1189</v>
      </c>
      <c r="T641"/>
      <c r="U641"/>
      <c r="V641"/>
    </row>
    <row r="642" spans="1:22" x14ac:dyDescent="0.3">
      <c r="A642" s="105">
        <v>641</v>
      </c>
      <c r="B642" s="41">
        <v>12000000</v>
      </c>
      <c r="C642" s="41">
        <v>4.8999999999999998E-3</v>
      </c>
      <c r="D642" s="41">
        <v>10.374700000000001</v>
      </c>
      <c r="E642" s="41">
        <v>30</v>
      </c>
      <c r="F642" s="41">
        <v>0</v>
      </c>
      <c r="G642" s="41" t="s">
        <v>104</v>
      </c>
      <c r="H642" s="41">
        <v>1</v>
      </c>
      <c r="I642" s="41">
        <v>1</v>
      </c>
      <c r="J642" s="108">
        <f>POWER(POWER(Table2[[#This Row],[mv]],4)*0.02,0.25)</f>
        <v>1.8426955156123333E-3</v>
      </c>
      <c r="K642" s="41">
        <v>0</v>
      </c>
      <c r="L642" s="41">
        <v>55</v>
      </c>
      <c r="M642" s="41">
        <v>-1</v>
      </c>
      <c r="N642" s="41">
        <v>4</v>
      </c>
      <c r="O642" s="110" t="s">
        <v>1105</v>
      </c>
      <c r="P642" s="109">
        <v>192205</v>
      </c>
      <c r="Q642" s="107"/>
      <c r="R642" s="111"/>
      <c r="S642" s="110" t="s">
        <v>1189</v>
      </c>
      <c r="T642"/>
      <c r="U642"/>
      <c r="V642"/>
    </row>
    <row r="643" spans="1:22" x14ac:dyDescent="0.3">
      <c r="A643" s="105">
        <v>642</v>
      </c>
      <c r="B643" s="41">
        <v>12000000</v>
      </c>
      <c r="C643" s="41">
        <v>4.8999999999999998E-3</v>
      </c>
      <c r="D643" s="41">
        <v>11.313700000000001</v>
      </c>
      <c r="E643" s="41">
        <v>30</v>
      </c>
      <c r="F643" s="41">
        <v>0</v>
      </c>
      <c r="G643" s="41" t="s">
        <v>104</v>
      </c>
      <c r="H643" s="41">
        <v>1</v>
      </c>
      <c r="I643" s="41">
        <v>1</v>
      </c>
      <c r="J643" s="108">
        <f>POWER(POWER(Table2[[#This Row],[mv]],4)*0.02,0.25)</f>
        <v>1.8426955156123333E-3</v>
      </c>
      <c r="K643" s="41">
        <v>0</v>
      </c>
      <c r="L643" s="41">
        <v>55</v>
      </c>
      <c r="M643" s="41">
        <v>-1</v>
      </c>
      <c r="N643" s="41">
        <v>4</v>
      </c>
      <c r="O643" s="110" t="s">
        <v>1106</v>
      </c>
      <c r="P643" s="109">
        <v>192205</v>
      </c>
      <c r="Q643" s="107"/>
      <c r="R643" s="111"/>
      <c r="S643" s="110" t="s">
        <v>1189</v>
      </c>
      <c r="T643"/>
      <c r="U643"/>
      <c r="V643"/>
    </row>
    <row r="644" spans="1:22" x14ac:dyDescent="0.3">
      <c r="A644" s="105">
        <v>643</v>
      </c>
      <c r="B644" s="41">
        <v>12000000</v>
      </c>
      <c r="C644" s="41">
        <v>4.8999999999999998E-3</v>
      </c>
      <c r="D644" s="41">
        <v>12.3377</v>
      </c>
      <c r="E644" s="41">
        <v>30</v>
      </c>
      <c r="F644" s="41">
        <v>0</v>
      </c>
      <c r="G644" s="41" t="s">
        <v>104</v>
      </c>
      <c r="H644" s="41">
        <v>1</v>
      </c>
      <c r="I644" s="41">
        <v>1</v>
      </c>
      <c r="J644" s="108">
        <f>POWER(POWER(Table2[[#This Row],[mv]],4)*0.02,0.25)</f>
        <v>1.8426955156123333E-3</v>
      </c>
      <c r="K644" s="41">
        <v>0</v>
      </c>
      <c r="L644" s="41">
        <v>55</v>
      </c>
      <c r="M644" s="41">
        <v>-1</v>
      </c>
      <c r="N644" s="41">
        <v>4</v>
      </c>
      <c r="O644" s="110" t="s">
        <v>1107</v>
      </c>
      <c r="P644" s="109">
        <v>192205</v>
      </c>
      <c r="Q644" s="107"/>
      <c r="R644" s="111"/>
      <c r="S644" s="110" t="s">
        <v>1189</v>
      </c>
      <c r="T644"/>
      <c r="U644"/>
      <c r="V644"/>
    </row>
    <row r="645" spans="1:22" x14ac:dyDescent="0.3">
      <c r="A645" s="105">
        <v>644</v>
      </c>
      <c r="B645" s="41">
        <v>12000000</v>
      </c>
      <c r="C645" s="41">
        <v>4.8999999999999998E-3</v>
      </c>
      <c r="D645" s="41">
        <v>13.4543</v>
      </c>
      <c r="E645" s="41">
        <v>30</v>
      </c>
      <c r="F645" s="41">
        <v>0</v>
      </c>
      <c r="G645" s="41" t="s">
        <v>104</v>
      </c>
      <c r="H645" s="41">
        <v>1</v>
      </c>
      <c r="I645" s="41">
        <v>1</v>
      </c>
      <c r="J645" s="108">
        <f>POWER(POWER(Table2[[#This Row],[mv]],4)*0.02,0.25)</f>
        <v>1.8426955156123333E-3</v>
      </c>
      <c r="K645" s="41">
        <v>0</v>
      </c>
      <c r="L645" s="41">
        <v>55</v>
      </c>
      <c r="M645" s="41">
        <v>-1</v>
      </c>
      <c r="N645" s="41">
        <v>4</v>
      </c>
      <c r="O645" s="110" t="s">
        <v>1108</v>
      </c>
      <c r="P645" s="109">
        <v>192311</v>
      </c>
      <c r="Q645" s="107"/>
      <c r="R645" s="111"/>
      <c r="S645" s="110" t="s">
        <v>1187</v>
      </c>
      <c r="T645"/>
      <c r="U645"/>
      <c r="V645"/>
    </row>
    <row r="646" spans="1:22" x14ac:dyDescent="0.3">
      <c r="A646" s="105">
        <v>645</v>
      </c>
      <c r="B646" s="41">
        <v>12000000</v>
      </c>
      <c r="C646" s="41">
        <v>4.8999999999999998E-3</v>
      </c>
      <c r="D646" s="41">
        <v>14.6721</v>
      </c>
      <c r="E646" s="41">
        <v>30</v>
      </c>
      <c r="F646" s="41">
        <v>0</v>
      </c>
      <c r="G646" s="41" t="s">
        <v>104</v>
      </c>
      <c r="H646" s="41">
        <v>1</v>
      </c>
      <c r="I646" s="41">
        <v>1</v>
      </c>
      <c r="J646" s="108">
        <f>POWER(POWER(Table2[[#This Row],[mv]],4)*0.02,0.25)</f>
        <v>1.8426955156123333E-3</v>
      </c>
      <c r="K646" s="41">
        <v>0</v>
      </c>
      <c r="L646" s="41">
        <v>55</v>
      </c>
      <c r="M646" s="41">
        <v>-1</v>
      </c>
      <c r="N646" s="41">
        <v>4</v>
      </c>
      <c r="O646" s="110" t="s">
        <v>1109</v>
      </c>
      <c r="P646" s="109">
        <v>192311</v>
      </c>
      <c r="Q646" s="107"/>
      <c r="R646" s="111"/>
      <c r="S646" s="110" t="s">
        <v>1187</v>
      </c>
      <c r="T646"/>
      <c r="U646"/>
      <c r="V646"/>
    </row>
    <row r="647" spans="1:22" x14ac:dyDescent="0.3">
      <c r="A647" s="105">
        <v>646</v>
      </c>
      <c r="B647" s="41">
        <v>12000000</v>
      </c>
      <c r="C647" s="41">
        <v>4.8999999999999998E-3</v>
      </c>
      <c r="D647" s="41">
        <v>16</v>
      </c>
      <c r="E647" s="41">
        <v>30</v>
      </c>
      <c r="F647" s="41">
        <v>0</v>
      </c>
      <c r="G647" s="41" t="s">
        <v>104</v>
      </c>
      <c r="H647" s="41">
        <v>1</v>
      </c>
      <c r="I647" s="41">
        <v>1</v>
      </c>
      <c r="J647" s="108">
        <f>POWER(POWER(Table2[[#This Row],[mv]],4)*0.02,0.25)</f>
        <v>1.8426955156123333E-3</v>
      </c>
      <c r="K647" s="41">
        <v>0</v>
      </c>
      <c r="L647" s="41">
        <v>55</v>
      </c>
      <c r="M647" s="41">
        <v>-1</v>
      </c>
      <c r="N647" s="41">
        <v>4</v>
      </c>
      <c r="O647" s="110" t="s">
        <v>1110</v>
      </c>
      <c r="P647" s="109">
        <v>192311</v>
      </c>
      <c r="Q647" s="107"/>
      <c r="R647" s="111"/>
      <c r="S647" s="110" t="s">
        <v>1187</v>
      </c>
      <c r="T647"/>
      <c r="U647"/>
      <c r="V647"/>
    </row>
    <row r="648" spans="1:22" x14ac:dyDescent="0.3">
      <c r="A648" s="105">
        <v>647</v>
      </c>
      <c r="B648" s="41">
        <v>12000000</v>
      </c>
      <c r="C648" s="41">
        <v>4.8999999999999998E-3</v>
      </c>
      <c r="D648" s="41">
        <v>17.4481</v>
      </c>
      <c r="E648" s="41">
        <v>30</v>
      </c>
      <c r="F648" s="41">
        <v>0</v>
      </c>
      <c r="G648" s="41" t="s">
        <v>104</v>
      </c>
      <c r="H648" s="41">
        <v>1</v>
      </c>
      <c r="I648" s="41">
        <v>1</v>
      </c>
      <c r="J648" s="108">
        <f>POWER(POWER(Table2[[#This Row],[mv]],4)*0.02,0.25)</f>
        <v>1.8426955156123333E-3</v>
      </c>
      <c r="K648" s="41">
        <v>0</v>
      </c>
      <c r="L648" s="41">
        <v>55</v>
      </c>
      <c r="M648" s="41">
        <v>-1</v>
      </c>
      <c r="N648" s="41">
        <v>4</v>
      </c>
      <c r="O648" s="110" t="s">
        <v>1111</v>
      </c>
      <c r="P648" s="109">
        <v>192311</v>
      </c>
      <c r="Q648" s="107"/>
      <c r="R648" s="111"/>
      <c r="S648" s="110" t="s">
        <v>1187</v>
      </c>
      <c r="T648"/>
      <c r="U648"/>
      <c r="V648"/>
    </row>
    <row r="649" spans="1:22" x14ac:dyDescent="0.3">
      <c r="A649" s="105">
        <v>648</v>
      </c>
      <c r="B649" s="41">
        <v>12000000</v>
      </c>
      <c r="C649" s="41">
        <v>4.8999999999999998E-3</v>
      </c>
      <c r="D649" s="41">
        <v>19.0273</v>
      </c>
      <c r="E649" s="41">
        <v>30</v>
      </c>
      <c r="F649" s="41">
        <v>0</v>
      </c>
      <c r="G649" s="41" t="s">
        <v>104</v>
      </c>
      <c r="H649" s="41">
        <v>1</v>
      </c>
      <c r="I649" s="41">
        <v>1</v>
      </c>
      <c r="J649" s="108">
        <f>POWER(POWER(Table2[[#This Row],[mv]],4)*0.02,0.25)</f>
        <v>1.8426955156123333E-3</v>
      </c>
      <c r="K649" s="41">
        <v>0</v>
      </c>
      <c r="L649" s="41">
        <v>55</v>
      </c>
      <c r="M649" s="41">
        <v>-1</v>
      </c>
      <c r="N649" s="41">
        <v>4</v>
      </c>
      <c r="O649" s="110" t="s">
        <v>1112</v>
      </c>
      <c r="P649" s="109">
        <v>192311</v>
      </c>
      <c r="Q649" s="107"/>
      <c r="R649" s="111"/>
      <c r="S649" s="110" t="s">
        <v>1187</v>
      </c>
      <c r="T649"/>
      <c r="U649"/>
      <c r="V649"/>
    </row>
    <row r="650" spans="1:22" x14ac:dyDescent="0.3">
      <c r="A650" s="105">
        <v>649</v>
      </c>
      <c r="B650" s="41">
        <v>12000000</v>
      </c>
      <c r="C650" s="41">
        <v>5.4000000000000003E-3</v>
      </c>
      <c r="D650" s="41">
        <v>9.5137</v>
      </c>
      <c r="E650" s="41">
        <v>30</v>
      </c>
      <c r="F650" s="41">
        <v>0</v>
      </c>
      <c r="G650" s="41" t="s">
        <v>104</v>
      </c>
      <c r="H650" s="41">
        <v>1</v>
      </c>
      <c r="I650" s="41">
        <v>1</v>
      </c>
      <c r="J650" s="108">
        <f>POWER(POWER(Table2[[#This Row],[mv]],4)*0.02,0.25)</f>
        <v>2.0307256702666527E-3</v>
      </c>
      <c r="K650" s="41">
        <v>0</v>
      </c>
      <c r="L650" s="41">
        <v>55</v>
      </c>
      <c r="M650" s="41">
        <v>-1</v>
      </c>
      <c r="N650" s="41">
        <v>4</v>
      </c>
      <c r="O650" s="110" t="s">
        <v>1113</v>
      </c>
      <c r="P650" s="109">
        <v>192311</v>
      </c>
      <c r="Q650" s="107"/>
      <c r="R650" s="111"/>
      <c r="S650" s="110" t="s">
        <v>1187</v>
      </c>
      <c r="T650"/>
      <c r="U650"/>
      <c r="V650"/>
    </row>
    <row r="651" spans="1:22" x14ac:dyDescent="0.3">
      <c r="A651" s="105">
        <v>650</v>
      </c>
      <c r="B651" s="41">
        <v>12000000</v>
      </c>
      <c r="C651" s="41">
        <v>5.4000000000000003E-3</v>
      </c>
      <c r="D651" s="41">
        <v>10.374700000000001</v>
      </c>
      <c r="E651" s="41">
        <v>30</v>
      </c>
      <c r="F651" s="41">
        <v>0</v>
      </c>
      <c r="G651" s="41" t="s">
        <v>104</v>
      </c>
      <c r="H651" s="41">
        <v>1</v>
      </c>
      <c r="I651" s="41">
        <v>1</v>
      </c>
      <c r="J651" s="108">
        <f>POWER(POWER(Table2[[#This Row],[mv]],4)*0.02,0.25)</f>
        <v>2.0307256702666527E-3</v>
      </c>
      <c r="K651" s="41">
        <v>0</v>
      </c>
      <c r="L651" s="41">
        <v>55</v>
      </c>
      <c r="M651" s="41">
        <v>-1</v>
      </c>
      <c r="N651" s="41">
        <v>4</v>
      </c>
      <c r="O651" s="110" t="s">
        <v>1114</v>
      </c>
      <c r="P651" s="109">
        <v>192338</v>
      </c>
      <c r="Q651" s="107"/>
      <c r="R651" s="111"/>
      <c r="S651" s="110" t="s">
        <v>1187</v>
      </c>
      <c r="T651"/>
      <c r="U651"/>
      <c r="V651"/>
    </row>
    <row r="652" spans="1:22" x14ac:dyDescent="0.3">
      <c r="A652" s="105">
        <v>651</v>
      </c>
      <c r="B652" s="41">
        <v>12000000</v>
      </c>
      <c r="C652" s="41">
        <v>5.4000000000000003E-3</v>
      </c>
      <c r="D652" s="41">
        <v>11.313700000000001</v>
      </c>
      <c r="E652" s="41">
        <v>30</v>
      </c>
      <c r="F652" s="41">
        <v>0</v>
      </c>
      <c r="G652" s="41" t="s">
        <v>104</v>
      </c>
      <c r="H652" s="41">
        <v>1</v>
      </c>
      <c r="I652" s="41">
        <v>1</v>
      </c>
      <c r="J652" s="108">
        <f>POWER(POWER(Table2[[#This Row],[mv]],4)*0.02,0.25)</f>
        <v>2.0307256702666527E-3</v>
      </c>
      <c r="K652" s="41">
        <v>0</v>
      </c>
      <c r="L652" s="41">
        <v>55</v>
      </c>
      <c r="M652" s="41">
        <v>-1</v>
      </c>
      <c r="N652" s="41">
        <v>4</v>
      </c>
      <c r="O652" s="110" t="s">
        <v>1115</v>
      </c>
      <c r="P652" s="109">
        <v>192338</v>
      </c>
      <c r="Q652" s="107"/>
      <c r="R652" s="111"/>
      <c r="S652" s="110" t="s">
        <v>1187</v>
      </c>
      <c r="T652"/>
      <c r="U652"/>
      <c r="V652"/>
    </row>
    <row r="653" spans="1:22" x14ac:dyDescent="0.3">
      <c r="A653" s="105">
        <v>652</v>
      </c>
      <c r="B653" s="41">
        <v>12000000</v>
      </c>
      <c r="C653" s="41">
        <v>5.4000000000000003E-3</v>
      </c>
      <c r="D653" s="41">
        <v>12.3377</v>
      </c>
      <c r="E653" s="41">
        <v>30</v>
      </c>
      <c r="F653" s="41">
        <v>0</v>
      </c>
      <c r="G653" s="41" t="s">
        <v>104</v>
      </c>
      <c r="H653" s="41">
        <v>1</v>
      </c>
      <c r="I653" s="41">
        <v>1</v>
      </c>
      <c r="J653" s="108">
        <f>POWER(POWER(Table2[[#This Row],[mv]],4)*0.02,0.25)</f>
        <v>2.0307256702666527E-3</v>
      </c>
      <c r="K653" s="41">
        <v>0</v>
      </c>
      <c r="L653" s="41">
        <v>55</v>
      </c>
      <c r="M653" s="41">
        <v>-1</v>
      </c>
      <c r="N653" s="41">
        <v>4</v>
      </c>
      <c r="O653" s="110" t="s">
        <v>1116</v>
      </c>
      <c r="P653" s="109">
        <v>192338</v>
      </c>
      <c r="Q653" s="107"/>
      <c r="R653" s="111"/>
      <c r="S653" s="110" t="s">
        <v>1187</v>
      </c>
      <c r="T653"/>
      <c r="U653"/>
      <c r="V653"/>
    </row>
    <row r="654" spans="1:22" x14ac:dyDescent="0.3">
      <c r="A654" s="105">
        <v>653</v>
      </c>
      <c r="B654" s="41">
        <v>12000000</v>
      </c>
      <c r="C654" s="41">
        <v>5.4000000000000003E-3</v>
      </c>
      <c r="D654" s="41">
        <v>13.4543</v>
      </c>
      <c r="E654" s="41">
        <v>30</v>
      </c>
      <c r="F654" s="41">
        <v>0</v>
      </c>
      <c r="G654" s="41" t="s">
        <v>104</v>
      </c>
      <c r="H654" s="41">
        <v>1</v>
      </c>
      <c r="I654" s="41">
        <v>1</v>
      </c>
      <c r="J654" s="108">
        <f>POWER(POWER(Table2[[#This Row],[mv]],4)*0.02,0.25)</f>
        <v>2.0307256702666527E-3</v>
      </c>
      <c r="K654" s="41">
        <v>0</v>
      </c>
      <c r="L654" s="41">
        <v>55</v>
      </c>
      <c r="M654" s="41">
        <v>-1</v>
      </c>
      <c r="N654" s="41">
        <v>4</v>
      </c>
      <c r="O654" s="110" t="s">
        <v>1117</v>
      </c>
      <c r="P654" s="109">
        <v>192338</v>
      </c>
      <c r="Q654" s="107"/>
      <c r="R654" s="111"/>
      <c r="S654" s="110" t="s">
        <v>1187</v>
      </c>
      <c r="T654"/>
      <c r="U654"/>
      <c r="V654"/>
    </row>
    <row r="655" spans="1:22" x14ac:dyDescent="0.3">
      <c r="A655" s="105">
        <v>654</v>
      </c>
      <c r="B655" s="41">
        <v>12000000</v>
      </c>
      <c r="C655" s="41">
        <v>5.4000000000000003E-3</v>
      </c>
      <c r="D655" s="41">
        <v>14.6721</v>
      </c>
      <c r="E655" s="41">
        <v>30</v>
      </c>
      <c r="F655" s="41">
        <v>0</v>
      </c>
      <c r="G655" s="41" t="s">
        <v>104</v>
      </c>
      <c r="H655" s="41">
        <v>1</v>
      </c>
      <c r="I655" s="41">
        <v>1</v>
      </c>
      <c r="J655" s="108">
        <f>POWER(POWER(Table2[[#This Row],[mv]],4)*0.02,0.25)</f>
        <v>2.0307256702666527E-3</v>
      </c>
      <c r="K655" s="41">
        <v>0</v>
      </c>
      <c r="L655" s="41">
        <v>55</v>
      </c>
      <c r="M655" s="41">
        <v>-1</v>
      </c>
      <c r="N655" s="41">
        <v>4</v>
      </c>
      <c r="O655" s="110" t="s">
        <v>1118</v>
      </c>
      <c r="P655" s="109">
        <v>192338</v>
      </c>
      <c r="Q655" s="107"/>
      <c r="R655" s="111"/>
      <c r="S655" s="110" t="s">
        <v>1187</v>
      </c>
      <c r="T655"/>
      <c r="U655"/>
      <c r="V655"/>
    </row>
    <row r="656" spans="1:22" x14ac:dyDescent="0.3">
      <c r="A656" s="105">
        <v>655</v>
      </c>
      <c r="B656" s="41">
        <v>12000000</v>
      </c>
      <c r="C656" s="41">
        <v>5.4000000000000003E-3</v>
      </c>
      <c r="D656" s="41">
        <v>16</v>
      </c>
      <c r="E656" s="41">
        <v>30</v>
      </c>
      <c r="F656" s="41">
        <v>0</v>
      </c>
      <c r="G656" s="41" t="s">
        <v>104</v>
      </c>
      <c r="H656" s="41">
        <v>1</v>
      </c>
      <c r="I656" s="41">
        <v>1</v>
      </c>
      <c r="J656" s="108">
        <f>POWER(POWER(Table2[[#This Row],[mv]],4)*0.02,0.25)</f>
        <v>2.0307256702666527E-3</v>
      </c>
      <c r="K656" s="41">
        <v>0</v>
      </c>
      <c r="L656" s="41">
        <v>55</v>
      </c>
      <c r="M656" s="41">
        <v>-1</v>
      </c>
      <c r="N656" s="41">
        <v>4</v>
      </c>
      <c r="O656" s="110" t="s">
        <v>1119</v>
      </c>
      <c r="P656" s="109">
        <v>192338</v>
      </c>
      <c r="Q656" s="107"/>
      <c r="R656" s="111"/>
      <c r="S656" s="110" t="s">
        <v>1187</v>
      </c>
      <c r="T656"/>
      <c r="U656"/>
      <c r="V656"/>
    </row>
    <row r="657" spans="1:22" x14ac:dyDescent="0.3">
      <c r="A657" s="105">
        <v>656</v>
      </c>
      <c r="B657" s="41">
        <v>12000000</v>
      </c>
      <c r="C657" s="41">
        <v>5.4000000000000003E-3</v>
      </c>
      <c r="D657" s="41">
        <v>17.4481</v>
      </c>
      <c r="E657" s="41">
        <v>30</v>
      </c>
      <c r="F657" s="41">
        <v>0</v>
      </c>
      <c r="G657" s="41" t="s">
        <v>104</v>
      </c>
      <c r="H657" s="41">
        <v>1</v>
      </c>
      <c r="I657" s="41">
        <v>1</v>
      </c>
      <c r="J657" s="108">
        <f>POWER(POWER(Table2[[#This Row],[mv]],4)*0.02,0.25)</f>
        <v>2.0307256702666527E-3</v>
      </c>
      <c r="K657" s="41">
        <v>0</v>
      </c>
      <c r="L657" s="41">
        <v>55</v>
      </c>
      <c r="M657" s="41">
        <v>-1</v>
      </c>
      <c r="N657" s="41">
        <v>4</v>
      </c>
      <c r="O657" s="110" t="s">
        <v>1120</v>
      </c>
      <c r="P657" s="109">
        <v>192338</v>
      </c>
      <c r="Q657" s="107"/>
      <c r="R657" s="111"/>
      <c r="S657" s="110" t="s">
        <v>1187</v>
      </c>
      <c r="T657"/>
      <c r="U657"/>
      <c r="V657"/>
    </row>
    <row r="658" spans="1:22" x14ac:dyDescent="0.3">
      <c r="A658" s="105">
        <v>657</v>
      </c>
      <c r="B658" s="41">
        <v>12000000</v>
      </c>
      <c r="C658" s="41">
        <v>5.4000000000000003E-3</v>
      </c>
      <c r="D658" s="41">
        <v>19.0273</v>
      </c>
      <c r="E658" s="41">
        <v>30</v>
      </c>
      <c r="F658" s="41">
        <v>0</v>
      </c>
      <c r="G658" s="41" t="s">
        <v>104</v>
      </c>
      <c r="H658" s="41">
        <v>1</v>
      </c>
      <c r="I658" s="41">
        <v>1</v>
      </c>
      <c r="J658" s="108">
        <f>POWER(POWER(Table2[[#This Row],[mv]],4)*0.02,0.25)</f>
        <v>2.0307256702666527E-3</v>
      </c>
      <c r="K658" s="41">
        <v>0</v>
      </c>
      <c r="L658" s="41">
        <v>55</v>
      </c>
      <c r="M658" s="41">
        <v>-1</v>
      </c>
      <c r="N658" s="41">
        <v>4</v>
      </c>
      <c r="O658" s="110" t="s">
        <v>1121</v>
      </c>
      <c r="P658" s="109">
        <v>192338</v>
      </c>
      <c r="Q658" s="107"/>
      <c r="R658" s="111"/>
      <c r="S658" s="110" t="s">
        <v>1187</v>
      </c>
      <c r="T658"/>
      <c r="U658"/>
      <c r="V658"/>
    </row>
    <row r="659" spans="1:22" x14ac:dyDescent="0.3">
      <c r="A659" s="105">
        <v>658</v>
      </c>
      <c r="B659" s="41">
        <v>12000000</v>
      </c>
      <c r="C659" s="41">
        <v>5.8999999999999999E-3</v>
      </c>
      <c r="D659" s="41">
        <v>11.313700000000001</v>
      </c>
      <c r="E659" s="41">
        <v>30</v>
      </c>
      <c r="F659" s="41">
        <v>0</v>
      </c>
      <c r="G659" s="41" t="s">
        <v>104</v>
      </c>
      <c r="H659" s="41">
        <v>1</v>
      </c>
      <c r="I659" s="41">
        <v>1</v>
      </c>
      <c r="J659" s="108">
        <f>POWER(POWER(Table2[[#This Row],[mv]],4)*0.02,0.25)</f>
        <v>2.2187558249209724E-3</v>
      </c>
      <c r="K659" s="41">
        <v>0</v>
      </c>
      <c r="L659" s="41">
        <v>55</v>
      </c>
      <c r="M659" s="41">
        <v>-1</v>
      </c>
      <c r="N659" s="41">
        <v>4</v>
      </c>
      <c r="O659" s="110" t="s">
        <v>1122</v>
      </c>
      <c r="P659" s="109">
        <v>192338</v>
      </c>
      <c r="Q659" s="107"/>
      <c r="R659" s="111"/>
      <c r="S659" s="110" t="s">
        <v>1187</v>
      </c>
      <c r="T659"/>
      <c r="U659"/>
      <c r="V659"/>
    </row>
    <row r="660" spans="1:22" x14ac:dyDescent="0.3">
      <c r="A660" s="105">
        <v>659</v>
      </c>
      <c r="B660" s="41">
        <v>12000000</v>
      </c>
      <c r="C660" s="41">
        <v>5.8999999999999999E-3</v>
      </c>
      <c r="D660" s="41">
        <v>12.3377</v>
      </c>
      <c r="E660" s="41">
        <v>30</v>
      </c>
      <c r="F660" s="41">
        <v>0</v>
      </c>
      <c r="G660" s="41" t="s">
        <v>104</v>
      </c>
      <c r="H660" s="41">
        <v>1</v>
      </c>
      <c r="I660" s="41">
        <v>1</v>
      </c>
      <c r="J660" s="108">
        <f>POWER(POWER(Table2[[#This Row],[mv]],4)*0.02,0.25)</f>
        <v>2.2187558249209724E-3</v>
      </c>
      <c r="K660" s="41">
        <v>0</v>
      </c>
      <c r="L660" s="41">
        <v>55</v>
      </c>
      <c r="M660" s="41">
        <v>-1</v>
      </c>
      <c r="N660" s="41">
        <v>4</v>
      </c>
      <c r="O660" s="110" t="s">
        <v>1123</v>
      </c>
      <c r="P660" s="109">
        <v>192338</v>
      </c>
      <c r="Q660" s="107"/>
      <c r="R660" s="111"/>
      <c r="S660" s="110" t="s">
        <v>1187</v>
      </c>
      <c r="T660"/>
      <c r="U660"/>
      <c r="V660"/>
    </row>
    <row r="661" spans="1:22" x14ac:dyDescent="0.3">
      <c r="A661" s="105">
        <v>660</v>
      </c>
      <c r="B661" s="41">
        <v>12000000</v>
      </c>
      <c r="C661" s="41">
        <v>5.8999999999999999E-3</v>
      </c>
      <c r="D661" s="41">
        <v>13.4543</v>
      </c>
      <c r="E661" s="41">
        <v>30</v>
      </c>
      <c r="F661" s="41">
        <v>0</v>
      </c>
      <c r="G661" s="41" t="s">
        <v>104</v>
      </c>
      <c r="H661" s="41">
        <v>1</v>
      </c>
      <c r="I661" s="41">
        <v>1</v>
      </c>
      <c r="J661" s="108">
        <f>POWER(POWER(Table2[[#This Row],[mv]],4)*0.02,0.25)</f>
        <v>2.2187558249209724E-3</v>
      </c>
      <c r="K661" s="41">
        <v>0</v>
      </c>
      <c r="L661" s="41">
        <v>55</v>
      </c>
      <c r="M661" s="41">
        <v>-1</v>
      </c>
      <c r="N661" s="41">
        <v>4</v>
      </c>
      <c r="O661" s="110" t="s">
        <v>1124</v>
      </c>
      <c r="P661" s="109">
        <v>192338</v>
      </c>
      <c r="Q661" s="107"/>
      <c r="R661" s="111"/>
      <c r="S661" s="110" t="s">
        <v>1187</v>
      </c>
      <c r="T661"/>
      <c r="U661"/>
      <c r="V661"/>
    </row>
    <row r="662" spans="1:22" x14ac:dyDescent="0.3">
      <c r="A662" s="105">
        <v>661</v>
      </c>
      <c r="B662" s="41">
        <v>12000000</v>
      </c>
      <c r="C662" s="41">
        <v>5.8999999999999999E-3</v>
      </c>
      <c r="D662" s="41">
        <v>14.6721</v>
      </c>
      <c r="E662" s="41">
        <v>30</v>
      </c>
      <c r="F662" s="41">
        <v>0</v>
      </c>
      <c r="G662" s="41" t="s">
        <v>104</v>
      </c>
      <c r="H662" s="41">
        <v>1</v>
      </c>
      <c r="I662" s="41">
        <v>1</v>
      </c>
      <c r="J662" s="108">
        <f>POWER(POWER(Table2[[#This Row],[mv]],4)*0.02,0.25)</f>
        <v>2.2187558249209724E-3</v>
      </c>
      <c r="K662" s="41">
        <v>0</v>
      </c>
      <c r="L662" s="41">
        <v>55</v>
      </c>
      <c r="M662" s="41">
        <v>-1</v>
      </c>
      <c r="N662" s="41">
        <v>4</v>
      </c>
      <c r="O662" s="110" t="s">
        <v>1125</v>
      </c>
      <c r="P662" s="109">
        <v>192338</v>
      </c>
      <c r="Q662" s="107"/>
      <c r="R662" s="111"/>
      <c r="S662" s="110" t="s">
        <v>1187</v>
      </c>
      <c r="T662"/>
      <c r="U662"/>
      <c r="V662"/>
    </row>
    <row r="663" spans="1:22" x14ac:dyDescent="0.3">
      <c r="A663" s="105">
        <v>662</v>
      </c>
      <c r="B663" s="41">
        <v>12000000</v>
      </c>
      <c r="C663" s="41">
        <v>5.8999999999999999E-3</v>
      </c>
      <c r="D663" s="41">
        <v>16</v>
      </c>
      <c r="E663" s="41">
        <v>30</v>
      </c>
      <c r="F663" s="41">
        <v>0</v>
      </c>
      <c r="G663" s="41" t="s">
        <v>104</v>
      </c>
      <c r="H663" s="41">
        <v>1</v>
      </c>
      <c r="I663" s="41">
        <v>1</v>
      </c>
      <c r="J663" s="108">
        <f>POWER(POWER(Table2[[#This Row],[mv]],4)*0.02,0.25)</f>
        <v>2.2187558249209724E-3</v>
      </c>
      <c r="K663" s="41">
        <v>0</v>
      </c>
      <c r="L663" s="41">
        <v>55</v>
      </c>
      <c r="M663" s="41">
        <v>-1</v>
      </c>
      <c r="N663" s="41">
        <v>4</v>
      </c>
      <c r="O663" s="110" t="s">
        <v>1126</v>
      </c>
      <c r="P663" s="109">
        <v>192338</v>
      </c>
      <c r="Q663" s="107"/>
      <c r="R663" s="111"/>
      <c r="S663" s="110" t="s">
        <v>1187</v>
      </c>
      <c r="T663"/>
      <c r="U663"/>
      <c r="V663"/>
    </row>
    <row r="664" spans="1:22" x14ac:dyDescent="0.3">
      <c r="A664" s="105">
        <v>663</v>
      </c>
      <c r="B664" s="41">
        <v>12000000</v>
      </c>
      <c r="C664" s="41">
        <v>5.8999999999999999E-3</v>
      </c>
      <c r="D664" s="41">
        <v>17.4481</v>
      </c>
      <c r="E664" s="41">
        <v>30</v>
      </c>
      <c r="F664" s="41">
        <v>0</v>
      </c>
      <c r="G664" s="41" t="s">
        <v>104</v>
      </c>
      <c r="H664" s="41">
        <v>1</v>
      </c>
      <c r="I664" s="41">
        <v>1</v>
      </c>
      <c r="J664" s="108">
        <f>POWER(POWER(Table2[[#This Row],[mv]],4)*0.02,0.25)</f>
        <v>2.2187558249209724E-3</v>
      </c>
      <c r="K664" s="41">
        <v>0</v>
      </c>
      <c r="L664" s="41">
        <v>55</v>
      </c>
      <c r="M664" s="41">
        <v>-1</v>
      </c>
      <c r="N664" s="41">
        <v>4</v>
      </c>
      <c r="O664" s="110" t="s">
        <v>1127</v>
      </c>
      <c r="P664" s="109">
        <v>192338</v>
      </c>
      <c r="Q664" s="107"/>
      <c r="R664" s="111"/>
      <c r="S664" s="110" t="s">
        <v>1187</v>
      </c>
      <c r="T664"/>
      <c r="U664"/>
      <c r="V664"/>
    </row>
    <row r="665" spans="1:22" x14ac:dyDescent="0.3">
      <c r="A665" s="105">
        <v>664</v>
      </c>
      <c r="B665" s="41">
        <v>12000000</v>
      </c>
      <c r="C665" s="41">
        <v>5.8999999999999999E-3</v>
      </c>
      <c r="D665" s="41">
        <v>19.0273</v>
      </c>
      <c r="E665" s="41">
        <v>30</v>
      </c>
      <c r="F665" s="41">
        <v>0</v>
      </c>
      <c r="G665" s="41" t="s">
        <v>104</v>
      </c>
      <c r="H665" s="41">
        <v>1</v>
      </c>
      <c r="I665" s="41">
        <v>1</v>
      </c>
      <c r="J665" s="108">
        <f>POWER(POWER(Table2[[#This Row],[mv]],4)*0.02,0.25)</f>
        <v>2.2187558249209724E-3</v>
      </c>
      <c r="K665" s="41">
        <v>0</v>
      </c>
      <c r="L665" s="41">
        <v>55</v>
      </c>
      <c r="M665" s="41">
        <v>-1</v>
      </c>
      <c r="N665" s="41">
        <v>4</v>
      </c>
      <c r="O665" s="110" t="s">
        <v>1128</v>
      </c>
      <c r="P665" s="109">
        <v>192338</v>
      </c>
      <c r="Q665" s="107"/>
      <c r="R665" s="111"/>
      <c r="S665" s="110" t="s">
        <v>1187</v>
      </c>
      <c r="T665"/>
      <c r="U665"/>
      <c r="V665"/>
    </row>
    <row r="666" spans="1:22" x14ac:dyDescent="0.3">
      <c r="A666" s="105">
        <v>665</v>
      </c>
      <c r="B666" s="41">
        <v>12000000</v>
      </c>
      <c r="C666" s="41">
        <v>6.4000000000000003E-3</v>
      </c>
      <c r="D666" s="41">
        <v>13.4543</v>
      </c>
      <c r="E666" s="41">
        <v>30</v>
      </c>
      <c r="F666" s="41">
        <v>0</v>
      </c>
      <c r="G666" s="41" t="s">
        <v>104</v>
      </c>
      <c r="H666" s="41">
        <v>1</v>
      </c>
      <c r="I666" s="41">
        <v>1</v>
      </c>
      <c r="J666" s="108">
        <f>POWER(POWER(Table2[[#This Row],[mv]],4)*0.02,0.25)</f>
        <v>2.4067859795752931E-3</v>
      </c>
      <c r="K666" s="41">
        <v>0</v>
      </c>
      <c r="L666" s="41">
        <v>55</v>
      </c>
      <c r="M666" s="41">
        <v>-1</v>
      </c>
      <c r="N666" s="41">
        <v>4</v>
      </c>
      <c r="O666" s="110" t="s">
        <v>1129</v>
      </c>
      <c r="P666" s="109">
        <v>192338</v>
      </c>
      <c r="Q666" s="107"/>
      <c r="R666" s="111"/>
      <c r="S666" s="110" t="s">
        <v>1187</v>
      </c>
      <c r="T666"/>
      <c r="U666"/>
      <c r="V666"/>
    </row>
    <row r="667" spans="1:22" x14ac:dyDescent="0.3">
      <c r="A667" s="105">
        <v>666</v>
      </c>
      <c r="B667" s="41">
        <v>12000000</v>
      </c>
      <c r="C667" s="41">
        <v>6.4000000000000003E-3</v>
      </c>
      <c r="D667" s="41">
        <v>14.6721</v>
      </c>
      <c r="E667" s="41">
        <v>30</v>
      </c>
      <c r="F667" s="41">
        <v>0</v>
      </c>
      <c r="G667" s="41" t="s">
        <v>104</v>
      </c>
      <c r="H667" s="41">
        <v>1</v>
      </c>
      <c r="I667" s="41">
        <v>1</v>
      </c>
      <c r="J667" s="108">
        <f>POWER(POWER(Table2[[#This Row],[mv]],4)*0.02,0.25)</f>
        <v>2.4067859795752931E-3</v>
      </c>
      <c r="K667" s="41">
        <v>0</v>
      </c>
      <c r="L667" s="41">
        <v>55</v>
      </c>
      <c r="M667" s="41">
        <v>-1</v>
      </c>
      <c r="N667" s="41">
        <v>4</v>
      </c>
      <c r="O667" s="110" t="s">
        <v>1130</v>
      </c>
      <c r="P667" s="109">
        <v>192338</v>
      </c>
      <c r="Q667" s="107"/>
      <c r="R667" s="111"/>
      <c r="S667" s="110" t="s">
        <v>1187</v>
      </c>
      <c r="T667"/>
      <c r="U667"/>
      <c r="V667"/>
    </row>
    <row r="668" spans="1:22" x14ac:dyDescent="0.3">
      <c r="A668" s="105">
        <v>667</v>
      </c>
      <c r="B668" s="41">
        <v>12000000</v>
      </c>
      <c r="C668" s="41">
        <v>6.4000000000000003E-3</v>
      </c>
      <c r="D668" s="41">
        <v>16</v>
      </c>
      <c r="E668" s="41">
        <v>30</v>
      </c>
      <c r="F668" s="41">
        <v>0</v>
      </c>
      <c r="G668" s="41" t="s">
        <v>104</v>
      </c>
      <c r="H668" s="41">
        <v>1</v>
      </c>
      <c r="I668" s="41">
        <v>1</v>
      </c>
      <c r="J668" s="108">
        <f>POWER(POWER(Table2[[#This Row],[mv]],4)*0.02,0.25)</f>
        <v>2.4067859795752931E-3</v>
      </c>
      <c r="K668" s="41">
        <v>0</v>
      </c>
      <c r="L668" s="41">
        <v>55</v>
      </c>
      <c r="M668" s="41">
        <v>-1</v>
      </c>
      <c r="N668" s="41">
        <v>4</v>
      </c>
      <c r="O668" s="110" t="s">
        <v>1131</v>
      </c>
      <c r="P668" s="109">
        <v>192338</v>
      </c>
      <c r="Q668" s="107"/>
      <c r="R668" s="111"/>
      <c r="S668" s="110" t="s">
        <v>1187</v>
      </c>
      <c r="T668"/>
      <c r="U668"/>
      <c r="V668"/>
    </row>
    <row r="669" spans="1:22" x14ac:dyDescent="0.3">
      <c r="A669" s="105">
        <v>668</v>
      </c>
      <c r="B669" s="41">
        <v>12000000</v>
      </c>
      <c r="C669" s="41">
        <v>6.4000000000000003E-3</v>
      </c>
      <c r="D669" s="41">
        <v>17.4481</v>
      </c>
      <c r="E669" s="41">
        <v>30</v>
      </c>
      <c r="F669" s="41">
        <v>0</v>
      </c>
      <c r="G669" s="41" t="s">
        <v>104</v>
      </c>
      <c r="H669" s="41">
        <v>1</v>
      </c>
      <c r="I669" s="41">
        <v>1</v>
      </c>
      <c r="J669" s="108">
        <f>POWER(POWER(Table2[[#This Row],[mv]],4)*0.02,0.25)</f>
        <v>2.4067859795752931E-3</v>
      </c>
      <c r="K669" s="41">
        <v>0</v>
      </c>
      <c r="L669" s="41">
        <v>55</v>
      </c>
      <c r="M669" s="41">
        <v>-1</v>
      </c>
      <c r="N669" s="41">
        <v>4</v>
      </c>
      <c r="O669" s="110" t="s">
        <v>1132</v>
      </c>
      <c r="P669" s="109">
        <v>192338</v>
      </c>
      <c r="Q669" s="107"/>
      <c r="R669" s="111"/>
      <c r="S669" s="110" t="s">
        <v>1187</v>
      </c>
      <c r="T669"/>
      <c r="U669"/>
      <c r="V669"/>
    </row>
    <row r="670" spans="1:22" x14ac:dyDescent="0.3">
      <c r="A670" s="105">
        <v>669</v>
      </c>
      <c r="B670" s="41">
        <v>12000000</v>
      </c>
      <c r="C670" s="41">
        <v>6.4000000000000003E-3</v>
      </c>
      <c r="D670" s="41">
        <v>19.0273</v>
      </c>
      <c r="E670" s="41">
        <v>30</v>
      </c>
      <c r="F670" s="41">
        <v>0</v>
      </c>
      <c r="G670" s="41" t="s">
        <v>104</v>
      </c>
      <c r="H670" s="41">
        <v>1</v>
      </c>
      <c r="I670" s="41">
        <v>1</v>
      </c>
      <c r="J670" s="108">
        <f>POWER(POWER(Table2[[#This Row],[mv]],4)*0.02,0.25)</f>
        <v>2.4067859795752931E-3</v>
      </c>
      <c r="K670" s="41">
        <v>0</v>
      </c>
      <c r="L670" s="41">
        <v>55</v>
      </c>
      <c r="M670" s="41">
        <v>-1</v>
      </c>
      <c r="N670" s="41">
        <v>4</v>
      </c>
      <c r="O670" s="110" t="s">
        <v>1133</v>
      </c>
      <c r="P670" s="109">
        <v>192338</v>
      </c>
      <c r="Q670" s="107"/>
      <c r="R670" s="111"/>
      <c r="S670" s="110" t="s">
        <v>1187</v>
      </c>
      <c r="T670"/>
      <c r="U670"/>
      <c r="V670"/>
    </row>
    <row r="671" spans="1:22" x14ac:dyDescent="0.3">
      <c r="A671" s="105">
        <v>670</v>
      </c>
      <c r="B671" s="41">
        <v>12000000</v>
      </c>
      <c r="C671" s="41">
        <v>7.0000000000000001E-3</v>
      </c>
      <c r="D671" s="41">
        <v>16</v>
      </c>
      <c r="E671" s="41">
        <v>30</v>
      </c>
      <c r="F671" s="41">
        <v>0</v>
      </c>
      <c r="G671" s="41" t="s">
        <v>104</v>
      </c>
      <c r="H671" s="41">
        <v>1</v>
      </c>
      <c r="I671" s="41">
        <v>1</v>
      </c>
      <c r="J671" s="108">
        <f>POWER(POWER(Table2[[#This Row],[mv]],4)*0.02,0.25)</f>
        <v>2.6324221651604762E-3</v>
      </c>
      <c r="K671" s="41">
        <v>0</v>
      </c>
      <c r="L671" s="41">
        <v>55</v>
      </c>
      <c r="M671" s="41">
        <v>-1</v>
      </c>
      <c r="N671" s="41">
        <v>4</v>
      </c>
      <c r="O671" s="110" t="s">
        <v>1134</v>
      </c>
      <c r="P671" s="109">
        <v>192338</v>
      </c>
      <c r="Q671" s="107"/>
      <c r="R671" s="111"/>
      <c r="S671" s="110" t="s">
        <v>1187</v>
      </c>
      <c r="T671"/>
      <c r="U671"/>
      <c r="V671"/>
    </row>
    <row r="672" spans="1:22" x14ac:dyDescent="0.3">
      <c r="A672" s="105">
        <v>671</v>
      </c>
      <c r="B672" s="41">
        <v>12000000</v>
      </c>
      <c r="C672" s="41">
        <v>7.0000000000000001E-3</v>
      </c>
      <c r="D672" s="41">
        <v>17.4481</v>
      </c>
      <c r="E672" s="41">
        <v>30</v>
      </c>
      <c r="F672" s="41">
        <v>0</v>
      </c>
      <c r="G672" s="41" t="s">
        <v>104</v>
      </c>
      <c r="H672" s="41">
        <v>1</v>
      </c>
      <c r="I672" s="41">
        <v>1</v>
      </c>
      <c r="J672" s="108">
        <f>POWER(POWER(Table2[[#This Row],[mv]],4)*0.02,0.25)</f>
        <v>2.6324221651604762E-3</v>
      </c>
      <c r="K672" s="41">
        <v>0</v>
      </c>
      <c r="L672" s="41">
        <v>55</v>
      </c>
      <c r="M672" s="41">
        <v>-1</v>
      </c>
      <c r="N672" s="41">
        <v>4</v>
      </c>
      <c r="O672" s="110" t="s">
        <v>1135</v>
      </c>
      <c r="P672" s="109">
        <v>192338</v>
      </c>
      <c r="Q672" s="107"/>
      <c r="R672" s="111"/>
      <c r="S672" s="110" t="s">
        <v>1187</v>
      </c>
      <c r="T672"/>
      <c r="U672"/>
      <c r="V672"/>
    </row>
    <row r="673" spans="1:22" x14ac:dyDescent="0.3">
      <c r="A673" s="105">
        <v>672</v>
      </c>
      <c r="B673" s="41">
        <v>12000000</v>
      </c>
      <c r="C673" s="41">
        <v>7.0000000000000001E-3</v>
      </c>
      <c r="D673" s="41">
        <v>19.0273</v>
      </c>
      <c r="E673" s="41">
        <v>30</v>
      </c>
      <c r="F673" s="41">
        <v>0</v>
      </c>
      <c r="G673" s="41" t="s">
        <v>104</v>
      </c>
      <c r="H673" s="41">
        <v>1</v>
      </c>
      <c r="I673" s="41">
        <v>1</v>
      </c>
      <c r="J673" s="108">
        <f>POWER(POWER(Table2[[#This Row],[mv]],4)*0.02,0.25)</f>
        <v>2.6324221651604762E-3</v>
      </c>
      <c r="K673" s="41">
        <v>0</v>
      </c>
      <c r="L673" s="41">
        <v>55</v>
      </c>
      <c r="M673" s="41">
        <v>-1</v>
      </c>
      <c r="N673" s="41">
        <v>4</v>
      </c>
      <c r="O673" s="110" t="s">
        <v>1136</v>
      </c>
      <c r="P673" s="109">
        <v>192338</v>
      </c>
      <c r="Q673" s="107"/>
      <c r="R673" s="111"/>
      <c r="S673" s="110" t="s">
        <v>1187</v>
      </c>
      <c r="T673"/>
      <c r="U673"/>
      <c r="V673"/>
    </row>
    <row r="674" spans="1:22" x14ac:dyDescent="0.3">
      <c r="A674" s="105">
        <v>673</v>
      </c>
      <c r="B674" s="41">
        <v>12000000</v>
      </c>
      <c r="C674" s="41">
        <v>7.6E-3</v>
      </c>
      <c r="D674" s="41">
        <v>19.0273</v>
      </c>
      <c r="E674" s="41">
        <v>30</v>
      </c>
      <c r="F674" s="41">
        <v>0</v>
      </c>
      <c r="G674" s="41" t="s">
        <v>104</v>
      </c>
      <c r="H674" s="41">
        <v>1</v>
      </c>
      <c r="I674" s="41">
        <v>1</v>
      </c>
      <c r="J674" s="108">
        <f>POWER(POWER(Table2[[#This Row],[mv]],4)*0.02,0.25)</f>
        <v>2.8580583507456588E-3</v>
      </c>
      <c r="K674" s="41">
        <v>0</v>
      </c>
      <c r="L674" s="41">
        <v>55</v>
      </c>
      <c r="M674" s="41">
        <v>-1</v>
      </c>
      <c r="N674" s="41">
        <v>4</v>
      </c>
      <c r="O674" s="110" t="s">
        <v>1137</v>
      </c>
      <c r="P674" s="109">
        <v>192338</v>
      </c>
      <c r="Q674" s="107"/>
      <c r="R674" s="111"/>
      <c r="S674" s="110" t="s">
        <v>1187</v>
      </c>
      <c r="T674"/>
      <c r="U674"/>
      <c r="V674"/>
    </row>
    <row r="675" spans="1:22" x14ac:dyDescent="0.3">
      <c r="A675" s="105">
        <v>674</v>
      </c>
      <c r="B675" s="41">
        <v>12000000</v>
      </c>
      <c r="C675" s="41">
        <v>2.8999999999999998E-3</v>
      </c>
      <c r="D675" s="41">
        <v>3.3635999999999999</v>
      </c>
      <c r="E675" s="41">
        <v>30</v>
      </c>
      <c r="F675" s="41">
        <v>0</v>
      </c>
      <c r="G675" s="41" t="s">
        <v>104</v>
      </c>
      <c r="H675" s="41">
        <v>0</v>
      </c>
      <c r="I675" s="41">
        <v>1</v>
      </c>
      <c r="J675" s="108">
        <f>POWER(POWER(Table2[[#This Row],[mv]],4)/10,0.25)</f>
        <v>1.6307898430520129E-3</v>
      </c>
      <c r="K675" s="41">
        <v>0</v>
      </c>
      <c r="L675" s="41">
        <v>55</v>
      </c>
      <c r="M675" s="41">
        <v>-1</v>
      </c>
      <c r="N675" s="41">
        <v>4</v>
      </c>
      <c r="O675" s="110" t="s">
        <v>1190</v>
      </c>
      <c r="P675" s="109">
        <v>192342</v>
      </c>
      <c r="Q675" s="107"/>
      <c r="R675" s="111"/>
      <c r="S675" s="110">
        <v>9427450</v>
      </c>
      <c r="T675"/>
      <c r="U675"/>
      <c r="V675"/>
    </row>
    <row r="676" spans="1:22" x14ac:dyDescent="0.3">
      <c r="A676" s="105">
        <v>675</v>
      </c>
      <c r="B676" s="41">
        <v>12000000</v>
      </c>
      <c r="C676" s="41">
        <v>2.8999999999999998E-3</v>
      </c>
      <c r="D676" s="41">
        <v>3.6680000000000001</v>
      </c>
      <c r="E676" s="41">
        <v>30</v>
      </c>
      <c r="F676" s="41">
        <v>0</v>
      </c>
      <c r="G676" s="41" t="s">
        <v>104</v>
      </c>
      <c r="H676" s="41">
        <v>0</v>
      </c>
      <c r="I676" s="41">
        <v>1</v>
      </c>
      <c r="J676" s="108">
        <f>POWER(POWER(Table2[[#This Row],[mv]],4)/10,0.25)</f>
        <v>1.6307898430520129E-3</v>
      </c>
      <c r="K676" s="41">
        <v>0</v>
      </c>
      <c r="L676" s="41">
        <v>55</v>
      </c>
      <c r="M676" s="41">
        <v>-1</v>
      </c>
      <c r="N676" s="41">
        <v>4</v>
      </c>
      <c r="O676" s="110" t="s">
        <v>1191</v>
      </c>
      <c r="P676" s="109">
        <v>192342</v>
      </c>
      <c r="Q676" s="107"/>
      <c r="R676" s="111"/>
      <c r="S676" s="110">
        <v>9427450</v>
      </c>
      <c r="T676"/>
      <c r="U676"/>
      <c r="V676"/>
    </row>
    <row r="677" spans="1:22" x14ac:dyDescent="0.3">
      <c r="A677" s="105">
        <v>676</v>
      </c>
      <c r="B677" s="41">
        <v>12000000</v>
      </c>
      <c r="C677" s="41">
        <v>2.8999999999999998E-3</v>
      </c>
      <c r="D677" s="41">
        <v>4</v>
      </c>
      <c r="E677" s="41">
        <v>30</v>
      </c>
      <c r="F677" s="41">
        <v>0</v>
      </c>
      <c r="G677" s="41" t="s">
        <v>104</v>
      </c>
      <c r="H677" s="41">
        <v>0</v>
      </c>
      <c r="I677" s="41">
        <v>1</v>
      </c>
      <c r="J677" s="108">
        <f>POWER(POWER(Table2[[#This Row],[mv]],4)/10,0.25)</f>
        <v>1.6307898430520129E-3</v>
      </c>
      <c r="K677" s="41">
        <v>0</v>
      </c>
      <c r="L677" s="41">
        <v>55</v>
      </c>
      <c r="M677" s="41">
        <v>-1</v>
      </c>
      <c r="N677" s="41">
        <v>4</v>
      </c>
      <c r="O677" s="110" t="s">
        <v>1192</v>
      </c>
      <c r="P677" s="109">
        <v>192342</v>
      </c>
      <c r="Q677" s="107"/>
      <c r="R677" s="111"/>
      <c r="S677" s="110">
        <v>9427450</v>
      </c>
      <c r="T677"/>
      <c r="U677"/>
      <c r="V677"/>
    </row>
    <row r="678" spans="1:22" x14ac:dyDescent="0.3">
      <c r="A678" s="105">
        <v>677</v>
      </c>
      <c r="B678" s="41">
        <v>12000000</v>
      </c>
      <c r="C678" s="41">
        <v>2.8999999999999998E-3</v>
      </c>
      <c r="D678" s="41">
        <v>4.3620000000000001</v>
      </c>
      <c r="E678" s="41">
        <v>30</v>
      </c>
      <c r="F678" s="41">
        <v>0</v>
      </c>
      <c r="G678" s="41" t="s">
        <v>104</v>
      </c>
      <c r="H678" s="41">
        <v>0</v>
      </c>
      <c r="I678" s="41">
        <v>1</v>
      </c>
      <c r="J678" s="108">
        <f>POWER(POWER(Table2[[#This Row],[mv]],4)/10,0.25)</f>
        <v>1.6307898430520129E-3</v>
      </c>
      <c r="K678" s="41">
        <v>0</v>
      </c>
      <c r="L678" s="41">
        <v>55</v>
      </c>
      <c r="M678" s="41">
        <v>-1</v>
      </c>
      <c r="N678" s="41">
        <v>4</v>
      </c>
      <c r="O678" s="110" t="s">
        <v>1193</v>
      </c>
      <c r="P678" s="109">
        <v>192342</v>
      </c>
      <c r="Q678" s="107"/>
      <c r="R678" s="111"/>
      <c r="S678" s="110">
        <v>9427450</v>
      </c>
      <c r="T678"/>
      <c r="U678"/>
      <c r="V678"/>
    </row>
    <row r="679" spans="1:22" x14ac:dyDescent="0.3">
      <c r="A679" s="105">
        <v>678</v>
      </c>
      <c r="B679" s="41">
        <v>12000000</v>
      </c>
      <c r="C679" s="41">
        <v>2.8999999999999998E-3</v>
      </c>
      <c r="D679" s="41">
        <v>4.7568000000000001</v>
      </c>
      <c r="E679" s="41">
        <v>30</v>
      </c>
      <c r="F679" s="41">
        <v>0</v>
      </c>
      <c r="G679" s="41" t="s">
        <v>104</v>
      </c>
      <c r="H679" s="41">
        <v>0</v>
      </c>
      <c r="I679" s="41">
        <v>1</v>
      </c>
      <c r="J679" s="108">
        <f>POWER(POWER(Table2[[#This Row],[mv]],4)/10,0.25)</f>
        <v>1.6307898430520129E-3</v>
      </c>
      <c r="K679" s="41">
        <v>0</v>
      </c>
      <c r="L679" s="41">
        <v>55</v>
      </c>
      <c r="M679" s="41">
        <v>-1</v>
      </c>
      <c r="N679" s="41">
        <v>4</v>
      </c>
      <c r="O679" s="110" t="s">
        <v>1194</v>
      </c>
      <c r="P679" s="109">
        <v>192342</v>
      </c>
      <c r="Q679" s="107"/>
      <c r="R679" s="111"/>
      <c r="S679" s="110">
        <v>9427450</v>
      </c>
      <c r="T679"/>
      <c r="U679"/>
      <c r="V679"/>
    </row>
    <row r="680" spans="1:22" x14ac:dyDescent="0.3">
      <c r="A680" s="105">
        <v>679</v>
      </c>
      <c r="B680" s="41">
        <v>12000000</v>
      </c>
      <c r="C680" s="41">
        <v>2.8999999999999998E-3</v>
      </c>
      <c r="D680" s="41">
        <v>5.1874000000000002</v>
      </c>
      <c r="E680" s="41">
        <v>30</v>
      </c>
      <c r="F680" s="41">
        <v>0</v>
      </c>
      <c r="G680" s="41" t="s">
        <v>104</v>
      </c>
      <c r="H680" s="41">
        <v>0</v>
      </c>
      <c r="I680" s="41">
        <v>1</v>
      </c>
      <c r="J680" s="108">
        <f>POWER(POWER(Table2[[#This Row],[mv]],4)/10,0.25)</f>
        <v>1.6307898430520129E-3</v>
      </c>
      <c r="K680" s="41">
        <v>0</v>
      </c>
      <c r="L680" s="41">
        <v>55</v>
      </c>
      <c r="M680" s="41">
        <v>-1</v>
      </c>
      <c r="N680" s="41">
        <v>4</v>
      </c>
      <c r="O680" s="110" t="s">
        <v>1195</v>
      </c>
      <c r="P680" s="109">
        <v>192342</v>
      </c>
      <c r="Q680" s="107"/>
      <c r="R680" s="111"/>
      <c r="S680" s="110">
        <v>9427450</v>
      </c>
      <c r="T680"/>
      <c r="U680"/>
      <c r="V680"/>
    </row>
    <row r="681" spans="1:22" x14ac:dyDescent="0.3">
      <c r="A681" s="105">
        <v>680</v>
      </c>
      <c r="B681" s="41">
        <v>12000000</v>
      </c>
      <c r="C681" s="41">
        <v>2.8999999999999998E-3</v>
      </c>
      <c r="D681" s="41">
        <v>5.6569000000000003</v>
      </c>
      <c r="E681" s="41">
        <v>30</v>
      </c>
      <c r="F681" s="41">
        <v>0</v>
      </c>
      <c r="G681" s="41" t="s">
        <v>104</v>
      </c>
      <c r="H681" s="41">
        <v>0</v>
      </c>
      <c r="I681" s="41">
        <v>1</v>
      </c>
      <c r="J681" s="108">
        <f>POWER(POWER(Table2[[#This Row],[mv]],4)/10,0.25)</f>
        <v>1.6307898430520129E-3</v>
      </c>
      <c r="K681" s="41">
        <v>0</v>
      </c>
      <c r="L681" s="41">
        <v>55</v>
      </c>
      <c r="M681" s="41">
        <v>-1</v>
      </c>
      <c r="N681" s="41">
        <v>4</v>
      </c>
      <c r="O681" s="110" t="s">
        <v>1196</v>
      </c>
      <c r="P681" s="109">
        <v>192342</v>
      </c>
      <c r="Q681" s="107"/>
      <c r="R681" s="111"/>
      <c r="S681" s="110">
        <v>9427450</v>
      </c>
      <c r="T681"/>
      <c r="U681"/>
      <c r="V681"/>
    </row>
    <row r="682" spans="1:22" x14ac:dyDescent="0.3">
      <c r="A682" s="105">
        <v>681</v>
      </c>
      <c r="B682" s="41">
        <v>12000000</v>
      </c>
      <c r="C682" s="41">
        <v>2.8999999999999998E-3</v>
      </c>
      <c r="D682" s="41">
        <v>6.1688000000000001</v>
      </c>
      <c r="E682" s="41">
        <v>30</v>
      </c>
      <c r="F682" s="41">
        <v>0</v>
      </c>
      <c r="G682" s="41" t="s">
        <v>104</v>
      </c>
      <c r="H682" s="41">
        <v>0</v>
      </c>
      <c r="I682" s="41">
        <v>1</v>
      </c>
      <c r="J682" s="108">
        <f>POWER(POWER(Table2[[#This Row],[mv]],4)/10,0.25)</f>
        <v>1.6307898430520129E-3</v>
      </c>
      <c r="K682" s="41">
        <v>0</v>
      </c>
      <c r="L682" s="41">
        <v>55</v>
      </c>
      <c r="M682" s="41">
        <v>-1</v>
      </c>
      <c r="N682" s="41">
        <v>4</v>
      </c>
      <c r="O682" s="110" t="s">
        <v>1197</v>
      </c>
      <c r="P682" s="109">
        <v>192342</v>
      </c>
      <c r="Q682" s="107"/>
      <c r="R682" s="111"/>
      <c r="S682" s="110">
        <v>9427450</v>
      </c>
      <c r="T682"/>
      <c r="U682"/>
      <c r="V682"/>
    </row>
    <row r="683" spans="1:22" x14ac:dyDescent="0.3">
      <c r="A683" s="105">
        <v>682</v>
      </c>
      <c r="B683" s="41">
        <v>12000000</v>
      </c>
      <c r="C683" s="41">
        <v>2.8999999999999998E-3</v>
      </c>
      <c r="D683" s="41">
        <v>6.7271999999999998</v>
      </c>
      <c r="E683" s="41">
        <v>30</v>
      </c>
      <c r="F683" s="41">
        <v>0</v>
      </c>
      <c r="G683" s="41" t="s">
        <v>104</v>
      </c>
      <c r="H683" s="41">
        <v>0</v>
      </c>
      <c r="I683" s="41">
        <v>1</v>
      </c>
      <c r="J683" s="108">
        <f>POWER(POWER(Table2[[#This Row],[mv]],4)/10,0.25)</f>
        <v>1.6307898430520129E-3</v>
      </c>
      <c r="K683" s="41">
        <v>0</v>
      </c>
      <c r="L683" s="41">
        <v>55</v>
      </c>
      <c r="M683" s="41">
        <v>-1</v>
      </c>
      <c r="N683" s="41">
        <v>4</v>
      </c>
      <c r="O683" s="110" t="s">
        <v>1198</v>
      </c>
      <c r="P683" s="109">
        <v>192342</v>
      </c>
      <c r="Q683" s="107"/>
      <c r="R683" s="111"/>
      <c r="S683" s="110">
        <v>9427450</v>
      </c>
      <c r="T683"/>
      <c r="U683"/>
      <c r="V683"/>
    </row>
    <row r="684" spans="1:22" x14ac:dyDescent="0.3">
      <c r="A684" s="105">
        <v>683</v>
      </c>
      <c r="B684" s="41">
        <v>12000000</v>
      </c>
      <c r="C684" s="41">
        <v>2.8999999999999998E-3</v>
      </c>
      <c r="D684" s="41">
        <v>7.3360000000000003</v>
      </c>
      <c r="E684" s="41">
        <v>30</v>
      </c>
      <c r="F684" s="41">
        <v>0</v>
      </c>
      <c r="G684" s="41" t="s">
        <v>104</v>
      </c>
      <c r="H684" s="41">
        <v>0</v>
      </c>
      <c r="I684" s="41">
        <v>1</v>
      </c>
      <c r="J684" s="108">
        <f>POWER(POWER(Table2[[#This Row],[mv]],4)/10,0.25)</f>
        <v>1.6307898430520129E-3</v>
      </c>
      <c r="K684" s="41">
        <v>0</v>
      </c>
      <c r="L684" s="41">
        <v>55</v>
      </c>
      <c r="M684" s="41">
        <v>-1</v>
      </c>
      <c r="N684" s="41">
        <v>4</v>
      </c>
      <c r="O684" s="110" t="s">
        <v>1199</v>
      </c>
      <c r="P684" s="109">
        <v>192342</v>
      </c>
      <c r="Q684" s="107"/>
      <c r="R684" s="111"/>
      <c r="S684" s="110">
        <v>9427450</v>
      </c>
      <c r="T684"/>
      <c r="U684"/>
      <c r="V684"/>
    </row>
    <row r="685" spans="1:22" x14ac:dyDescent="0.3">
      <c r="A685" s="105">
        <v>684</v>
      </c>
      <c r="B685" s="41">
        <v>12000000</v>
      </c>
      <c r="C685" s="41">
        <v>2.8999999999999998E-3</v>
      </c>
      <c r="D685" s="41">
        <v>8</v>
      </c>
      <c r="E685" s="41">
        <v>30</v>
      </c>
      <c r="F685" s="41">
        <v>0</v>
      </c>
      <c r="G685" s="41" t="s">
        <v>104</v>
      </c>
      <c r="H685" s="41">
        <v>0</v>
      </c>
      <c r="I685" s="41">
        <v>1</v>
      </c>
      <c r="J685" s="108">
        <f>POWER(POWER(Table2[[#This Row],[mv]],4)/10,0.25)</f>
        <v>1.6307898430520129E-3</v>
      </c>
      <c r="K685" s="41">
        <v>0</v>
      </c>
      <c r="L685" s="41">
        <v>55</v>
      </c>
      <c r="M685" s="41">
        <v>-1</v>
      </c>
      <c r="N685" s="41">
        <v>4</v>
      </c>
      <c r="O685" s="110" t="s">
        <v>1200</v>
      </c>
      <c r="P685" s="109">
        <v>192342</v>
      </c>
      <c r="Q685" s="107"/>
      <c r="R685" s="111"/>
      <c r="S685" s="110">
        <v>9427450</v>
      </c>
      <c r="T685"/>
      <c r="U685"/>
      <c r="V685"/>
    </row>
    <row r="686" spans="1:22" x14ac:dyDescent="0.3">
      <c r="A686" s="105">
        <v>685</v>
      </c>
      <c r="B686" s="41">
        <v>12000000</v>
      </c>
      <c r="C686" s="41">
        <v>2.8999999999999998E-3</v>
      </c>
      <c r="D686" s="41">
        <v>8.7241</v>
      </c>
      <c r="E686" s="41">
        <v>30</v>
      </c>
      <c r="F686" s="41">
        <v>0</v>
      </c>
      <c r="G686" s="41" t="s">
        <v>104</v>
      </c>
      <c r="H686" s="41">
        <v>0</v>
      </c>
      <c r="I686" s="41">
        <v>1</v>
      </c>
      <c r="J686" s="108">
        <f>POWER(POWER(Table2[[#This Row],[mv]],4)/10,0.25)</f>
        <v>1.6307898430520129E-3</v>
      </c>
      <c r="K686" s="41">
        <v>0</v>
      </c>
      <c r="L686" s="41">
        <v>55</v>
      </c>
      <c r="M686" s="41">
        <v>-1</v>
      </c>
      <c r="N686" s="41">
        <v>4</v>
      </c>
      <c r="O686" s="110" t="s">
        <v>1201</v>
      </c>
      <c r="P686" s="109">
        <v>192342</v>
      </c>
      <c r="Q686" s="107"/>
      <c r="R686" s="111"/>
      <c r="S686" s="110">
        <v>9427450</v>
      </c>
      <c r="T686"/>
      <c r="U686"/>
      <c r="V686"/>
    </row>
    <row r="687" spans="1:22" x14ac:dyDescent="0.3">
      <c r="A687" s="105">
        <v>686</v>
      </c>
      <c r="B687" s="41">
        <v>12000000</v>
      </c>
      <c r="C687" s="41">
        <v>2.8999999999999998E-3</v>
      </c>
      <c r="D687" s="41">
        <v>9.5137</v>
      </c>
      <c r="E687" s="41">
        <v>30</v>
      </c>
      <c r="F687" s="41">
        <v>0</v>
      </c>
      <c r="G687" s="41" t="s">
        <v>104</v>
      </c>
      <c r="H687" s="41">
        <v>0</v>
      </c>
      <c r="I687" s="41">
        <v>1</v>
      </c>
      <c r="J687" s="108">
        <f>POWER(POWER(Table2[[#This Row],[mv]],4)/10,0.25)</f>
        <v>1.6307898430520129E-3</v>
      </c>
      <c r="K687" s="41">
        <v>0</v>
      </c>
      <c r="L687" s="41">
        <v>55</v>
      </c>
      <c r="M687" s="41">
        <v>-1</v>
      </c>
      <c r="N687" s="41">
        <v>4</v>
      </c>
      <c r="O687" s="110" t="s">
        <v>1202</v>
      </c>
      <c r="P687" s="109">
        <v>192342</v>
      </c>
      <c r="Q687" s="107"/>
      <c r="R687" s="111"/>
      <c r="S687" s="110">
        <v>9427450</v>
      </c>
      <c r="T687"/>
      <c r="U687"/>
      <c r="V687"/>
    </row>
    <row r="688" spans="1:22" x14ac:dyDescent="0.3">
      <c r="A688" s="105">
        <v>687</v>
      </c>
      <c r="B688" s="41">
        <v>12000000</v>
      </c>
      <c r="C688" s="41">
        <v>2.8999999999999998E-3</v>
      </c>
      <c r="D688" s="41">
        <v>10.374700000000001</v>
      </c>
      <c r="E688" s="41">
        <v>30</v>
      </c>
      <c r="F688" s="41">
        <v>0</v>
      </c>
      <c r="G688" s="41" t="s">
        <v>104</v>
      </c>
      <c r="H688" s="41">
        <v>0</v>
      </c>
      <c r="I688" s="41">
        <v>1</v>
      </c>
      <c r="J688" s="108">
        <f>POWER(POWER(Table2[[#This Row],[mv]],4)/10,0.25)</f>
        <v>1.6307898430520129E-3</v>
      </c>
      <c r="K688" s="41">
        <v>0</v>
      </c>
      <c r="L688" s="41">
        <v>55</v>
      </c>
      <c r="M688" s="41">
        <v>-1</v>
      </c>
      <c r="N688" s="41">
        <v>4</v>
      </c>
      <c r="O688" s="110" t="s">
        <v>1203</v>
      </c>
      <c r="P688" s="109">
        <v>192342</v>
      </c>
      <c r="Q688" s="107"/>
      <c r="R688" s="111"/>
      <c r="S688" s="110">
        <v>9427450</v>
      </c>
      <c r="T688"/>
      <c r="U688"/>
      <c r="V688"/>
    </row>
    <row r="689" spans="1:22" x14ac:dyDescent="0.3">
      <c r="A689" s="105">
        <v>688</v>
      </c>
      <c r="B689" s="41">
        <v>12000000</v>
      </c>
      <c r="C689" s="41">
        <v>2.8999999999999998E-3</v>
      </c>
      <c r="D689" s="41">
        <v>11.313700000000001</v>
      </c>
      <c r="E689" s="41">
        <v>30</v>
      </c>
      <c r="F689" s="41">
        <v>0</v>
      </c>
      <c r="G689" s="41" t="s">
        <v>104</v>
      </c>
      <c r="H689" s="41">
        <v>0</v>
      </c>
      <c r="I689" s="41">
        <v>1</v>
      </c>
      <c r="J689" s="108">
        <f>POWER(POWER(Table2[[#This Row],[mv]],4)/10,0.25)</f>
        <v>1.6307898430520129E-3</v>
      </c>
      <c r="K689" s="41">
        <v>0</v>
      </c>
      <c r="L689" s="41">
        <v>55</v>
      </c>
      <c r="M689" s="41">
        <v>-1</v>
      </c>
      <c r="N689" s="41">
        <v>4</v>
      </c>
      <c r="O689" s="110" t="s">
        <v>1204</v>
      </c>
      <c r="P689" s="109">
        <v>192342</v>
      </c>
      <c r="Q689" s="107"/>
      <c r="R689" s="111"/>
      <c r="S689" s="110">
        <v>9427450</v>
      </c>
      <c r="T689"/>
      <c r="U689"/>
      <c r="V689"/>
    </row>
    <row r="690" spans="1:22" x14ac:dyDescent="0.3">
      <c r="A690" s="105">
        <v>689</v>
      </c>
      <c r="B690" s="41">
        <v>12000000</v>
      </c>
      <c r="C690" s="41">
        <v>2.8999999999999998E-3</v>
      </c>
      <c r="D690" s="41">
        <v>12.3377</v>
      </c>
      <c r="E690" s="41">
        <v>30</v>
      </c>
      <c r="F690" s="41">
        <v>0</v>
      </c>
      <c r="G690" s="41" t="s">
        <v>104</v>
      </c>
      <c r="H690" s="41">
        <v>0</v>
      </c>
      <c r="I690" s="41">
        <v>1</v>
      </c>
      <c r="J690" s="108">
        <f>POWER(POWER(Table2[[#This Row],[mv]],4)/10,0.25)</f>
        <v>1.6307898430520129E-3</v>
      </c>
      <c r="K690" s="41">
        <v>0</v>
      </c>
      <c r="L690" s="41">
        <v>55</v>
      </c>
      <c r="M690" s="41">
        <v>-1</v>
      </c>
      <c r="N690" s="41">
        <v>4</v>
      </c>
      <c r="O690" s="111" t="s">
        <v>1205</v>
      </c>
      <c r="P690" s="109">
        <v>192342</v>
      </c>
      <c r="Q690" s="41"/>
      <c r="R690" s="111"/>
      <c r="S690" s="110">
        <v>9427450</v>
      </c>
      <c r="T690"/>
      <c r="U690"/>
      <c r="V690"/>
    </row>
    <row r="691" spans="1:22" x14ac:dyDescent="0.3">
      <c r="A691" s="105">
        <v>690</v>
      </c>
      <c r="B691" s="41">
        <v>12000000</v>
      </c>
      <c r="C691" s="41">
        <v>2.8999999999999998E-3</v>
      </c>
      <c r="D691" s="41">
        <v>13.4543</v>
      </c>
      <c r="E691" s="41">
        <v>30</v>
      </c>
      <c r="F691" s="41">
        <v>0</v>
      </c>
      <c r="G691" s="41" t="s">
        <v>104</v>
      </c>
      <c r="H691" s="41">
        <v>0</v>
      </c>
      <c r="I691" s="41">
        <v>1</v>
      </c>
      <c r="J691" s="108">
        <f>POWER(POWER(Table2[[#This Row],[mv]],4)/10,0.25)</f>
        <v>1.6307898430520129E-3</v>
      </c>
      <c r="K691" s="41">
        <v>0</v>
      </c>
      <c r="L691" s="41">
        <v>55</v>
      </c>
      <c r="M691" s="41">
        <v>-1</v>
      </c>
      <c r="N691" s="41">
        <v>4</v>
      </c>
      <c r="O691" s="111" t="s">
        <v>1206</v>
      </c>
      <c r="P691" s="109">
        <v>192342</v>
      </c>
      <c r="Q691" s="41"/>
      <c r="R691" s="111"/>
      <c r="S691" s="110">
        <v>9427450</v>
      </c>
      <c r="T691"/>
      <c r="U691"/>
      <c r="V691"/>
    </row>
    <row r="692" spans="1:22" x14ac:dyDescent="0.3">
      <c r="A692" s="105">
        <v>691</v>
      </c>
      <c r="B692" s="41">
        <v>12000000</v>
      </c>
      <c r="C692" s="41">
        <v>2.8999999999999998E-3</v>
      </c>
      <c r="D692" s="41">
        <v>14.6721</v>
      </c>
      <c r="E692" s="41">
        <v>30</v>
      </c>
      <c r="F692" s="41">
        <v>0</v>
      </c>
      <c r="G692" s="41" t="s">
        <v>104</v>
      </c>
      <c r="H692" s="41">
        <v>0</v>
      </c>
      <c r="I692" s="41">
        <v>1</v>
      </c>
      <c r="J692" s="108">
        <f>POWER(POWER(Table2[[#This Row],[mv]],4)/10,0.25)</f>
        <v>1.6307898430520129E-3</v>
      </c>
      <c r="K692" s="41">
        <v>0</v>
      </c>
      <c r="L692" s="41">
        <v>55</v>
      </c>
      <c r="M692" s="41">
        <v>-1</v>
      </c>
      <c r="N692" s="41">
        <v>4</v>
      </c>
      <c r="O692" s="111" t="s">
        <v>1207</v>
      </c>
      <c r="P692" s="109">
        <v>192342</v>
      </c>
      <c r="Q692" s="41"/>
      <c r="R692" s="111"/>
      <c r="S692" s="110">
        <v>9427450</v>
      </c>
      <c r="T692"/>
      <c r="U692"/>
      <c r="V692"/>
    </row>
    <row r="693" spans="1:22" x14ac:dyDescent="0.3">
      <c r="A693" s="105">
        <v>692</v>
      </c>
      <c r="B693" s="41">
        <v>12000000</v>
      </c>
      <c r="C693" s="41">
        <v>2.8999999999999998E-3</v>
      </c>
      <c r="D693" s="41">
        <v>16</v>
      </c>
      <c r="E693" s="41">
        <v>30</v>
      </c>
      <c r="F693" s="41">
        <v>0</v>
      </c>
      <c r="G693" s="41" t="s">
        <v>104</v>
      </c>
      <c r="H693" s="41">
        <v>0</v>
      </c>
      <c r="I693" s="41">
        <v>1</v>
      </c>
      <c r="J693" s="108">
        <f>POWER(POWER(Table2[[#This Row],[mv]],4)/10,0.25)</f>
        <v>1.6307898430520129E-3</v>
      </c>
      <c r="K693" s="41">
        <v>0</v>
      </c>
      <c r="L693" s="41">
        <v>55</v>
      </c>
      <c r="M693" s="41">
        <v>-1</v>
      </c>
      <c r="N693" s="41">
        <v>4</v>
      </c>
      <c r="O693" s="111" t="s">
        <v>1208</v>
      </c>
      <c r="P693" s="109">
        <v>192342</v>
      </c>
      <c r="Q693" s="41"/>
      <c r="R693" s="111"/>
      <c r="S693" s="110">
        <v>9427450</v>
      </c>
      <c r="T693"/>
      <c r="U693"/>
      <c r="V693"/>
    </row>
    <row r="694" spans="1:22" x14ac:dyDescent="0.3">
      <c r="A694" s="105">
        <v>693</v>
      </c>
      <c r="B694" s="41">
        <v>12000000</v>
      </c>
      <c r="C694" s="41">
        <v>2.8999999999999998E-3</v>
      </c>
      <c r="D694" s="41">
        <v>17.4481</v>
      </c>
      <c r="E694" s="41">
        <v>30</v>
      </c>
      <c r="F694" s="41">
        <v>0</v>
      </c>
      <c r="G694" s="41" t="s">
        <v>104</v>
      </c>
      <c r="H694" s="41">
        <v>0</v>
      </c>
      <c r="I694" s="41">
        <v>1</v>
      </c>
      <c r="J694" s="108">
        <f>POWER(POWER(Table2[[#This Row],[mv]],4)/10,0.25)</f>
        <v>1.6307898430520129E-3</v>
      </c>
      <c r="K694" s="41">
        <v>0</v>
      </c>
      <c r="L694" s="41">
        <v>55</v>
      </c>
      <c r="M694" s="41">
        <v>-1</v>
      </c>
      <c r="N694" s="41">
        <v>4</v>
      </c>
      <c r="O694" s="111" t="s">
        <v>1209</v>
      </c>
      <c r="P694" s="109">
        <v>192342</v>
      </c>
      <c r="Q694" s="41"/>
      <c r="R694" s="111"/>
      <c r="S694" s="110">
        <v>9427450</v>
      </c>
      <c r="V694"/>
    </row>
    <row r="695" spans="1:22" x14ac:dyDescent="0.3">
      <c r="A695" s="105">
        <v>694</v>
      </c>
      <c r="B695" s="41">
        <v>12000000</v>
      </c>
      <c r="C695" s="41">
        <v>2.8999999999999998E-3</v>
      </c>
      <c r="D695" s="41">
        <v>19.0273</v>
      </c>
      <c r="E695" s="41">
        <v>30</v>
      </c>
      <c r="F695" s="41">
        <v>0</v>
      </c>
      <c r="G695" s="41" t="s">
        <v>104</v>
      </c>
      <c r="H695" s="41">
        <v>0</v>
      </c>
      <c r="I695" s="41">
        <v>1</v>
      </c>
      <c r="J695" s="108">
        <f>POWER(POWER(Table2[[#This Row],[mv]],4)/10,0.25)</f>
        <v>1.6307898430520129E-3</v>
      </c>
      <c r="K695" s="41">
        <v>0</v>
      </c>
      <c r="L695" s="41">
        <v>55</v>
      </c>
      <c r="M695" s="41">
        <v>-1</v>
      </c>
      <c r="N695" s="41">
        <v>4</v>
      </c>
      <c r="O695" s="111" t="s">
        <v>1210</v>
      </c>
      <c r="P695" s="109">
        <v>192342</v>
      </c>
      <c r="Q695" s="41"/>
      <c r="R695" s="111"/>
      <c r="S695" s="110">
        <v>9427450</v>
      </c>
      <c r="V695"/>
    </row>
    <row r="696" spans="1:22" x14ac:dyDescent="0.3">
      <c r="A696" s="105">
        <v>695</v>
      </c>
      <c r="B696" s="41">
        <v>12000000</v>
      </c>
      <c r="C696" s="41">
        <v>3.2000000000000002E-3</v>
      </c>
      <c r="D696" s="41">
        <v>3.3635999999999999</v>
      </c>
      <c r="E696" s="41">
        <v>30</v>
      </c>
      <c r="F696" s="41">
        <v>0</v>
      </c>
      <c r="G696" s="41" t="s">
        <v>104</v>
      </c>
      <c r="H696" s="41">
        <v>0</v>
      </c>
      <c r="I696" s="41">
        <v>1</v>
      </c>
      <c r="J696" s="108">
        <f>POWER(POWER(Table2[[#This Row],[mv]],4)/10,0.25)</f>
        <v>1.7994922406091175E-3</v>
      </c>
      <c r="K696" s="41">
        <v>0</v>
      </c>
      <c r="L696" s="41">
        <v>55</v>
      </c>
      <c r="M696" s="41">
        <v>-1</v>
      </c>
      <c r="N696" s="41">
        <v>4</v>
      </c>
      <c r="O696" s="111" t="s">
        <v>1211</v>
      </c>
      <c r="P696" s="109">
        <v>192342</v>
      </c>
      <c r="Q696" s="41"/>
      <c r="R696" s="111"/>
      <c r="S696" s="110">
        <v>9427450</v>
      </c>
      <c r="V696"/>
    </row>
    <row r="697" spans="1:22" x14ac:dyDescent="0.3">
      <c r="A697" s="105">
        <v>696</v>
      </c>
      <c r="B697" s="41">
        <v>12000000</v>
      </c>
      <c r="C697" s="41">
        <v>3.2000000000000002E-3</v>
      </c>
      <c r="D697" s="41">
        <v>3.6680000000000001</v>
      </c>
      <c r="E697" s="41">
        <v>30</v>
      </c>
      <c r="F697" s="41">
        <v>0</v>
      </c>
      <c r="G697" s="41" t="s">
        <v>104</v>
      </c>
      <c r="H697" s="41">
        <v>0</v>
      </c>
      <c r="I697" s="41">
        <v>1</v>
      </c>
      <c r="J697" s="108">
        <f>POWER(POWER(Table2[[#This Row],[mv]],4)/10,0.25)</f>
        <v>1.7994922406091175E-3</v>
      </c>
      <c r="K697" s="41">
        <v>0</v>
      </c>
      <c r="L697" s="41">
        <v>55</v>
      </c>
      <c r="M697" s="41">
        <v>-1</v>
      </c>
      <c r="N697" s="41">
        <v>4</v>
      </c>
      <c r="O697" s="111" t="s">
        <v>1212</v>
      </c>
      <c r="P697" s="109">
        <v>192342</v>
      </c>
      <c r="Q697" s="41"/>
      <c r="R697" s="111"/>
      <c r="S697" s="110">
        <v>9427450</v>
      </c>
      <c r="V697"/>
    </row>
    <row r="698" spans="1:22" x14ac:dyDescent="0.3">
      <c r="A698" s="105">
        <v>697</v>
      </c>
      <c r="B698" s="41">
        <v>12000000</v>
      </c>
      <c r="C698" s="41">
        <v>3.2000000000000002E-3</v>
      </c>
      <c r="D698" s="41">
        <v>4</v>
      </c>
      <c r="E698" s="41">
        <v>30</v>
      </c>
      <c r="F698" s="41">
        <v>0</v>
      </c>
      <c r="G698" s="41" t="s">
        <v>104</v>
      </c>
      <c r="H698" s="41">
        <v>0</v>
      </c>
      <c r="I698" s="41">
        <v>1</v>
      </c>
      <c r="J698" s="108">
        <f>POWER(POWER(Table2[[#This Row],[mv]],4)/10,0.25)</f>
        <v>1.7994922406091175E-3</v>
      </c>
      <c r="K698" s="41">
        <v>0</v>
      </c>
      <c r="L698" s="41">
        <v>55</v>
      </c>
      <c r="M698" s="41">
        <v>-1</v>
      </c>
      <c r="N698" s="41">
        <v>4</v>
      </c>
      <c r="O698" s="111" t="s">
        <v>1213</v>
      </c>
      <c r="P698" s="109">
        <v>192342</v>
      </c>
      <c r="Q698" s="41"/>
      <c r="R698" s="111"/>
      <c r="S698" s="110">
        <v>9427450</v>
      </c>
      <c r="V698"/>
    </row>
    <row r="699" spans="1:22" x14ac:dyDescent="0.3">
      <c r="A699" s="105">
        <v>698</v>
      </c>
      <c r="B699" s="41">
        <v>12000000</v>
      </c>
      <c r="C699" s="41">
        <v>3.2000000000000002E-3</v>
      </c>
      <c r="D699" s="41">
        <v>4.3620000000000001</v>
      </c>
      <c r="E699" s="41">
        <v>30</v>
      </c>
      <c r="F699" s="41">
        <v>0</v>
      </c>
      <c r="G699" s="41" t="s">
        <v>104</v>
      </c>
      <c r="H699" s="41">
        <v>0</v>
      </c>
      <c r="I699" s="41">
        <v>1</v>
      </c>
      <c r="J699" s="108">
        <f>POWER(POWER(Table2[[#This Row],[mv]],4)/10,0.25)</f>
        <v>1.7994922406091175E-3</v>
      </c>
      <c r="K699" s="41">
        <v>0</v>
      </c>
      <c r="L699" s="41">
        <v>55</v>
      </c>
      <c r="M699" s="41">
        <v>-1</v>
      </c>
      <c r="N699" s="41">
        <v>4</v>
      </c>
      <c r="O699" s="111" t="s">
        <v>1214</v>
      </c>
      <c r="P699" s="109">
        <v>192342</v>
      </c>
      <c r="Q699" s="41"/>
      <c r="R699" s="111"/>
      <c r="S699" s="110">
        <v>9427450</v>
      </c>
      <c r="V699"/>
    </row>
    <row r="700" spans="1:22" x14ac:dyDescent="0.3">
      <c r="A700" s="105">
        <v>699</v>
      </c>
      <c r="B700" s="41">
        <v>12000000</v>
      </c>
      <c r="C700" s="41">
        <v>3.2000000000000002E-3</v>
      </c>
      <c r="D700" s="41">
        <v>4.7568000000000001</v>
      </c>
      <c r="E700" s="41">
        <v>30</v>
      </c>
      <c r="F700" s="41">
        <v>0</v>
      </c>
      <c r="G700" s="41" t="s">
        <v>104</v>
      </c>
      <c r="H700" s="41">
        <v>0</v>
      </c>
      <c r="I700" s="41">
        <v>1</v>
      </c>
      <c r="J700" s="108">
        <f>POWER(POWER(Table2[[#This Row],[mv]],4)/10,0.25)</f>
        <v>1.7994922406091175E-3</v>
      </c>
      <c r="K700" s="41">
        <v>0</v>
      </c>
      <c r="L700" s="41">
        <v>55</v>
      </c>
      <c r="M700" s="41">
        <v>-1</v>
      </c>
      <c r="N700" s="41">
        <v>4</v>
      </c>
      <c r="O700" s="111" t="s">
        <v>1215</v>
      </c>
      <c r="P700" s="109">
        <v>192342</v>
      </c>
      <c r="Q700" s="41"/>
      <c r="R700" s="111"/>
      <c r="S700" s="110">
        <v>9427450</v>
      </c>
      <c r="V700"/>
    </row>
    <row r="701" spans="1:22" x14ac:dyDescent="0.3">
      <c r="A701" s="105">
        <v>700</v>
      </c>
      <c r="B701" s="41">
        <v>12000000</v>
      </c>
      <c r="C701" s="41">
        <v>3.2000000000000002E-3</v>
      </c>
      <c r="D701" s="41">
        <v>5.1874000000000002</v>
      </c>
      <c r="E701" s="41">
        <v>30</v>
      </c>
      <c r="F701" s="41">
        <v>0</v>
      </c>
      <c r="G701" s="41" t="s">
        <v>104</v>
      </c>
      <c r="H701" s="41">
        <v>0</v>
      </c>
      <c r="I701" s="41">
        <v>1</v>
      </c>
      <c r="J701" s="108">
        <f>POWER(POWER(Table2[[#This Row],[mv]],4)/10,0.25)</f>
        <v>1.7994922406091175E-3</v>
      </c>
      <c r="K701" s="41">
        <v>0</v>
      </c>
      <c r="L701" s="41">
        <v>55</v>
      </c>
      <c r="M701" s="41">
        <v>-1</v>
      </c>
      <c r="N701" s="41">
        <v>4</v>
      </c>
      <c r="O701" s="111" t="s">
        <v>1216</v>
      </c>
      <c r="P701" s="109">
        <v>192342</v>
      </c>
      <c r="Q701" s="41"/>
      <c r="R701" s="111"/>
      <c r="S701" s="110">
        <v>9427450</v>
      </c>
      <c r="V701"/>
    </row>
    <row r="702" spans="1:22" x14ac:dyDescent="0.3">
      <c r="A702" s="105">
        <v>701</v>
      </c>
      <c r="B702" s="41">
        <v>12000000</v>
      </c>
      <c r="C702" s="41">
        <v>3.2000000000000002E-3</v>
      </c>
      <c r="D702" s="41">
        <v>5.6569000000000003</v>
      </c>
      <c r="E702" s="41">
        <v>30</v>
      </c>
      <c r="F702" s="41">
        <v>0</v>
      </c>
      <c r="G702" s="41" t="s">
        <v>104</v>
      </c>
      <c r="H702" s="41">
        <v>0</v>
      </c>
      <c r="I702" s="41">
        <v>1</v>
      </c>
      <c r="J702" s="108">
        <f>POWER(POWER(Table2[[#This Row],[mv]],4)/10,0.25)</f>
        <v>1.7994922406091175E-3</v>
      </c>
      <c r="K702" s="41">
        <v>0</v>
      </c>
      <c r="L702" s="41">
        <v>55</v>
      </c>
      <c r="M702" s="41">
        <v>-1</v>
      </c>
      <c r="N702" s="41">
        <v>4</v>
      </c>
      <c r="O702" s="111" t="s">
        <v>1217</v>
      </c>
      <c r="P702" s="109">
        <v>192342</v>
      </c>
      <c r="Q702" s="41"/>
      <c r="R702" s="111"/>
      <c r="S702" s="110">
        <v>9427450</v>
      </c>
      <c r="V702"/>
    </row>
    <row r="703" spans="1:22" x14ac:dyDescent="0.3">
      <c r="A703" s="105">
        <v>702</v>
      </c>
      <c r="B703" s="41">
        <v>12000000</v>
      </c>
      <c r="C703" s="41">
        <v>3.2000000000000002E-3</v>
      </c>
      <c r="D703" s="41">
        <v>6.1688000000000001</v>
      </c>
      <c r="E703" s="41">
        <v>30</v>
      </c>
      <c r="F703" s="41">
        <v>0</v>
      </c>
      <c r="G703" s="41" t="s">
        <v>104</v>
      </c>
      <c r="H703" s="41">
        <v>0</v>
      </c>
      <c r="I703" s="41">
        <v>1</v>
      </c>
      <c r="J703" s="108">
        <f>POWER(POWER(Table2[[#This Row],[mv]],4)/10,0.25)</f>
        <v>1.7994922406091175E-3</v>
      </c>
      <c r="K703" s="41">
        <v>0</v>
      </c>
      <c r="L703" s="41">
        <v>55</v>
      </c>
      <c r="M703" s="41">
        <v>-1</v>
      </c>
      <c r="N703" s="41">
        <v>4</v>
      </c>
      <c r="O703" s="111" t="s">
        <v>1218</v>
      </c>
      <c r="P703" s="109">
        <v>192342</v>
      </c>
      <c r="Q703" s="41"/>
      <c r="R703" s="111"/>
      <c r="S703" s="110">
        <v>9427450</v>
      </c>
      <c r="V703"/>
    </row>
    <row r="704" spans="1:22" x14ac:dyDescent="0.3">
      <c r="A704" s="105">
        <v>703</v>
      </c>
      <c r="B704" s="41">
        <v>12000000</v>
      </c>
      <c r="C704" s="41">
        <v>3.2000000000000002E-3</v>
      </c>
      <c r="D704" s="41">
        <v>6.7271999999999998</v>
      </c>
      <c r="E704" s="41">
        <v>30</v>
      </c>
      <c r="F704" s="41">
        <v>0</v>
      </c>
      <c r="G704" s="41" t="s">
        <v>104</v>
      </c>
      <c r="H704" s="41">
        <v>0</v>
      </c>
      <c r="I704" s="41">
        <v>1</v>
      </c>
      <c r="J704" s="108">
        <f>POWER(POWER(Table2[[#This Row],[mv]],4)/10,0.25)</f>
        <v>1.7994922406091175E-3</v>
      </c>
      <c r="K704" s="41">
        <v>0</v>
      </c>
      <c r="L704" s="41">
        <v>55</v>
      </c>
      <c r="M704" s="41">
        <v>-1</v>
      </c>
      <c r="N704" s="41">
        <v>4</v>
      </c>
      <c r="O704" s="111" t="s">
        <v>1219</v>
      </c>
      <c r="P704" s="109">
        <v>192342</v>
      </c>
      <c r="Q704" s="41"/>
      <c r="R704" s="111"/>
      <c r="S704" s="110">
        <v>9427450</v>
      </c>
      <c r="V704"/>
    </row>
    <row r="705" spans="1:22" x14ac:dyDescent="0.3">
      <c r="A705" s="105">
        <v>704</v>
      </c>
      <c r="B705" s="41">
        <v>12000000</v>
      </c>
      <c r="C705" s="41">
        <v>3.2000000000000002E-3</v>
      </c>
      <c r="D705" s="41">
        <v>7.3360000000000003</v>
      </c>
      <c r="E705" s="41">
        <v>30</v>
      </c>
      <c r="F705" s="41">
        <v>0</v>
      </c>
      <c r="G705" s="41" t="s">
        <v>104</v>
      </c>
      <c r="H705" s="41">
        <v>0</v>
      </c>
      <c r="I705" s="41">
        <v>1</v>
      </c>
      <c r="J705" s="108">
        <f>POWER(POWER(Table2[[#This Row],[mv]],4)/10,0.25)</f>
        <v>1.7994922406091175E-3</v>
      </c>
      <c r="K705" s="41">
        <v>0</v>
      </c>
      <c r="L705" s="41">
        <v>55</v>
      </c>
      <c r="M705" s="41">
        <v>-1</v>
      </c>
      <c r="N705" s="41">
        <v>4</v>
      </c>
      <c r="O705" s="111" t="s">
        <v>1220</v>
      </c>
      <c r="P705" s="109">
        <v>192342</v>
      </c>
      <c r="Q705" s="41"/>
      <c r="R705" s="111"/>
      <c r="S705" s="110">
        <v>9427450</v>
      </c>
      <c r="V705"/>
    </row>
    <row r="706" spans="1:22" x14ac:dyDescent="0.3">
      <c r="A706" s="105">
        <v>705</v>
      </c>
      <c r="B706" s="41">
        <v>12000000</v>
      </c>
      <c r="C706" s="41">
        <v>3.2000000000000002E-3</v>
      </c>
      <c r="D706" s="41">
        <v>8</v>
      </c>
      <c r="E706" s="41">
        <v>30</v>
      </c>
      <c r="F706" s="41">
        <v>0</v>
      </c>
      <c r="G706" s="41" t="s">
        <v>104</v>
      </c>
      <c r="H706" s="41">
        <v>0</v>
      </c>
      <c r="I706" s="41">
        <v>1</v>
      </c>
      <c r="J706" s="108">
        <f>POWER(POWER(Table2[[#This Row],[mv]],4)/10,0.25)</f>
        <v>1.7994922406091175E-3</v>
      </c>
      <c r="K706" s="41">
        <v>0</v>
      </c>
      <c r="L706" s="41">
        <v>55</v>
      </c>
      <c r="M706" s="41">
        <v>-1</v>
      </c>
      <c r="N706" s="41">
        <v>4</v>
      </c>
      <c r="O706" s="111" t="s">
        <v>1221</v>
      </c>
      <c r="P706" s="109">
        <v>192342</v>
      </c>
      <c r="Q706" s="41"/>
      <c r="R706" s="111"/>
      <c r="S706" s="110">
        <v>9427450</v>
      </c>
      <c r="V706"/>
    </row>
    <row r="707" spans="1:22" x14ac:dyDescent="0.3">
      <c r="A707" s="105">
        <v>706</v>
      </c>
      <c r="B707" s="41">
        <v>12000000</v>
      </c>
      <c r="C707" s="41">
        <v>3.2000000000000002E-3</v>
      </c>
      <c r="D707" s="41">
        <v>8.7241</v>
      </c>
      <c r="E707" s="41">
        <v>30</v>
      </c>
      <c r="F707" s="41">
        <v>0</v>
      </c>
      <c r="G707" s="41" t="s">
        <v>104</v>
      </c>
      <c r="H707" s="41">
        <v>0</v>
      </c>
      <c r="I707" s="41">
        <v>1</v>
      </c>
      <c r="J707" s="108">
        <f>POWER(POWER(Table2[[#This Row],[mv]],4)/10,0.25)</f>
        <v>1.7994922406091175E-3</v>
      </c>
      <c r="K707" s="41">
        <v>0</v>
      </c>
      <c r="L707" s="41">
        <v>55</v>
      </c>
      <c r="M707" s="41">
        <v>-1</v>
      </c>
      <c r="N707" s="41">
        <v>4</v>
      </c>
      <c r="O707" s="111" t="s">
        <v>1222</v>
      </c>
      <c r="P707" s="109">
        <v>192342</v>
      </c>
      <c r="Q707" s="41"/>
      <c r="R707" s="111"/>
      <c r="S707" s="110">
        <v>9427450</v>
      </c>
      <c r="V707"/>
    </row>
    <row r="708" spans="1:22" x14ac:dyDescent="0.3">
      <c r="A708" s="105">
        <v>707</v>
      </c>
      <c r="B708" s="41">
        <v>12000000</v>
      </c>
      <c r="C708" s="41">
        <v>3.2000000000000002E-3</v>
      </c>
      <c r="D708" s="41">
        <v>9.5137</v>
      </c>
      <c r="E708" s="41">
        <v>30</v>
      </c>
      <c r="F708" s="41">
        <v>0</v>
      </c>
      <c r="G708" s="41" t="s">
        <v>104</v>
      </c>
      <c r="H708" s="41">
        <v>0</v>
      </c>
      <c r="I708" s="41">
        <v>1</v>
      </c>
      <c r="J708" s="108">
        <f>POWER(POWER(Table2[[#This Row],[mv]],4)/10,0.25)</f>
        <v>1.7994922406091175E-3</v>
      </c>
      <c r="K708" s="41">
        <v>0</v>
      </c>
      <c r="L708" s="41">
        <v>55</v>
      </c>
      <c r="M708" s="41">
        <v>-1</v>
      </c>
      <c r="N708" s="41">
        <v>4</v>
      </c>
      <c r="O708" s="111" t="s">
        <v>1223</v>
      </c>
      <c r="P708" s="109">
        <v>192342</v>
      </c>
      <c r="Q708" s="41"/>
      <c r="R708" s="111"/>
      <c r="S708" s="110">
        <v>9427450</v>
      </c>
      <c r="V708"/>
    </row>
    <row r="709" spans="1:22" x14ac:dyDescent="0.3">
      <c r="A709" s="105">
        <v>708</v>
      </c>
      <c r="B709" s="41">
        <v>12000000</v>
      </c>
      <c r="C709" s="41">
        <v>3.2000000000000002E-3</v>
      </c>
      <c r="D709" s="41">
        <v>10.374700000000001</v>
      </c>
      <c r="E709" s="41">
        <v>30</v>
      </c>
      <c r="F709" s="41">
        <v>0</v>
      </c>
      <c r="G709" s="41" t="s">
        <v>104</v>
      </c>
      <c r="H709" s="41">
        <v>0</v>
      </c>
      <c r="I709" s="41">
        <v>1</v>
      </c>
      <c r="J709" s="108">
        <f>POWER(POWER(Table2[[#This Row],[mv]],4)/10,0.25)</f>
        <v>1.7994922406091175E-3</v>
      </c>
      <c r="K709" s="41">
        <v>0</v>
      </c>
      <c r="L709" s="41">
        <v>55</v>
      </c>
      <c r="M709" s="41">
        <v>-1</v>
      </c>
      <c r="N709" s="41">
        <v>4</v>
      </c>
      <c r="O709" s="111" t="s">
        <v>1224</v>
      </c>
      <c r="P709" s="109">
        <v>192342</v>
      </c>
      <c r="Q709" s="41"/>
      <c r="R709" s="111"/>
      <c r="S709" s="110">
        <v>9427450</v>
      </c>
      <c r="V709"/>
    </row>
    <row r="710" spans="1:22" x14ac:dyDescent="0.3">
      <c r="A710" s="105">
        <v>709</v>
      </c>
      <c r="B710" s="41">
        <v>12000000</v>
      </c>
      <c r="C710" s="41">
        <v>3.2000000000000002E-3</v>
      </c>
      <c r="D710" s="41">
        <v>11.313700000000001</v>
      </c>
      <c r="E710" s="41">
        <v>30</v>
      </c>
      <c r="F710" s="41">
        <v>0</v>
      </c>
      <c r="G710" s="41" t="s">
        <v>104</v>
      </c>
      <c r="H710" s="41">
        <v>0</v>
      </c>
      <c r="I710" s="41">
        <v>1</v>
      </c>
      <c r="J710" s="108">
        <f>POWER(POWER(Table2[[#This Row],[mv]],4)/10,0.25)</f>
        <v>1.7994922406091175E-3</v>
      </c>
      <c r="K710" s="41">
        <v>0</v>
      </c>
      <c r="L710" s="41">
        <v>55</v>
      </c>
      <c r="M710" s="41">
        <v>-1</v>
      </c>
      <c r="N710" s="41">
        <v>4</v>
      </c>
      <c r="O710" s="111" t="s">
        <v>1225</v>
      </c>
      <c r="P710" s="109">
        <v>192342</v>
      </c>
      <c r="Q710" s="41"/>
      <c r="R710" s="111"/>
      <c r="S710" s="110">
        <v>9427450</v>
      </c>
      <c r="V710"/>
    </row>
    <row r="711" spans="1:22" x14ac:dyDescent="0.3">
      <c r="A711" s="105">
        <v>710</v>
      </c>
      <c r="B711" s="41">
        <v>12000000</v>
      </c>
      <c r="C711" s="41">
        <v>3.2000000000000002E-3</v>
      </c>
      <c r="D711" s="41">
        <v>12.3377</v>
      </c>
      <c r="E711" s="41">
        <v>30</v>
      </c>
      <c r="F711" s="41">
        <v>0</v>
      </c>
      <c r="G711" s="41" t="s">
        <v>104</v>
      </c>
      <c r="H711" s="41">
        <v>0</v>
      </c>
      <c r="I711" s="41">
        <v>1</v>
      </c>
      <c r="J711" s="108">
        <f>POWER(POWER(Table2[[#This Row],[mv]],4)/10,0.25)</f>
        <v>1.7994922406091175E-3</v>
      </c>
      <c r="K711" s="41">
        <v>0</v>
      </c>
      <c r="L711" s="41">
        <v>55</v>
      </c>
      <c r="M711" s="41">
        <v>-1</v>
      </c>
      <c r="N711" s="41">
        <v>4</v>
      </c>
      <c r="O711" s="111" t="s">
        <v>1226</v>
      </c>
      <c r="P711" s="109">
        <v>192342</v>
      </c>
      <c r="Q711" s="41"/>
      <c r="R711" s="111"/>
      <c r="S711" s="110">
        <v>9427450</v>
      </c>
      <c r="V711"/>
    </row>
    <row r="712" spans="1:22" x14ac:dyDescent="0.3">
      <c r="A712" s="105">
        <v>711</v>
      </c>
      <c r="B712" s="41">
        <v>12000000</v>
      </c>
      <c r="C712" s="41">
        <v>3.2000000000000002E-3</v>
      </c>
      <c r="D712" s="41">
        <v>13.4543</v>
      </c>
      <c r="E712" s="41">
        <v>30</v>
      </c>
      <c r="F712" s="41">
        <v>0</v>
      </c>
      <c r="G712" s="41" t="s">
        <v>104</v>
      </c>
      <c r="H712" s="41">
        <v>0</v>
      </c>
      <c r="I712" s="41">
        <v>1</v>
      </c>
      <c r="J712" s="108">
        <f>POWER(POWER(Table2[[#This Row],[mv]],4)/10,0.25)</f>
        <v>1.7994922406091175E-3</v>
      </c>
      <c r="K712" s="41">
        <v>0</v>
      </c>
      <c r="L712" s="41">
        <v>55</v>
      </c>
      <c r="M712" s="41">
        <v>-1</v>
      </c>
      <c r="N712" s="41">
        <v>4</v>
      </c>
      <c r="O712" s="111" t="s">
        <v>1227</v>
      </c>
      <c r="P712" s="109">
        <v>192342</v>
      </c>
      <c r="Q712" s="41"/>
      <c r="R712" s="111"/>
      <c r="S712" s="110">
        <v>9427450</v>
      </c>
      <c r="V712"/>
    </row>
    <row r="713" spans="1:22" x14ac:dyDescent="0.3">
      <c r="A713" s="105">
        <v>712</v>
      </c>
      <c r="B713" s="41">
        <v>12000000</v>
      </c>
      <c r="C713" s="41">
        <v>3.2000000000000002E-3</v>
      </c>
      <c r="D713" s="41">
        <v>14.6721</v>
      </c>
      <c r="E713" s="41">
        <v>30</v>
      </c>
      <c r="F713" s="41">
        <v>0</v>
      </c>
      <c r="G713" s="41" t="s">
        <v>104</v>
      </c>
      <c r="H713" s="41">
        <v>0</v>
      </c>
      <c r="I713" s="41">
        <v>1</v>
      </c>
      <c r="J713" s="108">
        <f>POWER(POWER(Table2[[#This Row],[mv]],4)/10,0.25)</f>
        <v>1.7994922406091175E-3</v>
      </c>
      <c r="K713" s="41">
        <v>0</v>
      </c>
      <c r="L713" s="41">
        <v>55</v>
      </c>
      <c r="M713" s="41">
        <v>-1</v>
      </c>
      <c r="N713" s="41">
        <v>4</v>
      </c>
      <c r="O713" s="111" t="s">
        <v>1228</v>
      </c>
      <c r="P713" s="109">
        <v>192342</v>
      </c>
      <c r="Q713" s="41"/>
      <c r="R713" s="111"/>
      <c r="S713" s="110">
        <v>9427450</v>
      </c>
      <c r="V713"/>
    </row>
    <row r="714" spans="1:22" x14ac:dyDescent="0.3">
      <c r="A714" s="105">
        <v>713</v>
      </c>
      <c r="B714" s="41">
        <v>12000000</v>
      </c>
      <c r="C714" s="41">
        <v>3.2000000000000002E-3</v>
      </c>
      <c r="D714" s="41">
        <v>16</v>
      </c>
      <c r="E714" s="41">
        <v>30</v>
      </c>
      <c r="F714" s="41">
        <v>0</v>
      </c>
      <c r="G714" s="41" t="s">
        <v>104</v>
      </c>
      <c r="H714" s="41">
        <v>0</v>
      </c>
      <c r="I714" s="41">
        <v>1</v>
      </c>
      <c r="J714" s="108">
        <f>POWER(POWER(Table2[[#This Row],[mv]],4)/10,0.25)</f>
        <v>1.7994922406091175E-3</v>
      </c>
      <c r="K714" s="41">
        <v>0</v>
      </c>
      <c r="L714" s="41">
        <v>55</v>
      </c>
      <c r="M714" s="41">
        <v>-1</v>
      </c>
      <c r="N714" s="41">
        <v>4</v>
      </c>
      <c r="O714" s="111" t="s">
        <v>1229</v>
      </c>
      <c r="P714" s="109">
        <v>192342</v>
      </c>
      <c r="Q714" s="41"/>
      <c r="R714" s="111"/>
      <c r="S714" s="110">
        <v>9427450</v>
      </c>
      <c r="V714"/>
    </row>
    <row r="715" spans="1:22" x14ac:dyDescent="0.3">
      <c r="A715" s="105">
        <v>714</v>
      </c>
      <c r="B715" s="41">
        <v>12000000</v>
      </c>
      <c r="C715" s="41">
        <v>3.2000000000000002E-3</v>
      </c>
      <c r="D715" s="41">
        <v>17.4481</v>
      </c>
      <c r="E715" s="41">
        <v>30</v>
      </c>
      <c r="F715" s="41">
        <v>0</v>
      </c>
      <c r="G715" s="41" t="s">
        <v>104</v>
      </c>
      <c r="H715" s="41">
        <v>0</v>
      </c>
      <c r="I715" s="41">
        <v>1</v>
      </c>
      <c r="J715" s="108">
        <f>POWER(POWER(Table2[[#This Row],[mv]],4)/10,0.25)</f>
        <v>1.7994922406091175E-3</v>
      </c>
      <c r="K715" s="41">
        <v>0</v>
      </c>
      <c r="L715" s="41">
        <v>55</v>
      </c>
      <c r="M715" s="41">
        <v>-1</v>
      </c>
      <c r="N715" s="41">
        <v>4</v>
      </c>
      <c r="O715" s="111" t="s">
        <v>1230</v>
      </c>
      <c r="P715" s="109">
        <v>192358</v>
      </c>
      <c r="Q715" s="41"/>
      <c r="R715" s="111"/>
      <c r="S715" s="110">
        <v>9427450</v>
      </c>
      <c r="V715"/>
    </row>
    <row r="716" spans="1:22" x14ac:dyDescent="0.3">
      <c r="A716" s="105">
        <v>715</v>
      </c>
      <c r="B716" s="41">
        <v>12000000</v>
      </c>
      <c r="C716" s="41">
        <v>3.2000000000000002E-3</v>
      </c>
      <c r="D716" s="41">
        <v>19.0273</v>
      </c>
      <c r="E716" s="41">
        <v>30</v>
      </c>
      <c r="F716" s="41">
        <v>0</v>
      </c>
      <c r="G716" s="41" t="s">
        <v>104</v>
      </c>
      <c r="H716" s="41">
        <v>0</v>
      </c>
      <c r="I716" s="41">
        <v>1</v>
      </c>
      <c r="J716" s="108">
        <f>POWER(POWER(Table2[[#This Row],[mv]],4)/10,0.25)</f>
        <v>1.7994922406091175E-3</v>
      </c>
      <c r="K716" s="41">
        <v>0</v>
      </c>
      <c r="L716" s="41">
        <v>55</v>
      </c>
      <c r="M716" s="41">
        <v>-1</v>
      </c>
      <c r="N716" s="41">
        <v>4</v>
      </c>
      <c r="O716" s="111" t="s">
        <v>1231</v>
      </c>
      <c r="P716" s="109">
        <v>192358</v>
      </c>
      <c r="Q716" s="41"/>
      <c r="R716" s="111"/>
      <c r="S716" s="110">
        <v>9427450</v>
      </c>
      <c r="V716"/>
    </row>
    <row r="717" spans="1:22" x14ac:dyDescent="0.3">
      <c r="A717" s="105">
        <v>716</v>
      </c>
      <c r="B717" s="41">
        <v>12000000</v>
      </c>
      <c r="C717" s="41">
        <v>3.5000000000000001E-3</v>
      </c>
      <c r="D717" s="41">
        <v>4</v>
      </c>
      <c r="E717" s="41">
        <v>30</v>
      </c>
      <c r="F717" s="41">
        <v>0</v>
      </c>
      <c r="G717" s="41" t="s">
        <v>104</v>
      </c>
      <c r="H717" s="41">
        <v>0</v>
      </c>
      <c r="I717" s="41">
        <v>1</v>
      </c>
      <c r="J717" s="108">
        <f>POWER(POWER(Table2[[#This Row],[mv]],4)/10,0.25)</f>
        <v>1.9681946381662216E-3</v>
      </c>
      <c r="K717" s="41">
        <v>0</v>
      </c>
      <c r="L717" s="41">
        <v>55</v>
      </c>
      <c r="M717" s="41">
        <v>-1</v>
      </c>
      <c r="N717" s="41">
        <v>4</v>
      </c>
      <c r="O717" s="111" t="s">
        <v>1232</v>
      </c>
      <c r="P717" s="109">
        <v>192358</v>
      </c>
      <c r="Q717" s="41"/>
      <c r="R717" s="111"/>
      <c r="S717" s="110">
        <v>9427450</v>
      </c>
      <c r="V717"/>
    </row>
    <row r="718" spans="1:22" x14ac:dyDescent="0.3">
      <c r="A718" s="105">
        <v>717</v>
      </c>
      <c r="B718" s="41">
        <v>12000000</v>
      </c>
      <c r="C718" s="41">
        <v>3.5000000000000001E-3</v>
      </c>
      <c r="D718" s="41">
        <v>4.3620000000000001</v>
      </c>
      <c r="E718" s="41">
        <v>30</v>
      </c>
      <c r="F718" s="41">
        <v>0</v>
      </c>
      <c r="G718" s="41" t="s">
        <v>104</v>
      </c>
      <c r="H718" s="41">
        <v>0</v>
      </c>
      <c r="I718" s="41">
        <v>1</v>
      </c>
      <c r="J718" s="108">
        <f>POWER(POWER(Table2[[#This Row],[mv]],4)/10,0.25)</f>
        <v>1.9681946381662216E-3</v>
      </c>
      <c r="K718" s="41">
        <v>0</v>
      </c>
      <c r="L718" s="41">
        <v>55</v>
      </c>
      <c r="M718" s="41">
        <v>-1</v>
      </c>
      <c r="N718" s="41">
        <v>4</v>
      </c>
      <c r="O718" s="111" t="s">
        <v>1233</v>
      </c>
      <c r="P718" s="109">
        <v>192358</v>
      </c>
      <c r="Q718" s="41"/>
      <c r="R718" s="111"/>
      <c r="S718" s="110">
        <v>9427450</v>
      </c>
      <c r="V718"/>
    </row>
    <row r="719" spans="1:22" x14ac:dyDescent="0.3">
      <c r="A719" s="105">
        <v>718</v>
      </c>
      <c r="B719" s="41">
        <v>12000000</v>
      </c>
      <c r="C719" s="41">
        <v>3.5000000000000001E-3</v>
      </c>
      <c r="D719" s="41">
        <v>4.7568000000000001</v>
      </c>
      <c r="E719" s="41">
        <v>30</v>
      </c>
      <c r="F719" s="41">
        <v>0</v>
      </c>
      <c r="G719" s="41" t="s">
        <v>104</v>
      </c>
      <c r="H719" s="41">
        <v>0</v>
      </c>
      <c r="I719" s="41">
        <v>1</v>
      </c>
      <c r="J719" s="108">
        <f>POWER(POWER(Table2[[#This Row],[mv]],4)/10,0.25)</f>
        <v>1.9681946381662216E-3</v>
      </c>
      <c r="K719" s="41">
        <v>0</v>
      </c>
      <c r="L719" s="41">
        <v>55</v>
      </c>
      <c r="M719" s="41">
        <v>-1</v>
      </c>
      <c r="N719" s="41">
        <v>4</v>
      </c>
      <c r="O719" s="111" t="s">
        <v>1234</v>
      </c>
      <c r="P719" s="109">
        <v>192358</v>
      </c>
      <c r="Q719" s="41"/>
      <c r="R719" s="111"/>
      <c r="S719" s="110">
        <v>9427450</v>
      </c>
      <c r="V719"/>
    </row>
    <row r="720" spans="1:22" x14ac:dyDescent="0.3">
      <c r="A720" s="105">
        <v>719</v>
      </c>
      <c r="B720" s="41">
        <v>12000000</v>
      </c>
      <c r="C720" s="41">
        <v>3.5000000000000001E-3</v>
      </c>
      <c r="D720" s="41">
        <v>5.1874000000000002</v>
      </c>
      <c r="E720" s="41">
        <v>30</v>
      </c>
      <c r="F720" s="41">
        <v>0</v>
      </c>
      <c r="G720" s="41" t="s">
        <v>104</v>
      </c>
      <c r="H720" s="41">
        <v>0</v>
      </c>
      <c r="I720" s="41">
        <v>1</v>
      </c>
      <c r="J720" s="108">
        <f>POWER(POWER(Table2[[#This Row],[mv]],4)/10,0.25)</f>
        <v>1.9681946381662216E-3</v>
      </c>
      <c r="K720" s="41">
        <v>0</v>
      </c>
      <c r="L720" s="41">
        <v>55</v>
      </c>
      <c r="M720" s="41">
        <v>-1</v>
      </c>
      <c r="N720" s="41">
        <v>4</v>
      </c>
      <c r="O720" s="111" t="s">
        <v>1235</v>
      </c>
      <c r="P720" s="109">
        <v>192358</v>
      </c>
      <c r="Q720" s="41"/>
      <c r="R720" s="111"/>
      <c r="S720" s="110">
        <v>9427450</v>
      </c>
      <c r="V720"/>
    </row>
    <row r="721" spans="1:22" x14ac:dyDescent="0.3">
      <c r="A721" s="105">
        <v>720</v>
      </c>
      <c r="B721" s="41">
        <v>12000000</v>
      </c>
      <c r="C721" s="41">
        <v>3.5000000000000001E-3</v>
      </c>
      <c r="D721" s="41">
        <v>5.6569000000000003</v>
      </c>
      <c r="E721" s="41">
        <v>30</v>
      </c>
      <c r="F721" s="41">
        <v>0</v>
      </c>
      <c r="G721" s="41" t="s">
        <v>104</v>
      </c>
      <c r="H721" s="41">
        <v>0</v>
      </c>
      <c r="I721" s="41">
        <v>1</v>
      </c>
      <c r="J721" s="108">
        <f>POWER(POWER(Table2[[#This Row],[mv]],4)/10,0.25)</f>
        <v>1.9681946381662216E-3</v>
      </c>
      <c r="K721" s="41">
        <v>0</v>
      </c>
      <c r="L721" s="41">
        <v>55</v>
      </c>
      <c r="M721" s="41">
        <v>-1</v>
      </c>
      <c r="N721" s="41">
        <v>4</v>
      </c>
      <c r="O721" s="111" t="s">
        <v>1236</v>
      </c>
      <c r="P721" s="109">
        <v>192358</v>
      </c>
      <c r="Q721" s="41"/>
      <c r="R721" s="111"/>
      <c r="S721" s="110">
        <v>9427450</v>
      </c>
      <c r="V721"/>
    </row>
    <row r="722" spans="1:22" x14ac:dyDescent="0.3">
      <c r="A722" s="105">
        <v>721</v>
      </c>
      <c r="B722" s="41">
        <v>12000000</v>
      </c>
      <c r="C722" s="41">
        <v>3.5000000000000001E-3</v>
      </c>
      <c r="D722" s="41">
        <v>6.1688000000000001</v>
      </c>
      <c r="E722" s="41">
        <v>30</v>
      </c>
      <c r="F722" s="41">
        <v>0</v>
      </c>
      <c r="G722" s="41" t="s">
        <v>104</v>
      </c>
      <c r="H722" s="41">
        <v>0</v>
      </c>
      <c r="I722" s="41">
        <v>1</v>
      </c>
      <c r="J722" s="108">
        <f>POWER(POWER(Table2[[#This Row],[mv]],4)/10,0.25)</f>
        <v>1.9681946381662216E-3</v>
      </c>
      <c r="K722" s="41">
        <v>0</v>
      </c>
      <c r="L722" s="41">
        <v>55</v>
      </c>
      <c r="M722" s="41">
        <v>-1</v>
      </c>
      <c r="N722" s="41">
        <v>4</v>
      </c>
      <c r="O722" s="111" t="s">
        <v>1237</v>
      </c>
      <c r="P722" s="109">
        <v>192358</v>
      </c>
      <c r="Q722" s="41"/>
      <c r="R722" s="111"/>
      <c r="S722" s="110">
        <v>9427450</v>
      </c>
      <c r="V722"/>
    </row>
    <row r="723" spans="1:22" x14ac:dyDescent="0.3">
      <c r="A723" s="105">
        <v>722</v>
      </c>
      <c r="B723" s="41">
        <v>12000000</v>
      </c>
      <c r="C723" s="41">
        <v>3.5000000000000001E-3</v>
      </c>
      <c r="D723" s="41">
        <v>6.7271999999999998</v>
      </c>
      <c r="E723" s="41">
        <v>30</v>
      </c>
      <c r="F723" s="41">
        <v>0</v>
      </c>
      <c r="G723" s="41" t="s">
        <v>104</v>
      </c>
      <c r="H723" s="41">
        <v>0</v>
      </c>
      <c r="I723" s="41">
        <v>1</v>
      </c>
      <c r="J723" s="108">
        <f>POWER(POWER(Table2[[#This Row],[mv]],4)/10,0.25)</f>
        <v>1.9681946381662216E-3</v>
      </c>
      <c r="K723" s="41">
        <v>0</v>
      </c>
      <c r="L723" s="41">
        <v>55</v>
      </c>
      <c r="M723" s="41">
        <v>-1</v>
      </c>
      <c r="N723" s="41">
        <v>4</v>
      </c>
      <c r="O723" s="111" t="s">
        <v>1238</v>
      </c>
      <c r="P723" s="109">
        <v>192358</v>
      </c>
      <c r="Q723" s="41"/>
      <c r="R723" s="111"/>
      <c r="S723" s="110">
        <v>9427450</v>
      </c>
      <c r="V723"/>
    </row>
    <row r="724" spans="1:22" x14ac:dyDescent="0.3">
      <c r="A724" s="105">
        <v>723</v>
      </c>
      <c r="B724" s="41">
        <v>12000000</v>
      </c>
      <c r="C724" s="41">
        <v>3.5000000000000001E-3</v>
      </c>
      <c r="D724" s="41">
        <v>7.3360000000000003</v>
      </c>
      <c r="E724" s="41">
        <v>30</v>
      </c>
      <c r="F724" s="41">
        <v>0</v>
      </c>
      <c r="G724" s="41" t="s">
        <v>104</v>
      </c>
      <c r="H724" s="41">
        <v>0</v>
      </c>
      <c r="I724" s="41">
        <v>1</v>
      </c>
      <c r="J724" s="108">
        <f>POWER(POWER(Table2[[#This Row],[mv]],4)/10,0.25)</f>
        <v>1.9681946381662216E-3</v>
      </c>
      <c r="K724" s="41">
        <v>0</v>
      </c>
      <c r="L724" s="41">
        <v>55</v>
      </c>
      <c r="M724" s="41">
        <v>-1</v>
      </c>
      <c r="N724" s="41">
        <v>4</v>
      </c>
      <c r="O724" s="111" t="s">
        <v>1239</v>
      </c>
      <c r="P724" s="109">
        <v>192358</v>
      </c>
      <c r="Q724" s="41"/>
      <c r="R724" s="111"/>
      <c r="S724" s="110">
        <v>9427450</v>
      </c>
      <c r="V724"/>
    </row>
    <row r="725" spans="1:22" x14ac:dyDescent="0.3">
      <c r="A725" s="105">
        <v>724</v>
      </c>
      <c r="B725" s="41">
        <v>12000000</v>
      </c>
      <c r="C725" s="41">
        <v>3.5000000000000001E-3</v>
      </c>
      <c r="D725" s="41">
        <v>8</v>
      </c>
      <c r="E725" s="41">
        <v>30</v>
      </c>
      <c r="F725" s="41">
        <v>0</v>
      </c>
      <c r="G725" s="41" t="s">
        <v>104</v>
      </c>
      <c r="H725" s="41">
        <v>0</v>
      </c>
      <c r="I725" s="41">
        <v>1</v>
      </c>
      <c r="J725" s="108">
        <f>POWER(POWER(Table2[[#This Row],[mv]],4)/10,0.25)</f>
        <v>1.9681946381662216E-3</v>
      </c>
      <c r="K725" s="41">
        <v>0</v>
      </c>
      <c r="L725" s="41">
        <v>55</v>
      </c>
      <c r="M725" s="41">
        <v>-1</v>
      </c>
      <c r="N725" s="41">
        <v>4</v>
      </c>
      <c r="O725" s="111" t="s">
        <v>1240</v>
      </c>
      <c r="P725" s="109">
        <v>192358</v>
      </c>
      <c r="Q725" s="41"/>
      <c r="R725" s="111"/>
      <c r="S725" s="110">
        <v>9427450</v>
      </c>
      <c r="V725"/>
    </row>
    <row r="726" spans="1:22" x14ac:dyDescent="0.3">
      <c r="A726" s="105">
        <v>725</v>
      </c>
      <c r="B726" s="41">
        <v>12000000</v>
      </c>
      <c r="C726" s="41">
        <v>3.5000000000000001E-3</v>
      </c>
      <c r="D726" s="41">
        <v>8.7241</v>
      </c>
      <c r="E726" s="41">
        <v>30</v>
      </c>
      <c r="F726" s="41">
        <v>0</v>
      </c>
      <c r="G726" s="41" t="s">
        <v>104</v>
      </c>
      <c r="H726" s="41">
        <v>0</v>
      </c>
      <c r="I726" s="41">
        <v>1</v>
      </c>
      <c r="J726" s="108">
        <f>POWER(POWER(Table2[[#This Row],[mv]],4)/10,0.25)</f>
        <v>1.9681946381662216E-3</v>
      </c>
      <c r="K726" s="41">
        <v>0</v>
      </c>
      <c r="L726" s="41">
        <v>55</v>
      </c>
      <c r="M726" s="41">
        <v>-1</v>
      </c>
      <c r="N726" s="41">
        <v>4</v>
      </c>
      <c r="O726" s="111" t="s">
        <v>1241</v>
      </c>
      <c r="P726" s="109">
        <v>192358</v>
      </c>
      <c r="Q726" s="41"/>
      <c r="R726" s="111"/>
      <c r="S726" s="110">
        <v>9427450</v>
      </c>
      <c r="V726"/>
    </row>
    <row r="727" spans="1:22" x14ac:dyDescent="0.3">
      <c r="A727" s="105">
        <v>726</v>
      </c>
      <c r="B727" s="41">
        <v>12000000</v>
      </c>
      <c r="C727" s="41">
        <v>3.5000000000000001E-3</v>
      </c>
      <c r="D727" s="41">
        <v>9.5137</v>
      </c>
      <c r="E727" s="41">
        <v>30</v>
      </c>
      <c r="F727" s="41">
        <v>0</v>
      </c>
      <c r="G727" s="41" t="s">
        <v>104</v>
      </c>
      <c r="H727" s="41">
        <v>0</v>
      </c>
      <c r="I727" s="41">
        <v>1</v>
      </c>
      <c r="J727" s="108">
        <f>POWER(POWER(Table2[[#This Row],[mv]],4)/10,0.25)</f>
        <v>1.9681946381662216E-3</v>
      </c>
      <c r="K727" s="41">
        <v>0</v>
      </c>
      <c r="L727" s="41">
        <v>55</v>
      </c>
      <c r="M727" s="41">
        <v>-1</v>
      </c>
      <c r="N727" s="41">
        <v>4</v>
      </c>
      <c r="O727" s="111" t="s">
        <v>1242</v>
      </c>
      <c r="P727" s="109">
        <v>192358</v>
      </c>
      <c r="Q727" s="41"/>
      <c r="R727" s="111"/>
      <c r="S727" s="110">
        <v>9427450</v>
      </c>
      <c r="V727"/>
    </row>
    <row r="728" spans="1:22" x14ac:dyDescent="0.3">
      <c r="A728" s="105">
        <v>727</v>
      </c>
      <c r="B728" s="41">
        <v>12000000</v>
      </c>
      <c r="C728" s="41">
        <v>3.5000000000000001E-3</v>
      </c>
      <c r="D728" s="41">
        <v>10.374700000000001</v>
      </c>
      <c r="E728" s="41">
        <v>30</v>
      </c>
      <c r="F728" s="41">
        <v>0</v>
      </c>
      <c r="G728" s="41" t="s">
        <v>104</v>
      </c>
      <c r="H728" s="41">
        <v>0</v>
      </c>
      <c r="I728" s="41">
        <v>1</v>
      </c>
      <c r="J728" s="108">
        <f>POWER(POWER(Table2[[#This Row],[mv]],4)/10,0.25)</f>
        <v>1.9681946381662216E-3</v>
      </c>
      <c r="K728" s="41">
        <v>0</v>
      </c>
      <c r="L728" s="41">
        <v>55</v>
      </c>
      <c r="M728" s="41">
        <v>-1</v>
      </c>
      <c r="N728" s="41">
        <v>4</v>
      </c>
      <c r="O728" s="111" t="s">
        <v>1243</v>
      </c>
      <c r="P728" s="109">
        <v>192358</v>
      </c>
      <c r="Q728" s="41"/>
      <c r="R728" s="111"/>
      <c r="S728" s="110">
        <v>9427450</v>
      </c>
      <c r="V728"/>
    </row>
    <row r="729" spans="1:22" x14ac:dyDescent="0.3">
      <c r="A729" s="105">
        <v>728</v>
      </c>
      <c r="B729" s="41">
        <v>12000000</v>
      </c>
      <c r="C729" s="41">
        <v>3.5000000000000001E-3</v>
      </c>
      <c r="D729" s="41">
        <v>11.313700000000001</v>
      </c>
      <c r="E729" s="41">
        <v>30</v>
      </c>
      <c r="F729" s="41">
        <v>0</v>
      </c>
      <c r="G729" s="41" t="s">
        <v>104</v>
      </c>
      <c r="H729" s="41">
        <v>0</v>
      </c>
      <c r="I729" s="41">
        <v>1</v>
      </c>
      <c r="J729" s="108">
        <f>POWER(POWER(Table2[[#This Row],[mv]],4)/10,0.25)</f>
        <v>1.9681946381662216E-3</v>
      </c>
      <c r="K729" s="41">
        <v>0</v>
      </c>
      <c r="L729" s="41">
        <v>55</v>
      </c>
      <c r="M729" s="41">
        <v>-1</v>
      </c>
      <c r="N729" s="41">
        <v>4</v>
      </c>
      <c r="O729" s="111" t="s">
        <v>1244</v>
      </c>
      <c r="P729" s="109">
        <v>192358</v>
      </c>
      <c r="Q729" s="41"/>
      <c r="R729" s="111"/>
      <c r="S729" s="110">
        <v>9427450</v>
      </c>
      <c r="V729"/>
    </row>
    <row r="730" spans="1:22" x14ac:dyDescent="0.3">
      <c r="A730" s="105">
        <v>729</v>
      </c>
      <c r="B730" s="41">
        <v>12000000</v>
      </c>
      <c r="C730" s="41">
        <v>3.5000000000000001E-3</v>
      </c>
      <c r="D730" s="41">
        <v>12.3377</v>
      </c>
      <c r="E730" s="41">
        <v>30</v>
      </c>
      <c r="F730" s="41">
        <v>0</v>
      </c>
      <c r="G730" s="41" t="s">
        <v>104</v>
      </c>
      <c r="H730" s="41">
        <v>0</v>
      </c>
      <c r="I730" s="41">
        <v>1</v>
      </c>
      <c r="J730" s="108">
        <f>POWER(POWER(Table2[[#This Row],[mv]],4)/10,0.25)</f>
        <v>1.9681946381662216E-3</v>
      </c>
      <c r="K730" s="41">
        <v>0</v>
      </c>
      <c r="L730" s="41">
        <v>55</v>
      </c>
      <c r="M730" s="41">
        <v>-1</v>
      </c>
      <c r="N730" s="41">
        <v>4</v>
      </c>
      <c r="O730" s="111" t="s">
        <v>1245</v>
      </c>
      <c r="P730" s="109">
        <v>192358</v>
      </c>
      <c r="Q730" s="41"/>
      <c r="R730" s="111"/>
      <c r="S730" s="110">
        <v>9427450</v>
      </c>
      <c r="V730"/>
    </row>
    <row r="731" spans="1:22" x14ac:dyDescent="0.3">
      <c r="A731" s="105">
        <v>730</v>
      </c>
      <c r="B731" s="41">
        <v>12000000</v>
      </c>
      <c r="C731" s="41">
        <v>3.5000000000000001E-3</v>
      </c>
      <c r="D731" s="41">
        <v>13.4543</v>
      </c>
      <c r="E731" s="41">
        <v>30</v>
      </c>
      <c r="F731" s="41">
        <v>0</v>
      </c>
      <c r="G731" s="41" t="s">
        <v>104</v>
      </c>
      <c r="H731" s="41">
        <v>0</v>
      </c>
      <c r="I731" s="41">
        <v>1</v>
      </c>
      <c r="J731" s="108">
        <f>POWER(POWER(Table2[[#This Row],[mv]],4)/10,0.25)</f>
        <v>1.9681946381662216E-3</v>
      </c>
      <c r="K731" s="41">
        <v>0</v>
      </c>
      <c r="L731" s="41">
        <v>55</v>
      </c>
      <c r="M731" s="41">
        <v>-1</v>
      </c>
      <c r="N731" s="41">
        <v>4</v>
      </c>
      <c r="O731" s="111" t="s">
        <v>1246</v>
      </c>
      <c r="P731" s="109">
        <v>192358</v>
      </c>
      <c r="Q731" s="41"/>
      <c r="R731" s="111"/>
      <c r="S731" s="110">
        <v>9427450</v>
      </c>
      <c r="V731"/>
    </row>
    <row r="732" spans="1:22" x14ac:dyDescent="0.3">
      <c r="A732" s="105">
        <v>731</v>
      </c>
      <c r="B732" s="41">
        <v>12000000</v>
      </c>
      <c r="C732" s="41">
        <v>3.5000000000000001E-3</v>
      </c>
      <c r="D732" s="41">
        <v>14.6721</v>
      </c>
      <c r="E732" s="41">
        <v>30</v>
      </c>
      <c r="F732" s="41">
        <v>0</v>
      </c>
      <c r="G732" s="41" t="s">
        <v>104</v>
      </c>
      <c r="H732" s="41">
        <v>0</v>
      </c>
      <c r="I732" s="41">
        <v>1</v>
      </c>
      <c r="J732" s="108">
        <f>POWER(POWER(Table2[[#This Row],[mv]],4)/10,0.25)</f>
        <v>1.9681946381662216E-3</v>
      </c>
      <c r="K732" s="41">
        <v>0</v>
      </c>
      <c r="L732" s="41">
        <v>55</v>
      </c>
      <c r="M732" s="41">
        <v>-1</v>
      </c>
      <c r="N732" s="41">
        <v>4</v>
      </c>
      <c r="O732" s="111" t="s">
        <v>1247</v>
      </c>
      <c r="P732" s="109">
        <v>192358</v>
      </c>
      <c r="Q732" s="41"/>
      <c r="R732" s="111"/>
      <c r="S732" s="110">
        <v>9427450</v>
      </c>
      <c r="V732"/>
    </row>
    <row r="733" spans="1:22" x14ac:dyDescent="0.3">
      <c r="A733" s="105">
        <v>732</v>
      </c>
      <c r="B733" s="41">
        <v>12000000</v>
      </c>
      <c r="C733" s="41">
        <v>3.5000000000000001E-3</v>
      </c>
      <c r="D733" s="41">
        <v>16</v>
      </c>
      <c r="E733" s="41">
        <v>30</v>
      </c>
      <c r="F733" s="41">
        <v>0</v>
      </c>
      <c r="G733" s="41" t="s">
        <v>104</v>
      </c>
      <c r="H733" s="41">
        <v>0</v>
      </c>
      <c r="I733" s="41">
        <v>1</v>
      </c>
      <c r="J733" s="108">
        <f>POWER(POWER(Table2[[#This Row],[mv]],4)/10,0.25)</f>
        <v>1.9681946381662216E-3</v>
      </c>
      <c r="K733" s="41">
        <v>0</v>
      </c>
      <c r="L733" s="41">
        <v>55</v>
      </c>
      <c r="M733" s="41">
        <v>-1</v>
      </c>
      <c r="N733" s="41">
        <v>4</v>
      </c>
      <c r="O733" s="111" t="s">
        <v>1248</v>
      </c>
      <c r="P733" s="109">
        <v>192358</v>
      </c>
      <c r="Q733" s="41"/>
      <c r="R733" s="111"/>
      <c r="S733" s="110">
        <v>9427450</v>
      </c>
      <c r="V733"/>
    </row>
    <row r="734" spans="1:22" x14ac:dyDescent="0.3">
      <c r="A734" s="105">
        <v>733</v>
      </c>
      <c r="B734" s="41">
        <v>12000000</v>
      </c>
      <c r="C734" s="41">
        <v>3.5000000000000001E-3</v>
      </c>
      <c r="D734" s="41">
        <v>17.4481</v>
      </c>
      <c r="E734" s="41">
        <v>30</v>
      </c>
      <c r="F734" s="41">
        <v>0</v>
      </c>
      <c r="G734" s="41" t="s">
        <v>104</v>
      </c>
      <c r="H734" s="41">
        <v>0</v>
      </c>
      <c r="I734" s="41">
        <v>1</v>
      </c>
      <c r="J734" s="108">
        <f>POWER(POWER(Table2[[#This Row],[mv]],4)/10,0.25)</f>
        <v>1.9681946381662216E-3</v>
      </c>
      <c r="K734" s="41">
        <v>0</v>
      </c>
      <c r="L734" s="41">
        <v>55</v>
      </c>
      <c r="M734" s="41">
        <v>-1</v>
      </c>
      <c r="N734" s="41">
        <v>4</v>
      </c>
      <c r="O734" s="111" t="s">
        <v>1249</v>
      </c>
      <c r="P734" s="109">
        <v>192358</v>
      </c>
      <c r="Q734" s="41"/>
      <c r="R734" s="111"/>
      <c r="S734" s="110">
        <v>9427450</v>
      </c>
      <c r="V734"/>
    </row>
    <row r="735" spans="1:22" x14ac:dyDescent="0.3">
      <c r="A735" s="105">
        <v>734</v>
      </c>
      <c r="B735" s="41">
        <v>12000000</v>
      </c>
      <c r="C735" s="41">
        <v>3.5000000000000001E-3</v>
      </c>
      <c r="D735" s="41">
        <v>19.0273</v>
      </c>
      <c r="E735" s="41">
        <v>30</v>
      </c>
      <c r="F735" s="41">
        <v>0</v>
      </c>
      <c r="G735" s="41" t="s">
        <v>104</v>
      </c>
      <c r="H735" s="41">
        <v>0</v>
      </c>
      <c r="I735" s="41">
        <v>1</v>
      </c>
      <c r="J735" s="108">
        <f>POWER(POWER(Table2[[#This Row],[mv]],4)/10,0.25)</f>
        <v>1.9681946381662216E-3</v>
      </c>
      <c r="K735" s="41">
        <v>0</v>
      </c>
      <c r="L735" s="41">
        <v>55</v>
      </c>
      <c r="M735" s="41">
        <v>-1</v>
      </c>
      <c r="N735" s="41">
        <v>4</v>
      </c>
      <c r="O735" s="111" t="s">
        <v>1250</v>
      </c>
      <c r="P735" s="109">
        <v>192358</v>
      </c>
      <c r="Q735" s="41"/>
      <c r="R735" s="111"/>
      <c r="S735" s="110">
        <v>9427450</v>
      </c>
      <c r="V735"/>
    </row>
    <row r="736" spans="1:22" x14ac:dyDescent="0.3">
      <c r="A736" s="105">
        <v>735</v>
      </c>
      <c r="B736" s="41">
        <v>12000000</v>
      </c>
      <c r="C736" s="41">
        <v>3.8E-3</v>
      </c>
      <c r="D736" s="41">
        <v>4.7568000000000001</v>
      </c>
      <c r="E736" s="41">
        <v>30</v>
      </c>
      <c r="F736" s="41">
        <v>0</v>
      </c>
      <c r="G736" s="41" t="s">
        <v>104</v>
      </c>
      <c r="H736" s="41">
        <v>0</v>
      </c>
      <c r="I736" s="41">
        <v>1</v>
      </c>
      <c r="J736" s="108">
        <f>POWER(POWER(Table2[[#This Row],[mv]],4)/10,0.25)</f>
        <v>2.1368970357233258E-3</v>
      </c>
      <c r="K736" s="41">
        <v>0</v>
      </c>
      <c r="L736" s="41">
        <v>55</v>
      </c>
      <c r="M736" s="41">
        <v>-1</v>
      </c>
      <c r="N736" s="41">
        <v>4</v>
      </c>
      <c r="O736" s="111" t="s">
        <v>1251</v>
      </c>
      <c r="P736" s="109">
        <v>192358</v>
      </c>
      <c r="Q736" s="41"/>
      <c r="R736" s="111"/>
      <c r="S736" s="110">
        <v>9427450</v>
      </c>
      <c r="V736"/>
    </row>
    <row r="737" spans="1:22" x14ac:dyDescent="0.3">
      <c r="A737" s="105">
        <v>736</v>
      </c>
      <c r="B737" s="41">
        <v>12000000</v>
      </c>
      <c r="C737" s="41">
        <v>3.8E-3</v>
      </c>
      <c r="D737" s="41">
        <v>5.1874000000000002</v>
      </c>
      <c r="E737" s="41">
        <v>30</v>
      </c>
      <c r="F737" s="41">
        <v>0</v>
      </c>
      <c r="G737" s="41" t="s">
        <v>104</v>
      </c>
      <c r="H737" s="41">
        <v>0</v>
      </c>
      <c r="I737" s="41">
        <v>1</v>
      </c>
      <c r="J737" s="108">
        <f>POWER(POWER(Table2[[#This Row],[mv]],4)/10,0.25)</f>
        <v>2.1368970357233258E-3</v>
      </c>
      <c r="K737" s="41">
        <v>0</v>
      </c>
      <c r="L737" s="41">
        <v>55</v>
      </c>
      <c r="M737" s="41">
        <v>-1</v>
      </c>
      <c r="N737" s="41">
        <v>4</v>
      </c>
      <c r="O737" s="111" t="s">
        <v>1252</v>
      </c>
      <c r="P737" s="109">
        <v>192358</v>
      </c>
      <c r="Q737" s="41"/>
      <c r="R737" s="111"/>
      <c r="S737" s="110">
        <v>9427450</v>
      </c>
      <c r="V737"/>
    </row>
    <row r="738" spans="1:22" x14ac:dyDescent="0.3">
      <c r="A738" s="105">
        <v>737</v>
      </c>
      <c r="B738" s="41">
        <v>12000000</v>
      </c>
      <c r="C738" s="41">
        <v>3.8E-3</v>
      </c>
      <c r="D738" s="41">
        <v>5.6569000000000003</v>
      </c>
      <c r="E738" s="41">
        <v>30</v>
      </c>
      <c r="F738" s="41">
        <v>0</v>
      </c>
      <c r="G738" s="41" t="s">
        <v>104</v>
      </c>
      <c r="H738" s="41">
        <v>0</v>
      </c>
      <c r="I738" s="41">
        <v>1</v>
      </c>
      <c r="J738" s="108">
        <f>POWER(POWER(Table2[[#This Row],[mv]],4)/10,0.25)</f>
        <v>2.1368970357233258E-3</v>
      </c>
      <c r="K738" s="41">
        <v>0</v>
      </c>
      <c r="L738" s="41">
        <v>55</v>
      </c>
      <c r="M738" s="41">
        <v>-1</v>
      </c>
      <c r="N738" s="41">
        <v>4</v>
      </c>
      <c r="O738" s="111" t="s">
        <v>1253</v>
      </c>
      <c r="P738" s="109">
        <v>192358</v>
      </c>
      <c r="Q738" s="41"/>
      <c r="R738" s="111"/>
      <c r="S738" s="110">
        <v>9427450</v>
      </c>
      <c r="V738"/>
    </row>
    <row r="739" spans="1:22" x14ac:dyDescent="0.3">
      <c r="A739" s="105">
        <v>738</v>
      </c>
      <c r="B739" s="41">
        <v>12000000</v>
      </c>
      <c r="C739" s="41">
        <v>3.8E-3</v>
      </c>
      <c r="D739" s="41">
        <v>6.1688000000000001</v>
      </c>
      <c r="E739" s="41">
        <v>30</v>
      </c>
      <c r="F739" s="41">
        <v>0</v>
      </c>
      <c r="G739" s="41" t="s">
        <v>104</v>
      </c>
      <c r="H739" s="41">
        <v>0</v>
      </c>
      <c r="I739" s="41">
        <v>1</v>
      </c>
      <c r="J739" s="108">
        <f>POWER(POWER(Table2[[#This Row],[mv]],4)/10,0.25)</f>
        <v>2.1368970357233258E-3</v>
      </c>
      <c r="K739" s="41">
        <v>0</v>
      </c>
      <c r="L739" s="41">
        <v>55</v>
      </c>
      <c r="M739" s="41">
        <v>-1</v>
      </c>
      <c r="N739" s="41">
        <v>4</v>
      </c>
      <c r="O739" s="111" t="s">
        <v>1254</v>
      </c>
      <c r="P739" s="109">
        <v>192358</v>
      </c>
      <c r="Q739" s="41"/>
      <c r="R739" s="111"/>
      <c r="S739" s="110">
        <v>9427450</v>
      </c>
      <c r="V739"/>
    </row>
    <row r="740" spans="1:22" x14ac:dyDescent="0.3">
      <c r="A740" s="105">
        <v>739</v>
      </c>
      <c r="B740" s="41">
        <v>12000000</v>
      </c>
      <c r="C740" s="41">
        <v>3.8E-3</v>
      </c>
      <c r="D740" s="41">
        <v>6.7271999999999998</v>
      </c>
      <c r="E740" s="41">
        <v>30</v>
      </c>
      <c r="F740" s="41">
        <v>0</v>
      </c>
      <c r="G740" s="41" t="s">
        <v>104</v>
      </c>
      <c r="H740" s="41">
        <v>0</v>
      </c>
      <c r="I740" s="41">
        <v>1</v>
      </c>
      <c r="J740" s="108">
        <f>POWER(POWER(Table2[[#This Row],[mv]],4)/10,0.25)</f>
        <v>2.1368970357233258E-3</v>
      </c>
      <c r="K740" s="41">
        <v>0</v>
      </c>
      <c r="L740" s="41">
        <v>55</v>
      </c>
      <c r="M740" s="41">
        <v>-1</v>
      </c>
      <c r="N740" s="41">
        <v>4</v>
      </c>
      <c r="O740" s="111" t="s">
        <v>1255</v>
      </c>
      <c r="P740" s="109">
        <v>192358</v>
      </c>
      <c r="Q740" s="41"/>
      <c r="R740" s="111"/>
      <c r="S740" s="110">
        <v>9427450</v>
      </c>
      <c r="V740"/>
    </row>
    <row r="741" spans="1:22" x14ac:dyDescent="0.3">
      <c r="A741" s="105">
        <v>740</v>
      </c>
      <c r="B741" s="41">
        <v>12000000</v>
      </c>
      <c r="C741" s="41">
        <v>3.8E-3</v>
      </c>
      <c r="D741" s="41">
        <v>7.3360000000000003</v>
      </c>
      <c r="E741" s="41">
        <v>30</v>
      </c>
      <c r="F741" s="41">
        <v>0</v>
      </c>
      <c r="G741" s="41" t="s">
        <v>104</v>
      </c>
      <c r="H741" s="41">
        <v>0</v>
      </c>
      <c r="I741" s="41">
        <v>1</v>
      </c>
      <c r="J741" s="108">
        <f>POWER(POWER(Table2[[#This Row],[mv]],4)/10,0.25)</f>
        <v>2.1368970357233258E-3</v>
      </c>
      <c r="K741" s="41">
        <v>0</v>
      </c>
      <c r="L741" s="41">
        <v>55</v>
      </c>
      <c r="M741" s="41">
        <v>-1</v>
      </c>
      <c r="N741" s="41">
        <v>4</v>
      </c>
      <c r="O741" s="111" t="s">
        <v>1256</v>
      </c>
      <c r="P741" s="109">
        <v>192358</v>
      </c>
      <c r="Q741" s="41"/>
      <c r="R741" s="111"/>
      <c r="S741" s="110">
        <v>9427450</v>
      </c>
      <c r="V741"/>
    </row>
    <row r="742" spans="1:22" x14ac:dyDescent="0.3">
      <c r="A742" s="105">
        <v>741</v>
      </c>
      <c r="B742" s="41">
        <v>12000000</v>
      </c>
      <c r="C742" s="41">
        <v>3.8E-3</v>
      </c>
      <c r="D742" s="41">
        <v>8</v>
      </c>
      <c r="E742" s="41">
        <v>30</v>
      </c>
      <c r="F742" s="41">
        <v>0</v>
      </c>
      <c r="G742" s="41" t="s">
        <v>104</v>
      </c>
      <c r="H742" s="41">
        <v>0</v>
      </c>
      <c r="I742" s="41">
        <v>1</v>
      </c>
      <c r="J742" s="108">
        <f>POWER(POWER(Table2[[#This Row],[mv]],4)/10,0.25)</f>
        <v>2.1368970357233258E-3</v>
      </c>
      <c r="K742" s="41">
        <v>0</v>
      </c>
      <c r="L742" s="41">
        <v>55</v>
      </c>
      <c r="M742" s="41">
        <v>-1</v>
      </c>
      <c r="N742" s="41">
        <v>4</v>
      </c>
      <c r="O742" s="111" t="s">
        <v>1257</v>
      </c>
      <c r="P742" s="109">
        <v>192358</v>
      </c>
      <c r="Q742" s="41"/>
      <c r="R742" s="111"/>
      <c r="S742" s="110">
        <v>9427450</v>
      </c>
      <c r="V742"/>
    </row>
    <row r="743" spans="1:22" x14ac:dyDescent="0.3">
      <c r="A743" s="105">
        <v>742</v>
      </c>
      <c r="B743" s="41">
        <v>12000000</v>
      </c>
      <c r="C743" s="41">
        <v>3.8E-3</v>
      </c>
      <c r="D743" s="41">
        <v>8.7241</v>
      </c>
      <c r="E743" s="41">
        <v>30</v>
      </c>
      <c r="F743" s="41">
        <v>0</v>
      </c>
      <c r="G743" s="41" t="s">
        <v>104</v>
      </c>
      <c r="H743" s="41">
        <v>0</v>
      </c>
      <c r="I743" s="41">
        <v>1</v>
      </c>
      <c r="J743" s="108">
        <f>POWER(POWER(Table2[[#This Row],[mv]],4)/10,0.25)</f>
        <v>2.1368970357233258E-3</v>
      </c>
      <c r="K743" s="41">
        <v>0</v>
      </c>
      <c r="L743" s="41">
        <v>55</v>
      </c>
      <c r="M743" s="41">
        <v>-1</v>
      </c>
      <c r="N743" s="41">
        <v>4</v>
      </c>
      <c r="O743" s="111" t="s">
        <v>1258</v>
      </c>
      <c r="P743" s="109">
        <v>192358</v>
      </c>
      <c r="Q743" s="41"/>
      <c r="R743" s="111"/>
      <c r="S743" s="110">
        <v>9427450</v>
      </c>
      <c r="V743"/>
    </row>
    <row r="744" spans="1:22" x14ac:dyDescent="0.3">
      <c r="A744" s="105">
        <v>743</v>
      </c>
      <c r="B744" s="41">
        <v>12000000</v>
      </c>
      <c r="C744" s="41">
        <v>3.8E-3</v>
      </c>
      <c r="D744" s="41">
        <v>9.5137</v>
      </c>
      <c r="E744" s="41">
        <v>30</v>
      </c>
      <c r="F744" s="41">
        <v>0</v>
      </c>
      <c r="G744" s="41" t="s">
        <v>104</v>
      </c>
      <c r="H744" s="41">
        <v>0</v>
      </c>
      <c r="I744" s="41">
        <v>1</v>
      </c>
      <c r="J744" s="108">
        <f>POWER(POWER(Table2[[#This Row],[mv]],4)/10,0.25)</f>
        <v>2.1368970357233258E-3</v>
      </c>
      <c r="K744" s="41">
        <v>0</v>
      </c>
      <c r="L744" s="41">
        <v>55</v>
      </c>
      <c r="M744" s="41">
        <v>-1</v>
      </c>
      <c r="N744" s="41">
        <v>4</v>
      </c>
      <c r="O744" s="111" t="s">
        <v>1259</v>
      </c>
      <c r="P744" s="109">
        <v>192358</v>
      </c>
      <c r="Q744" s="41"/>
      <c r="R744" s="111"/>
      <c r="S744" s="110">
        <v>9427450</v>
      </c>
      <c r="V744"/>
    </row>
    <row r="745" spans="1:22" x14ac:dyDescent="0.3">
      <c r="A745" s="105">
        <v>744</v>
      </c>
      <c r="B745" s="41">
        <v>12000000</v>
      </c>
      <c r="C745" s="41">
        <v>3.8E-3</v>
      </c>
      <c r="D745" s="41">
        <v>10.374700000000001</v>
      </c>
      <c r="E745" s="41">
        <v>30</v>
      </c>
      <c r="F745" s="41">
        <v>0</v>
      </c>
      <c r="G745" s="41" t="s">
        <v>104</v>
      </c>
      <c r="H745" s="41">
        <v>0</v>
      </c>
      <c r="I745" s="41">
        <v>1</v>
      </c>
      <c r="J745" s="108">
        <f>POWER(POWER(Table2[[#This Row],[mv]],4)/10,0.25)</f>
        <v>2.1368970357233258E-3</v>
      </c>
      <c r="K745" s="41">
        <v>0</v>
      </c>
      <c r="L745" s="41">
        <v>55</v>
      </c>
      <c r="M745" s="41">
        <v>-1</v>
      </c>
      <c r="N745" s="41">
        <v>4</v>
      </c>
      <c r="O745" s="111" t="s">
        <v>1260</v>
      </c>
      <c r="P745" s="109">
        <v>192358</v>
      </c>
      <c r="Q745" s="41"/>
      <c r="R745" s="111"/>
      <c r="S745" s="110">
        <v>9427450</v>
      </c>
      <c r="V745"/>
    </row>
    <row r="746" spans="1:22" x14ac:dyDescent="0.3">
      <c r="A746" s="105">
        <v>745</v>
      </c>
      <c r="B746" s="41">
        <v>12000000</v>
      </c>
      <c r="C746" s="41">
        <v>3.8E-3</v>
      </c>
      <c r="D746" s="41">
        <v>11.313700000000001</v>
      </c>
      <c r="E746" s="41">
        <v>30</v>
      </c>
      <c r="F746" s="41">
        <v>0</v>
      </c>
      <c r="G746" s="41" t="s">
        <v>104</v>
      </c>
      <c r="H746" s="41">
        <v>0</v>
      </c>
      <c r="I746" s="41">
        <v>1</v>
      </c>
      <c r="J746" s="108">
        <f>POWER(POWER(Table2[[#This Row],[mv]],4)/10,0.25)</f>
        <v>2.1368970357233258E-3</v>
      </c>
      <c r="K746" s="41">
        <v>0</v>
      </c>
      <c r="L746" s="41">
        <v>55</v>
      </c>
      <c r="M746" s="41">
        <v>-1</v>
      </c>
      <c r="N746" s="41">
        <v>4</v>
      </c>
      <c r="O746" s="111" t="s">
        <v>1261</v>
      </c>
      <c r="P746" s="109">
        <v>192358</v>
      </c>
      <c r="Q746" s="41"/>
      <c r="R746" s="111"/>
      <c r="S746" s="110">
        <v>9427450</v>
      </c>
      <c r="V746"/>
    </row>
    <row r="747" spans="1:22" x14ac:dyDescent="0.3">
      <c r="A747" s="105">
        <v>746</v>
      </c>
      <c r="B747" s="41">
        <v>12000000</v>
      </c>
      <c r="C747" s="41">
        <v>3.8E-3</v>
      </c>
      <c r="D747" s="41">
        <v>12.3377</v>
      </c>
      <c r="E747" s="41">
        <v>30</v>
      </c>
      <c r="F747" s="41">
        <v>0</v>
      </c>
      <c r="G747" s="41" t="s">
        <v>104</v>
      </c>
      <c r="H747" s="41">
        <v>0</v>
      </c>
      <c r="I747" s="41">
        <v>1</v>
      </c>
      <c r="J747" s="108">
        <f>POWER(POWER(Table2[[#This Row],[mv]],4)/10,0.25)</f>
        <v>2.1368970357233258E-3</v>
      </c>
      <c r="K747" s="41">
        <v>0</v>
      </c>
      <c r="L747" s="41">
        <v>55</v>
      </c>
      <c r="M747" s="41">
        <v>-1</v>
      </c>
      <c r="N747" s="41">
        <v>4</v>
      </c>
      <c r="O747" s="111" t="s">
        <v>1262</v>
      </c>
      <c r="P747" s="109">
        <v>192358</v>
      </c>
      <c r="Q747" s="41"/>
      <c r="R747" s="111"/>
      <c r="S747" s="110">
        <v>9427450</v>
      </c>
      <c r="V747"/>
    </row>
    <row r="748" spans="1:22" x14ac:dyDescent="0.3">
      <c r="A748" s="105">
        <v>747</v>
      </c>
      <c r="B748" s="41">
        <v>12000000</v>
      </c>
      <c r="C748" s="41">
        <v>3.8E-3</v>
      </c>
      <c r="D748" s="41">
        <v>13.4543</v>
      </c>
      <c r="E748" s="41">
        <v>30</v>
      </c>
      <c r="F748" s="41">
        <v>0</v>
      </c>
      <c r="G748" s="41" t="s">
        <v>104</v>
      </c>
      <c r="H748" s="41">
        <v>0</v>
      </c>
      <c r="I748" s="41">
        <v>1</v>
      </c>
      <c r="J748" s="108">
        <f>POWER(POWER(Table2[[#This Row],[mv]],4)/10,0.25)</f>
        <v>2.1368970357233258E-3</v>
      </c>
      <c r="K748" s="41">
        <v>0</v>
      </c>
      <c r="L748" s="41">
        <v>55</v>
      </c>
      <c r="M748" s="41">
        <v>-1</v>
      </c>
      <c r="N748" s="41">
        <v>4</v>
      </c>
      <c r="O748" s="111" t="s">
        <v>1263</v>
      </c>
      <c r="P748" s="109">
        <v>192358</v>
      </c>
      <c r="Q748" s="41"/>
      <c r="R748" s="111"/>
      <c r="S748" s="110">
        <v>9427450</v>
      </c>
      <c r="V748"/>
    </row>
    <row r="749" spans="1:22" x14ac:dyDescent="0.3">
      <c r="A749" s="105">
        <v>748</v>
      </c>
      <c r="B749" s="41">
        <v>12000000</v>
      </c>
      <c r="C749" s="41">
        <v>3.8E-3</v>
      </c>
      <c r="D749" s="41">
        <v>14.6721</v>
      </c>
      <c r="E749" s="41">
        <v>30</v>
      </c>
      <c r="F749" s="41">
        <v>0</v>
      </c>
      <c r="G749" s="41" t="s">
        <v>104</v>
      </c>
      <c r="H749" s="41">
        <v>0</v>
      </c>
      <c r="I749" s="41">
        <v>1</v>
      </c>
      <c r="J749" s="108">
        <f>POWER(POWER(Table2[[#This Row],[mv]],4)/10,0.25)</f>
        <v>2.1368970357233258E-3</v>
      </c>
      <c r="K749" s="41">
        <v>0</v>
      </c>
      <c r="L749" s="41">
        <v>55</v>
      </c>
      <c r="M749" s="41">
        <v>-1</v>
      </c>
      <c r="N749" s="41">
        <v>4</v>
      </c>
      <c r="O749" s="111" t="s">
        <v>1264</v>
      </c>
      <c r="P749" s="109">
        <v>192358</v>
      </c>
      <c r="Q749" s="41"/>
      <c r="R749" s="111"/>
      <c r="S749" s="110">
        <v>9427450</v>
      </c>
      <c r="V749"/>
    </row>
    <row r="750" spans="1:22" x14ac:dyDescent="0.3">
      <c r="A750" s="105">
        <v>749</v>
      </c>
      <c r="B750" s="41">
        <v>12000000</v>
      </c>
      <c r="C750" s="41">
        <v>3.8E-3</v>
      </c>
      <c r="D750" s="41">
        <v>16</v>
      </c>
      <c r="E750" s="41">
        <v>30</v>
      </c>
      <c r="F750" s="41">
        <v>0</v>
      </c>
      <c r="G750" s="41" t="s">
        <v>104</v>
      </c>
      <c r="H750" s="41">
        <v>0</v>
      </c>
      <c r="I750" s="41">
        <v>1</v>
      </c>
      <c r="J750" s="108">
        <f>POWER(POWER(Table2[[#This Row],[mv]],4)/10,0.25)</f>
        <v>2.1368970357233258E-3</v>
      </c>
      <c r="K750" s="41">
        <v>0</v>
      </c>
      <c r="L750" s="41">
        <v>55</v>
      </c>
      <c r="M750" s="41">
        <v>-1</v>
      </c>
      <c r="N750" s="41">
        <v>4</v>
      </c>
      <c r="O750" s="111" t="s">
        <v>1265</v>
      </c>
      <c r="P750" s="109">
        <v>192358</v>
      </c>
      <c r="Q750" s="41"/>
      <c r="R750" s="111"/>
      <c r="S750" s="110">
        <v>9427450</v>
      </c>
      <c r="V750"/>
    </row>
    <row r="751" spans="1:22" x14ac:dyDescent="0.3">
      <c r="A751" s="105">
        <v>750</v>
      </c>
      <c r="B751" s="41">
        <v>12000000</v>
      </c>
      <c r="C751" s="41">
        <v>3.8E-3</v>
      </c>
      <c r="D751" s="41">
        <v>17.4481</v>
      </c>
      <c r="E751" s="41">
        <v>30</v>
      </c>
      <c r="F751" s="41">
        <v>0</v>
      </c>
      <c r="G751" s="41" t="s">
        <v>104</v>
      </c>
      <c r="H751" s="41">
        <v>0</v>
      </c>
      <c r="I751" s="41">
        <v>1</v>
      </c>
      <c r="J751" s="108">
        <f>POWER(POWER(Table2[[#This Row],[mv]],4)/10,0.25)</f>
        <v>2.1368970357233258E-3</v>
      </c>
      <c r="K751" s="41">
        <v>0</v>
      </c>
      <c r="L751" s="41">
        <v>55</v>
      </c>
      <c r="M751" s="41">
        <v>-1</v>
      </c>
      <c r="N751" s="41">
        <v>4</v>
      </c>
      <c r="O751" s="111" t="s">
        <v>1266</v>
      </c>
      <c r="P751" s="109">
        <v>192358</v>
      </c>
      <c r="Q751" s="41"/>
      <c r="R751" s="111"/>
      <c r="S751" s="110">
        <v>9427450</v>
      </c>
      <c r="V751"/>
    </row>
    <row r="752" spans="1:22" x14ac:dyDescent="0.3">
      <c r="A752" s="105">
        <v>751</v>
      </c>
      <c r="B752" s="41">
        <v>12000000</v>
      </c>
      <c r="C752" s="41">
        <v>3.8E-3</v>
      </c>
      <c r="D752" s="41">
        <v>19.0273</v>
      </c>
      <c r="E752" s="41">
        <v>30</v>
      </c>
      <c r="F752" s="41">
        <v>0</v>
      </c>
      <c r="G752" s="41" t="s">
        <v>104</v>
      </c>
      <c r="H752" s="41">
        <v>0</v>
      </c>
      <c r="I752" s="41">
        <v>1</v>
      </c>
      <c r="J752" s="108">
        <f>POWER(POWER(Table2[[#This Row],[mv]],4)/10,0.25)</f>
        <v>2.1368970357233258E-3</v>
      </c>
      <c r="K752" s="41">
        <v>0</v>
      </c>
      <c r="L752" s="41">
        <v>55</v>
      </c>
      <c r="M752" s="41">
        <v>-1</v>
      </c>
      <c r="N752" s="41">
        <v>4</v>
      </c>
      <c r="O752" s="111" t="s">
        <v>1267</v>
      </c>
      <c r="P752" s="109">
        <v>192358</v>
      </c>
      <c r="Q752" s="41"/>
      <c r="R752" s="111"/>
      <c r="S752" s="110">
        <v>9427450</v>
      </c>
      <c r="V752"/>
    </row>
    <row r="753" spans="1:22" x14ac:dyDescent="0.3">
      <c r="A753" s="105">
        <v>752</v>
      </c>
      <c r="B753" s="41">
        <v>12000000</v>
      </c>
      <c r="C753" s="41">
        <v>4.1999999999999997E-3</v>
      </c>
      <c r="D753" s="41">
        <v>5.6569000000000003</v>
      </c>
      <c r="E753" s="41">
        <v>30</v>
      </c>
      <c r="F753" s="41">
        <v>0</v>
      </c>
      <c r="G753" s="41" t="s">
        <v>104</v>
      </c>
      <c r="H753" s="41">
        <v>0</v>
      </c>
      <c r="I753" s="41">
        <v>1</v>
      </c>
      <c r="J753" s="108">
        <f>POWER(POWER(Table2[[#This Row],[mv]],4)/10,0.25)</f>
        <v>2.361833565799467E-3</v>
      </c>
      <c r="K753" s="41">
        <v>0</v>
      </c>
      <c r="L753" s="41">
        <v>55</v>
      </c>
      <c r="M753" s="41">
        <v>-1</v>
      </c>
      <c r="N753" s="41">
        <v>4</v>
      </c>
      <c r="O753" s="111" t="s">
        <v>1268</v>
      </c>
      <c r="P753" s="109">
        <v>192358</v>
      </c>
      <c r="Q753" s="41"/>
      <c r="R753" s="111"/>
      <c r="S753" s="110">
        <v>9427450</v>
      </c>
      <c r="V753"/>
    </row>
    <row r="754" spans="1:22" x14ac:dyDescent="0.3">
      <c r="A754" s="105">
        <v>753</v>
      </c>
      <c r="B754" s="41">
        <v>12000000</v>
      </c>
      <c r="C754" s="41">
        <v>4.1999999999999997E-3</v>
      </c>
      <c r="D754" s="41">
        <v>6.1688000000000001</v>
      </c>
      <c r="E754" s="41">
        <v>30</v>
      </c>
      <c r="F754" s="41">
        <v>0</v>
      </c>
      <c r="G754" s="41" t="s">
        <v>104</v>
      </c>
      <c r="H754" s="41">
        <v>0</v>
      </c>
      <c r="I754" s="41">
        <v>1</v>
      </c>
      <c r="J754" s="108">
        <f>POWER(POWER(Table2[[#This Row],[mv]],4)/10,0.25)</f>
        <v>2.361833565799467E-3</v>
      </c>
      <c r="K754" s="41">
        <v>0</v>
      </c>
      <c r="L754" s="41">
        <v>55</v>
      </c>
      <c r="M754" s="41">
        <v>-1</v>
      </c>
      <c r="N754" s="41">
        <v>4</v>
      </c>
      <c r="O754" s="111" t="s">
        <v>1269</v>
      </c>
      <c r="P754" s="109">
        <v>192358</v>
      </c>
      <c r="Q754" s="41"/>
      <c r="R754" s="111"/>
      <c r="S754" s="110">
        <v>9427450</v>
      </c>
      <c r="V754"/>
    </row>
    <row r="755" spans="1:22" x14ac:dyDescent="0.3">
      <c r="A755" s="105">
        <v>754</v>
      </c>
      <c r="B755" s="41">
        <v>12000000</v>
      </c>
      <c r="C755" s="41">
        <v>4.1999999999999997E-3</v>
      </c>
      <c r="D755" s="41">
        <v>6.7271999999999998</v>
      </c>
      <c r="E755" s="41">
        <v>30</v>
      </c>
      <c r="F755" s="41">
        <v>0</v>
      </c>
      <c r="G755" s="41" t="s">
        <v>104</v>
      </c>
      <c r="H755" s="41">
        <v>0</v>
      </c>
      <c r="I755" s="41">
        <v>1</v>
      </c>
      <c r="J755" s="108">
        <f>POWER(POWER(Table2[[#This Row],[mv]],4)/10,0.25)</f>
        <v>2.361833565799467E-3</v>
      </c>
      <c r="K755" s="41">
        <v>0</v>
      </c>
      <c r="L755" s="41">
        <v>55</v>
      </c>
      <c r="M755" s="41">
        <v>-1</v>
      </c>
      <c r="N755" s="41">
        <v>4</v>
      </c>
      <c r="O755" s="111" t="s">
        <v>1270</v>
      </c>
      <c r="P755" s="109">
        <v>192363</v>
      </c>
      <c r="Q755" s="41"/>
      <c r="R755" s="111"/>
      <c r="S755" s="110">
        <v>9427450</v>
      </c>
      <c r="V755"/>
    </row>
    <row r="756" spans="1:22" x14ac:dyDescent="0.3">
      <c r="A756" s="105">
        <v>755</v>
      </c>
      <c r="B756" s="41">
        <v>12000000</v>
      </c>
      <c r="C756" s="41">
        <v>4.1999999999999997E-3</v>
      </c>
      <c r="D756" s="41">
        <v>7.3360000000000003</v>
      </c>
      <c r="E756" s="41">
        <v>30</v>
      </c>
      <c r="F756" s="41">
        <v>0</v>
      </c>
      <c r="G756" s="41" t="s">
        <v>104</v>
      </c>
      <c r="H756" s="41">
        <v>0</v>
      </c>
      <c r="I756" s="41">
        <v>1</v>
      </c>
      <c r="J756" s="108">
        <f>POWER(POWER(Table2[[#This Row],[mv]],4)/10,0.25)</f>
        <v>2.361833565799467E-3</v>
      </c>
      <c r="K756" s="41">
        <v>0</v>
      </c>
      <c r="L756" s="41">
        <v>55</v>
      </c>
      <c r="M756" s="41">
        <v>-1</v>
      </c>
      <c r="N756" s="41">
        <v>4</v>
      </c>
      <c r="O756" s="111" t="s">
        <v>1271</v>
      </c>
      <c r="P756" s="109">
        <v>192363</v>
      </c>
      <c r="Q756" s="41"/>
      <c r="R756" s="111"/>
      <c r="S756" s="110">
        <v>9427450</v>
      </c>
      <c r="V756"/>
    </row>
    <row r="757" spans="1:22" x14ac:dyDescent="0.3">
      <c r="A757" s="105">
        <v>756</v>
      </c>
      <c r="B757" s="41">
        <v>12000000</v>
      </c>
      <c r="C757" s="41">
        <v>4.1999999999999997E-3</v>
      </c>
      <c r="D757" s="41">
        <v>8</v>
      </c>
      <c r="E757" s="41">
        <v>30</v>
      </c>
      <c r="F757" s="41">
        <v>0</v>
      </c>
      <c r="G757" s="41" t="s">
        <v>104</v>
      </c>
      <c r="H757" s="41">
        <v>0</v>
      </c>
      <c r="I757" s="41">
        <v>1</v>
      </c>
      <c r="J757" s="108">
        <f>POWER(POWER(Table2[[#This Row],[mv]],4)/10,0.25)</f>
        <v>2.361833565799467E-3</v>
      </c>
      <c r="K757" s="41">
        <v>0</v>
      </c>
      <c r="L757" s="41">
        <v>55</v>
      </c>
      <c r="M757" s="41">
        <v>-1</v>
      </c>
      <c r="N757" s="41">
        <v>4</v>
      </c>
      <c r="O757" s="111" t="s">
        <v>1272</v>
      </c>
      <c r="P757" s="109">
        <v>192363</v>
      </c>
      <c r="Q757" s="41"/>
      <c r="R757" s="111"/>
      <c r="S757" s="110">
        <v>9427450</v>
      </c>
      <c r="V757"/>
    </row>
    <row r="758" spans="1:22" x14ac:dyDescent="0.3">
      <c r="A758" s="105">
        <v>757</v>
      </c>
      <c r="B758" s="41">
        <v>12000000</v>
      </c>
      <c r="C758" s="41">
        <v>4.1999999999999997E-3</v>
      </c>
      <c r="D758" s="41">
        <v>8.7241</v>
      </c>
      <c r="E758" s="41">
        <v>30</v>
      </c>
      <c r="F758" s="41">
        <v>0</v>
      </c>
      <c r="G758" s="41" t="s">
        <v>104</v>
      </c>
      <c r="H758" s="41">
        <v>0</v>
      </c>
      <c r="I758" s="41">
        <v>1</v>
      </c>
      <c r="J758" s="108">
        <f>POWER(POWER(Table2[[#This Row],[mv]],4)/10,0.25)</f>
        <v>2.361833565799467E-3</v>
      </c>
      <c r="K758" s="41">
        <v>0</v>
      </c>
      <c r="L758" s="41">
        <v>55</v>
      </c>
      <c r="M758" s="41">
        <v>-1</v>
      </c>
      <c r="N758" s="41">
        <v>4</v>
      </c>
      <c r="O758" s="111" t="s">
        <v>1273</v>
      </c>
      <c r="P758" s="109">
        <v>192363</v>
      </c>
      <c r="Q758" s="41"/>
      <c r="R758" s="111"/>
      <c r="S758" s="110">
        <v>9427450</v>
      </c>
      <c r="V758"/>
    </row>
    <row r="759" spans="1:22" x14ac:dyDescent="0.3">
      <c r="A759" s="105">
        <v>758</v>
      </c>
      <c r="B759" s="41">
        <v>12000000</v>
      </c>
      <c r="C759" s="41">
        <v>4.1999999999999997E-3</v>
      </c>
      <c r="D759" s="41">
        <v>9.5137</v>
      </c>
      <c r="E759" s="41">
        <v>30</v>
      </c>
      <c r="F759" s="41">
        <v>0</v>
      </c>
      <c r="G759" s="41" t="s">
        <v>104</v>
      </c>
      <c r="H759" s="41">
        <v>0</v>
      </c>
      <c r="I759" s="41">
        <v>1</v>
      </c>
      <c r="J759" s="108">
        <f>POWER(POWER(Table2[[#This Row],[mv]],4)/10,0.25)</f>
        <v>2.361833565799467E-3</v>
      </c>
      <c r="K759" s="41">
        <v>0</v>
      </c>
      <c r="L759" s="41">
        <v>55</v>
      </c>
      <c r="M759" s="41">
        <v>-1</v>
      </c>
      <c r="N759" s="41">
        <v>4</v>
      </c>
      <c r="O759" s="111" t="s">
        <v>1274</v>
      </c>
      <c r="P759" s="109">
        <v>192363</v>
      </c>
      <c r="Q759" s="41"/>
      <c r="R759" s="111"/>
      <c r="S759" s="110">
        <v>9427450</v>
      </c>
      <c r="V759"/>
    </row>
    <row r="760" spans="1:22" x14ac:dyDescent="0.3">
      <c r="A760" s="105">
        <v>759</v>
      </c>
      <c r="B760" s="41">
        <v>12000000</v>
      </c>
      <c r="C760" s="41">
        <v>4.1999999999999997E-3</v>
      </c>
      <c r="D760" s="41">
        <v>10.374700000000001</v>
      </c>
      <c r="E760" s="41">
        <v>30</v>
      </c>
      <c r="F760" s="41">
        <v>0</v>
      </c>
      <c r="G760" s="41" t="s">
        <v>104</v>
      </c>
      <c r="H760" s="41">
        <v>0</v>
      </c>
      <c r="I760" s="41">
        <v>1</v>
      </c>
      <c r="J760" s="108">
        <f>POWER(POWER(Table2[[#This Row],[mv]],4)/10,0.25)</f>
        <v>2.361833565799467E-3</v>
      </c>
      <c r="K760" s="41">
        <v>0</v>
      </c>
      <c r="L760" s="41">
        <v>55</v>
      </c>
      <c r="M760" s="41">
        <v>-1</v>
      </c>
      <c r="N760" s="41">
        <v>4</v>
      </c>
      <c r="O760" s="111" t="s">
        <v>1275</v>
      </c>
      <c r="P760" s="109">
        <v>192363</v>
      </c>
      <c r="Q760" s="41"/>
      <c r="R760" s="111"/>
      <c r="S760" s="110">
        <v>9427450</v>
      </c>
      <c r="V760"/>
    </row>
    <row r="761" spans="1:22" x14ac:dyDescent="0.3">
      <c r="A761" s="105">
        <v>760</v>
      </c>
      <c r="B761" s="41">
        <v>12000000</v>
      </c>
      <c r="C761" s="41">
        <v>4.1999999999999997E-3</v>
      </c>
      <c r="D761" s="41">
        <v>11.313700000000001</v>
      </c>
      <c r="E761" s="41">
        <v>30</v>
      </c>
      <c r="F761" s="41">
        <v>0</v>
      </c>
      <c r="G761" s="41" t="s">
        <v>104</v>
      </c>
      <c r="H761" s="41">
        <v>0</v>
      </c>
      <c r="I761" s="41">
        <v>1</v>
      </c>
      <c r="J761" s="108">
        <f>POWER(POWER(Table2[[#This Row],[mv]],4)/10,0.25)</f>
        <v>2.361833565799467E-3</v>
      </c>
      <c r="K761" s="41">
        <v>0</v>
      </c>
      <c r="L761" s="41">
        <v>55</v>
      </c>
      <c r="M761" s="41">
        <v>-1</v>
      </c>
      <c r="N761" s="41">
        <v>4</v>
      </c>
      <c r="O761" s="111" t="s">
        <v>1276</v>
      </c>
      <c r="P761" s="109">
        <v>192363</v>
      </c>
      <c r="Q761" s="41"/>
      <c r="R761" s="111"/>
      <c r="S761" s="110">
        <v>9427450</v>
      </c>
      <c r="V761"/>
    </row>
    <row r="762" spans="1:22" x14ac:dyDescent="0.3">
      <c r="A762" s="105">
        <v>761</v>
      </c>
      <c r="B762" s="41">
        <v>12000000</v>
      </c>
      <c r="C762" s="41">
        <v>4.1999999999999997E-3</v>
      </c>
      <c r="D762" s="41">
        <v>12.3377</v>
      </c>
      <c r="E762" s="41">
        <v>30</v>
      </c>
      <c r="F762" s="41">
        <v>0</v>
      </c>
      <c r="G762" s="41" t="s">
        <v>104</v>
      </c>
      <c r="H762" s="41">
        <v>0</v>
      </c>
      <c r="I762" s="41">
        <v>1</v>
      </c>
      <c r="J762" s="108">
        <f>POWER(POWER(Table2[[#This Row],[mv]],4)/10,0.25)</f>
        <v>2.361833565799467E-3</v>
      </c>
      <c r="K762" s="41">
        <v>0</v>
      </c>
      <c r="L762" s="41">
        <v>55</v>
      </c>
      <c r="M762" s="41">
        <v>-1</v>
      </c>
      <c r="N762" s="41">
        <v>4</v>
      </c>
      <c r="O762" s="111" t="s">
        <v>1277</v>
      </c>
      <c r="P762" s="109">
        <v>192363</v>
      </c>
      <c r="Q762" s="41"/>
      <c r="R762" s="111"/>
      <c r="S762" s="110">
        <v>9427450</v>
      </c>
      <c r="V762"/>
    </row>
    <row r="763" spans="1:22" x14ac:dyDescent="0.3">
      <c r="A763" s="105">
        <v>762</v>
      </c>
      <c r="B763" s="41">
        <v>12000000</v>
      </c>
      <c r="C763" s="41">
        <v>4.1999999999999997E-3</v>
      </c>
      <c r="D763" s="41">
        <v>13.4543</v>
      </c>
      <c r="E763" s="41">
        <v>30</v>
      </c>
      <c r="F763" s="41">
        <v>0</v>
      </c>
      <c r="G763" s="41" t="s">
        <v>104</v>
      </c>
      <c r="H763" s="41">
        <v>0</v>
      </c>
      <c r="I763" s="41">
        <v>1</v>
      </c>
      <c r="J763" s="108">
        <f>POWER(POWER(Table2[[#This Row],[mv]],4)/10,0.25)</f>
        <v>2.361833565799467E-3</v>
      </c>
      <c r="K763" s="41">
        <v>0</v>
      </c>
      <c r="L763" s="41">
        <v>55</v>
      </c>
      <c r="M763" s="41">
        <v>-1</v>
      </c>
      <c r="N763" s="41">
        <v>4</v>
      </c>
      <c r="O763" s="111" t="s">
        <v>1278</v>
      </c>
      <c r="P763" s="109">
        <v>192363</v>
      </c>
      <c r="Q763" s="41"/>
      <c r="R763" s="111"/>
      <c r="S763" s="110">
        <v>9427450</v>
      </c>
      <c r="V763"/>
    </row>
    <row r="764" spans="1:22" x14ac:dyDescent="0.3">
      <c r="A764" s="105">
        <v>763</v>
      </c>
      <c r="B764" s="41">
        <v>12000000</v>
      </c>
      <c r="C764" s="41">
        <v>4.1999999999999997E-3</v>
      </c>
      <c r="D764" s="41">
        <v>14.6721</v>
      </c>
      <c r="E764" s="41">
        <v>30</v>
      </c>
      <c r="F764" s="41">
        <v>0</v>
      </c>
      <c r="G764" s="41" t="s">
        <v>104</v>
      </c>
      <c r="H764" s="41">
        <v>0</v>
      </c>
      <c r="I764" s="41">
        <v>1</v>
      </c>
      <c r="J764" s="108">
        <f>POWER(POWER(Table2[[#This Row],[mv]],4)/10,0.25)</f>
        <v>2.361833565799467E-3</v>
      </c>
      <c r="K764" s="41">
        <v>0</v>
      </c>
      <c r="L764" s="41">
        <v>55</v>
      </c>
      <c r="M764" s="41">
        <v>-1</v>
      </c>
      <c r="N764" s="41">
        <v>4</v>
      </c>
      <c r="O764" s="111" t="s">
        <v>1279</v>
      </c>
      <c r="P764" s="109">
        <v>192363</v>
      </c>
      <c r="Q764" s="41"/>
      <c r="R764" s="111"/>
      <c r="S764" s="110">
        <v>9427450</v>
      </c>
      <c r="V764"/>
    </row>
    <row r="765" spans="1:22" x14ac:dyDescent="0.3">
      <c r="A765" s="105">
        <v>764</v>
      </c>
      <c r="B765" s="41">
        <v>12000000</v>
      </c>
      <c r="C765" s="41">
        <v>4.1999999999999997E-3</v>
      </c>
      <c r="D765" s="41">
        <v>16</v>
      </c>
      <c r="E765" s="41">
        <v>30</v>
      </c>
      <c r="F765" s="41">
        <v>0</v>
      </c>
      <c r="G765" s="41" t="s">
        <v>104</v>
      </c>
      <c r="H765" s="41">
        <v>0</v>
      </c>
      <c r="I765" s="41">
        <v>1</v>
      </c>
      <c r="J765" s="108">
        <f>POWER(POWER(Table2[[#This Row],[mv]],4)/10,0.25)</f>
        <v>2.361833565799467E-3</v>
      </c>
      <c r="K765" s="41">
        <v>0</v>
      </c>
      <c r="L765" s="41">
        <v>55</v>
      </c>
      <c r="M765" s="41">
        <v>-1</v>
      </c>
      <c r="N765" s="41">
        <v>4</v>
      </c>
      <c r="O765" s="111" t="s">
        <v>1280</v>
      </c>
      <c r="P765" s="109">
        <v>192363</v>
      </c>
      <c r="Q765" s="41"/>
      <c r="R765" s="111"/>
      <c r="S765" s="110">
        <v>9427450</v>
      </c>
      <c r="V765"/>
    </row>
    <row r="766" spans="1:22" x14ac:dyDescent="0.3">
      <c r="A766" s="105">
        <v>765</v>
      </c>
      <c r="B766" s="41">
        <v>12000000</v>
      </c>
      <c r="C766" s="41">
        <v>4.1999999999999997E-3</v>
      </c>
      <c r="D766" s="41">
        <v>17.4481</v>
      </c>
      <c r="E766" s="41">
        <v>30</v>
      </c>
      <c r="F766" s="41">
        <v>0</v>
      </c>
      <c r="G766" s="41" t="s">
        <v>104</v>
      </c>
      <c r="H766" s="41">
        <v>0</v>
      </c>
      <c r="I766" s="41">
        <v>1</v>
      </c>
      <c r="J766" s="108">
        <f>POWER(POWER(Table2[[#This Row],[mv]],4)/10,0.25)</f>
        <v>2.361833565799467E-3</v>
      </c>
      <c r="K766" s="41">
        <v>0</v>
      </c>
      <c r="L766" s="41">
        <v>55</v>
      </c>
      <c r="M766" s="41">
        <v>-1</v>
      </c>
      <c r="N766" s="41">
        <v>4</v>
      </c>
      <c r="O766" s="111" t="s">
        <v>1281</v>
      </c>
      <c r="P766" s="109">
        <v>192363</v>
      </c>
      <c r="Q766" s="41"/>
      <c r="R766" s="111"/>
      <c r="S766" s="110">
        <v>9427450</v>
      </c>
      <c r="V766"/>
    </row>
    <row r="767" spans="1:22" x14ac:dyDescent="0.3">
      <c r="A767" s="105">
        <v>766</v>
      </c>
      <c r="B767" s="41">
        <v>12000000</v>
      </c>
      <c r="C767" s="41">
        <v>4.1999999999999997E-3</v>
      </c>
      <c r="D767" s="41">
        <v>19.0273</v>
      </c>
      <c r="E767" s="41">
        <v>30</v>
      </c>
      <c r="F767" s="41">
        <v>0</v>
      </c>
      <c r="G767" s="41" t="s">
        <v>104</v>
      </c>
      <c r="H767" s="41">
        <v>0</v>
      </c>
      <c r="I767" s="41">
        <v>1</v>
      </c>
      <c r="J767" s="108">
        <f>POWER(POWER(Table2[[#This Row],[mv]],4)/10,0.25)</f>
        <v>2.361833565799467E-3</v>
      </c>
      <c r="K767" s="41">
        <v>0</v>
      </c>
      <c r="L767" s="41">
        <v>55</v>
      </c>
      <c r="M767" s="41">
        <v>-1</v>
      </c>
      <c r="N767" s="41">
        <v>4</v>
      </c>
      <c r="O767" s="111" t="s">
        <v>1282</v>
      </c>
      <c r="P767" s="109">
        <v>192363</v>
      </c>
      <c r="Q767" s="41"/>
      <c r="R767" s="111"/>
      <c r="S767" s="110">
        <v>9427450</v>
      </c>
      <c r="V767"/>
    </row>
    <row r="768" spans="1:22" x14ac:dyDescent="0.3">
      <c r="A768" s="105">
        <v>767</v>
      </c>
      <c r="B768" s="41">
        <v>12000000</v>
      </c>
      <c r="C768" s="41">
        <v>4.4999999999999997E-3</v>
      </c>
      <c r="D768" s="41">
        <v>6.7271999999999998</v>
      </c>
      <c r="E768" s="41">
        <v>30</v>
      </c>
      <c r="F768" s="41">
        <v>0</v>
      </c>
      <c r="G768" s="41" t="s">
        <v>104</v>
      </c>
      <c r="H768" s="41">
        <v>0</v>
      </c>
      <c r="I768" s="41">
        <v>1</v>
      </c>
      <c r="J768" s="108">
        <f>POWER(POWER(Table2[[#This Row],[mv]],4)/10,0.25)</f>
        <v>2.5305359633565699E-3</v>
      </c>
      <c r="K768" s="41">
        <v>0</v>
      </c>
      <c r="L768" s="41">
        <v>55</v>
      </c>
      <c r="M768" s="41">
        <v>-1</v>
      </c>
      <c r="N768" s="41">
        <v>4</v>
      </c>
      <c r="O768" s="111" t="s">
        <v>1283</v>
      </c>
      <c r="P768" s="109">
        <v>192363</v>
      </c>
      <c r="Q768" s="41"/>
      <c r="R768" s="111"/>
      <c r="S768" s="110">
        <v>9427450</v>
      </c>
      <c r="V768"/>
    </row>
    <row r="769" spans="1:22" x14ac:dyDescent="0.3">
      <c r="A769" s="105">
        <v>768</v>
      </c>
      <c r="B769" s="41">
        <v>12000000</v>
      </c>
      <c r="C769" s="41">
        <v>4.4999999999999997E-3</v>
      </c>
      <c r="D769" s="41">
        <v>7.3360000000000003</v>
      </c>
      <c r="E769" s="41">
        <v>30</v>
      </c>
      <c r="F769" s="41">
        <v>0</v>
      </c>
      <c r="G769" s="41" t="s">
        <v>104</v>
      </c>
      <c r="H769" s="41">
        <v>0</v>
      </c>
      <c r="I769" s="41">
        <v>1</v>
      </c>
      <c r="J769" s="108">
        <f>POWER(POWER(Table2[[#This Row],[mv]],4)/10,0.25)</f>
        <v>2.5305359633565699E-3</v>
      </c>
      <c r="K769" s="41">
        <v>0</v>
      </c>
      <c r="L769" s="41">
        <v>55</v>
      </c>
      <c r="M769" s="41">
        <v>-1</v>
      </c>
      <c r="N769" s="41">
        <v>4</v>
      </c>
      <c r="O769" s="111" t="s">
        <v>1284</v>
      </c>
      <c r="P769" s="109">
        <v>192363</v>
      </c>
      <c r="Q769" s="41"/>
      <c r="R769" s="111"/>
      <c r="S769" s="110">
        <v>9427450</v>
      </c>
      <c r="V769"/>
    </row>
    <row r="770" spans="1:22" x14ac:dyDescent="0.3">
      <c r="A770" s="105">
        <v>769</v>
      </c>
      <c r="B770" s="41">
        <v>12000000</v>
      </c>
      <c r="C770" s="41">
        <v>4.4999999999999997E-3</v>
      </c>
      <c r="D770" s="41">
        <v>8</v>
      </c>
      <c r="E770" s="41">
        <v>30</v>
      </c>
      <c r="F770" s="41">
        <v>0</v>
      </c>
      <c r="G770" s="41" t="s">
        <v>104</v>
      </c>
      <c r="H770" s="41">
        <v>0</v>
      </c>
      <c r="I770" s="41">
        <v>1</v>
      </c>
      <c r="J770" s="108">
        <f>POWER(POWER(Table2[[#This Row],[mv]],4)/10,0.25)</f>
        <v>2.5305359633565699E-3</v>
      </c>
      <c r="K770" s="41">
        <v>0</v>
      </c>
      <c r="L770" s="41">
        <v>55</v>
      </c>
      <c r="M770" s="41">
        <v>-1</v>
      </c>
      <c r="N770" s="41">
        <v>4</v>
      </c>
      <c r="O770" s="111" t="s">
        <v>1285</v>
      </c>
      <c r="P770" s="109">
        <v>192363</v>
      </c>
      <c r="Q770" s="41"/>
      <c r="R770" s="111"/>
      <c r="S770" s="110">
        <v>9427450</v>
      </c>
      <c r="V770"/>
    </row>
    <row r="771" spans="1:22" x14ac:dyDescent="0.3">
      <c r="A771" s="105">
        <v>770</v>
      </c>
      <c r="B771" s="41">
        <v>12000000</v>
      </c>
      <c r="C771" s="41">
        <v>4.4999999999999997E-3</v>
      </c>
      <c r="D771" s="41">
        <v>8.7241</v>
      </c>
      <c r="E771" s="41">
        <v>30</v>
      </c>
      <c r="F771" s="41">
        <v>0</v>
      </c>
      <c r="G771" s="41" t="s">
        <v>104</v>
      </c>
      <c r="H771" s="41">
        <v>0</v>
      </c>
      <c r="I771" s="41">
        <v>1</v>
      </c>
      <c r="J771" s="108">
        <f>POWER(POWER(Table2[[#This Row],[mv]],4)/10,0.25)</f>
        <v>2.5305359633565699E-3</v>
      </c>
      <c r="K771" s="41">
        <v>0</v>
      </c>
      <c r="L771" s="41">
        <v>55</v>
      </c>
      <c r="M771" s="41">
        <v>-1</v>
      </c>
      <c r="N771" s="41">
        <v>4</v>
      </c>
      <c r="O771" s="111" t="s">
        <v>1286</v>
      </c>
      <c r="P771" s="109">
        <v>192363</v>
      </c>
      <c r="Q771" s="41"/>
      <c r="R771" s="111"/>
      <c r="S771" s="110">
        <v>9427450</v>
      </c>
      <c r="V771"/>
    </row>
    <row r="772" spans="1:22" x14ac:dyDescent="0.3">
      <c r="A772" s="105">
        <v>771</v>
      </c>
      <c r="B772" s="41">
        <v>12000000</v>
      </c>
      <c r="C772" s="41">
        <v>4.4999999999999997E-3</v>
      </c>
      <c r="D772" s="41">
        <v>9.5137</v>
      </c>
      <c r="E772" s="41">
        <v>30</v>
      </c>
      <c r="F772" s="41">
        <v>0</v>
      </c>
      <c r="G772" s="41" t="s">
        <v>104</v>
      </c>
      <c r="H772" s="41">
        <v>0</v>
      </c>
      <c r="I772" s="41">
        <v>1</v>
      </c>
      <c r="J772" s="108">
        <f>POWER(POWER(Table2[[#This Row],[mv]],4)/10,0.25)</f>
        <v>2.5305359633565699E-3</v>
      </c>
      <c r="K772" s="41">
        <v>0</v>
      </c>
      <c r="L772" s="41">
        <v>55</v>
      </c>
      <c r="M772" s="41">
        <v>-1</v>
      </c>
      <c r="N772" s="41">
        <v>4</v>
      </c>
      <c r="O772" s="111" t="s">
        <v>1287</v>
      </c>
      <c r="P772" s="109">
        <v>192363</v>
      </c>
      <c r="Q772" s="41"/>
      <c r="R772" s="111"/>
      <c r="S772" s="110">
        <v>9427450</v>
      </c>
    </row>
    <row r="773" spans="1:22" x14ac:dyDescent="0.3">
      <c r="A773" s="105">
        <v>772</v>
      </c>
      <c r="B773" s="41">
        <v>12000000</v>
      </c>
      <c r="C773" s="41">
        <v>4.4999999999999997E-3</v>
      </c>
      <c r="D773" s="41">
        <v>10.374700000000001</v>
      </c>
      <c r="E773" s="41">
        <v>30</v>
      </c>
      <c r="F773" s="41">
        <v>0</v>
      </c>
      <c r="G773" s="41" t="s">
        <v>104</v>
      </c>
      <c r="H773" s="41">
        <v>0</v>
      </c>
      <c r="I773" s="41">
        <v>1</v>
      </c>
      <c r="J773" s="108">
        <f>POWER(POWER(Table2[[#This Row],[mv]],4)/10,0.25)</f>
        <v>2.5305359633565699E-3</v>
      </c>
      <c r="K773" s="41">
        <v>0</v>
      </c>
      <c r="L773" s="41">
        <v>55</v>
      </c>
      <c r="M773" s="41">
        <v>-1</v>
      </c>
      <c r="N773" s="41">
        <v>4</v>
      </c>
      <c r="O773" s="111" t="s">
        <v>1288</v>
      </c>
      <c r="P773" s="109">
        <v>192363</v>
      </c>
      <c r="Q773" s="41"/>
      <c r="R773" s="111"/>
      <c r="S773" s="110">
        <v>9427450</v>
      </c>
    </row>
    <row r="774" spans="1:22" x14ac:dyDescent="0.3">
      <c r="A774" s="105">
        <v>773</v>
      </c>
      <c r="B774" s="41">
        <v>12000000</v>
      </c>
      <c r="C774" s="41">
        <v>4.4999999999999997E-3</v>
      </c>
      <c r="D774" s="41">
        <v>11.313700000000001</v>
      </c>
      <c r="E774" s="41">
        <v>30</v>
      </c>
      <c r="F774" s="41">
        <v>0</v>
      </c>
      <c r="G774" s="41" t="s">
        <v>104</v>
      </c>
      <c r="H774" s="41">
        <v>0</v>
      </c>
      <c r="I774" s="41">
        <v>1</v>
      </c>
      <c r="J774" s="108">
        <f>POWER(POWER(Table2[[#This Row],[mv]],4)/10,0.25)</f>
        <v>2.5305359633565699E-3</v>
      </c>
      <c r="K774" s="41">
        <v>0</v>
      </c>
      <c r="L774" s="41">
        <v>55</v>
      </c>
      <c r="M774" s="41">
        <v>-1</v>
      </c>
      <c r="N774" s="41">
        <v>4</v>
      </c>
      <c r="O774" s="111" t="s">
        <v>1289</v>
      </c>
      <c r="P774" s="109">
        <v>192363</v>
      </c>
      <c r="Q774" s="41"/>
      <c r="R774" s="111"/>
      <c r="S774" s="110">
        <v>9427450</v>
      </c>
    </row>
    <row r="775" spans="1:22" x14ac:dyDescent="0.3">
      <c r="A775" s="105">
        <v>774</v>
      </c>
      <c r="B775" s="41">
        <v>12000000</v>
      </c>
      <c r="C775" s="41">
        <v>4.4999999999999997E-3</v>
      </c>
      <c r="D775" s="41">
        <v>12.3377</v>
      </c>
      <c r="E775" s="41">
        <v>30</v>
      </c>
      <c r="F775" s="41">
        <v>0</v>
      </c>
      <c r="G775" s="41" t="s">
        <v>104</v>
      </c>
      <c r="H775" s="41">
        <v>0</v>
      </c>
      <c r="I775" s="41">
        <v>1</v>
      </c>
      <c r="J775" s="108">
        <f>POWER(POWER(Table2[[#This Row],[mv]],4)/10,0.25)</f>
        <v>2.5305359633565699E-3</v>
      </c>
      <c r="K775" s="41">
        <v>0</v>
      </c>
      <c r="L775" s="41">
        <v>55</v>
      </c>
      <c r="M775" s="41">
        <v>-1</v>
      </c>
      <c r="N775" s="41">
        <v>4</v>
      </c>
      <c r="O775" s="111" t="s">
        <v>1290</v>
      </c>
      <c r="P775" s="109">
        <v>192363</v>
      </c>
      <c r="Q775" s="41"/>
      <c r="R775" s="111"/>
      <c r="S775" s="110">
        <v>9427450</v>
      </c>
    </row>
    <row r="776" spans="1:22" x14ac:dyDescent="0.3">
      <c r="A776" s="105">
        <v>775</v>
      </c>
      <c r="B776" s="41">
        <v>12000000</v>
      </c>
      <c r="C776" s="41">
        <v>4.4999999999999997E-3</v>
      </c>
      <c r="D776" s="41">
        <v>13.4543</v>
      </c>
      <c r="E776" s="41">
        <v>30</v>
      </c>
      <c r="F776" s="41">
        <v>0</v>
      </c>
      <c r="G776" s="41" t="s">
        <v>104</v>
      </c>
      <c r="H776" s="41">
        <v>0</v>
      </c>
      <c r="I776" s="41">
        <v>1</v>
      </c>
      <c r="J776" s="108">
        <f>POWER(POWER(Table2[[#This Row],[mv]],4)/10,0.25)</f>
        <v>2.5305359633565699E-3</v>
      </c>
      <c r="K776" s="41">
        <v>0</v>
      </c>
      <c r="L776" s="41">
        <v>55</v>
      </c>
      <c r="M776" s="41">
        <v>-1</v>
      </c>
      <c r="N776" s="41">
        <v>4</v>
      </c>
      <c r="O776" s="111" t="s">
        <v>1291</v>
      </c>
      <c r="P776" s="109">
        <v>192363</v>
      </c>
      <c r="Q776" s="41"/>
      <c r="R776" s="111"/>
      <c r="S776" s="110">
        <v>9427450</v>
      </c>
    </row>
    <row r="777" spans="1:22" x14ac:dyDescent="0.3">
      <c r="A777" s="105">
        <v>776</v>
      </c>
      <c r="B777" s="41">
        <v>12000000</v>
      </c>
      <c r="C777" s="41">
        <v>4.4999999999999997E-3</v>
      </c>
      <c r="D777" s="41">
        <v>14.6721</v>
      </c>
      <c r="E777" s="41">
        <v>30</v>
      </c>
      <c r="F777" s="41">
        <v>0</v>
      </c>
      <c r="G777" s="41" t="s">
        <v>104</v>
      </c>
      <c r="H777" s="41">
        <v>0</v>
      </c>
      <c r="I777" s="41">
        <v>1</v>
      </c>
      <c r="J777" s="108">
        <f>POWER(POWER(Table2[[#This Row],[mv]],4)/10,0.25)</f>
        <v>2.5305359633565699E-3</v>
      </c>
      <c r="K777" s="41">
        <v>0</v>
      </c>
      <c r="L777" s="41">
        <v>55</v>
      </c>
      <c r="M777" s="41">
        <v>-1</v>
      </c>
      <c r="N777" s="41">
        <v>4</v>
      </c>
      <c r="O777" s="111" t="s">
        <v>1292</v>
      </c>
      <c r="P777" s="109">
        <v>192363</v>
      </c>
      <c r="Q777" s="41"/>
      <c r="R777" s="111"/>
      <c r="S777" s="110">
        <v>9427450</v>
      </c>
    </row>
    <row r="778" spans="1:22" x14ac:dyDescent="0.3">
      <c r="A778" s="105">
        <v>777</v>
      </c>
      <c r="B778" s="41">
        <v>12000000</v>
      </c>
      <c r="C778" s="41">
        <v>4.4999999999999997E-3</v>
      </c>
      <c r="D778" s="41">
        <v>16</v>
      </c>
      <c r="E778" s="41">
        <v>30</v>
      </c>
      <c r="F778" s="41">
        <v>0</v>
      </c>
      <c r="G778" s="41" t="s">
        <v>104</v>
      </c>
      <c r="H778" s="41">
        <v>0</v>
      </c>
      <c r="I778" s="41">
        <v>1</v>
      </c>
      <c r="J778" s="108">
        <f>POWER(POWER(Table2[[#This Row],[mv]],4)/10,0.25)</f>
        <v>2.5305359633565699E-3</v>
      </c>
      <c r="K778" s="41">
        <v>0</v>
      </c>
      <c r="L778" s="41">
        <v>55</v>
      </c>
      <c r="M778" s="41">
        <v>-1</v>
      </c>
      <c r="N778" s="41">
        <v>4</v>
      </c>
      <c r="O778" s="111" t="s">
        <v>1293</v>
      </c>
      <c r="P778" s="109">
        <v>192363</v>
      </c>
      <c r="Q778" s="41"/>
      <c r="R778" s="111"/>
      <c r="S778" s="110">
        <v>9427450</v>
      </c>
    </row>
    <row r="779" spans="1:22" x14ac:dyDescent="0.3">
      <c r="A779" s="105">
        <v>778</v>
      </c>
      <c r="B779" s="41">
        <v>12000000</v>
      </c>
      <c r="C779" s="41">
        <v>4.4999999999999997E-3</v>
      </c>
      <c r="D779" s="41">
        <v>17.4481</v>
      </c>
      <c r="E779" s="41">
        <v>30</v>
      </c>
      <c r="F779" s="41">
        <v>0</v>
      </c>
      <c r="G779" s="41" t="s">
        <v>104</v>
      </c>
      <c r="H779" s="41">
        <v>0</v>
      </c>
      <c r="I779" s="41">
        <v>1</v>
      </c>
      <c r="J779" s="108">
        <f>POWER(POWER(Table2[[#This Row],[mv]],4)/10,0.25)</f>
        <v>2.5305359633565699E-3</v>
      </c>
      <c r="K779" s="41">
        <v>0</v>
      </c>
      <c r="L779" s="41">
        <v>55</v>
      </c>
      <c r="M779" s="41">
        <v>-1</v>
      </c>
      <c r="N779" s="41">
        <v>4</v>
      </c>
      <c r="O779" s="111" t="s">
        <v>1294</v>
      </c>
      <c r="P779" s="109">
        <v>192363</v>
      </c>
      <c r="Q779" s="41"/>
      <c r="R779" s="111"/>
      <c r="S779" s="110">
        <v>9427450</v>
      </c>
    </row>
    <row r="780" spans="1:22" x14ac:dyDescent="0.3">
      <c r="A780" s="105">
        <v>779</v>
      </c>
      <c r="B780" s="41">
        <v>12000000</v>
      </c>
      <c r="C780" s="41">
        <v>4.4999999999999997E-3</v>
      </c>
      <c r="D780" s="41">
        <v>19.0273</v>
      </c>
      <c r="E780" s="41">
        <v>30</v>
      </c>
      <c r="F780" s="41">
        <v>0</v>
      </c>
      <c r="G780" s="41" t="s">
        <v>104</v>
      </c>
      <c r="H780" s="41">
        <v>0</v>
      </c>
      <c r="I780" s="41">
        <v>1</v>
      </c>
      <c r="J780" s="108">
        <f>POWER(POWER(Table2[[#This Row],[mv]],4)/10,0.25)</f>
        <v>2.5305359633565699E-3</v>
      </c>
      <c r="K780" s="41">
        <v>0</v>
      </c>
      <c r="L780" s="41">
        <v>55</v>
      </c>
      <c r="M780" s="41">
        <v>-1</v>
      </c>
      <c r="N780" s="41">
        <v>4</v>
      </c>
      <c r="O780" s="111" t="s">
        <v>1295</v>
      </c>
      <c r="P780" s="109">
        <v>192363</v>
      </c>
      <c r="Q780" s="41"/>
      <c r="R780" s="111"/>
      <c r="S780" s="110">
        <v>9427450</v>
      </c>
    </row>
    <row r="781" spans="1:22" x14ac:dyDescent="0.3">
      <c r="A781" s="105">
        <v>780</v>
      </c>
      <c r="B781" s="41">
        <v>12000000</v>
      </c>
      <c r="C781" s="41">
        <v>4.8999999999999998E-3</v>
      </c>
      <c r="D781" s="41">
        <v>8</v>
      </c>
      <c r="E781" s="41">
        <v>30</v>
      </c>
      <c r="F781" s="41">
        <v>0</v>
      </c>
      <c r="G781" s="41" t="s">
        <v>104</v>
      </c>
      <c r="H781" s="41">
        <v>0</v>
      </c>
      <c r="I781" s="41">
        <v>1</v>
      </c>
      <c r="J781" s="108">
        <f>POWER(POWER(Table2[[#This Row],[mv]],4)/10,0.25)</f>
        <v>2.7554724934327106E-3</v>
      </c>
      <c r="K781" s="41">
        <v>0</v>
      </c>
      <c r="L781" s="41">
        <v>55</v>
      </c>
      <c r="M781" s="41">
        <v>-1</v>
      </c>
      <c r="N781" s="41">
        <v>4</v>
      </c>
      <c r="O781" s="111" t="s">
        <v>1296</v>
      </c>
      <c r="P781" s="109">
        <v>192363</v>
      </c>
      <c r="Q781" s="41"/>
      <c r="R781" s="111"/>
      <c r="S781" s="110">
        <v>9427450</v>
      </c>
    </row>
    <row r="782" spans="1:22" x14ac:dyDescent="0.3">
      <c r="A782" s="105">
        <v>781</v>
      </c>
      <c r="B782" s="41">
        <v>12000000</v>
      </c>
      <c r="C782" s="41">
        <v>4.8999999999999998E-3</v>
      </c>
      <c r="D782" s="41">
        <v>8.7241</v>
      </c>
      <c r="E782" s="41">
        <v>30</v>
      </c>
      <c r="F782" s="41">
        <v>0</v>
      </c>
      <c r="G782" s="41" t="s">
        <v>104</v>
      </c>
      <c r="H782" s="41">
        <v>0</v>
      </c>
      <c r="I782" s="41">
        <v>1</v>
      </c>
      <c r="J782" s="108">
        <f>POWER(POWER(Table2[[#This Row],[mv]],4)/10,0.25)</f>
        <v>2.7554724934327106E-3</v>
      </c>
      <c r="K782" s="41">
        <v>0</v>
      </c>
      <c r="L782" s="41">
        <v>55</v>
      </c>
      <c r="M782" s="41">
        <v>-1</v>
      </c>
      <c r="N782" s="41">
        <v>4</v>
      </c>
      <c r="O782" s="111" t="s">
        <v>1297</v>
      </c>
      <c r="P782" s="109">
        <v>192363</v>
      </c>
      <c r="Q782" s="41"/>
      <c r="R782" s="111"/>
      <c r="S782" s="110">
        <v>9427450</v>
      </c>
    </row>
    <row r="783" spans="1:22" x14ac:dyDescent="0.3">
      <c r="A783" s="105">
        <v>782</v>
      </c>
      <c r="B783" s="41">
        <v>12000000</v>
      </c>
      <c r="C783" s="41">
        <v>4.8999999999999998E-3</v>
      </c>
      <c r="D783" s="41">
        <v>9.5137</v>
      </c>
      <c r="E783" s="41">
        <v>30</v>
      </c>
      <c r="F783" s="41">
        <v>0</v>
      </c>
      <c r="G783" s="41" t="s">
        <v>104</v>
      </c>
      <c r="H783" s="41">
        <v>0</v>
      </c>
      <c r="I783" s="41">
        <v>1</v>
      </c>
      <c r="J783" s="108">
        <f>POWER(POWER(Table2[[#This Row],[mv]],4)/10,0.25)</f>
        <v>2.7554724934327106E-3</v>
      </c>
      <c r="K783" s="41">
        <v>0</v>
      </c>
      <c r="L783" s="41">
        <v>55</v>
      </c>
      <c r="M783" s="41">
        <v>-1</v>
      </c>
      <c r="N783" s="41">
        <v>4</v>
      </c>
      <c r="O783" s="111" t="s">
        <v>1298</v>
      </c>
      <c r="P783" s="109">
        <v>192363</v>
      </c>
      <c r="Q783" s="41"/>
      <c r="R783" s="111"/>
      <c r="S783" s="110">
        <v>9427450</v>
      </c>
    </row>
    <row r="784" spans="1:22" x14ac:dyDescent="0.3">
      <c r="A784" s="105">
        <v>783</v>
      </c>
      <c r="B784" s="41">
        <v>12000000</v>
      </c>
      <c r="C784" s="41">
        <v>4.8999999999999998E-3</v>
      </c>
      <c r="D784" s="41">
        <v>10.374700000000001</v>
      </c>
      <c r="E784" s="41">
        <v>30</v>
      </c>
      <c r="F784" s="41">
        <v>0</v>
      </c>
      <c r="G784" s="41" t="s">
        <v>104</v>
      </c>
      <c r="H784" s="41">
        <v>0</v>
      </c>
      <c r="I784" s="41">
        <v>1</v>
      </c>
      <c r="J784" s="108">
        <f>POWER(POWER(Table2[[#This Row],[mv]],4)/10,0.25)</f>
        <v>2.7554724934327106E-3</v>
      </c>
      <c r="K784" s="41">
        <v>0</v>
      </c>
      <c r="L784" s="41">
        <v>55</v>
      </c>
      <c r="M784" s="41">
        <v>-1</v>
      </c>
      <c r="N784" s="41">
        <v>4</v>
      </c>
      <c r="O784" s="111" t="s">
        <v>1299</v>
      </c>
      <c r="P784" s="109">
        <v>192363</v>
      </c>
      <c r="Q784" s="41"/>
      <c r="R784" s="111"/>
      <c r="S784" s="110">
        <v>9427450</v>
      </c>
    </row>
    <row r="785" spans="1:19" x14ac:dyDescent="0.3">
      <c r="A785" s="105">
        <v>784</v>
      </c>
      <c r="B785" s="41">
        <v>12000000</v>
      </c>
      <c r="C785" s="41">
        <v>4.8999999999999998E-3</v>
      </c>
      <c r="D785" s="41">
        <v>11.313700000000001</v>
      </c>
      <c r="E785" s="41">
        <v>30</v>
      </c>
      <c r="F785" s="41">
        <v>0</v>
      </c>
      <c r="G785" s="41" t="s">
        <v>104</v>
      </c>
      <c r="H785" s="41">
        <v>0</v>
      </c>
      <c r="I785" s="41">
        <v>1</v>
      </c>
      <c r="J785" s="108">
        <f>POWER(POWER(Table2[[#This Row],[mv]],4)/10,0.25)</f>
        <v>2.7554724934327106E-3</v>
      </c>
      <c r="K785" s="41">
        <v>0</v>
      </c>
      <c r="L785" s="41">
        <v>55</v>
      </c>
      <c r="M785" s="41">
        <v>-1</v>
      </c>
      <c r="N785" s="41">
        <v>4</v>
      </c>
      <c r="O785" s="111" t="s">
        <v>1300</v>
      </c>
      <c r="P785" s="109">
        <v>192363</v>
      </c>
      <c r="Q785" s="41"/>
      <c r="R785" s="111"/>
      <c r="S785" s="110">
        <v>9427450</v>
      </c>
    </row>
    <row r="786" spans="1:19" x14ac:dyDescent="0.3">
      <c r="A786" s="105">
        <v>785</v>
      </c>
      <c r="B786" s="41">
        <v>12000000</v>
      </c>
      <c r="C786" s="41">
        <v>4.8999999999999998E-3</v>
      </c>
      <c r="D786" s="41">
        <v>12.3377</v>
      </c>
      <c r="E786" s="41">
        <v>30</v>
      </c>
      <c r="F786" s="41">
        <v>0</v>
      </c>
      <c r="G786" s="41" t="s">
        <v>104</v>
      </c>
      <c r="H786" s="41">
        <v>0</v>
      </c>
      <c r="I786" s="41">
        <v>1</v>
      </c>
      <c r="J786" s="108">
        <f>POWER(POWER(Table2[[#This Row],[mv]],4)/10,0.25)</f>
        <v>2.7554724934327106E-3</v>
      </c>
      <c r="K786" s="41">
        <v>0</v>
      </c>
      <c r="L786" s="41">
        <v>55</v>
      </c>
      <c r="M786" s="41">
        <v>-1</v>
      </c>
      <c r="N786" s="41">
        <v>4</v>
      </c>
      <c r="O786" s="111" t="s">
        <v>1301</v>
      </c>
      <c r="P786" s="109">
        <v>192363</v>
      </c>
      <c r="Q786" s="41"/>
      <c r="R786" s="111"/>
      <c r="S786" s="110">
        <v>9427450</v>
      </c>
    </row>
    <row r="787" spans="1:19" x14ac:dyDescent="0.3">
      <c r="A787" s="105">
        <v>786</v>
      </c>
      <c r="B787" s="41">
        <v>12000000</v>
      </c>
      <c r="C787" s="41">
        <v>4.8999999999999998E-3</v>
      </c>
      <c r="D787" s="41">
        <v>13.4543</v>
      </c>
      <c r="E787" s="41">
        <v>30</v>
      </c>
      <c r="F787" s="41">
        <v>0</v>
      </c>
      <c r="G787" s="41" t="s">
        <v>104</v>
      </c>
      <c r="H787" s="41">
        <v>0</v>
      </c>
      <c r="I787" s="41">
        <v>1</v>
      </c>
      <c r="J787" s="108">
        <f>POWER(POWER(Table2[[#This Row],[mv]],4)/10,0.25)</f>
        <v>2.7554724934327106E-3</v>
      </c>
      <c r="K787" s="41">
        <v>0</v>
      </c>
      <c r="L787" s="41">
        <v>55</v>
      </c>
      <c r="M787" s="41">
        <v>-1</v>
      </c>
      <c r="N787" s="41">
        <v>4</v>
      </c>
      <c r="O787" s="111" t="s">
        <v>1302</v>
      </c>
      <c r="P787" s="109">
        <v>192417</v>
      </c>
      <c r="Q787" s="41"/>
      <c r="R787" s="111"/>
      <c r="S787" s="110">
        <v>9427450</v>
      </c>
    </row>
    <row r="788" spans="1:19" x14ac:dyDescent="0.3">
      <c r="A788" s="105">
        <v>787</v>
      </c>
      <c r="B788" s="41">
        <v>12000000</v>
      </c>
      <c r="C788" s="41">
        <v>4.8999999999999998E-3</v>
      </c>
      <c r="D788" s="41">
        <v>14.6721</v>
      </c>
      <c r="E788" s="41">
        <v>30</v>
      </c>
      <c r="F788" s="41">
        <v>0</v>
      </c>
      <c r="G788" s="41" t="s">
        <v>104</v>
      </c>
      <c r="H788" s="41">
        <v>0</v>
      </c>
      <c r="I788" s="41">
        <v>1</v>
      </c>
      <c r="J788" s="108">
        <f>POWER(POWER(Table2[[#This Row],[mv]],4)/10,0.25)</f>
        <v>2.7554724934327106E-3</v>
      </c>
      <c r="K788" s="41">
        <v>0</v>
      </c>
      <c r="L788" s="41">
        <v>55</v>
      </c>
      <c r="M788" s="41">
        <v>-1</v>
      </c>
      <c r="N788" s="41">
        <v>4</v>
      </c>
      <c r="O788" s="111" t="s">
        <v>1303</v>
      </c>
      <c r="P788" s="109">
        <v>192417</v>
      </c>
      <c r="Q788" s="41"/>
      <c r="R788" s="111"/>
      <c r="S788" s="110">
        <v>9427450</v>
      </c>
    </row>
    <row r="789" spans="1:19" x14ac:dyDescent="0.3">
      <c r="A789" s="105">
        <v>788</v>
      </c>
      <c r="B789" s="41">
        <v>12000000</v>
      </c>
      <c r="C789" s="41">
        <v>4.8999999999999998E-3</v>
      </c>
      <c r="D789" s="41">
        <v>16</v>
      </c>
      <c r="E789" s="41">
        <v>30</v>
      </c>
      <c r="F789" s="41">
        <v>0</v>
      </c>
      <c r="G789" s="41" t="s">
        <v>104</v>
      </c>
      <c r="H789" s="41">
        <v>0</v>
      </c>
      <c r="I789" s="41">
        <v>1</v>
      </c>
      <c r="J789" s="108">
        <f>POWER(POWER(Table2[[#This Row],[mv]],4)/10,0.25)</f>
        <v>2.7554724934327106E-3</v>
      </c>
      <c r="K789" s="41">
        <v>0</v>
      </c>
      <c r="L789" s="41">
        <v>55</v>
      </c>
      <c r="M789" s="41">
        <v>-1</v>
      </c>
      <c r="N789" s="41">
        <v>4</v>
      </c>
      <c r="O789" s="111" t="s">
        <v>1304</v>
      </c>
      <c r="P789" s="109">
        <v>192417</v>
      </c>
      <c r="Q789" s="41"/>
      <c r="R789" s="111"/>
      <c r="S789" s="110">
        <v>9427450</v>
      </c>
    </row>
    <row r="790" spans="1:19" x14ac:dyDescent="0.3">
      <c r="A790" s="105">
        <v>789</v>
      </c>
      <c r="B790" s="41">
        <v>12000000</v>
      </c>
      <c r="C790" s="41">
        <v>4.8999999999999998E-3</v>
      </c>
      <c r="D790" s="41">
        <v>17.4481</v>
      </c>
      <c r="E790" s="41">
        <v>30</v>
      </c>
      <c r="F790" s="41">
        <v>0</v>
      </c>
      <c r="G790" s="41" t="s">
        <v>104</v>
      </c>
      <c r="H790" s="41">
        <v>0</v>
      </c>
      <c r="I790" s="41">
        <v>1</v>
      </c>
      <c r="J790" s="108">
        <f>POWER(POWER(Table2[[#This Row],[mv]],4)/10,0.25)</f>
        <v>2.7554724934327106E-3</v>
      </c>
      <c r="K790" s="41">
        <v>0</v>
      </c>
      <c r="L790" s="41">
        <v>55</v>
      </c>
      <c r="M790" s="41">
        <v>-1</v>
      </c>
      <c r="N790" s="41">
        <v>4</v>
      </c>
      <c r="O790" s="111" t="s">
        <v>1305</v>
      </c>
      <c r="P790" s="109">
        <v>192417</v>
      </c>
      <c r="Q790" s="41"/>
      <c r="R790" s="111"/>
      <c r="S790" s="110">
        <v>9427450</v>
      </c>
    </row>
    <row r="791" spans="1:19" x14ac:dyDescent="0.3">
      <c r="A791" s="105">
        <v>790</v>
      </c>
      <c r="B791" s="41">
        <v>12000000</v>
      </c>
      <c r="C791" s="41">
        <v>4.8999999999999998E-3</v>
      </c>
      <c r="D791" s="41">
        <v>19.0273</v>
      </c>
      <c r="E791" s="41">
        <v>30</v>
      </c>
      <c r="F791" s="41">
        <v>0</v>
      </c>
      <c r="G791" s="41" t="s">
        <v>104</v>
      </c>
      <c r="H791" s="41">
        <v>0</v>
      </c>
      <c r="I791" s="41">
        <v>1</v>
      </c>
      <c r="J791" s="108">
        <f>POWER(POWER(Table2[[#This Row],[mv]],4)/10,0.25)</f>
        <v>2.7554724934327106E-3</v>
      </c>
      <c r="K791" s="41">
        <v>0</v>
      </c>
      <c r="L791" s="41">
        <v>55</v>
      </c>
      <c r="M791" s="41">
        <v>-1</v>
      </c>
      <c r="N791" s="41">
        <v>4</v>
      </c>
      <c r="O791" s="111" t="s">
        <v>1306</v>
      </c>
      <c r="P791" s="109">
        <v>192417</v>
      </c>
      <c r="Q791" s="41"/>
      <c r="R791" s="111"/>
      <c r="S791" s="110">
        <v>9427450</v>
      </c>
    </row>
    <row r="792" spans="1:19" x14ac:dyDescent="0.3">
      <c r="A792" s="105">
        <v>791</v>
      </c>
      <c r="B792" s="41">
        <v>12000000</v>
      </c>
      <c r="C792" s="41">
        <v>5.4000000000000003E-3</v>
      </c>
      <c r="D792" s="41">
        <v>9.5137</v>
      </c>
      <c r="E792" s="41">
        <v>30</v>
      </c>
      <c r="F792" s="41">
        <v>0</v>
      </c>
      <c r="G792" s="41" t="s">
        <v>104</v>
      </c>
      <c r="H792" s="41">
        <v>0</v>
      </c>
      <c r="I792" s="41">
        <v>1</v>
      </c>
      <c r="J792" s="108">
        <f>POWER(POWER(Table2[[#This Row],[mv]],4)/10,0.25)</f>
        <v>3.0366431560278845E-3</v>
      </c>
      <c r="K792" s="41">
        <v>0</v>
      </c>
      <c r="L792" s="41">
        <v>55</v>
      </c>
      <c r="M792" s="41">
        <v>-1</v>
      </c>
      <c r="N792" s="41">
        <v>4</v>
      </c>
      <c r="O792" s="111" t="s">
        <v>1307</v>
      </c>
      <c r="P792" s="109">
        <v>192417</v>
      </c>
      <c r="Q792" s="41"/>
      <c r="R792" s="111"/>
      <c r="S792" s="110">
        <v>9427450</v>
      </c>
    </row>
    <row r="793" spans="1:19" x14ac:dyDescent="0.3">
      <c r="A793" s="105">
        <v>792</v>
      </c>
      <c r="B793" s="41">
        <v>12000000</v>
      </c>
      <c r="C793" s="41">
        <v>5.4000000000000003E-3</v>
      </c>
      <c r="D793" s="41">
        <v>10.374700000000001</v>
      </c>
      <c r="E793" s="41">
        <v>30</v>
      </c>
      <c r="F793" s="41">
        <v>0</v>
      </c>
      <c r="G793" s="41" t="s">
        <v>104</v>
      </c>
      <c r="H793" s="41">
        <v>0</v>
      </c>
      <c r="I793" s="41">
        <v>1</v>
      </c>
      <c r="J793" s="108">
        <f>POWER(POWER(Table2[[#This Row],[mv]],4)/10,0.25)</f>
        <v>3.0366431560278845E-3</v>
      </c>
      <c r="K793" s="41">
        <v>0</v>
      </c>
      <c r="L793" s="41">
        <v>55</v>
      </c>
      <c r="M793" s="41">
        <v>-1</v>
      </c>
      <c r="N793" s="41">
        <v>4</v>
      </c>
      <c r="O793" s="111" t="s">
        <v>1308</v>
      </c>
      <c r="P793" s="109">
        <v>192417</v>
      </c>
      <c r="Q793" s="41"/>
      <c r="R793" s="111"/>
      <c r="S793" s="110">
        <v>9427450</v>
      </c>
    </row>
    <row r="794" spans="1:19" x14ac:dyDescent="0.3">
      <c r="A794" s="105">
        <v>793</v>
      </c>
      <c r="B794" s="41">
        <v>12000000</v>
      </c>
      <c r="C794" s="41">
        <v>5.4000000000000003E-3</v>
      </c>
      <c r="D794" s="41">
        <v>11.313700000000001</v>
      </c>
      <c r="E794" s="41">
        <v>30</v>
      </c>
      <c r="F794" s="41">
        <v>0</v>
      </c>
      <c r="G794" s="41" t="s">
        <v>104</v>
      </c>
      <c r="H794" s="41">
        <v>0</v>
      </c>
      <c r="I794" s="41">
        <v>1</v>
      </c>
      <c r="J794" s="108">
        <f>POWER(POWER(Table2[[#This Row],[mv]],4)/10,0.25)</f>
        <v>3.0366431560278845E-3</v>
      </c>
      <c r="K794" s="41">
        <v>0</v>
      </c>
      <c r="L794" s="41">
        <v>55</v>
      </c>
      <c r="M794" s="41">
        <v>-1</v>
      </c>
      <c r="N794" s="41">
        <v>4</v>
      </c>
      <c r="O794" s="111" t="s">
        <v>1309</v>
      </c>
      <c r="P794" s="109">
        <v>192417</v>
      </c>
      <c r="Q794" s="41"/>
      <c r="R794" s="111"/>
      <c r="S794" s="110">
        <v>9427450</v>
      </c>
    </row>
    <row r="795" spans="1:19" x14ac:dyDescent="0.3">
      <c r="A795" s="105">
        <v>794</v>
      </c>
      <c r="B795" s="41">
        <v>12000000</v>
      </c>
      <c r="C795" s="41">
        <v>5.4000000000000003E-3</v>
      </c>
      <c r="D795" s="41">
        <v>12.3377</v>
      </c>
      <c r="E795" s="41">
        <v>30</v>
      </c>
      <c r="F795" s="41">
        <v>0</v>
      </c>
      <c r="G795" s="41" t="s">
        <v>104</v>
      </c>
      <c r="H795" s="41">
        <v>0</v>
      </c>
      <c r="I795" s="41">
        <v>1</v>
      </c>
      <c r="J795" s="108">
        <f>POWER(POWER(Table2[[#This Row],[mv]],4)/10,0.25)</f>
        <v>3.0366431560278845E-3</v>
      </c>
      <c r="K795" s="41">
        <v>0</v>
      </c>
      <c r="L795" s="41">
        <v>55</v>
      </c>
      <c r="M795" s="41">
        <v>-1</v>
      </c>
      <c r="N795" s="41">
        <v>4</v>
      </c>
      <c r="O795" s="111" t="s">
        <v>1310</v>
      </c>
      <c r="P795" s="109">
        <v>192406</v>
      </c>
      <c r="Q795" s="41"/>
      <c r="R795" s="111"/>
      <c r="S795" s="110">
        <v>9427450</v>
      </c>
    </row>
    <row r="796" spans="1:19" x14ac:dyDescent="0.3">
      <c r="A796" s="105">
        <v>795</v>
      </c>
      <c r="B796" s="41">
        <v>12000000</v>
      </c>
      <c r="C796" s="41">
        <v>5.4000000000000003E-3</v>
      </c>
      <c r="D796" s="41">
        <v>13.4543</v>
      </c>
      <c r="E796" s="41">
        <v>30</v>
      </c>
      <c r="F796" s="41">
        <v>0</v>
      </c>
      <c r="G796" s="41" t="s">
        <v>104</v>
      </c>
      <c r="H796" s="41">
        <v>0</v>
      </c>
      <c r="I796" s="41">
        <v>1</v>
      </c>
      <c r="J796" s="108">
        <f>POWER(POWER(Table2[[#This Row],[mv]],4)/10,0.25)</f>
        <v>3.0366431560278845E-3</v>
      </c>
      <c r="K796" s="41">
        <v>0</v>
      </c>
      <c r="L796" s="41">
        <v>55</v>
      </c>
      <c r="M796" s="41">
        <v>-1</v>
      </c>
      <c r="N796" s="41">
        <v>4</v>
      </c>
      <c r="O796" s="111" t="s">
        <v>1311</v>
      </c>
      <c r="P796" s="109">
        <v>192406</v>
      </c>
      <c r="Q796" s="41"/>
      <c r="R796" s="111"/>
      <c r="S796" s="110">
        <v>9427450</v>
      </c>
    </row>
    <row r="797" spans="1:19" x14ac:dyDescent="0.3">
      <c r="A797" s="105">
        <v>796</v>
      </c>
      <c r="B797" s="41">
        <v>12000000</v>
      </c>
      <c r="C797" s="41">
        <v>5.4000000000000003E-3</v>
      </c>
      <c r="D797" s="41">
        <v>14.6721</v>
      </c>
      <c r="E797" s="41">
        <v>30</v>
      </c>
      <c r="F797" s="41">
        <v>0</v>
      </c>
      <c r="G797" s="41" t="s">
        <v>104</v>
      </c>
      <c r="H797" s="41">
        <v>0</v>
      </c>
      <c r="I797" s="41">
        <v>1</v>
      </c>
      <c r="J797" s="108">
        <f>POWER(POWER(Table2[[#This Row],[mv]],4)/10,0.25)</f>
        <v>3.0366431560278845E-3</v>
      </c>
      <c r="K797" s="41">
        <v>0</v>
      </c>
      <c r="L797" s="41">
        <v>55</v>
      </c>
      <c r="M797" s="41">
        <v>-1</v>
      </c>
      <c r="N797" s="41">
        <v>4</v>
      </c>
      <c r="O797" s="111" t="s">
        <v>1312</v>
      </c>
      <c r="P797" s="109">
        <v>192406</v>
      </c>
      <c r="Q797" s="41"/>
      <c r="R797" s="111"/>
      <c r="S797" s="110">
        <v>9427450</v>
      </c>
    </row>
    <row r="798" spans="1:19" x14ac:dyDescent="0.3">
      <c r="A798" s="105">
        <v>797</v>
      </c>
      <c r="B798" s="41">
        <v>12000000</v>
      </c>
      <c r="C798" s="41">
        <v>5.4000000000000003E-3</v>
      </c>
      <c r="D798" s="41">
        <v>16</v>
      </c>
      <c r="E798" s="41">
        <v>30</v>
      </c>
      <c r="F798" s="41">
        <v>0</v>
      </c>
      <c r="G798" s="41" t="s">
        <v>104</v>
      </c>
      <c r="H798" s="41">
        <v>0</v>
      </c>
      <c r="I798" s="41">
        <v>1</v>
      </c>
      <c r="J798" s="108">
        <f>POWER(POWER(Table2[[#This Row],[mv]],4)/10,0.25)</f>
        <v>3.0366431560278845E-3</v>
      </c>
      <c r="K798" s="41">
        <v>0</v>
      </c>
      <c r="L798" s="41">
        <v>55</v>
      </c>
      <c r="M798" s="41">
        <v>-1</v>
      </c>
      <c r="N798" s="41">
        <v>4</v>
      </c>
      <c r="O798" s="111" t="s">
        <v>1313</v>
      </c>
      <c r="P798" s="109">
        <v>192406</v>
      </c>
      <c r="Q798" s="41"/>
      <c r="R798" s="111"/>
      <c r="S798" s="110">
        <v>9427450</v>
      </c>
    </row>
    <row r="799" spans="1:19" x14ac:dyDescent="0.3">
      <c r="A799" s="105">
        <v>798</v>
      </c>
      <c r="B799" s="41">
        <v>12000000</v>
      </c>
      <c r="C799" s="41">
        <v>5.4000000000000003E-3</v>
      </c>
      <c r="D799" s="41">
        <v>17.4481</v>
      </c>
      <c r="E799" s="41">
        <v>30</v>
      </c>
      <c r="F799" s="41">
        <v>0</v>
      </c>
      <c r="G799" s="41" t="s">
        <v>104</v>
      </c>
      <c r="H799" s="41">
        <v>0</v>
      </c>
      <c r="I799" s="41">
        <v>1</v>
      </c>
      <c r="J799" s="108">
        <f>POWER(POWER(Table2[[#This Row],[mv]],4)/10,0.25)</f>
        <v>3.0366431560278845E-3</v>
      </c>
      <c r="K799" s="41">
        <v>0</v>
      </c>
      <c r="L799" s="41">
        <v>55</v>
      </c>
      <c r="M799" s="41">
        <v>-1</v>
      </c>
      <c r="N799" s="41">
        <v>4</v>
      </c>
      <c r="O799" s="111" t="s">
        <v>1314</v>
      </c>
      <c r="P799" s="109">
        <v>192406</v>
      </c>
      <c r="Q799" s="41"/>
      <c r="R799" s="111"/>
      <c r="S799" s="110">
        <v>9427450</v>
      </c>
    </row>
    <row r="800" spans="1:19" x14ac:dyDescent="0.3">
      <c r="A800" s="105">
        <v>799</v>
      </c>
      <c r="B800" s="41">
        <v>12000000</v>
      </c>
      <c r="C800" s="41">
        <v>5.4000000000000003E-3</v>
      </c>
      <c r="D800" s="41">
        <v>19.0273</v>
      </c>
      <c r="E800" s="41">
        <v>30</v>
      </c>
      <c r="F800" s="41">
        <v>0</v>
      </c>
      <c r="G800" s="41" t="s">
        <v>104</v>
      </c>
      <c r="H800" s="41">
        <v>0</v>
      </c>
      <c r="I800" s="41">
        <v>1</v>
      </c>
      <c r="J800" s="108">
        <f>POWER(POWER(Table2[[#This Row],[mv]],4)/10,0.25)</f>
        <v>3.0366431560278845E-3</v>
      </c>
      <c r="K800" s="41">
        <v>0</v>
      </c>
      <c r="L800" s="41">
        <v>55</v>
      </c>
      <c r="M800" s="41">
        <v>-1</v>
      </c>
      <c r="N800" s="41">
        <v>4</v>
      </c>
      <c r="O800" s="111" t="s">
        <v>1315</v>
      </c>
      <c r="P800" s="109">
        <v>192406</v>
      </c>
      <c r="Q800" s="41"/>
      <c r="R800" s="111"/>
      <c r="S800" s="110">
        <v>9427450</v>
      </c>
    </row>
    <row r="801" spans="1:19" x14ac:dyDescent="0.3">
      <c r="A801" s="105">
        <v>800</v>
      </c>
      <c r="B801" s="41">
        <v>12000000</v>
      </c>
      <c r="C801" s="41">
        <v>5.8999999999999999E-3</v>
      </c>
      <c r="D801" s="41">
        <v>11.313700000000001</v>
      </c>
      <c r="E801" s="41">
        <v>30</v>
      </c>
      <c r="F801" s="41">
        <v>0</v>
      </c>
      <c r="G801" s="41" t="s">
        <v>104</v>
      </c>
      <c r="H801" s="41">
        <v>0</v>
      </c>
      <c r="I801" s="41">
        <v>1</v>
      </c>
      <c r="J801" s="108">
        <f>POWER(POWER(Table2[[#This Row],[mv]],4)/10,0.25)</f>
        <v>3.3178138186230597E-3</v>
      </c>
      <c r="K801" s="41">
        <v>0</v>
      </c>
      <c r="L801" s="41">
        <v>55</v>
      </c>
      <c r="M801" s="41">
        <v>-1</v>
      </c>
      <c r="N801" s="41">
        <v>4</v>
      </c>
      <c r="O801" s="111" t="s">
        <v>1316</v>
      </c>
      <c r="P801" s="109">
        <v>192406</v>
      </c>
      <c r="Q801" s="41"/>
      <c r="R801" s="111"/>
      <c r="S801" s="110">
        <v>9427450</v>
      </c>
    </row>
    <row r="802" spans="1:19" x14ac:dyDescent="0.3">
      <c r="A802" s="105">
        <v>801</v>
      </c>
      <c r="B802" s="41">
        <v>12000000</v>
      </c>
      <c r="C802" s="41">
        <v>5.8999999999999999E-3</v>
      </c>
      <c r="D802" s="41">
        <v>12.3377</v>
      </c>
      <c r="E802" s="41">
        <v>30</v>
      </c>
      <c r="F802" s="41">
        <v>0</v>
      </c>
      <c r="G802" s="41" t="s">
        <v>104</v>
      </c>
      <c r="H802" s="41">
        <v>0</v>
      </c>
      <c r="I802" s="41">
        <v>1</v>
      </c>
      <c r="J802" s="108">
        <f>POWER(POWER(Table2[[#This Row],[mv]],4)/10,0.25)</f>
        <v>3.3178138186230597E-3</v>
      </c>
      <c r="K802" s="41">
        <v>0</v>
      </c>
      <c r="L802" s="41">
        <v>55</v>
      </c>
      <c r="M802" s="41">
        <v>-1</v>
      </c>
      <c r="N802" s="41">
        <v>4</v>
      </c>
      <c r="O802" s="111" t="s">
        <v>1317</v>
      </c>
      <c r="P802" s="109">
        <v>192406</v>
      </c>
      <c r="Q802" s="41"/>
      <c r="R802" s="111"/>
      <c r="S802" s="110">
        <v>9427450</v>
      </c>
    </row>
    <row r="803" spans="1:19" x14ac:dyDescent="0.3">
      <c r="A803" s="105">
        <v>802</v>
      </c>
      <c r="B803" s="41">
        <v>12000000</v>
      </c>
      <c r="C803" s="41">
        <v>5.8999999999999999E-3</v>
      </c>
      <c r="D803" s="41">
        <v>13.4543</v>
      </c>
      <c r="E803" s="41">
        <v>30</v>
      </c>
      <c r="F803" s="41">
        <v>0</v>
      </c>
      <c r="G803" s="41" t="s">
        <v>104</v>
      </c>
      <c r="H803" s="41">
        <v>0</v>
      </c>
      <c r="I803" s="41">
        <v>1</v>
      </c>
      <c r="J803" s="108">
        <f>POWER(POWER(Table2[[#This Row],[mv]],4)/10,0.25)</f>
        <v>3.3178138186230597E-3</v>
      </c>
      <c r="K803" s="41">
        <v>0</v>
      </c>
      <c r="L803" s="41">
        <v>55</v>
      </c>
      <c r="M803" s="41">
        <v>-1</v>
      </c>
      <c r="N803" s="41">
        <v>4</v>
      </c>
      <c r="O803" s="111" t="s">
        <v>1318</v>
      </c>
      <c r="P803" s="109">
        <v>192406</v>
      </c>
      <c r="Q803" s="41"/>
      <c r="R803" s="111"/>
      <c r="S803" s="110">
        <v>9427450</v>
      </c>
    </row>
    <row r="804" spans="1:19" x14ac:dyDescent="0.3">
      <c r="A804" s="105">
        <v>803</v>
      </c>
      <c r="B804" s="41">
        <v>12000000</v>
      </c>
      <c r="C804" s="41">
        <v>5.8999999999999999E-3</v>
      </c>
      <c r="D804" s="41">
        <v>14.6721</v>
      </c>
      <c r="E804" s="41">
        <v>30</v>
      </c>
      <c r="F804" s="41">
        <v>0</v>
      </c>
      <c r="G804" s="41" t="s">
        <v>104</v>
      </c>
      <c r="H804" s="41">
        <v>0</v>
      </c>
      <c r="I804" s="41">
        <v>1</v>
      </c>
      <c r="J804" s="108">
        <f>POWER(POWER(Table2[[#This Row],[mv]],4)/10,0.25)</f>
        <v>3.3178138186230597E-3</v>
      </c>
      <c r="K804" s="41">
        <v>0</v>
      </c>
      <c r="L804" s="41">
        <v>55</v>
      </c>
      <c r="M804" s="41">
        <v>-1</v>
      </c>
      <c r="N804" s="41">
        <v>4</v>
      </c>
      <c r="O804" s="111" t="s">
        <v>1319</v>
      </c>
      <c r="P804" s="109">
        <v>192406</v>
      </c>
      <c r="Q804" s="41"/>
      <c r="R804" s="111"/>
      <c r="S804" s="110">
        <v>9427450</v>
      </c>
    </row>
    <row r="805" spans="1:19" x14ac:dyDescent="0.3">
      <c r="A805" s="105">
        <v>804</v>
      </c>
      <c r="B805" s="41">
        <v>12000000</v>
      </c>
      <c r="C805" s="41">
        <v>5.8999999999999999E-3</v>
      </c>
      <c r="D805" s="41">
        <v>16</v>
      </c>
      <c r="E805" s="41">
        <v>30</v>
      </c>
      <c r="F805" s="41">
        <v>0</v>
      </c>
      <c r="G805" s="41" t="s">
        <v>104</v>
      </c>
      <c r="H805" s="41">
        <v>0</v>
      </c>
      <c r="I805" s="41">
        <v>1</v>
      </c>
      <c r="J805" s="108">
        <f>POWER(POWER(Table2[[#This Row],[mv]],4)/10,0.25)</f>
        <v>3.3178138186230597E-3</v>
      </c>
      <c r="K805" s="41">
        <v>0</v>
      </c>
      <c r="L805" s="41">
        <v>55</v>
      </c>
      <c r="M805" s="41">
        <v>-1</v>
      </c>
      <c r="N805" s="41">
        <v>4</v>
      </c>
      <c r="O805" s="111" t="s">
        <v>1320</v>
      </c>
      <c r="P805" s="109">
        <v>192406</v>
      </c>
      <c r="Q805" s="41"/>
      <c r="R805" s="111"/>
      <c r="S805" s="110">
        <v>9427450</v>
      </c>
    </row>
    <row r="806" spans="1:19" x14ac:dyDescent="0.3">
      <c r="A806" s="105">
        <v>805</v>
      </c>
      <c r="B806" s="41">
        <v>12000000</v>
      </c>
      <c r="C806" s="41">
        <v>5.8999999999999999E-3</v>
      </c>
      <c r="D806" s="41">
        <v>17.4481</v>
      </c>
      <c r="E806" s="41">
        <v>30</v>
      </c>
      <c r="F806" s="41">
        <v>0</v>
      </c>
      <c r="G806" s="41" t="s">
        <v>104</v>
      </c>
      <c r="H806" s="41">
        <v>0</v>
      </c>
      <c r="I806" s="41">
        <v>1</v>
      </c>
      <c r="J806" s="108">
        <f>POWER(POWER(Table2[[#This Row],[mv]],4)/10,0.25)</f>
        <v>3.3178138186230597E-3</v>
      </c>
      <c r="K806" s="41">
        <v>0</v>
      </c>
      <c r="L806" s="41">
        <v>55</v>
      </c>
      <c r="M806" s="41">
        <v>-1</v>
      </c>
      <c r="N806" s="41">
        <v>4</v>
      </c>
      <c r="O806" s="111" t="s">
        <v>1321</v>
      </c>
      <c r="P806" s="109">
        <v>192406</v>
      </c>
      <c r="Q806" s="41"/>
      <c r="R806" s="111"/>
      <c r="S806" s="110">
        <v>9427450</v>
      </c>
    </row>
    <row r="807" spans="1:19" x14ac:dyDescent="0.3">
      <c r="A807" s="105">
        <v>806</v>
      </c>
      <c r="B807" s="41">
        <v>12000000</v>
      </c>
      <c r="C807" s="41">
        <v>5.8999999999999999E-3</v>
      </c>
      <c r="D807" s="41">
        <v>19.0273</v>
      </c>
      <c r="E807" s="41">
        <v>30</v>
      </c>
      <c r="F807" s="41">
        <v>0</v>
      </c>
      <c r="G807" s="41" t="s">
        <v>104</v>
      </c>
      <c r="H807" s="41">
        <v>0</v>
      </c>
      <c r="I807" s="41">
        <v>1</v>
      </c>
      <c r="J807" s="108">
        <f>POWER(POWER(Table2[[#This Row],[mv]],4)/10,0.25)</f>
        <v>3.3178138186230597E-3</v>
      </c>
      <c r="K807" s="41">
        <v>0</v>
      </c>
      <c r="L807" s="41">
        <v>55</v>
      </c>
      <c r="M807" s="41">
        <v>-1</v>
      </c>
      <c r="N807" s="41">
        <v>4</v>
      </c>
      <c r="O807" s="111" t="s">
        <v>1322</v>
      </c>
      <c r="P807" s="109">
        <v>192406</v>
      </c>
      <c r="Q807" s="41"/>
      <c r="R807" s="111"/>
      <c r="S807" s="110">
        <v>9427450</v>
      </c>
    </row>
    <row r="808" spans="1:19" x14ac:dyDescent="0.3">
      <c r="A808" s="105">
        <v>807</v>
      </c>
      <c r="B808" s="41">
        <v>12000000</v>
      </c>
      <c r="C808" s="41">
        <v>6.4000000000000003E-3</v>
      </c>
      <c r="D808" s="41">
        <v>13.4543</v>
      </c>
      <c r="E808" s="41">
        <v>30</v>
      </c>
      <c r="F808" s="41">
        <v>0</v>
      </c>
      <c r="G808" s="41" t="s">
        <v>104</v>
      </c>
      <c r="H808" s="41">
        <v>0</v>
      </c>
      <c r="I808" s="41">
        <v>1</v>
      </c>
      <c r="J808" s="108">
        <f>POWER(POWER(Table2[[#This Row],[mv]],4)/10,0.25)</f>
        <v>3.5989844812182349E-3</v>
      </c>
      <c r="K808" s="41">
        <v>0</v>
      </c>
      <c r="L808" s="41">
        <v>55</v>
      </c>
      <c r="M808" s="41">
        <v>-1</v>
      </c>
      <c r="N808" s="41">
        <v>4</v>
      </c>
      <c r="O808" s="111" t="s">
        <v>1323</v>
      </c>
      <c r="P808" s="109">
        <v>192406</v>
      </c>
      <c r="Q808" s="41"/>
      <c r="R808" s="111"/>
      <c r="S808" s="110">
        <v>9427450</v>
      </c>
    </row>
    <row r="809" spans="1:19" x14ac:dyDescent="0.3">
      <c r="A809" s="105">
        <v>808</v>
      </c>
      <c r="B809" s="41">
        <v>12000000</v>
      </c>
      <c r="C809" s="41">
        <v>6.4000000000000003E-3</v>
      </c>
      <c r="D809" s="41">
        <v>14.6721</v>
      </c>
      <c r="E809" s="41">
        <v>30</v>
      </c>
      <c r="F809" s="41">
        <v>0</v>
      </c>
      <c r="G809" s="41" t="s">
        <v>104</v>
      </c>
      <c r="H809" s="41">
        <v>0</v>
      </c>
      <c r="I809" s="41">
        <v>1</v>
      </c>
      <c r="J809" s="108">
        <f>POWER(POWER(Table2[[#This Row],[mv]],4)/10,0.25)</f>
        <v>3.5989844812182349E-3</v>
      </c>
      <c r="K809" s="41">
        <v>0</v>
      </c>
      <c r="L809" s="41">
        <v>55</v>
      </c>
      <c r="M809" s="41">
        <v>-1</v>
      </c>
      <c r="N809" s="41">
        <v>4</v>
      </c>
      <c r="O809" s="111" t="s">
        <v>1324</v>
      </c>
      <c r="P809" s="109">
        <v>192406</v>
      </c>
      <c r="Q809" s="41"/>
      <c r="R809" s="111"/>
      <c r="S809" s="110">
        <v>9427450</v>
      </c>
    </row>
    <row r="810" spans="1:19" x14ac:dyDescent="0.3">
      <c r="A810" s="105">
        <v>809</v>
      </c>
      <c r="B810" s="41">
        <v>12000000</v>
      </c>
      <c r="C810" s="41">
        <v>6.4000000000000003E-3</v>
      </c>
      <c r="D810" s="41">
        <v>16</v>
      </c>
      <c r="E810" s="41">
        <v>30</v>
      </c>
      <c r="F810" s="41">
        <v>0</v>
      </c>
      <c r="G810" s="41" t="s">
        <v>104</v>
      </c>
      <c r="H810" s="41">
        <v>0</v>
      </c>
      <c r="I810" s="41">
        <v>1</v>
      </c>
      <c r="J810" s="108">
        <f>POWER(POWER(Table2[[#This Row],[mv]],4)/10,0.25)</f>
        <v>3.5989844812182349E-3</v>
      </c>
      <c r="K810" s="41">
        <v>0</v>
      </c>
      <c r="L810" s="41">
        <v>55</v>
      </c>
      <c r="M810" s="41">
        <v>-1</v>
      </c>
      <c r="N810" s="41">
        <v>4</v>
      </c>
      <c r="O810" s="111" t="s">
        <v>1325</v>
      </c>
      <c r="P810" s="109">
        <v>192406</v>
      </c>
      <c r="Q810" s="41"/>
      <c r="R810" s="111"/>
      <c r="S810" s="110">
        <v>9427450</v>
      </c>
    </row>
    <row r="811" spans="1:19" x14ac:dyDescent="0.3">
      <c r="A811" s="105">
        <v>810</v>
      </c>
      <c r="B811" s="41">
        <v>12000000</v>
      </c>
      <c r="C811" s="41">
        <v>6.4000000000000003E-3</v>
      </c>
      <c r="D811" s="41">
        <v>17.4481</v>
      </c>
      <c r="E811" s="41">
        <v>30</v>
      </c>
      <c r="F811" s="41">
        <v>0</v>
      </c>
      <c r="G811" s="41" t="s">
        <v>104</v>
      </c>
      <c r="H811" s="41">
        <v>0</v>
      </c>
      <c r="I811" s="41">
        <v>1</v>
      </c>
      <c r="J811" s="108">
        <f>POWER(POWER(Table2[[#This Row],[mv]],4)/10,0.25)</f>
        <v>3.5989844812182349E-3</v>
      </c>
      <c r="K811" s="41">
        <v>0</v>
      </c>
      <c r="L811" s="41">
        <v>55</v>
      </c>
      <c r="M811" s="41">
        <v>-1</v>
      </c>
      <c r="N811" s="41">
        <v>4</v>
      </c>
      <c r="O811" s="111" t="s">
        <v>1326</v>
      </c>
      <c r="P811" s="109">
        <v>192406</v>
      </c>
      <c r="Q811" s="41"/>
      <c r="R811" s="111"/>
      <c r="S811" s="110">
        <v>9427450</v>
      </c>
    </row>
    <row r="812" spans="1:19" x14ac:dyDescent="0.3">
      <c r="A812" s="105">
        <v>811</v>
      </c>
      <c r="B812" s="41">
        <v>12000000</v>
      </c>
      <c r="C812" s="41">
        <v>6.4000000000000003E-3</v>
      </c>
      <c r="D812" s="41">
        <v>19.0273</v>
      </c>
      <c r="E812" s="41">
        <v>30</v>
      </c>
      <c r="F812" s="41">
        <v>0</v>
      </c>
      <c r="G812" s="41" t="s">
        <v>104</v>
      </c>
      <c r="H812" s="41">
        <v>0</v>
      </c>
      <c r="I812" s="41">
        <v>1</v>
      </c>
      <c r="J812" s="108">
        <f>POWER(POWER(Table2[[#This Row],[mv]],4)/10,0.25)</f>
        <v>3.5989844812182349E-3</v>
      </c>
      <c r="K812" s="41">
        <v>0</v>
      </c>
      <c r="L812" s="41">
        <v>55</v>
      </c>
      <c r="M812" s="41">
        <v>-1</v>
      </c>
      <c r="N812" s="41">
        <v>4</v>
      </c>
      <c r="O812" s="111" t="s">
        <v>1327</v>
      </c>
      <c r="P812" s="109">
        <v>192406</v>
      </c>
      <c r="Q812" s="41"/>
      <c r="R812" s="111"/>
      <c r="S812" s="110">
        <v>9427450</v>
      </c>
    </row>
    <row r="813" spans="1:19" x14ac:dyDescent="0.3">
      <c r="A813" s="105">
        <v>812</v>
      </c>
      <c r="B813" s="41">
        <v>12000000</v>
      </c>
      <c r="C813" s="41">
        <v>7.0000000000000001E-3</v>
      </c>
      <c r="D813" s="41">
        <v>16</v>
      </c>
      <c r="E813" s="41">
        <v>30</v>
      </c>
      <c r="F813" s="41">
        <v>0</v>
      </c>
      <c r="G813" s="41" t="s">
        <v>104</v>
      </c>
      <c r="H813" s="41">
        <v>0</v>
      </c>
      <c r="I813" s="41">
        <v>1</v>
      </c>
      <c r="J813" s="108">
        <f>POWER(POWER(Table2[[#This Row],[mv]],4)/10,0.25)</f>
        <v>3.9363892763324441E-3</v>
      </c>
      <c r="K813" s="41">
        <v>0</v>
      </c>
      <c r="L813" s="41">
        <v>55</v>
      </c>
      <c r="M813" s="41">
        <v>-1</v>
      </c>
      <c r="N813" s="41">
        <v>4</v>
      </c>
      <c r="O813" s="111" t="s">
        <v>1328</v>
      </c>
      <c r="P813" s="109">
        <v>192406</v>
      </c>
      <c r="Q813" s="41"/>
      <c r="R813" s="111"/>
      <c r="S813" s="110">
        <v>9427450</v>
      </c>
    </row>
    <row r="814" spans="1:19" x14ac:dyDescent="0.3">
      <c r="A814" s="105">
        <v>813</v>
      </c>
      <c r="B814" s="41">
        <v>12000000</v>
      </c>
      <c r="C814" s="41">
        <v>7.0000000000000001E-3</v>
      </c>
      <c r="D814" s="41">
        <v>17.4481</v>
      </c>
      <c r="E814" s="41">
        <v>30</v>
      </c>
      <c r="F814" s="41">
        <v>0</v>
      </c>
      <c r="G814" s="41" t="s">
        <v>104</v>
      </c>
      <c r="H814" s="41">
        <v>0</v>
      </c>
      <c r="I814" s="41">
        <v>1</v>
      </c>
      <c r="J814" s="108">
        <f>POWER(POWER(Table2[[#This Row],[mv]],4)/10,0.25)</f>
        <v>3.9363892763324441E-3</v>
      </c>
      <c r="K814" s="41">
        <v>0</v>
      </c>
      <c r="L814" s="41">
        <v>55</v>
      </c>
      <c r="M814" s="41">
        <v>-1</v>
      </c>
      <c r="N814" s="41">
        <v>4</v>
      </c>
      <c r="O814" s="111" t="s">
        <v>1329</v>
      </c>
      <c r="P814" s="109">
        <v>192406</v>
      </c>
      <c r="Q814" s="41"/>
      <c r="R814" s="111"/>
      <c r="S814" s="110">
        <v>9427450</v>
      </c>
    </row>
    <row r="815" spans="1:19" x14ac:dyDescent="0.3">
      <c r="A815" s="105">
        <v>814</v>
      </c>
      <c r="B815" s="41">
        <v>12000000</v>
      </c>
      <c r="C815" s="41">
        <v>7.0000000000000001E-3</v>
      </c>
      <c r="D815" s="41">
        <v>19.0273</v>
      </c>
      <c r="E815" s="41">
        <v>30</v>
      </c>
      <c r="F815" s="41">
        <v>0</v>
      </c>
      <c r="G815" s="41" t="s">
        <v>104</v>
      </c>
      <c r="H815" s="41">
        <v>0</v>
      </c>
      <c r="I815" s="41">
        <v>1</v>
      </c>
      <c r="J815" s="108">
        <f>POWER(POWER(Table2[[#This Row],[mv]],4)/10,0.25)</f>
        <v>3.9363892763324441E-3</v>
      </c>
      <c r="K815" s="41">
        <v>0</v>
      </c>
      <c r="L815" s="41">
        <v>55</v>
      </c>
      <c r="M815" s="41">
        <v>-1</v>
      </c>
      <c r="N815" s="41">
        <v>4</v>
      </c>
      <c r="O815" s="111" t="s">
        <v>1330</v>
      </c>
      <c r="P815" s="109">
        <v>192406</v>
      </c>
      <c r="Q815" s="41"/>
      <c r="R815" s="111"/>
      <c r="S815" s="110">
        <v>9427450</v>
      </c>
    </row>
    <row r="816" spans="1:19" x14ac:dyDescent="0.3">
      <c r="A816" s="105">
        <v>815</v>
      </c>
      <c r="B816" s="41">
        <v>12000000</v>
      </c>
      <c r="C816" s="41">
        <v>7.6E-3</v>
      </c>
      <c r="D816" s="41">
        <v>19.0273</v>
      </c>
      <c r="E816" s="41">
        <v>30</v>
      </c>
      <c r="F816" s="41">
        <v>0</v>
      </c>
      <c r="G816" s="41" t="s">
        <v>104</v>
      </c>
      <c r="H816" s="41">
        <v>0</v>
      </c>
      <c r="I816" s="41">
        <v>1</v>
      </c>
      <c r="J816" s="108">
        <f>POWER(POWER(Table2[[#This Row],[mv]],4)/10,0.25)</f>
        <v>4.2737940714466516E-3</v>
      </c>
      <c r="K816" s="41">
        <v>0</v>
      </c>
      <c r="L816" s="41">
        <v>55</v>
      </c>
      <c r="M816" s="41">
        <v>-1</v>
      </c>
      <c r="N816" s="41">
        <v>4</v>
      </c>
      <c r="O816" s="111" t="s">
        <v>1331</v>
      </c>
      <c r="P816" s="109">
        <v>192406</v>
      </c>
      <c r="Q816" s="41"/>
      <c r="R816" s="111"/>
      <c r="S816" s="110">
        <v>9427450</v>
      </c>
    </row>
    <row r="817" spans="1:19" x14ac:dyDescent="0.3">
      <c r="A817" s="105">
        <v>816</v>
      </c>
      <c r="B817" s="41">
        <v>12000000</v>
      </c>
      <c r="C817" s="41">
        <v>2.8999999999999998E-3</v>
      </c>
      <c r="D817" s="41">
        <v>3.3635999999999999</v>
      </c>
      <c r="E817" s="41">
        <v>30</v>
      </c>
      <c r="F817" s="41">
        <v>0</v>
      </c>
      <c r="G817" s="41" t="s">
        <v>104</v>
      </c>
      <c r="H817" s="41">
        <v>0</v>
      </c>
      <c r="I817" s="41">
        <v>1</v>
      </c>
      <c r="J817" s="108">
        <v>0</v>
      </c>
      <c r="K817" s="41">
        <v>0</v>
      </c>
      <c r="L817" s="41">
        <v>55</v>
      </c>
      <c r="M817" s="41">
        <v>-1</v>
      </c>
      <c r="N817" s="41">
        <v>4</v>
      </c>
      <c r="O817" s="111" t="s">
        <v>1332</v>
      </c>
      <c r="P817" s="109">
        <v>192448</v>
      </c>
      <c r="Q817" s="41"/>
      <c r="R817" s="111"/>
      <c r="S817" s="110" t="s">
        <v>1625</v>
      </c>
    </row>
    <row r="818" spans="1:19" x14ac:dyDescent="0.3">
      <c r="A818" s="105">
        <v>817</v>
      </c>
      <c r="B818" s="41">
        <v>12000000</v>
      </c>
      <c r="C818" s="41">
        <v>2.8999999999999998E-3</v>
      </c>
      <c r="D818" s="41">
        <v>3.6680000000000001</v>
      </c>
      <c r="E818" s="41">
        <v>30</v>
      </c>
      <c r="F818" s="41">
        <v>0</v>
      </c>
      <c r="G818" s="41" t="s">
        <v>104</v>
      </c>
      <c r="H818" s="41">
        <v>0</v>
      </c>
      <c r="I818" s="41">
        <v>1</v>
      </c>
      <c r="J818" s="108">
        <v>0</v>
      </c>
      <c r="K818" s="41">
        <v>0</v>
      </c>
      <c r="L818" s="41">
        <v>55</v>
      </c>
      <c r="M818" s="41">
        <v>-1</v>
      </c>
      <c r="N818" s="41">
        <v>4</v>
      </c>
      <c r="O818" s="111" t="s">
        <v>1333</v>
      </c>
      <c r="P818" s="109">
        <v>192448</v>
      </c>
      <c r="Q818" s="41"/>
      <c r="R818" s="111"/>
      <c r="S818" s="110" t="s">
        <v>1625</v>
      </c>
    </row>
    <row r="819" spans="1:19" x14ac:dyDescent="0.3">
      <c r="A819" s="105">
        <v>818</v>
      </c>
      <c r="B819" s="41">
        <v>12000000</v>
      </c>
      <c r="C819" s="41">
        <v>2.8999999999999998E-3</v>
      </c>
      <c r="D819" s="41">
        <v>4</v>
      </c>
      <c r="E819" s="41">
        <v>30</v>
      </c>
      <c r="F819" s="41">
        <v>0</v>
      </c>
      <c r="G819" s="41" t="s">
        <v>104</v>
      </c>
      <c r="H819" s="41">
        <v>0</v>
      </c>
      <c r="I819" s="41">
        <v>1</v>
      </c>
      <c r="J819" s="108">
        <v>0</v>
      </c>
      <c r="K819" s="41">
        <v>0</v>
      </c>
      <c r="L819" s="41">
        <v>55</v>
      </c>
      <c r="M819" s="41">
        <v>-1</v>
      </c>
      <c r="N819" s="41">
        <v>4</v>
      </c>
      <c r="O819" s="111" t="s">
        <v>1334</v>
      </c>
      <c r="P819" s="109">
        <v>192448</v>
      </c>
      <c r="Q819" s="41"/>
      <c r="R819" s="111"/>
      <c r="S819" s="110" t="s">
        <v>1625</v>
      </c>
    </row>
    <row r="820" spans="1:19" x14ac:dyDescent="0.3">
      <c r="A820" s="105">
        <v>819</v>
      </c>
      <c r="B820" s="41">
        <v>12000000</v>
      </c>
      <c r="C820" s="41">
        <v>2.8999999999999998E-3</v>
      </c>
      <c r="D820" s="41">
        <v>4.3620000000000001</v>
      </c>
      <c r="E820" s="41">
        <v>30</v>
      </c>
      <c r="F820" s="41">
        <v>0</v>
      </c>
      <c r="G820" s="41" t="s">
        <v>104</v>
      </c>
      <c r="H820" s="41">
        <v>0</v>
      </c>
      <c r="I820" s="41">
        <v>1</v>
      </c>
      <c r="J820" s="108">
        <v>0</v>
      </c>
      <c r="K820" s="41">
        <v>0</v>
      </c>
      <c r="L820" s="41">
        <v>55</v>
      </c>
      <c r="M820" s="41">
        <v>-1</v>
      </c>
      <c r="N820" s="41">
        <v>4</v>
      </c>
      <c r="O820" s="111" t="s">
        <v>1335</v>
      </c>
      <c r="P820" s="109">
        <v>192448</v>
      </c>
      <c r="Q820" s="41"/>
      <c r="R820" s="111"/>
      <c r="S820" s="110" t="s">
        <v>1625</v>
      </c>
    </row>
    <row r="821" spans="1:19" x14ac:dyDescent="0.3">
      <c r="A821" s="105">
        <v>820</v>
      </c>
      <c r="B821" s="41">
        <v>12000000</v>
      </c>
      <c r="C821" s="41">
        <v>2.8999999999999998E-3</v>
      </c>
      <c r="D821" s="41">
        <v>4.7568000000000001</v>
      </c>
      <c r="E821" s="41">
        <v>30</v>
      </c>
      <c r="F821" s="41">
        <v>0</v>
      </c>
      <c r="G821" s="41" t="s">
        <v>104</v>
      </c>
      <c r="H821" s="41">
        <v>0</v>
      </c>
      <c r="I821" s="41">
        <v>1</v>
      </c>
      <c r="J821" s="108">
        <v>0</v>
      </c>
      <c r="K821" s="41">
        <v>0</v>
      </c>
      <c r="L821" s="41">
        <v>55</v>
      </c>
      <c r="M821" s="41">
        <v>-1</v>
      </c>
      <c r="N821" s="41">
        <v>4</v>
      </c>
      <c r="O821" s="111" t="s">
        <v>1336</v>
      </c>
      <c r="P821" s="109">
        <v>192448</v>
      </c>
      <c r="Q821" s="41"/>
      <c r="R821" s="111"/>
      <c r="S821" s="110" t="s">
        <v>1625</v>
      </c>
    </row>
    <row r="822" spans="1:19" x14ac:dyDescent="0.3">
      <c r="A822" s="105">
        <v>821</v>
      </c>
      <c r="B822" s="41">
        <v>12000000</v>
      </c>
      <c r="C822" s="41">
        <v>2.8999999999999998E-3</v>
      </c>
      <c r="D822" s="41">
        <v>5.1874000000000002</v>
      </c>
      <c r="E822" s="41">
        <v>30</v>
      </c>
      <c r="F822" s="41">
        <v>0</v>
      </c>
      <c r="G822" s="41" t="s">
        <v>104</v>
      </c>
      <c r="H822" s="41">
        <v>0</v>
      </c>
      <c r="I822" s="41">
        <v>1</v>
      </c>
      <c r="J822" s="108">
        <v>0</v>
      </c>
      <c r="K822" s="41">
        <v>0</v>
      </c>
      <c r="L822" s="41">
        <v>55</v>
      </c>
      <c r="M822" s="41">
        <v>-1</v>
      </c>
      <c r="N822" s="41">
        <v>4</v>
      </c>
      <c r="O822" s="111" t="s">
        <v>1337</v>
      </c>
      <c r="P822" s="109">
        <v>192448</v>
      </c>
      <c r="Q822" s="41"/>
      <c r="R822" s="111"/>
      <c r="S822" s="110" t="s">
        <v>1625</v>
      </c>
    </row>
    <row r="823" spans="1:19" x14ac:dyDescent="0.3">
      <c r="A823" s="105">
        <v>822</v>
      </c>
      <c r="B823" s="41">
        <v>12000000</v>
      </c>
      <c r="C823" s="41">
        <v>2.8999999999999998E-3</v>
      </c>
      <c r="D823" s="41">
        <v>5.6569000000000003</v>
      </c>
      <c r="E823" s="41">
        <v>30</v>
      </c>
      <c r="F823" s="41">
        <v>0</v>
      </c>
      <c r="G823" s="41" t="s">
        <v>104</v>
      </c>
      <c r="H823" s="41">
        <v>0</v>
      </c>
      <c r="I823" s="41">
        <v>1</v>
      </c>
      <c r="J823" s="108">
        <v>0</v>
      </c>
      <c r="K823" s="41">
        <v>0</v>
      </c>
      <c r="L823" s="41">
        <v>55</v>
      </c>
      <c r="M823" s="41">
        <v>-1</v>
      </c>
      <c r="N823" s="41">
        <v>4</v>
      </c>
      <c r="O823" s="111" t="s">
        <v>1338</v>
      </c>
      <c r="P823" s="109">
        <v>192448</v>
      </c>
      <c r="Q823" s="41"/>
      <c r="R823" s="111"/>
      <c r="S823" s="110" t="s">
        <v>1625</v>
      </c>
    </row>
    <row r="824" spans="1:19" x14ac:dyDescent="0.3">
      <c r="A824" s="105">
        <v>823</v>
      </c>
      <c r="B824" s="41">
        <v>12000000</v>
      </c>
      <c r="C824" s="41">
        <v>2.8999999999999998E-3</v>
      </c>
      <c r="D824" s="41">
        <v>6.1688000000000001</v>
      </c>
      <c r="E824" s="41">
        <v>30</v>
      </c>
      <c r="F824" s="41">
        <v>0</v>
      </c>
      <c r="G824" s="41" t="s">
        <v>104</v>
      </c>
      <c r="H824" s="41">
        <v>0</v>
      </c>
      <c r="I824" s="41">
        <v>1</v>
      </c>
      <c r="J824" s="108">
        <v>0</v>
      </c>
      <c r="K824" s="41">
        <v>0</v>
      </c>
      <c r="L824" s="41">
        <v>55</v>
      </c>
      <c r="M824" s="41">
        <v>-1</v>
      </c>
      <c r="N824" s="41">
        <v>4</v>
      </c>
      <c r="O824" s="111" t="s">
        <v>1339</v>
      </c>
      <c r="P824" s="109">
        <v>192448</v>
      </c>
      <c r="Q824" s="41"/>
      <c r="R824" s="111"/>
      <c r="S824" s="110" t="s">
        <v>1625</v>
      </c>
    </row>
    <row r="825" spans="1:19" x14ac:dyDescent="0.3">
      <c r="A825" s="105">
        <v>824</v>
      </c>
      <c r="B825" s="41">
        <v>12000000</v>
      </c>
      <c r="C825" s="41">
        <v>2.8999999999999998E-3</v>
      </c>
      <c r="D825" s="41">
        <v>6.7271999999999998</v>
      </c>
      <c r="E825" s="41">
        <v>30</v>
      </c>
      <c r="F825" s="41">
        <v>0</v>
      </c>
      <c r="G825" s="41" t="s">
        <v>104</v>
      </c>
      <c r="H825" s="41">
        <v>0</v>
      </c>
      <c r="I825" s="41">
        <v>1</v>
      </c>
      <c r="J825" s="108">
        <v>0</v>
      </c>
      <c r="K825" s="41">
        <v>0</v>
      </c>
      <c r="L825" s="41">
        <v>55</v>
      </c>
      <c r="M825" s="41">
        <v>-1</v>
      </c>
      <c r="N825" s="41">
        <v>4</v>
      </c>
      <c r="O825" s="111" t="s">
        <v>1340</v>
      </c>
      <c r="P825" s="109">
        <v>192448</v>
      </c>
      <c r="Q825" s="41"/>
      <c r="R825" s="111"/>
      <c r="S825" s="110" t="s">
        <v>1625</v>
      </c>
    </row>
    <row r="826" spans="1:19" x14ac:dyDescent="0.3">
      <c r="A826" s="105">
        <v>825</v>
      </c>
      <c r="B826" s="41">
        <v>12000000</v>
      </c>
      <c r="C826" s="41">
        <v>2.8999999999999998E-3</v>
      </c>
      <c r="D826" s="41">
        <v>7.3360000000000003</v>
      </c>
      <c r="E826" s="41">
        <v>30</v>
      </c>
      <c r="F826" s="41">
        <v>0</v>
      </c>
      <c r="G826" s="41" t="s">
        <v>104</v>
      </c>
      <c r="H826" s="41">
        <v>0</v>
      </c>
      <c r="I826" s="41">
        <v>1</v>
      </c>
      <c r="J826" s="108">
        <v>0</v>
      </c>
      <c r="K826" s="41">
        <v>0</v>
      </c>
      <c r="L826" s="41">
        <v>55</v>
      </c>
      <c r="M826" s="41">
        <v>-1</v>
      </c>
      <c r="N826" s="41">
        <v>4</v>
      </c>
      <c r="O826" s="111" t="s">
        <v>1341</v>
      </c>
      <c r="P826" s="109">
        <v>192448</v>
      </c>
      <c r="Q826" s="41"/>
      <c r="R826" s="111"/>
      <c r="S826" s="110" t="s">
        <v>1625</v>
      </c>
    </row>
    <row r="827" spans="1:19" x14ac:dyDescent="0.3">
      <c r="A827" s="105">
        <v>826</v>
      </c>
      <c r="B827" s="41">
        <v>12000000</v>
      </c>
      <c r="C827" s="41">
        <v>2.8999999999999998E-3</v>
      </c>
      <c r="D827" s="41">
        <v>8</v>
      </c>
      <c r="E827" s="41">
        <v>30</v>
      </c>
      <c r="F827" s="41">
        <v>0</v>
      </c>
      <c r="G827" s="41" t="s">
        <v>104</v>
      </c>
      <c r="H827" s="41">
        <v>0</v>
      </c>
      <c r="I827" s="41">
        <v>1</v>
      </c>
      <c r="J827" s="108">
        <v>0</v>
      </c>
      <c r="K827" s="41">
        <v>0</v>
      </c>
      <c r="L827" s="41">
        <v>55</v>
      </c>
      <c r="M827" s="41">
        <v>-1</v>
      </c>
      <c r="N827" s="41">
        <v>4</v>
      </c>
      <c r="O827" s="111" t="s">
        <v>1342</v>
      </c>
      <c r="P827" s="109">
        <v>192448</v>
      </c>
      <c r="Q827" s="41"/>
      <c r="R827" s="111"/>
      <c r="S827" s="110" t="s">
        <v>1625</v>
      </c>
    </row>
    <row r="828" spans="1:19" x14ac:dyDescent="0.3">
      <c r="A828" s="105">
        <v>827</v>
      </c>
      <c r="B828" s="41">
        <v>12000000</v>
      </c>
      <c r="C828" s="41">
        <v>2.8999999999999998E-3</v>
      </c>
      <c r="D828" s="41">
        <v>8.7241</v>
      </c>
      <c r="E828" s="41">
        <v>30</v>
      </c>
      <c r="F828" s="41">
        <v>0</v>
      </c>
      <c r="G828" s="41" t="s">
        <v>104</v>
      </c>
      <c r="H828" s="41">
        <v>0</v>
      </c>
      <c r="I828" s="41">
        <v>1</v>
      </c>
      <c r="J828" s="108">
        <v>0</v>
      </c>
      <c r="K828" s="41">
        <v>0</v>
      </c>
      <c r="L828" s="41">
        <v>55</v>
      </c>
      <c r="M828" s="41">
        <v>-1</v>
      </c>
      <c r="N828" s="41">
        <v>4</v>
      </c>
      <c r="O828" s="111" t="s">
        <v>1343</v>
      </c>
      <c r="P828" s="109">
        <v>192448</v>
      </c>
      <c r="Q828" s="41"/>
      <c r="R828" s="111"/>
      <c r="S828" s="110" t="s">
        <v>1625</v>
      </c>
    </row>
    <row r="829" spans="1:19" x14ac:dyDescent="0.3">
      <c r="A829" s="105">
        <v>828</v>
      </c>
      <c r="B829" s="41">
        <v>12000000</v>
      </c>
      <c r="C829" s="41">
        <v>2.8999999999999998E-3</v>
      </c>
      <c r="D829" s="41">
        <v>9.5137</v>
      </c>
      <c r="E829" s="41">
        <v>30</v>
      </c>
      <c r="F829" s="41">
        <v>0</v>
      </c>
      <c r="G829" s="41" t="s">
        <v>104</v>
      </c>
      <c r="H829" s="41">
        <v>0</v>
      </c>
      <c r="I829" s="41">
        <v>1</v>
      </c>
      <c r="J829" s="108">
        <v>0</v>
      </c>
      <c r="K829" s="41">
        <v>0</v>
      </c>
      <c r="L829" s="41">
        <v>55</v>
      </c>
      <c r="M829" s="41">
        <v>-1</v>
      </c>
      <c r="N829" s="41">
        <v>4</v>
      </c>
      <c r="O829" s="111" t="s">
        <v>1344</v>
      </c>
      <c r="P829" s="109">
        <v>192448</v>
      </c>
      <c r="Q829" s="41"/>
      <c r="R829" s="111"/>
      <c r="S829" s="110" t="s">
        <v>1625</v>
      </c>
    </row>
    <row r="830" spans="1:19" x14ac:dyDescent="0.3">
      <c r="A830" s="105">
        <v>829</v>
      </c>
      <c r="B830" s="41">
        <v>12000000</v>
      </c>
      <c r="C830" s="41">
        <v>2.8999999999999998E-3</v>
      </c>
      <c r="D830" s="41">
        <v>10.374700000000001</v>
      </c>
      <c r="E830" s="41">
        <v>30</v>
      </c>
      <c r="F830" s="41">
        <v>0</v>
      </c>
      <c r="G830" s="41" t="s">
        <v>104</v>
      </c>
      <c r="H830" s="41">
        <v>0</v>
      </c>
      <c r="I830" s="41">
        <v>1</v>
      </c>
      <c r="J830" s="108">
        <v>0</v>
      </c>
      <c r="K830" s="41">
        <v>0</v>
      </c>
      <c r="L830" s="41">
        <v>55</v>
      </c>
      <c r="M830" s="41">
        <v>-1</v>
      </c>
      <c r="N830" s="41">
        <v>4</v>
      </c>
      <c r="O830" s="111" t="s">
        <v>1345</v>
      </c>
      <c r="P830" s="109">
        <v>192448</v>
      </c>
      <c r="Q830" s="41"/>
      <c r="R830" s="111"/>
      <c r="S830" s="110" t="s">
        <v>1625</v>
      </c>
    </row>
    <row r="831" spans="1:19" x14ac:dyDescent="0.3">
      <c r="A831" s="105">
        <v>830</v>
      </c>
      <c r="B831" s="41">
        <v>12000000</v>
      </c>
      <c r="C831" s="41">
        <v>2.8999999999999998E-3</v>
      </c>
      <c r="D831" s="41">
        <v>11.313700000000001</v>
      </c>
      <c r="E831" s="41">
        <v>30</v>
      </c>
      <c r="F831" s="41">
        <v>0</v>
      </c>
      <c r="G831" s="41" t="s">
        <v>104</v>
      </c>
      <c r="H831" s="41">
        <v>0</v>
      </c>
      <c r="I831" s="41">
        <v>1</v>
      </c>
      <c r="J831" s="108">
        <v>0</v>
      </c>
      <c r="K831" s="41">
        <v>0</v>
      </c>
      <c r="L831" s="41">
        <v>55</v>
      </c>
      <c r="M831" s="41">
        <v>-1</v>
      </c>
      <c r="N831" s="41">
        <v>4</v>
      </c>
      <c r="O831" s="111" t="s">
        <v>1346</v>
      </c>
      <c r="P831" s="109">
        <v>192448</v>
      </c>
      <c r="Q831" s="41"/>
      <c r="R831" s="111"/>
      <c r="S831" s="110" t="s">
        <v>1625</v>
      </c>
    </row>
    <row r="832" spans="1:19" x14ac:dyDescent="0.3">
      <c r="A832" s="105">
        <v>831</v>
      </c>
      <c r="B832" s="41">
        <v>12000000</v>
      </c>
      <c r="C832" s="41">
        <v>2.8999999999999998E-3</v>
      </c>
      <c r="D832" s="41">
        <v>12.3377</v>
      </c>
      <c r="E832" s="41">
        <v>30</v>
      </c>
      <c r="F832" s="41">
        <v>0</v>
      </c>
      <c r="G832" s="41" t="s">
        <v>104</v>
      </c>
      <c r="H832" s="41">
        <v>0</v>
      </c>
      <c r="I832" s="41">
        <v>1</v>
      </c>
      <c r="J832" s="108">
        <v>0</v>
      </c>
      <c r="K832" s="41">
        <v>0</v>
      </c>
      <c r="L832" s="41">
        <v>55</v>
      </c>
      <c r="M832" s="41">
        <v>-1</v>
      </c>
      <c r="N832" s="41">
        <v>4</v>
      </c>
      <c r="O832" s="111" t="s">
        <v>1347</v>
      </c>
      <c r="P832" s="109">
        <v>192448</v>
      </c>
      <c r="Q832" s="41"/>
      <c r="R832" s="111"/>
      <c r="S832" s="110" t="s">
        <v>1625</v>
      </c>
    </row>
    <row r="833" spans="1:19" x14ac:dyDescent="0.3">
      <c r="A833" s="105">
        <v>832</v>
      </c>
      <c r="B833" s="41">
        <v>12000000</v>
      </c>
      <c r="C833" s="41">
        <v>2.8999999999999998E-3</v>
      </c>
      <c r="D833" s="41">
        <v>13.4543</v>
      </c>
      <c r="E833" s="41">
        <v>30</v>
      </c>
      <c r="F833" s="41">
        <v>0</v>
      </c>
      <c r="G833" s="41" t="s">
        <v>104</v>
      </c>
      <c r="H833" s="41">
        <v>0</v>
      </c>
      <c r="I833" s="41">
        <v>1</v>
      </c>
      <c r="J833" s="108">
        <v>0</v>
      </c>
      <c r="K833" s="41">
        <v>0</v>
      </c>
      <c r="L833" s="41">
        <v>55</v>
      </c>
      <c r="M833" s="41">
        <v>-1</v>
      </c>
      <c r="N833" s="41">
        <v>4</v>
      </c>
      <c r="O833" s="111" t="s">
        <v>1348</v>
      </c>
      <c r="P833" s="109">
        <v>192448</v>
      </c>
      <c r="Q833" s="41"/>
      <c r="R833" s="111"/>
      <c r="S833" s="110" t="s">
        <v>1625</v>
      </c>
    </row>
    <row r="834" spans="1:19" x14ac:dyDescent="0.3">
      <c r="A834" s="105">
        <v>833</v>
      </c>
      <c r="B834" s="41">
        <v>12000000</v>
      </c>
      <c r="C834" s="41">
        <v>2.8999999999999998E-3</v>
      </c>
      <c r="D834" s="41">
        <v>14.6721</v>
      </c>
      <c r="E834" s="41">
        <v>30</v>
      </c>
      <c r="F834" s="41">
        <v>0</v>
      </c>
      <c r="G834" s="41" t="s">
        <v>104</v>
      </c>
      <c r="H834" s="41">
        <v>0</v>
      </c>
      <c r="I834" s="41">
        <v>1</v>
      </c>
      <c r="J834" s="108">
        <v>0</v>
      </c>
      <c r="K834" s="41">
        <v>0</v>
      </c>
      <c r="L834" s="41">
        <v>55</v>
      </c>
      <c r="M834" s="41">
        <v>-1</v>
      </c>
      <c r="N834" s="41">
        <v>4</v>
      </c>
      <c r="O834" s="111" t="s">
        <v>1349</v>
      </c>
      <c r="P834" s="109">
        <v>192448</v>
      </c>
      <c r="Q834" s="41"/>
      <c r="R834" s="111"/>
      <c r="S834" s="110" t="s">
        <v>1625</v>
      </c>
    </row>
    <row r="835" spans="1:19" x14ac:dyDescent="0.3">
      <c r="A835" s="105">
        <v>834</v>
      </c>
      <c r="B835" s="41">
        <v>12000000</v>
      </c>
      <c r="C835" s="41">
        <v>2.8999999999999998E-3</v>
      </c>
      <c r="D835" s="41">
        <v>16</v>
      </c>
      <c r="E835" s="41">
        <v>30</v>
      </c>
      <c r="F835" s="41">
        <v>0</v>
      </c>
      <c r="G835" s="41" t="s">
        <v>104</v>
      </c>
      <c r="H835" s="41">
        <v>0</v>
      </c>
      <c r="I835" s="41">
        <v>1</v>
      </c>
      <c r="J835" s="108">
        <v>0</v>
      </c>
      <c r="K835" s="41">
        <v>0</v>
      </c>
      <c r="L835" s="41">
        <v>55</v>
      </c>
      <c r="M835" s="41">
        <v>-1</v>
      </c>
      <c r="N835" s="41">
        <v>4</v>
      </c>
      <c r="O835" s="111" t="s">
        <v>1350</v>
      </c>
      <c r="P835" s="109">
        <v>192448</v>
      </c>
      <c r="Q835" s="41"/>
      <c r="R835" s="111"/>
      <c r="S835" s="110" t="s">
        <v>1625</v>
      </c>
    </row>
    <row r="836" spans="1:19" x14ac:dyDescent="0.3">
      <c r="A836" s="105">
        <v>835</v>
      </c>
      <c r="B836" s="41">
        <v>12000000</v>
      </c>
      <c r="C836" s="41">
        <v>2.8999999999999998E-3</v>
      </c>
      <c r="D836" s="41">
        <v>17.4481</v>
      </c>
      <c r="E836" s="41">
        <v>30</v>
      </c>
      <c r="F836" s="41">
        <v>0</v>
      </c>
      <c r="G836" s="41" t="s">
        <v>104</v>
      </c>
      <c r="H836" s="41">
        <v>0</v>
      </c>
      <c r="I836" s="41">
        <v>1</v>
      </c>
      <c r="J836" s="108">
        <v>0</v>
      </c>
      <c r="K836" s="41">
        <v>0</v>
      </c>
      <c r="L836" s="41">
        <v>55</v>
      </c>
      <c r="M836" s="41">
        <v>-1</v>
      </c>
      <c r="N836" s="41">
        <v>4</v>
      </c>
      <c r="O836" s="111" t="s">
        <v>1351</v>
      </c>
      <c r="P836" s="109">
        <v>192448</v>
      </c>
      <c r="Q836" s="41"/>
      <c r="R836" s="111"/>
      <c r="S836" s="110" t="s">
        <v>1625</v>
      </c>
    </row>
    <row r="837" spans="1:19" x14ac:dyDescent="0.3">
      <c r="A837" s="105">
        <v>836</v>
      </c>
      <c r="B837" s="41">
        <v>12000000</v>
      </c>
      <c r="C837" s="41">
        <v>2.8999999999999998E-3</v>
      </c>
      <c r="D837" s="41">
        <v>19.0273</v>
      </c>
      <c r="E837" s="41">
        <v>30</v>
      </c>
      <c r="F837" s="41">
        <v>0</v>
      </c>
      <c r="G837" s="41" t="s">
        <v>104</v>
      </c>
      <c r="H837" s="41">
        <v>0</v>
      </c>
      <c r="I837" s="41">
        <v>1</v>
      </c>
      <c r="J837" s="108">
        <v>0</v>
      </c>
      <c r="K837" s="41">
        <v>0</v>
      </c>
      <c r="L837" s="41">
        <v>55</v>
      </c>
      <c r="M837" s="41">
        <v>-1</v>
      </c>
      <c r="N837" s="41">
        <v>4</v>
      </c>
      <c r="O837" s="111" t="s">
        <v>1352</v>
      </c>
      <c r="P837" s="109">
        <v>192448</v>
      </c>
      <c r="Q837" s="41"/>
      <c r="R837" s="111"/>
      <c r="S837" s="110" t="s">
        <v>1625</v>
      </c>
    </row>
    <row r="838" spans="1:19" x14ac:dyDescent="0.3">
      <c r="A838" s="105">
        <v>837</v>
      </c>
      <c r="B838" s="41">
        <v>12000000</v>
      </c>
      <c r="C838" s="41">
        <v>3.2000000000000002E-3</v>
      </c>
      <c r="D838" s="41">
        <v>3.3635999999999999</v>
      </c>
      <c r="E838" s="41">
        <v>30</v>
      </c>
      <c r="F838" s="41">
        <v>0</v>
      </c>
      <c r="G838" s="41" t="s">
        <v>104</v>
      </c>
      <c r="H838" s="41">
        <v>0</v>
      </c>
      <c r="I838" s="41">
        <v>1</v>
      </c>
      <c r="J838" s="108">
        <v>0</v>
      </c>
      <c r="K838" s="41">
        <v>0</v>
      </c>
      <c r="L838" s="41">
        <v>55</v>
      </c>
      <c r="M838" s="41">
        <v>-1</v>
      </c>
      <c r="N838" s="41">
        <v>4</v>
      </c>
      <c r="O838" s="111" t="s">
        <v>1353</v>
      </c>
      <c r="P838" s="109">
        <v>192448</v>
      </c>
      <c r="Q838" s="41"/>
      <c r="R838" s="111"/>
      <c r="S838" s="110" t="s">
        <v>1625</v>
      </c>
    </row>
    <row r="839" spans="1:19" x14ac:dyDescent="0.3">
      <c r="A839" s="105">
        <v>838</v>
      </c>
      <c r="B839" s="41">
        <v>12000000</v>
      </c>
      <c r="C839" s="41">
        <v>3.2000000000000002E-3</v>
      </c>
      <c r="D839" s="41">
        <v>3.6680000000000001</v>
      </c>
      <c r="E839" s="41">
        <v>30</v>
      </c>
      <c r="F839" s="41">
        <v>0</v>
      </c>
      <c r="G839" s="41" t="s">
        <v>104</v>
      </c>
      <c r="H839" s="41">
        <v>0</v>
      </c>
      <c r="I839" s="41">
        <v>1</v>
      </c>
      <c r="J839" s="108">
        <v>0</v>
      </c>
      <c r="K839" s="41">
        <v>0</v>
      </c>
      <c r="L839" s="41">
        <v>55</v>
      </c>
      <c r="M839" s="41">
        <v>-1</v>
      </c>
      <c r="N839" s="41">
        <v>4</v>
      </c>
      <c r="O839" s="111" t="s">
        <v>1354</v>
      </c>
      <c r="P839" s="109">
        <v>192448</v>
      </c>
      <c r="Q839" s="41"/>
      <c r="R839" s="111"/>
      <c r="S839" s="110" t="s">
        <v>1625</v>
      </c>
    </row>
    <row r="840" spans="1:19" x14ac:dyDescent="0.3">
      <c r="A840" s="105">
        <v>839</v>
      </c>
      <c r="B840" s="41">
        <v>12000000</v>
      </c>
      <c r="C840" s="41">
        <v>3.2000000000000002E-3</v>
      </c>
      <c r="D840" s="41">
        <v>4</v>
      </c>
      <c r="E840" s="41">
        <v>30</v>
      </c>
      <c r="F840" s="41">
        <v>0</v>
      </c>
      <c r="G840" s="41" t="s">
        <v>104</v>
      </c>
      <c r="H840" s="41">
        <v>0</v>
      </c>
      <c r="I840" s="41">
        <v>1</v>
      </c>
      <c r="J840" s="108">
        <v>0</v>
      </c>
      <c r="K840" s="41">
        <v>0</v>
      </c>
      <c r="L840" s="41">
        <v>55</v>
      </c>
      <c r="M840" s="41">
        <v>-1</v>
      </c>
      <c r="N840" s="41">
        <v>4</v>
      </c>
      <c r="O840" s="111" t="s">
        <v>1355</v>
      </c>
      <c r="P840" s="109">
        <v>192448</v>
      </c>
      <c r="Q840" s="41"/>
      <c r="R840" s="111"/>
      <c r="S840" s="110" t="s">
        <v>1625</v>
      </c>
    </row>
    <row r="841" spans="1:19" x14ac:dyDescent="0.3">
      <c r="A841" s="105">
        <v>840</v>
      </c>
      <c r="B841" s="41">
        <v>12000000</v>
      </c>
      <c r="C841" s="41">
        <v>3.2000000000000002E-3</v>
      </c>
      <c r="D841" s="41">
        <v>4.3620000000000001</v>
      </c>
      <c r="E841" s="41">
        <v>30</v>
      </c>
      <c r="F841" s="41">
        <v>0</v>
      </c>
      <c r="G841" s="41" t="s">
        <v>104</v>
      </c>
      <c r="H841" s="41">
        <v>0</v>
      </c>
      <c r="I841" s="41">
        <v>1</v>
      </c>
      <c r="J841" s="108">
        <v>0</v>
      </c>
      <c r="K841" s="41">
        <v>0</v>
      </c>
      <c r="L841" s="41">
        <v>55</v>
      </c>
      <c r="M841" s="41">
        <v>-1</v>
      </c>
      <c r="N841" s="41">
        <v>4</v>
      </c>
      <c r="O841" s="111" t="s">
        <v>1356</v>
      </c>
      <c r="P841" s="109">
        <v>192448</v>
      </c>
      <c r="Q841" s="41"/>
      <c r="R841" s="111"/>
      <c r="S841" s="110" t="s">
        <v>1625</v>
      </c>
    </row>
    <row r="842" spans="1:19" x14ac:dyDescent="0.3">
      <c r="A842" s="105">
        <v>841</v>
      </c>
      <c r="B842" s="41">
        <v>12000000</v>
      </c>
      <c r="C842" s="41">
        <v>3.2000000000000002E-3</v>
      </c>
      <c r="D842" s="41">
        <v>4.7568000000000001</v>
      </c>
      <c r="E842" s="41">
        <v>30</v>
      </c>
      <c r="F842" s="41">
        <v>0</v>
      </c>
      <c r="G842" s="41" t="s">
        <v>104</v>
      </c>
      <c r="H842" s="41">
        <v>0</v>
      </c>
      <c r="I842" s="41">
        <v>1</v>
      </c>
      <c r="J842" s="108">
        <v>0</v>
      </c>
      <c r="K842" s="41">
        <v>0</v>
      </c>
      <c r="L842" s="41">
        <v>55</v>
      </c>
      <c r="M842" s="41">
        <v>-1</v>
      </c>
      <c r="N842" s="41">
        <v>4</v>
      </c>
      <c r="O842" s="111" t="s">
        <v>1357</v>
      </c>
      <c r="P842" s="109">
        <v>192448</v>
      </c>
      <c r="Q842" s="41"/>
      <c r="R842" s="111"/>
      <c r="S842" s="110" t="s">
        <v>1625</v>
      </c>
    </row>
    <row r="843" spans="1:19" x14ac:dyDescent="0.3">
      <c r="A843" s="105">
        <v>842</v>
      </c>
      <c r="B843" s="41">
        <v>12000000</v>
      </c>
      <c r="C843" s="41">
        <v>3.2000000000000002E-3</v>
      </c>
      <c r="D843" s="41">
        <v>5.1874000000000002</v>
      </c>
      <c r="E843" s="41">
        <v>30</v>
      </c>
      <c r="F843" s="41">
        <v>0</v>
      </c>
      <c r="G843" s="41" t="s">
        <v>104</v>
      </c>
      <c r="H843" s="41">
        <v>0</v>
      </c>
      <c r="I843" s="41">
        <v>1</v>
      </c>
      <c r="J843" s="108">
        <v>0</v>
      </c>
      <c r="K843" s="41">
        <v>0</v>
      </c>
      <c r="L843" s="41">
        <v>55</v>
      </c>
      <c r="M843" s="41">
        <v>-1</v>
      </c>
      <c r="N843" s="41">
        <v>4</v>
      </c>
      <c r="O843" s="111" t="s">
        <v>1358</v>
      </c>
      <c r="P843" s="109">
        <v>192448</v>
      </c>
      <c r="Q843" s="41"/>
      <c r="R843" s="111"/>
      <c r="S843" s="110" t="s">
        <v>1625</v>
      </c>
    </row>
    <row r="844" spans="1:19" x14ac:dyDescent="0.3">
      <c r="A844" s="105">
        <v>843</v>
      </c>
      <c r="B844" s="41">
        <v>12000000</v>
      </c>
      <c r="C844" s="41">
        <v>3.2000000000000002E-3</v>
      </c>
      <c r="D844" s="41">
        <v>5.6569000000000003</v>
      </c>
      <c r="E844" s="41">
        <v>30</v>
      </c>
      <c r="F844" s="41">
        <v>0</v>
      </c>
      <c r="G844" s="41" t="s">
        <v>104</v>
      </c>
      <c r="H844" s="41">
        <v>0</v>
      </c>
      <c r="I844" s="41">
        <v>1</v>
      </c>
      <c r="J844" s="108">
        <v>0</v>
      </c>
      <c r="K844" s="41">
        <v>0</v>
      </c>
      <c r="L844" s="41">
        <v>55</v>
      </c>
      <c r="M844" s="41">
        <v>-1</v>
      </c>
      <c r="N844" s="41">
        <v>4</v>
      </c>
      <c r="O844" s="111" t="s">
        <v>1359</v>
      </c>
      <c r="P844" s="109">
        <v>192448</v>
      </c>
      <c r="Q844" s="41"/>
      <c r="R844" s="111"/>
      <c r="S844" s="110" t="s">
        <v>1625</v>
      </c>
    </row>
    <row r="845" spans="1:19" x14ac:dyDescent="0.3">
      <c r="A845" s="105">
        <v>844</v>
      </c>
      <c r="B845" s="41">
        <v>12000000</v>
      </c>
      <c r="C845" s="41">
        <v>3.2000000000000002E-3</v>
      </c>
      <c r="D845" s="41">
        <v>6.1688000000000001</v>
      </c>
      <c r="E845" s="41">
        <v>30</v>
      </c>
      <c r="F845" s="41">
        <v>0</v>
      </c>
      <c r="G845" s="41" t="s">
        <v>104</v>
      </c>
      <c r="H845" s="41">
        <v>0</v>
      </c>
      <c r="I845" s="41">
        <v>1</v>
      </c>
      <c r="J845" s="108">
        <v>0</v>
      </c>
      <c r="K845" s="41">
        <v>0</v>
      </c>
      <c r="L845" s="41">
        <v>55</v>
      </c>
      <c r="M845" s="41">
        <v>-1</v>
      </c>
      <c r="N845" s="41">
        <v>4</v>
      </c>
      <c r="O845" s="111" t="s">
        <v>1360</v>
      </c>
      <c r="P845" s="109">
        <v>192448</v>
      </c>
      <c r="Q845" s="41"/>
      <c r="R845" s="111"/>
      <c r="S845" s="110" t="s">
        <v>1625</v>
      </c>
    </row>
    <row r="846" spans="1:19" x14ac:dyDescent="0.3">
      <c r="A846" s="105">
        <v>845</v>
      </c>
      <c r="B846" s="41">
        <v>12000000</v>
      </c>
      <c r="C846" s="41">
        <v>3.2000000000000002E-3</v>
      </c>
      <c r="D846" s="41">
        <v>6.7271999999999998</v>
      </c>
      <c r="E846" s="41">
        <v>30</v>
      </c>
      <c r="F846" s="41">
        <v>0</v>
      </c>
      <c r="G846" s="41" t="s">
        <v>104</v>
      </c>
      <c r="H846" s="41">
        <v>0</v>
      </c>
      <c r="I846" s="41">
        <v>1</v>
      </c>
      <c r="J846" s="108">
        <v>0</v>
      </c>
      <c r="K846" s="41">
        <v>0</v>
      </c>
      <c r="L846" s="41">
        <v>55</v>
      </c>
      <c r="M846" s="41">
        <v>-1</v>
      </c>
      <c r="N846" s="41">
        <v>4</v>
      </c>
      <c r="O846" s="111" t="s">
        <v>1361</v>
      </c>
      <c r="P846" s="109">
        <v>192448</v>
      </c>
      <c r="Q846" s="41"/>
      <c r="R846" s="111"/>
      <c r="S846" s="110" t="s">
        <v>1625</v>
      </c>
    </row>
    <row r="847" spans="1:19" x14ac:dyDescent="0.3">
      <c r="A847" s="105">
        <v>846</v>
      </c>
      <c r="B847" s="41">
        <v>12000000</v>
      </c>
      <c r="C847" s="41">
        <v>3.2000000000000002E-3</v>
      </c>
      <c r="D847" s="41">
        <v>7.3360000000000003</v>
      </c>
      <c r="E847" s="41">
        <v>30</v>
      </c>
      <c r="F847" s="41">
        <v>0</v>
      </c>
      <c r="G847" s="41" t="s">
        <v>104</v>
      </c>
      <c r="H847" s="41">
        <v>0</v>
      </c>
      <c r="I847" s="41">
        <v>1</v>
      </c>
      <c r="J847" s="108">
        <v>0</v>
      </c>
      <c r="K847" s="41">
        <v>0</v>
      </c>
      <c r="L847" s="41">
        <v>55</v>
      </c>
      <c r="M847" s="41">
        <v>-1</v>
      </c>
      <c r="N847" s="41">
        <v>4</v>
      </c>
      <c r="O847" s="111" t="s">
        <v>1362</v>
      </c>
      <c r="P847" s="109">
        <v>192449</v>
      </c>
      <c r="Q847" s="41"/>
      <c r="R847" s="111"/>
      <c r="S847" s="110" t="s">
        <v>1625</v>
      </c>
    </row>
    <row r="848" spans="1:19" x14ac:dyDescent="0.3">
      <c r="A848" s="105">
        <v>847</v>
      </c>
      <c r="B848" s="41">
        <v>12000000</v>
      </c>
      <c r="C848" s="41">
        <v>3.2000000000000002E-3</v>
      </c>
      <c r="D848" s="41">
        <v>8</v>
      </c>
      <c r="E848" s="41">
        <v>30</v>
      </c>
      <c r="F848" s="41">
        <v>0</v>
      </c>
      <c r="G848" s="41" t="s">
        <v>104</v>
      </c>
      <c r="H848" s="41">
        <v>0</v>
      </c>
      <c r="I848" s="41">
        <v>1</v>
      </c>
      <c r="J848" s="108">
        <v>0</v>
      </c>
      <c r="K848" s="41">
        <v>0</v>
      </c>
      <c r="L848" s="41">
        <v>55</v>
      </c>
      <c r="M848" s="41">
        <v>-1</v>
      </c>
      <c r="N848" s="41">
        <v>4</v>
      </c>
      <c r="O848" s="111" t="s">
        <v>1363</v>
      </c>
      <c r="P848" s="109">
        <v>192449</v>
      </c>
      <c r="Q848" s="41"/>
      <c r="R848" s="111"/>
      <c r="S848" s="110" t="s">
        <v>1625</v>
      </c>
    </row>
    <row r="849" spans="1:19" x14ac:dyDescent="0.3">
      <c r="A849" s="105">
        <v>848</v>
      </c>
      <c r="B849" s="41">
        <v>12000000</v>
      </c>
      <c r="C849" s="41">
        <v>3.2000000000000002E-3</v>
      </c>
      <c r="D849" s="41">
        <v>8.7241</v>
      </c>
      <c r="E849" s="41">
        <v>30</v>
      </c>
      <c r="F849" s="41">
        <v>0</v>
      </c>
      <c r="G849" s="41" t="s">
        <v>104</v>
      </c>
      <c r="H849" s="41">
        <v>0</v>
      </c>
      <c r="I849" s="41">
        <v>1</v>
      </c>
      <c r="J849" s="108">
        <v>0</v>
      </c>
      <c r="K849" s="41">
        <v>0</v>
      </c>
      <c r="L849" s="41">
        <v>55</v>
      </c>
      <c r="M849" s="41">
        <v>-1</v>
      </c>
      <c r="N849" s="41">
        <v>4</v>
      </c>
      <c r="O849" s="111" t="s">
        <v>1364</v>
      </c>
      <c r="P849" s="109">
        <v>192449</v>
      </c>
      <c r="Q849" s="41"/>
      <c r="R849" s="111"/>
      <c r="S849" s="110" t="s">
        <v>1625</v>
      </c>
    </row>
    <row r="850" spans="1:19" x14ac:dyDescent="0.3">
      <c r="A850" s="105">
        <v>849</v>
      </c>
      <c r="B850" s="41">
        <v>12000000</v>
      </c>
      <c r="C850" s="41">
        <v>3.2000000000000002E-3</v>
      </c>
      <c r="D850" s="41">
        <v>9.5137</v>
      </c>
      <c r="E850" s="41">
        <v>30</v>
      </c>
      <c r="F850" s="41">
        <v>0</v>
      </c>
      <c r="G850" s="41" t="s">
        <v>104</v>
      </c>
      <c r="H850" s="41">
        <v>0</v>
      </c>
      <c r="I850" s="41">
        <v>1</v>
      </c>
      <c r="J850" s="108">
        <v>0</v>
      </c>
      <c r="K850" s="41">
        <v>0</v>
      </c>
      <c r="L850" s="41">
        <v>55</v>
      </c>
      <c r="M850" s="41">
        <v>-1</v>
      </c>
      <c r="N850" s="41">
        <v>4</v>
      </c>
      <c r="O850" s="111" t="s">
        <v>1365</v>
      </c>
      <c r="P850" s="109">
        <v>192449</v>
      </c>
      <c r="Q850" s="41"/>
      <c r="R850" s="111"/>
      <c r="S850" s="110" t="s">
        <v>1625</v>
      </c>
    </row>
    <row r="851" spans="1:19" x14ac:dyDescent="0.3">
      <c r="A851" s="105">
        <v>850</v>
      </c>
      <c r="B851" s="41">
        <v>12000000</v>
      </c>
      <c r="C851" s="41">
        <v>3.2000000000000002E-3</v>
      </c>
      <c r="D851" s="41">
        <v>10.374700000000001</v>
      </c>
      <c r="E851" s="41">
        <v>30</v>
      </c>
      <c r="F851" s="41">
        <v>0</v>
      </c>
      <c r="G851" s="41" t="s">
        <v>104</v>
      </c>
      <c r="H851" s="41">
        <v>0</v>
      </c>
      <c r="I851" s="41">
        <v>1</v>
      </c>
      <c r="J851" s="108">
        <v>0</v>
      </c>
      <c r="K851" s="41">
        <v>0</v>
      </c>
      <c r="L851" s="41">
        <v>55</v>
      </c>
      <c r="M851" s="41">
        <v>-1</v>
      </c>
      <c r="N851" s="41">
        <v>4</v>
      </c>
      <c r="O851" s="111" t="s">
        <v>1366</v>
      </c>
      <c r="P851" s="109">
        <v>192449</v>
      </c>
      <c r="Q851" s="41"/>
      <c r="R851" s="111"/>
      <c r="S851" s="110" t="s">
        <v>1625</v>
      </c>
    </row>
    <row r="852" spans="1:19" x14ac:dyDescent="0.3">
      <c r="A852" s="105">
        <v>851</v>
      </c>
      <c r="B852" s="41">
        <v>12000000</v>
      </c>
      <c r="C852" s="41">
        <v>3.2000000000000002E-3</v>
      </c>
      <c r="D852" s="41">
        <v>11.313700000000001</v>
      </c>
      <c r="E852" s="41">
        <v>30</v>
      </c>
      <c r="F852" s="41">
        <v>0</v>
      </c>
      <c r="G852" s="41" t="s">
        <v>104</v>
      </c>
      <c r="H852" s="41">
        <v>0</v>
      </c>
      <c r="I852" s="41">
        <v>1</v>
      </c>
      <c r="J852" s="108">
        <v>0</v>
      </c>
      <c r="K852" s="41">
        <v>0</v>
      </c>
      <c r="L852" s="41">
        <v>55</v>
      </c>
      <c r="M852" s="41">
        <v>-1</v>
      </c>
      <c r="N852" s="41">
        <v>4</v>
      </c>
      <c r="O852" s="111" t="s">
        <v>1367</v>
      </c>
      <c r="P852" s="109">
        <v>192449</v>
      </c>
      <c r="Q852" s="41"/>
      <c r="R852" s="111"/>
      <c r="S852" s="110" t="s">
        <v>1625</v>
      </c>
    </row>
    <row r="853" spans="1:19" x14ac:dyDescent="0.3">
      <c r="A853" s="105">
        <v>852</v>
      </c>
      <c r="B853" s="41">
        <v>12000000</v>
      </c>
      <c r="C853" s="41">
        <v>3.2000000000000002E-3</v>
      </c>
      <c r="D853" s="41">
        <v>12.3377</v>
      </c>
      <c r="E853" s="41">
        <v>30</v>
      </c>
      <c r="F853" s="41">
        <v>0</v>
      </c>
      <c r="G853" s="41" t="s">
        <v>104</v>
      </c>
      <c r="H853" s="41">
        <v>0</v>
      </c>
      <c r="I853" s="41">
        <v>1</v>
      </c>
      <c r="J853" s="108">
        <v>0</v>
      </c>
      <c r="K853" s="41">
        <v>0</v>
      </c>
      <c r="L853" s="41">
        <v>55</v>
      </c>
      <c r="M853" s="41">
        <v>-1</v>
      </c>
      <c r="N853" s="41">
        <v>4</v>
      </c>
      <c r="O853" s="111" t="s">
        <v>1368</v>
      </c>
      <c r="P853" s="109">
        <v>192449</v>
      </c>
      <c r="Q853" s="41"/>
      <c r="R853" s="111"/>
      <c r="S853" s="110" t="s">
        <v>1625</v>
      </c>
    </row>
    <row r="854" spans="1:19" x14ac:dyDescent="0.3">
      <c r="A854" s="105">
        <v>853</v>
      </c>
      <c r="B854" s="41">
        <v>12000000</v>
      </c>
      <c r="C854" s="41">
        <v>3.2000000000000002E-3</v>
      </c>
      <c r="D854" s="41">
        <v>13.4543</v>
      </c>
      <c r="E854" s="41">
        <v>30</v>
      </c>
      <c r="F854" s="41">
        <v>0</v>
      </c>
      <c r="G854" s="41" t="s">
        <v>104</v>
      </c>
      <c r="H854" s="41">
        <v>0</v>
      </c>
      <c r="I854" s="41">
        <v>1</v>
      </c>
      <c r="J854" s="108">
        <v>0</v>
      </c>
      <c r="K854" s="41">
        <v>0</v>
      </c>
      <c r="L854" s="41">
        <v>55</v>
      </c>
      <c r="M854" s="41">
        <v>-1</v>
      </c>
      <c r="N854" s="41">
        <v>4</v>
      </c>
      <c r="O854" s="111" t="s">
        <v>1369</v>
      </c>
      <c r="P854" s="109">
        <v>192449</v>
      </c>
      <c r="Q854" s="41"/>
      <c r="R854" s="111"/>
      <c r="S854" s="110" t="s">
        <v>1625</v>
      </c>
    </row>
    <row r="855" spans="1:19" x14ac:dyDescent="0.3">
      <c r="A855" s="105">
        <v>854</v>
      </c>
      <c r="B855" s="41">
        <v>12000000</v>
      </c>
      <c r="C855" s="41">
        <v>3.2000000000000002E-3</v>
      </c>
      <c r="D855" s="41">
        <v>14.6721</v>
      </c>
      <c r="E855" s="41">
        <v>30</v>
      </c>
      <c r="F855" s="41">
        <v>0</v>
      </c>
      <c r="G855" s="41" t="s">
        <v>104</v>
      </c>
      <c r="H855" s="41">
        <v>0</v>
      </c>
      <c r="I855" s="41">
        <v>1</v>
      </c>
      <c r="J855" s="108">
        <v>0</v>
      </c>
      <c r="K855" s="41">
        <v>0</v>
      </c>
      <c r="L855" s="41">
        <v>55</v>
      </c>
      <c r="M855" s="41">
        <v>-1</v>
      </c>
      <c r="N855" s="41">
        <v>4</v>
      </c>
      <c r="O855" s="111" t="s">
        <v>1370</v>
      </c>
      <c r="P855" s="109">
        <v>192449</v>
      </c>
      <c r="Q855" s="41"/>
      <c r="R855" s="111"/>
      <c r="S855" s="110" t="s">
        <v>1625</v>
      </c>
    </row>
    <row r="856" spans="1:19" x14ac:dyDescent="0.3">
      <c r="A856" s="105">
        <v>855</v>
      </c>
      <c r="B856" s="41">
        <v>12000000</v>
      </c>
      <c r="C856" s="41">
        <v>3.2000000000000002E-3</v>
      </c>
      <c r="D856" s="41">
        <v>16</v>
      </c>
      <c r="E856" s="41">
        <v>30</v>
      </c>
      <c r="F856" s="41">
        <v>0</v>
      </c>
      <c r="G856" s="41" t="s">
        <v>104</v>
      </c>
      <c r="H856" s="41">
        <v>0</v>
      </c>
      <c r="I856" s="41">
        <v>1</v>
      </c>
      <c r="J856" s="108">
        <v>0</v>
      </c>
      <c r="K856" s="41">
        <v>0</v>
      </c>
      <c r="L856" s="41">
        <v>55</v>
      </c>
      <c r="M856" s="41">
        <v>-1</v>
      </c>
      <c r="N856" s="41">
        <v>4</v>
      </c>
      <c r="O856" s="111" t="s">
        <v>1371</v>
      </c>
      <c r="P856" s="109">
        <v>192449</v>
      </c>
      <c r="Q856" s="41"/>
      <c r="R856" s="111"/>
      <c r="S856" s="110" t="s">
        <v>1625</v>
      </c>
    </row>
    <row r="857" spans="1:19" x14ac:dyDescent="0.3">
      <c r="A857" s="105">
        <v>856</v>
      </c>
      <c r="B857" s="41">
        <v>12000000</v>
      </c>
      <c r="C857" s="41">
        <v>3.2000000000000002E-3</v>
      </c>
      <c r="D857" s="41">
        <v>17.4481</v>
      </c>
      <c r="E857" s="41">
        <v>30</v>
      </c>
      <c r="F857" s="41">
        <v>0</v>
      </c>
      <c r="G857" s="41" t="s">
        <v>104</v>
      </c>
      <c r="H857" s="41">
        <v>0</v>
      </c>
      <c r="I857" s="41">
        <v>1</v>
      </c>
      <c r="J857" s="108">
        <v>0</v>
      </c>
      <c r="K857" s="41">
        <v>0</v>
      </c>
      <c r="L857" s="41">
        <v>55</v>
      </c>
      <c r="M857" s="41">
        <v>-1</v>
      </c>
      <c r="N857" s="41">
        <v>4</v>
      </c>
      <c r="O857" s="111" t="s">
        <v>1372</v>
      </c>
      <c r="P857" s="109">
        <v>192449</v>
      </c>
      <c r="Q857" s="41"/>
      <c r="R857" s="111"/>
      <c r="S857" s="110" t="s">
        <v>1625</v>
      </c>
    </row>
    <row r="858" spans="1:19" x14ac:dyDescent="0.3">
      <c r="A858" s="105">
        <v>857</v>
      </c>
      <c r="B858" s="41">
        <v>12000000</v>
      </c>
      <c r="C858" s="41">
        <v>3.2000000000000002E-3</v>
      </c>
      <c r="D858" s="41">
        <v>19.0273</v>
      </c>
      <c r="E858" s="41">
        <v>30</v>
      </c>
      <c r="F858" s="41">
        <v>0</v>
      </c>
      <c r="G858" s="41" t="s">
        <v>104</v>
      </c>
      <c r="H858" s="41">
        <v>0</v>
      </c>
      <c r="I858" s="41">
        <v>1</v>
      </c>
      <c r="J858" s="108">
        <v>0</v>
      </c>
      <c r="K858" s="41">
        <v>0</v>
      </c>
      <c r="L858" s="41">
        <v>55</v>
      </c>
      <c r="M858" s="41">
        <v>-1</v>
      </c>
      <c r="N858" s="41">
        <v>4</v>
      </c>
      <c r="O858" s="111" t="s">
        <v>1373</v>
      </c>
      <c r="P858" s="109">
        <v>192449</v>
      </c>
      <c r="Q858" s="41"/>
      <c r="R858" s="111"/>
      <c r="S858" s="110" t="s">
        <v>1625</v>
      </c>
    </row>
    <row r="859" spans="1:19" x14ac:dyDescent="0.3">
      <c r="A859" s="105">
        <v>858</v>
      </c>
      <c r="B859" s="41">
        <v>12000000</v>
      </c>
      <c r="C859" s="41">
        <v>3.5000000000000001E-3</v>
      </c>
      <c r="D859" s="41">
        <v>4</v>
      </c>
      <c r="E859" s="41">
        <v>30</v>
      </c>
      <c r="F859" s="41">
        <v>0</v>
      </c>
      <c r="G859" s="41" t="s">
        <v>104</v>
      </c>
      <c r="H859" s="41">
        <v>0</v>
      </c>
      <c r="I859" s="41">
        <v>1</v>
      </c>
      <c r="J859" s="108">
        <v>0</v>
      </c>
      <c r="K859" s="41">
        <v>0</v>
      </c>
      <c r="L859" s="41">
        <v>55</v>
      </c>
      <c r="M859" s="41">
        <v>-1</v>
      </c>
      <c r="N859" s="41">
        <v>4</v>
      </c>
      <c r="O859" s="111" t="s">
        <v>1374</v>
      </c>
      <c r="P859" s="109">
        <v>192449</v>
      </c>
      <c r="Q859" s="41"/>
      <c r="R859" s="111"/>
      <c r="S859" s="110" t="s">
        <v>1625</v>
      </c>
    </row>
    <row r="860" spans="1:19" x14ac:dyDescent="0.3">
      <c r="A860" s="105">
        <v>859</v>
      </c>
      <c r="B860" s="41">
        <v>12000000</v>
      </c>
      <c r="C860" s="41">
        <v>3.5000000000000001E-3</v>
      </c>
      <c r="D860" s="41">
        <v>4.3620000000000001</v>
      </c>
      <c r="E860" s="41">
        <v>30</v>
      </c>
      <c r="F860" s="41">
        <v>0</v>
      </c>
      <c r="G860" s="41" t="s">
        <v>104</v>
      </c>
      <c r="H860" s="41">
        <v>0</v>
      </c>
      <c r="I860" s="41">
        <v>1</v>
      </c>
      <c r="J860" s="108">
        <v>0</v>
      </c>
      <c r="K860" s="41">
        <v>0</v>
      </c>
      <c r="L860" s="41">
        <v>55</v>
      </c>
      <c r="M860" s="41">
        <v>-1</v>
      </c>
      <c r="N860" s="41">
        <v>4</v>
      </c>
      <c r="O860" s="111" t="s">
        <v>1375</v>
      </c>
      <c r="P860" s="109">
        <v>192449</v>
      </c>
      <c r="Q860" s="41"/>
      <c r="R860" s="111"/>
      <c r="S860" s="110" t="s">
        <v>1625</v>
      </c>
    </row>
    <row r="861" spans="1:19" x14ac:dyDescent="0.3">
      <c r="A861" s="105">
        <v>860</v>
      </c>
      <c r="B861" s="41">
        <v>12000000</v>
      </c>
      <c r="C861" s="41">
        <v>3.5000000000000001E-3</v>
      </c>
      <c r="D861" s="41">
        <v>4.7568000000000001</v>
      </c>
      <c r="E861" s="41">
        <v>30</v>
      </c>
      <c r="F861" s="41">
        <v>0</v>
      </c>
      <c r="G861" s="41" t="s">
        <v>104</v>
      </c>
      <c r="H861" s="41">
        <v>0</v>
      </c>
      <c r="I861" s="41">
        <v>1</v>
      </c>
      <c r="J861" s="108">
        <v>0</v>
      </c>
      <c r="K861" s="41">
        <v>0</v>
      </c>
      <c r="L861" s="41">
        <v>55</v>
      </c>
      <c r="M861" s="41">
        <v>-1</v>
      </c>
      <c r="N861" s="41">
        <v>4</v>
      </c>
      <c r="O861" s="111" t="s">
        <v>1376</v>
      </c>
      <c r="P861" s="109">
        <v>192449</v>
      </c>
      <c r="Q861" s="41"/>
      <c r="R861" s="111"/>
      <c r="S861" s="110" t="s">
        <v>1625</v>
      </c>
    </row>
    <row r="862" spans="1:19" x14ac:dyDescent="0.3">
      <c r="A862" s="105">
        <v>861</v>
      </c>
      <c r="B862" s="41">
        <v>12000000</v>
      </c>
      <c r="C862" s="41">
        <v>3.5000000000000001E-3</v>
      </c>
      <c r="D862" s="41">
        <v>5.1874000000000002</v>
      </c>
      <c r="E862" s="41">
        <v>30</v>
      </c>
      <c r="F862" s="41">
        <v>0</v>
      </c>
      <c r="G862" s="41" t="s">
        <v>104</v>
      </c>
      <c r="H862" s="41">
        <v>0</v>
      </c>
      <c r="I862" s="41">
        <v>1</v>
      </c>
      <c r="J862" s="108">
        <v>0</v>
      </c>
      <c r="K862" s="41">
        <v>0</v>
      </c>
      <c r="L862" s="41">
        <v>55</v>
      </c>
      <c r="M862" s="41">
        <v>-1</v>
      </c>
      <c r="N862" s="41">
        <v>4</v>
      </c>
      <c r="O862" s="111" t="s">
        <v>1377</v>
      </c>
      <c r="P862" s="109">
        <v>192449</v>
      </c>
      <c r="Q862" s="41"/>
      <c r="R862" s="111"/>
      <c r="S862" s="110" t="s">
        <v>1625</v>
      </c>
    </row>
    <row r="863" spans="1:19" x14ac:dyDescent="0.3">
      <c r="A863" s="105">
        <v>862</v>
      </c>
      <c r="B863" s="41">
        <v>12000000</v>
      </c>
      <c r="C863" s="41">
        <v>3.5000000000000001E-3</v>
      </c>
      <c r="D863" s="41">
        <v>5.6569000000000003</v>
      </c>
      <c r="E863" s="41">
        <v>30</v>
      </c>
      <c r="F863" s="41">
        <v>0</v>
      </c>
      <c r="G863" s="41" t="s">
        <v>104</v>
      </c>
      <c r="H863" s="41">
        <v>0</v>
      </c>
      <c r="I863" s="41">
        <v>1</v>
      </c>
      <c r="J863" s="108">
        <v>0</v>
      </c>
      <c r="K863" s="41">
        <v>0</v>
      </c>
      <c r="L863" s="41">
        <v>55</v>
      </c>
      <c r="M863" s="41">
        <v>-1</v>
      </c>
      <c r="N863" s="41">
        <v>4</v>
      </c>
      <c r="O863" s="111" t="s">
        <v>1378</v>
      </c>
      <c r="P863" s="109">
        <v>192449</v>
      </c>
      <c r="Q863" s="41"/>
      <c r="R863" s="111"/>
      <c r="S863" s="110" t="s">
        <v>1625</v>
      </c>
    </row>
    <row r="864" spans="1:19" x14ac:dyDescent="0.3">
      <c r="A864" s="105">
        <v>863</v>
      </c>
      <c r="B864" s="41">
        <v>12000000</v>
      </c>
      <c r="C864" s="41">
        <v>3.5000000000000001E-3</v>
      </c>
      <c r="D864" s="41">
        <v>6.1688000000000001</v>
      </c>
      <c r="E864" s="41">
        <v>30</v>
      </c>
      <c r="F864" s="41">
        <v>0</v>
      </c>
      <c r="G864" s="41" t="s">
        <v>104</v>
      </c>
      <c r="H864" s="41">
        <v>0</v>
      </c>
      <c r="I864" s="41">
        <v>1</v>
      </c>
      <c r="J864" s="108">
        <v>0</v>
      </c>
      <c r="K864" s="41">
        <v>0</v>
      </c>
      <c r="L864" s="41">
        <v>55</v>
      </c>
      <c r="M864" s="41">
        <v>-1</v>
      </c>
      <c r="N864" s="41">
        <v>4</v>
      </c>
      <c r="O864" s="111" t="s">
        <v>1379</v>
      </c>
      <c r="P864" s="109">
        <v>192449</v>
      </c>
      <c r="Q864" s="41"/>
      <c r="R864" s="111"/>
      <c r="S864" s="110" t="s">
        <v>1625</v>
      </c>
    </row>
    <row r="865" spans="1:19" x14ac:dyDescent="0.3">
      <c r="A865" s="105">
        <v>864</v>
      </c>
      <c r="B865" s="41">
        <v>12000000</v>
      </c>
      <c r="C865" s="41">
        <v>3.5000000000000001E-3</v>
      </c>
      <c r="D865" s="41">
        <v>6.7271999999999998</v>
      </c>
      <c r="E865" s="41">
        <v>30</v>
      </c>
      <c r="F865" s="41">
        <v>0</v>
      </c>
      <c r="G865" s="41" t="s">
        <v>104</v>
      </c>
      <c r="H865" s="41">
        <v>0</v>
      </c>
      <c r="I865" s="41">
        <v>1</v>
      </c>
      <c r="J865" s="108">
        <v>0</v>
      </c>
      <c r="K865" s="41">
        <v>0</v>
      </c>
      <c r="L865" s="41">
        <v>55</v>
      </c>
      <c r="M865" s="41">
        <v>-1</v>
      </c>
      <c r="N865" s="41">
        <v>4</v>
      </c>
      <c r="O865" s="111" t="s">
        <v>1380</v>
      </c>
      <c r="P865" s="109">
        <v>192449</v>
      </c>
      <c r="Q865" s="41"/>
      <c r="R865" s="111"/>
      <c r="S865" s="110" t="s">
        <v>1625</v>
      </c>
    </row>
    <row r="866" spans="1:19" x14ac:dyDescent="0.3">
      <c r="A866" s="105">
        <v>865</v>
      </c>
      <c r="B866" s="41">
        <v>12000000</v>
      </c>
      <c r="C866" s="41">
        <v>3.5000000000000001E-3</v>
      </c>
      <c r="D866" s="41">
        <v>7.3360000000000003</v>
      </c>
      <c r="E866" s="41">
        <v>30</v>
      </c>
      <c r="F866" s="41">
        <v>0</v>
      </c>
      <c r="G866" s="41" t="s">
        <v>104</v>
      </c>
      <c r="H866" s="41">
        <v>0</v>
      </c>
      <c r="I866" s="41">
        <v>1</v>
      </c>
      <c r="J866" s="108">
        <v>0</v>
      </c>
      <c r="K866" s="41">
        <v>0</v>
      </c>
      <c r="L866" s="41">
        <v>55</v>
      </c>
      <c r="M866" s="41">
        <v>-1</v>
      </c>
      <c r="N866" s="41">
        <v>4</v>
      </c>
      <c r="O866" s="111" t="s">
        <v>1381</v>
      </c>
      <c r="P866" s="109">
        <v>192449</v>
      </c>
      <c r="Q866" s="41"/>
      <c r="R866" s="111"/>
      <c r="S866" s="110" t="s">
        <v>1625</v>
      </c>
    </row>
    <row r="867" spans="1:19" x14ac:dyDescent="0.3">
      <c r="A867" s="105">
        <v>866</v>
      </c>
      <c r="B867" s="41">
        <v>12000000</v>
      </c>
      <c r="C867" s="41">
        <v>3.5000000000000001E-3</v>
      </c>
      <c r="D867" s="41">
        <v>8</v>
      </c>
      <c r="E867" s="41">
        <v>30</v>
      </c>
      <c r="F867" s="41">
        <v>0</v>
      </c>
      <c r="G867" s="41" t="s">
        <v>104</v>
      </c>
      <c r="H867" s="41">
        <v>0</v>
      </c>
      <c r="I867" s="41">
        <v>1</v>
      </c>
      <c r="J867" s="108">
        <v>0</v>
      </c>
      <c r="K867" s="41">
        <v>0</v>
      </c>
      <c r="L867" s="41">
        <v>55</v>
      </c>
      <c r="M867" s="41">
        <v>-1</v>
      </c>
      <c r="N867" s="41">
        <v>4</v>
      </c>
      <c r="O867" s="111" t="s">
        <v>1382</v>
      </c>
      <c r="P867" s="109">
        <v>192449</v>
      </c>
      <c r="Q867" s="41"/>
      <c r="R867" s="111"/>
      <c r="S867" s="110" t="s">
        <v>1625</v>
      </c>
    </row>
    <row r="868" spans="1:19" x14ac:dyDescent="0.3">
      <c r="A868" s="105">
        <v>867</v>
      </c>
      <c r="B868" s="41">
        <v>12000000</v>
      </c>
      <c r="C868" s="41">
        <v>3.5000000000000001E-3</v>
      </c>
      <c r="D868" s="41">
        <v>8.7241</v>
      </c>
      <c r="E868" s="41">
        <v>30</v>
      </c>
      <c r="F868" s="41">
        <v>0</v>
      </c>
      <c r="G868" s="41" t="s">
        <v>104</v>
      </c>
      <c r="H868" s="41">
        <v>0</v>
      </c>
      <c r="I868" s="41">
        <v>1</v>
      </c>
      <c r="J868" s="108">
        <v>0</v>
      </c>
      <c r="K868" s="41">
        <v>0</v>
      </c>
      <c r="L868" s="41">
        <v>55</v>
      </c>
      <c r="M868" s="41">
        <v>-1</v>
      </c>
      <c r="N868" s="41">
        <v>4</v>
      </c>
      <c r="O868" s="111" t="s">
        <v>1383</v>
      </c>
      <c r="P868" s="109">
        <v>192449</v>
      </c>
      <c r="Q868" s="41"/>
      <c r="R868" s="111"/>
      <c r="S868" s="110" t="s">
        <v>1625</v>
      </c>
    </row>
    <row r="869" spans="1:19" x14ac:dyDescent="0.3">
      <c r="A869" s="105">
        <v>868</v>
      </c>
      <c r="B869" s="41">
        <v>12000000</v>
      </c>
      <c r="C869" s="41">
        <v>3.5000000000000001E-3</v>
      </c>
      <c r="D869" s="41">
        <v>9.5137</v>
      </c>
      <c r="E869" s="41">
        <v>30</v>
      </c>
      <c r="F869" s="41">
        <v>0</v>
      </c>
      <c r="G869" s="41" t="s">
        <v>104</v>
      </c>
      <c r="H869" s="41">
        <v>0</v>
      </c>
      <c r="I869" s="41">
        <v>1</v>
      </c>
      <c r="J869" s="108">
        <v>0</v>
      </c>
      <c r="K869" s="41">
        <v>0</v>
      </c>
      <c r="L869" s="41">
        <v>55</v>
      </c>
      <c r="M869" s="41">
        <v>-1</v>
      </c>
      <c r="N869" s="41">
        <v>4</v>
      </c>
      <c r="O869" s="111" t="s">
        <v>1384</v>
      </c>
      <c r="P869" s="109">
        <v>192449</v>
      </c>
      <c r="Q869" s="41"/>
      <c r="R869" s="111"/>
      <c r="S869" s="110" t="s">
        <v>1625</v>
      </c>
    </row>
    <row r="870" spans="1:19" x14ac:dyDescent="0.3">
      <c r="A870" s="105">
        <v>869</v>
      </c>
      <c r="B870" s="41">
        <v>12000000</v>
      </c>
      <c r="C870" s="41">
        <v>3.5000000000000001E-3</v>
      </c>
      <c r="D870" s="41">
        <v>10.374700000000001</v>
      </c>
      <c r="E870" s="41">
        <v>30</v>
      </c>
      <c r="F870" s="41">
        <v>0</v>
      </c>
      <c r="G870" s="41" t="s">
        <v>104</v>
      </c>
      <c r="H870" s="41">
        <v>0</v>
      </c>
      <c r="I870" s="41">
        <v>1</v>
      </c>
      <c r="J870" s="108">
        <v>0</v>
      </c>
      <c r="K870" s="41">
        <v>0</v>
      </c>
      <c r="L870" s="41">
        <v>55</v>
      </c>
      <c r="M870" s="41">
        <v>-1</v>
      </c>
      <c r="N870" s="41">
        <v>4</v>
      </c>
      <c r="O870" s="111" t="s">
        <v>1385</v>
      </c>
      <c r="P870" s="109">
        <v>192449</v>
      </c>
      <c r="Q870" s="41"/>
      <c r="R870" s="111"/>
      <c r="S870" s="110" t="s">
        <v>1625</v>
      </c>
    </row>
    <row r="871" spans="1:19" x14ac:dyDescent="0.3">
      <c r="A871" s="105">
        <v>870</v>
      </c>
      <c r="B871" s="41">
        <v>12000000</v>
      </c>
      <c r="C871" s="41">
        <v>3.5000000000000001E-3</v>
      </c>
      <c r="D871" s="41">
        <v>11.313700000000001</v>
      </c>
      <c r="E871" s="41">
        <v>30</v>
      </c>
      <c r="F871" s="41">
        <v>0</v>
      </c>
      <c r="G871" s="41" t="s">
        <v>104</v>
      </c>
      <c r="H871" s="41">
        <v>0</v>
      </c>
      <c r="I871" s="41">
        <v>1</v>
      </c>
      <c r="J871" s="108">
        <v>0</v>
      </c>
      <c r="K871" s="41">
        <v>0</v>
      </c>
      <c r="L871" s="41">
        <v>55</v>
      </c>
      <c r="M871" s="41">
        <v>-1</v>
      </c>
      <c r="N871" s="41">
        <v>4</v>
      </c>
      <c r="O871" s="111" t="s">
        <v>1386</v>
      </c>
      <c r="P871" s="109">
        <v>192449</v>
      </c>
      <c r="Q871" s="41"/>
      <c r="R871" s="111"/>
      <c r="S871" s="110" t="s">
        <v>1625</v>
      </c>
    </row>
    <row r="872" spans="1:19" x14ac:dyDescent="0.3">
      <c r="A872" s="105">
        <v>871</v>
      </c>
      <c r="B872" s="41">
        <v>12000000</v>
      </c>
      <c r="C872" s="41">
        <v>3.5000000000000001E-3</v>
      </c>
      <c r="D872" s="41">
        <v>12.3377</v>
      </c>
      <c r="E872" s="41">
        <v>30</v>
      </c>
      <c r="F872" s="41">
        <v>0</v>
      </c>
      <c r="G872" s="41" t="s">
        <v>104</v>
      </c>
      <c r="H872" s="41">
        <v>0</v>
      </c>
      <c r="I872" s="41">
        <v>1</v>
      </c>
      <c r="J872" s="108">
        <v>0</v>
      </c>
      <c r="K872" s="41">
        <v>0</v>
      </c>
      <c r="L872" s="41">
        <v>55</v>
      </c>
      <c r="M872" s="41">
        <v>-1</v>
      </c>
      <c r="N872" s="41">
        <v>4</v>
      </c>
      <c r="O872" s="111" t="s">
        <v>1387</v>
      </c>
      <c r="P872" s="109">
        <v>192449</v>
      </c>
      <c r="Q872" s="41"/>
      <c r="R872" s="111"/>
      <c r="S872" s="110" t="s">
        <v>1625</v>
      </c>
    </row>
    <row r="873" spans="1:19" x14ac:dyDescent="0.3">
      <c r="A873" s="105">
        <v>872</v>
      </c>
      <c r="B873" s="41">
        <v>12000000</v>
      </c>
      <c r="C873" s="41">
        <v>3.5000000000000001E-3</v>
      </c>
      <c r="D873" s="41">
        <v>13.4543</v>
      </c>
      <c r="E873" s="41">
        <v>30</v>
      </c>
      <c r="F873" s="41">
        <v>0</v>
      </c>
      <c r="G873" s="41" t="s">
        <v>104</v>
      </c>
      <c r="H873" s="41">
        <v>0</v>
      </c>
      <c r="I873" s="41">
        <v>1</v>
      </c>
      <c r="J873" s="108">
        <v>0</v>
      </c>
      <c r="K873" s="41">
        <v>0</v>
      </c>
      <c r="L873" s="41">
        <v>55</v>
      </c>
      <c r="M873" s="41">
        <v>-1</v>
      </c>
      <c r="N873" s="41">
        <v>4</v>
      </c>
      <c r="O873" s="111" t="s">
        <v>1388</v>
      </c>
      <c r="P873" s="109">
        <v>192449</v>
      </c>
      <c r="Q873" s="41"/>
      <c r="R873" s="111"/>
      <c r="S873" s="110" t="s">
        <v>1625</v>
      </c>
    </row>
    <row r="874" spans="1:19" x14ac:dyDescent="0.3">
      <c r="A874" s="105">
        <v>873</v>
      </c>
      <c r="B874" s="41">
        <v>12000000</v>
      </c>
      <c r="C874" s="41">
        <v>3.5000000000000001E-3</v>
      </c>
      <c r="D874" s="41">
        <v>14.6721</v>
      </c>
      <c r="E874" s="41">
        <v>30</v>
      </c>
      <c r="F874" s="41">
        <v>0</v>
      </c>
      <c r="G874" s="41" t="s">
        <v>104</v>
      </c>
      <c r="H874" s="41">
        <v>0</v>
      </c>
      <c r="I874" s="41">
        <v>1</v>
      </c>
      <c r="J874" s="108">
        <v>0</v>
      </c>
      <c r="K874" s="41">
        <v>0</v>
      </c>
      <c r="L874" s="41">
        <v>55</v>
      </c>
      <c r="M874" s="41">
        <v>-1</v>
      </c>
      <c r="N874" s="41">
        <v>4</v>
      </c>
      <c r="O874" s="111" t="s">
        <v>1389</v>
      </c>
      <c r="P874" s="109">
        <v>192449</v>
      </c>
      <c r="Q874" s="41"/>
      <c r="R874" s="111"/>
      <c r="S874" s="110" t="s">
        <v>1625</v>
      </c>
    </row>
    <row r="875" spans="1:19" x14ac:dyDescent="0.3">
      <c r="A875" s="105">
        <v>874</v>
      </c>
      <c r="B875" s="41">
        <v>12000000</v>
      </c>
      <c r="C875" s="41">
        <v>3.5000000000000001E-3</v>
      </c>
      <c r="D875" s="41">
        <v>16</v>
      </c>
      <c r="E875" s="41">
        <v>30</v>
      </c>
      <c r="F875" s="41">
        <v>0</v>
      </c>
      <c r="G875" s="41" t="s">
        <v>104</v>
      </c>
      <c r="H875" s="41">
        <v>0</v>
      </c>
      <c r="I875" s="41">
        <v>1</v>
      </c>
      <c r="J875" s="108">
        <v>0</v>
      </c>
      <c r="K875" s="41">
        <v>0</v>
      </c>
      <c r="L875" s="41">
        <v>55</v>
      </c>
      <c r="M875" s="41">
        <v>-1</v>
      </c>
      <c r="N875" s="41">
        <v>4</v>
      </c>
      <c r="O875" s="111" t="s">
        <v>1390</v>
      </c>
      <c r="P875" s="109">
        <v>192449</v>
      </c>
      <c r="Q875" s="41"/>
      <c r="R875" s="111"/>
      <c r="S875" s="110" t="s">
        <v>1625</v>
      </c>
    </row>
    <row r="876" spans="1:19" x14ac:dyDescent="0.3">
      <c r="A876" s="105">
        <v>875</v>
      </c>
      <c r="B876" s="41">
        <v>12000000</v>
      </c>
      <c r="C876" s="41">
        <v>3.5000000000000001E-3</v>
      </c>
      <c r="D876" s="41">
        <v>17.4481</v>
      </c>
      <c r="E876" s="41">
        <v>30</v>
      </c>
      <c r="F876" s="41">
        <v>0</v>
      </c>
      <c r="G876" s="41" t="s">
        <v>104</v>
      </c>
      <c r="H876" s="41">
        <v>0</v>
      </c>
      <c r="I876" s="41">
        <v>1</v>
      </c>
      <c r="J876" s="108">
        <v>0</v>
      </c>
      <c r="K876" s="41">
        <v>0</v>
      </c>
      <c r="L876" s="41">
        <v>55</v>
      </c>
      <c r="M876" s="41">
        <v>-1</v>
      </c>
      <c r="N876" s="41">
        <v>4</v>
      </c>
      <c r="O876" s="111" t="s">
        <v>1391</v>
      </c>
      <c r="P876" s="109">
        <v>192449</v>
      </c>
      <c r="Q876" s="41"/>
      <c r="R876" s="111"/>
      <c r="S876" s="110" t="s">
        <v>1625</v>
      </c>
    </row>
    <row r="877" spans="1:19" x14ac:dyDescent="0.3">
      <c r="A877" s="105">
        <v>876</v>
      </c>
      <c r="B877" s="41">
        <v>12000000</v>
      </c>
      <c r="C877" s="41">
        <v>3.5000000000000001E-3</v>
      </c>
      <c r="D877" s="41">
        <v>19.0273</v>
      </c>
      <c r="E877" s="41">
        <v>30</v>
      </c>
      <c r="F877" s="41">
        <v>0</v>
      </c>
      <c r="G877" s="41" t="s">
        <v>104</v>
      </c>
      <c r="H877" s="41">
        <v>0</v>
      </c>
      <c r="I877" s="41">
        <v>1</v>
      </c>
      <c r="J877" s="108">
        <v>0</v>
      </c>
      <c r="K877" s="41">
        <v>0</v>
      </c>
      <c r="L877" s="41">
        <v>55</v>
      </c>
      <c r="M877" s="41">
        <v>-1</v>
      </c>
      <c r="N877" s="41">
        <v>4</v>
      </c>
      <c r="O877" s="111" t="s">
        <v>1392</v>
      </c>
      <c r="P877" s="109">
        <v>192450</v>
      </c>
      <c r="Q877" s="41"/>
      <c r="R877" s="111"/>
      <c r="S877" s="110" t="s">
        <v>1625</v>
      </c>
    </row>
    <row r="878" spans="1:19" x14ac:dyDescent="0.3">
      <c r="A878" s="105">
        <v>877</v>
      </c>
      <c r="B878" s="41">
        <v>12000000</v>
      </c>
      <c r="C878" s="41">
        <v>3.8E-3</v>
      </c>
      <c r="D878" s="41">
        <v>4.7568000000000001</v>
      </c>
      <c r="E878" s="41">
        <v>30</v>
      </c>
      <c r="F878" s="41">
        <v>0</v>
      </c>
      <c r="G878" s="41" t="s">
        <v>104</v>
      </c>
      <c r="H878" s="41">
        <v>0</v>
      </c>
      <c r="I878" s="41">
        <v>1</v>
      </c>
      <c r="J878" s="108">
        <v>0</v>
      </c>
      <c r="K878" s="41">
        <v>0</v>
      </c>
      <c r="L878" s="41">
        <v>55</v>
      </c>
      <c r="M878" s="41">
        <v>-1</v>
      </c>
      <c r="N878" s="41">
        <v>4</v>
      </c>
      <c r="O878" s="111" t="s">
        <v>1393</v>
      </c>
      <c r="P878" s="109">
        <v>192450</v>
      </c>
      <c r="Q878" s="41"/>
      <c r="R878" s="111"/>
      <c r="S878" s="110" t="s">
        <v>1625</v>
      </c>
    </row>
    <row r="879" spans="1:19" x14ac:dyDescent="0.3">
      <c r="A879" s="105">
        <v>878</v>
      </c>
      <c r="B879" s="41">
        <v>12000000</v>
      </c>
      <c r="C879" s="41">
        <v>3.8E-3</v>
      </c>
      <c r="D879" s="41">
        <v>5.1874000000000002</v>
      </c>
      <c r="E879" s="41">
        <v>30</v>
      </c>
      <c r="F879" s="41">
        <v>0</v>
      </c>
      <c r="G879" s="41" t="s">
        <v>104</v>
      </c>
      <c r="H879" s="41">
        <v>0</v>
      </c>
      <c r="I879" s="41">
        <v>1</v>
      </c>
      <c r="J879" s="108">
        <v>0</v>
      </c>
      <c r="K879" s="41">
        <v>0</v>
      </c>
      <c r="L879" s="41">
        <v>55</v>
      </c>
      <c r="M879" s="41">
        <v>-1</v>
      </c>
      <c r="N879" s="41">
        <v>4</v>
      </c>
      <c r="O879" s="111" t="s">
        <v>1394</v>
      </c>
      <c r="P879" s="109">
        <v>192450</v>
      </c>
      <c r="Q879" s="41"/>
      <c r="R879" s="111"/>
      <c r="S879" s="110" t="s">
        <v>1625</v>
      </c>
    </row>
    <row r="880" spans="1:19" x14ac:dyDescent="0.3">
      <c r="A880" s="105">
        <v>879</v>
      </c>
      <c r="B880" s="41">
        <v>12000000</v>
      </c>
      <c r="C880" s="41">
        <v>3.8E-3</v>
      </c>
      <c r="D880" s="41">
        <v>5.6569000000000003</v>
      </c>
      <c r="E880" s="41">
        <v>30</v>
      </c>
      <c r="F880" s="41">
        <v>0</v>
      </c>
      <c r="G880" s="41" t="s">
        <v>104</v>
      </c>
      <c r="H880" s="41">
        <v>0</v>
      </c>
      <c r="I880" s="41">
        <v>1</v>
      </c>
      <c r="J880" s="108">
        <v>0</v>
      </c>
      <c r="K880" s="41">
        <v>0</v>
      </c>
      <c r="L880" s="41">
        <v>55</v>
      </c>
      <c r="M880" s="41">
        <v>-1</v>
      </c>
      <c r="N880" s="41">
        <v>4</v>
      </c>
      <c r="O880" s="111" t="s">
        <v>1395</v>
      </c>
      <c r="P880" s="109">
        <v>192450</v>
      </c>
      <c r="Q880" s="41"/>
      <c r="R880" s="111"/>
      <c r="S880" s="110" t="s">
        <v>1625</v>
      </c>
    </row>
    <row r="881" spans="1:19" x14ac:dyDescent="0.3">
      <c r="A881" s="105">
        <v>880</v>
      </c>
      <c r="B881" s="41">
        <v>12000000</v>
      </c>
      <c r="C881" s="41">
        <v>3.8E-3</v>
      </c>
      <c r="D881" s="41">
        <v>6.1688000000000001</v>
      </c>
      <c r="E881" s="41">
        <v>30</v>
      </c>
      <c r="F881" s="41">
        <v>0</v>
      </c>
      <c r="G881" s="41" t="s">
        <v>104</v>
      </c>
      <c r="H881" s="41">
        <v>0</v>
      </c>
      <c r="I881" s="41">
        <v>1</v>
      </c>
      <c r="J881" s="108">
        <v>0</v>
      </c>
      <c r="K881" s="41">
        <v>0</v>
      </c>
      <c r="L881" s="41">
        <v>55</v>
      </c>
      <c r="M881" s="41">
        <v>-1</v>
      </c>
      <c r="N881" s="41">
        <v>4</v>
      </c>
      <c r="O881" s="111" t="s">
        <v>1396</v>
      </c>
      <c r="P881" s="109">
        <v>192450</v>
      </c>
      <c r="Q881" s="41"/>
      <c r="R881" s="111"/>
      <c r="S881" s="110" t="s">
        <v>1625</v>
      </c>
    </row>
    <row r="882" spans="1:19" x14ac:dyDescent="0.3">
      <c r="A882" s="105">
        <v>881</v>
      </c>
      <c r="B882" s="41">
        <v>12000000</v>
      </c>
      <c r="C882" s="41">
        <v>3.8E-3</v>
      </c>
      <c r="D882" s="41">
        <v>6.7271999999999998</v>
      </c>
      <c r="E882" s="41">
        <v>30</v>
      </c>
      <c r="F882" s="41">
        <v>0</v>
      </c>
      <c r="G882" s="41" t="s">
        <v>104</v>
      </c>
      <c r="H882" s="41">
        <v>0</v>
      </c>
      <c r="I882" s="41">
        <v>1</v>
      </c>
      <c r="J882" s="108">
        <v>0</v>
      </c>
      <c r="K882" s="41">
        <v>0</v>
      </c>
      <c r="L882" s="41">
        <v>55</v>
      </c>
      <c r="M882" s="41">
        <v>-1</v>
      </c>
      <c r="N882" s="41">
        <v>4</v>
      </c>
      <c r="O882" s="111" t="s">
        <v>1397</v>
      </c>
      <c r="P882" s="109">
        <v>192450</v>
      </c>
      <c r="Q882" s="41"/>
      <c r="R882" s="111"/>
      <c r="S882" s="110" t="s">
        <v>1625</v>
      </c>
    </row>
    <row r="883" spans="1:19" x14ac:dyDescent="0.3">
      <c r="A883" s="105">
        <v>882</v>
      </c>
      <c r="B883" s="41">
        <v>12000000</v>
      </c>
      <c r="C883" s="41">
        <v>3.8E-3</v>
      </c>
      <c r="D883" s="41">
        <v>7.3360000000000003</v>
      </c>
      <c r="E883" s="41">
        <v>30</v>
      </c>
      <c r="F883" s="41">
        <v>0</v>
      </c>
      <c r="G883" s="41" t="s">
        <v>104</v>
      </c>
      <c r="H883" s="41">
        <v>0</v>
      </c>
      <c r="I883" s="41">
        <v>1</v>
      </c>
      <c r="J883" s="108">
        <v>0</v>
      </c>
      <c r="K883" s="41">
        <v>0</v>
      </c>
      <c r="L883" s="41">
        <v>55</v>
      </c>
      <c r="M883" s="41">
        <v>-1</v>
      </c>
      <c r="N883" s="41">
        <v>4</v>
      </c>
      <c r="O883" s="111" t="s">
        <v>1398</v>
      </c>
      <c r="P883" s="109">
        <v>192450</v>
      </c>
      <c r="Q883" s="41"/>
      <c r="R883" s="111"/>
      <c r="S883" s="110" t="s">
        <v>1625</v>
      </c>
    </row>
    <row r="884" spans="1:19" x14ac:dyDescent="0.3">
      <c r="A884" s="105">
        <v>883</v>
      </c>
      <c r="B884" s="41">
        <v>12000000</v>
      </c>
      <c r="C884" s="41">
        <v>3.8E-3</v>
      </c>
      <c r="D884" s="41">
        <v>8</v>
      </c>
      <c r="E884" s="41">
        <v>30</v>
      </c>
      <c r="F884" s="41">
        <v>0</v>
      </c>
      <c r="G884" s="41" t="s">
        <v>104</v>
      </c>
      <c r="H884" s="41">
        <v>0</v>
      </c>
      <c r="I884" s="41">
        <v>1</v>
      </c>
      <c r="J884" s="108">
        <v>0</v>
      </c>
      <c r="K884" s="41">
        <v>0</v>
      </c>
      <c r="L884" s="41">
        <v>55</v>
      </c>
      <c r="M884" s="41">
        <v>-1</v>
      </c>
      <c r="N884" s="41">
        <v>4</v>
      </c>
      <c r="O884" s="111" t="s">
        <v>1399</v>
      </c>
      <c r="P884" s="109">
        <v>192450</v>
      </c>
      <c r="Q884" s="41"/>
      <c r="R884" s="111"/>
      <c r="S884" s="110" t="s">
        <v>1625</v>
      </c>
    </row>
    <row r="885" spans="1:19" x14ac:dyDescent="0.3">
      <c r="A885" s="105">
        <v>884</v>
      </c>
      <c r="B885" s="41">
        <v>12000000</v>
      </c>
      <c r="C885" s="41">
        <v>3.8E-3</v>
      </c>
      <c r="D885" s="41">
        <v>8.7241</v>
      </c>
      <c r="E885" s="41">
        <v>30</v>
      </c>
      <c r="F885" s="41">
        <v>0</v>
      </c>
      <c r="G885" s="41" t="s">
        <v>104</v>
      </c>
      <c r="H885" s="41">
        <v>0</v>
      </c>
      <c r="I885" s="41">
        <v>1</v>
      </c>
      <c r="J885" s="108">
        <v>0</v>
      </c>
      <c r="K885" s="41">
        <v>0</v>
      </c>
      <c r="L885" s="41">
        <v>55</v>
      </c>
      <c r="M885" s="41">
        <v>-1</v>
      </c>
      <c r="N885" s="41">
        <v>4</v>
      </c>
      <c r="O885" s="111" t="s">
        <v>1400</v>
      </c>
      <c r="P885" s="109">
        <v>192450</v>
      </c>
      <c r="Q885" s="41"/>
      <c r="R885" s="111"/>
      <c r="S885" s="110" t="s">
        <v>1625</v>
      </c>
    </row>
    <row r="886" spans="1:19" x14ac:dyDescent="0.3">
      <c r="A886" s="105">
        <v>885</v>
      </c>
      <c r="B886" s="41">
        <v>12000000</v>
      </c>
      <c r="C886" s="41">
        <v>3.8E-3</v>
      </c>
      <c r="D886" s="41">
        <v>9.5137</v>
      </c>
      <c r="E886" s="41">
        <v>30</v>
      </c>
      <c r="F886" s="41">
        <v>0</v>
      </c>
      <c r="G886" s="41" t="s">
        <v>104</v>
      </c>
      <c r="H886" s="41">
        <v>0</v>
      </c>
      <c r="I886" s="41">
        <v>1</v>
      </c>
      <c r="J886" s="108">
        <v>0</v>
      </c>
      <c r="K886" s="41">
        <v>0</v>
      </c>
      <c r="L886" s="41">
        <v>55</v>
      </c>
      <c r="M886" s="41">
        <v>-1</v>
      </c>
      <c r="N886" s="41">
        <v>4</v>
      </c>
      <c r="O886" s="111" t="s">
        <v>1401</v>
      </c>
      <c r="P886" s="109">
        <v>192450</v>
      </c>
      <c r="Q886" s="41"/>
      <c r="R886" s="111"/>
      <c r="S886" s="110" t="s">
        <v>1625</v>
      </c>
    </row>
    <row r="887" spans="1:19" x14ac:dyDescent="0.3">
      <c r="A887" s="105">
        <v>886</v>
      </c>
      <c r="B887" s="41">
        <v>12000000</v>
      </c>
      <c r="C887" s="41">
        <v>3.8E-3</v>
      </c>
      <c r="D887" s="41">
        <v>10.374700000000001</v>
      </c>
      <c r="E887" s="41">
        <v>30</v>
      </c>
      <c r="F887" s="41">
        <v>0</v>
      </c>
      <c r="G887" s="41" t="s">
        <v>104</v>
      </c>
      <c r="H887" s="41">
        <v>0</v>
      </c>
      <c r="I887" s="41">
        <v>1</v>
      </c>
      <c r="J887" s="108">
        <v>0</v>
      </c>
      <c r="K887" s="41">
        <v>0</v>
      </c>
      <c r="L887" s="41">
        <v>55</v>
      </c>
      <c r="M887" s="41">
        <v>-1</v>
      </c>
      <c r="N887" s="41">
        <v>4</v>
      </c>
      <c r="O887" s="111" t="s">
        <v>1402</v>
      </c>
      <c r="P887" s="109">
        <v>192450</v>
      </c>
      <c r="Q887" s="41"/>
      <c r="R887" s="111"/>
      <c r="S887" s="110" t="s">
        <v>1625</v>
      </c>
    </row>
    <row r="888" spans="1:19" x14ac:dyDescent="0.3">
      <c r="A888" s="105">
        <v>887</v>
      </c>
      <c r="B888" s="41">
        <v>12000000</v>
      </c>
      <c r="C888" s="41">
        <v>3.8E-3</v>
      </c>
      <c r="D888" s="41">
        <v>11.313700000000001</v>
      </c>
      <c r="E888" s="41">
        <v>30</v>
      </c>
      <c r="F888" s="41">
        <v>0</v>
      </c>
      <c r="G888" s="41" t="s">
        <v>104</v>
      </c>
      <c r="H888" s="41">
        <v>0</v>
      </c>
      <c r="I888" s="41">
        <v>1</v>
      </c>
      <c r="J888" s="108">
        <v>0</v>
      </c>
      <c r="K888" s="41">
        <v>0</v>
      </c>
      <c r="L888" s="41">
        <v>55</v>
      </c>
      <c r="M888" s="41">
        <v>-1</v>
      </c>
      <c r="N888" s="41">
        <v>4</v>
      </c>
      <c r="O888" s="111" t="s">
        <v>1403</v>
      </c>
      <c r="P888" s="109">
        <v>192450</v>
      </c>
      <c r="Q888" s="41"/>
      <c r="R888" s="111"/>
      <c r="S888" s="110" t="s">
        <v>1625</v>
      </c>
    </row>
    <row r="889" spans="1:19" x14ac:dyDescent="0.3">
      <c r="A889" s="105">
        <v>888</v>
      </c>
      <c r="B889" s="41">
        <v>12000000</v>
      </c>
      <c r="C889" s="41">
        <v>3.8E-3</v>
      </c>
      <c r="D889" s="41">
        <v>12.3377</v>
      </c>
      <c r="E889" s="41">
        <v>30</v>
      </c>
      <c r="F889" s="41">
        <v>0</v>
      </c>
      <c r="G889" s="41" t="s">
        <v>104</v>
      </c>
      <c r="H889" s="41">
        <v>0</v>
      </c>
      <c r="I889" s="41">
        <v>1</v>
      </c>
      <c r="J889" s="108">
        <v>0</v>
      </c>
      <c r="K889" s="41">
        <v>0</v>
      </c>
      <c r="L889" s="41">
        <v>55</v>
      </c>
      <c r="M889" s="41">
        <v>-1</v>
      </c>
      <c r="N889" s="41">
        <v>4</v>
      </c>
      <c r="O889" s="111" t="s">
        <v>1404</v>
      </c>
      <c r="P889" s="109">
        <v>192450</v>
      </c>
      <c r="Q889" s="41"/>
      <c r="R889" s="111"/>
      <c r="S889" s="110" t="s">
        <v>1625</v>
      </c>
    </row>
    <row r="890" spans="1:19" x14ac:dyDescent="0.3">
      <c r="A890" s="105">
        <v>889</v>
      </c>
      <c r="B890" s="41">
        <v>12000000</v>
      </c>
      <c r="C890" s="41">
        <v>3.8E-3</v>
      </c>
      <c r="D890" s="41">
        <v>13.4543</v>
      </c>
      <c r="E890" s="41">
        <v>30</v>
      </c>
      <c r="F890" s="41">
        <v>0</v>
      </c>
      <c r="G890" s="41" t="s">
        <v>104</v>
      </c>
      <c r="H890" s="41">
        <v>0</v>
      </c>
      <c r="I890" s="41">
        <v>1</v>
      </c>
      <c r="J890" s="108">
        <v>0</v>
      </c>
      <c r="K890" s="41">
        <v>0</v>
      </c>
      <c r="L890" s="41">
        <v>55</v>
      </c>
      <c r="M890" s="41">
        <v>-1</v>
      </c>
      <c r="N890" s="41">
        <v>4</v>
      </c>
      <c r="O890" s="111" t="s">
        <v>1405</v>
      </c>
      <c r="P890" s="109">
        <v>192450</v>
      </c>
      <c r="Q890" s="41"/>
      <c r="R890" s="111"/>
      <c r="S890" s="110" t="s">
        <v>1625</v>
      </c>
    </row>
    <row r="891" spans="1:19" x14ac:dyDescent="0.3">
      <c r="A891" s="105">
        <v>890</v>
      </c>
      <c r="B891" s="41">
        <v>12000000</v>
      </c>
      <c r="C891" s="41">
        <v>3.8E-3</v>
      </c>
      <c r="D891" s="41">
        <v>14.6721</v>
      </c>
      <c r="E891" s="41">
        <v>30</v>
      </c>
      <c r="F891" s="41">
        <v>0</v>
      </c>
      <c r="G891" s="41" t="s">
        <v>104</v>
      </c>
      <c r="H891" s="41">
        <v>0</v>
      </c>
      <c r="I891" s="41">
        <v>1</v>
      </c>
      <c r="J891" s="108">
        <v>0</v>
      </c>
      <c r="K891" s="41">
        <v>0</v>
      </c>
      <c r="L891" s="41">
        <v>55</v>
      </c>
      <c r="M891" s="41">
        <v>-1</v>
      </c>
      <c r="N891" s="41">
        <v>4</v>
      </c>
      <c r="O891" s="111" t="s">
        <v>1406</v>
      </c>
      <c r="P891" s="109">
        <v>192450</v>
      </c>
      <c r="Q891" s="41"/>
      <c r="R891" s="111"/>
      <c r="S891" s="110" t="s">
        <v>1625</v>
      </c>
    </row>
    <row r="892" spans="1:19" x14ac:dyDescent="0.3">
      <c r="A892" s="105">
        <v>891</v>
      </c>
      <c r="B892" s="41">
        <v>12000000</v>
      </c>
      <c r="C892" s="41">
        <v>3.8E-3</v>
      </c>
      <c r="D892" s="41">
        <v>16</v>
      </c>
      <c r="E892" s="41">
        <v>30</v>
      </c>
      <c r="F892" s="41">
        <v>0</v>
      </c>
      <c r="G892" s="41" t="s">
        <v>104</v>
      </c>
      <c r="H892" s="41">
        <v>0</v>
      </c>
      <c r="I892" s="41">
        <v>1</v>
      </c>
      <c r="J892" s="108">
        <v>0</v>
      </c>
      <c r="K892" s="41">
        <v>0</v>
      </c>
      <c r="L892" s="41">
        <v>55</v>
      </c>
      <c r="M892" s="41">
        <v>-1</v>
      </c>
      <c r="N892" s="41">
        <v>4</v>
      </c>
      <c r="O892" s="111" t="s">
        <v>1407</v>
      </c>
      <c r="P892" s="109">
        <v>192450</v>
      </c>
      <c r="Q892" s="41"/>
      <c r="R892" s="111"/>
      <c r="S892" s="110" t="s">
        <v>1625</v>
      </c>
    </row>
    <row r="893" spans="1:19" x14ac:dyDescent="0.3">
      <c r="A893" s="105">
        <v>892</v>
      </c>
      <c r="B893" s="41">
        <v>12000000</v>
      </c>
      <c r="C893" s="41">
        <v>3.8E-3</v>
      </c>
      <c r="D893" s="41">
        <v>17.4481</v>
      </c>
      <c r="E893" s="41">
        <v>30</v>
      </c>
      <c r="F893" s="41">
        <v>0</v>
      </c>
      <c r="G893" s="41" t="s">
        <v>104</v>
      </c>
      <c r="H893" s="41">
        <v>0</v>
      </c>
      <c r="I893" s="41">
        <v>1</v>
      </c>
      <c r="J893" s="108">
        <v>0</v>
      </c>
      <c r="K893" s="41">
        <v>0</v>
      </c>
      <c r="L893" s="41">
        <v>55</v>
      </c>
      <c r="M893" s="41">
        <v>-1</v>
      </c>
      <c r="N893" s="41">
        <v>4</v>
      </c>
      <c r="O893" s="111" t="s">
        <v>1408</v>
      </c>
      <c r="P893" s="109">
        <v>192450</v>
      </c>
      <c r="Q893" s="41"/>
      <c r="R893" s="111"/>
      <c r="S893" s="110" t="s">
        <v>1625</v>
      </c>
    </row>
    <row r="894" spans="1:19" x14ac:dyDescent="0.3">
      <c r="A894" s="105">
        <v>893</v>
      </c>
      <c r="B894" s="41">
        <v>12000000</v>
      </c>
      <c r="C894" s="41">
        <v>3.8E-3</v>
      </c>
      <c r="D894" s="41">
        <v>19.0273</v>
      </c>
      <c r="E894" s="41">
        <v>30</v>
      </c>
      <c r="F894" s="41">
        <v>0</v>
      </c>
      <c r="G894" s="41" t="s">
        <v>104</v>
      </c>
      <c r="H894" s="41">
        <v>0</v>
      </c>
      <c r="I894" s="41">
        <v>1</v>
      </c>
      <c r="J894" s="108">
        <v>0</v>
      </c>
      <c r="K894" s="41">
        <v>0</v>
      </c>
      <c r="L894" s="41">
        <v>55</v>
      </c>
      <c r="M894" s="41">
        <v>-1</v>
      </c>
      <c r="N894" s="41">
        <v>4</v>
      </c>
      <c r="O894" s="111" t="s">
        <v>1409</v>
      </c>
      <c r="P894" s="109">
        <v>192450</v>
      </c>
      <c r="Q894" s="41"/>
      <c r="R894" s="111"/>
      <c r="S894" s="110" t="s">
        <v>1625</v>
      </c>
    </row>
    <row r="895" spans="1:19" x14ac:dyDescent="0.3">
      <c r="A895" s="105">
        <v>894</v>
      </c>
      <c r="B895" s="41">
        <v>12000000</v>
      </c>
      <c r="C895" s="41">
        <v>4.1999999999999997E-3</v>
      </c>
      <c r="D895" s="41">
        <v>5.6569000000000003</v>
      </c>
      <c r="E895" s="41">
        <v>30</v>
      </c>
      <c r="F895" s="41">
        <v>0</v>
      </c>
      <c r="G895" s="41" t="s">
        <v>104</v>
      </c>
      <c r="H895" s="41">
        <v>0</v>
      </c>
      <c r="I895" s="41">
        <v>1</v>
      </c>
      <c r="J895" s="108">
        <v>0</v>
      </c>
      <c r="K895" s="41">
        <v>0</v>
      </c>
      <c r="L895" s="41">
        <v>55</v>
      </c>
      <c r="M895" s="41">
        <v>-1</v>
      </c>
      <c r="N895" s="41">
        <v>4</v>
      </c>
      <c r="O895" s="111" t="s">
        <v>1410</v>
      </c>
      <c r="P895" s="109">
        <v>192450</v>
      </c>
      <c r="Q895" s="41"/>
      <c r="R895" s="111"/>
      <c r="S895" s="110" t="s">
        <v>1625</v>
      </c>
    </row>
    <row r="896" spans="1:19" x14ac:dyDescent="0.3">
      <c r="A896" s="105">
        <v>895</v>
      </c>
      <c r="B896" s="41">
        <v>12000000</v>
      </c>
      <c r="C896" s="41">
        <v>4.1999999999999997E-3</v>
      </c>
      <c r="D896" s="41">
        <v>6.1688000000000001</v>
      </c>
      <c r="E896" s="41">
        <v>30</v>
      </c>
      <c r="F896" s="41">
        <v>0</v>
      </c>
      <c r="G896" s="41" t="s">
        <v>104</v>
      </c>
      <c r="H896" s="41">
        <v>0</v>
      </c>
      <c r="I896" s="41">
        <v>1</v>
      </c>
      <c r="J896" s="108">
        <v>0</v>
      </c>
      <c r="K896" s="41">
        <v>0</v>
      </c>
      <c r="L896" s="41">
        <v>55</v>
      </c>
      <c r="M896" s="41">
        <v>-1</v>
      </c>
      <c r="N896" s="41">
        <v>4</v>
      </c>
      <c r="O896" s="111" t="s">
        <v>1411</v>
      </c>
      <c r="P896" s="109">
        <v>192450</v>
      </c>
      <c r="Q896" s="41"/>
      <c r="R896" s="111"/>
      <c r="S896" s="110" t="s">
        <v>1625</v>
      </c>
    </row>
    <row r="897" spans="1:19" x14ac:dyDescent="0.3">
      <c r="A897" s="105">
        <v>896</v>
      </c>
      <c r="B897" s="41">
        <v>12000000</v>
      </c>
      <c r="C897" s="41">
        <v>4.1999999999999997E-3</v>
      </c>
      <c r="D897" s="41">
        <v>6.7271999999999998</v>
      </c>
      <c r="E897" s="41">
        <v>30</v>
      </c>
      <c r="F897" s="41">
        <v>0</v>
      </c>
      <c r="G897" s="41" t="s">
        <v>104</v>
      </c>
      <c r="H897" s="41">
        <v>0</v>
      </c>
      <c r="I897" s="41">
        <v>1</v>
      </c>
      <c r="J897" s="108">
        <v>0</v>
      </c>
      <c r="K897" s="41">
        <v>0</v>
      </c>
      <c r="L897" s="41">
        <v>55</v>
      </c>
      <c r="M897" s="41">
        <v>-1</v>
      </c>
      <c r="N897" s="41">
        <v>4</v>
      </c>
      <c r="O897" s="111" t="s">
        <v>1412</v>
      </c>
      <c r="P897" s="109">
        <v>192450</v>
      </c>
      <c r="Q897" s="41"/>
      <c r="R897" s="111"/>
      <c r="S897" s="110" t="s">
        <v>1625</v>
      </c>
    </row>
    <row r="898" spans="1:19" x14ac:dyDescent="0.3">
      <c r="A898" s="105">
        <v>897</v>
      </c>
      <c r="B898" s="41">
        <v>12000000</v>
      </c>
      <c r="C898" s="41">
        <v>4.1999999999999997E-3</v>
      </c>
      <c r="D898" s="41">
        <v>7.3360000000000003</v>
      </c>
      <c r="E898" s="41">
        <v>30</v>
      </c>
      <c r="F898" s="41">
        <v>0</v>
      </c>
      <c r="G898" s="41" t="s">
        <v>104</v>
      </c>
      <c r="H898" s="41">
        <v>0</v>
      </c>
      <c r="I898" s="41">
        <v>1</v>
      </c>
      <c r="J898" s="108">
        <v>0</v>
      </c>
      <c r="K898" s="41">
        <v>0</v>
      </c>
      <c r="L898" s="41">
        <v>55</v>
      </c>
      <c r="M898" s="41">
        <v>-1</v>
      </c>
      <c r="N898" s="41">
        <v>4</v>
      </c>
      <c r="O898" s="111" t="s">
        <v>1413</v>
      </c>
      <c r="P898" s="109">
        <v>192450</v>
      </c>
      <c r="Q898" s="41"/>
      <c r="R898" s="111"/>
      <c r="S898" s="110" t="s">
        <v>1625</v>
      </c>
    </row>
    <row r="899" spans="1:19" x14ac:dyDescent="0.3">
      <c r="A899" s="105">
        <v>898</v>
      </c>
      <c r="B899" s="41">
        <v>12000000</v>
      </c>
      <c r="C899" s="41">
        <v>4.1999999999999997E-3</v>
      </c>
      <c r="D899" s="41">
        <v>8</v>
      </c>
      <c r="E899" s="41">
        <v>30</v>
      </c>
      <c r="F899" s="41">
        <v>0</v>
      </c>
      <c r="G899" s="41" t="s">
        <v>104</v>
      </c>
      <c r="H899" s="41">
        <v>0</v>
      </c>
      <c r="I899" s="41">
        <v>1</v>
      </c>
      <c r="J899" s="108">
        <v>0</v>
      </c>
      <c r="K899" s="41">
        <v>0</v>
      </c>
      <c r="L899" s="41">
        <v>55</v>
      </c>
      <c r="M899" s="41">
        <v>-1</v>
      </c>
      <c r="N899" s="41">
        <v>4</v>
      </c>
      <c r="O899" s="111" t="s">
        <v>1414</v>
      </c>
      <c r="P899" s="109">
        <v>192450</v>
      </c>
      <c r="Q899" s="41"/>
      <c r="R899" s="111"/>
      <c r="S899" s="110" t="s">
        <v>1625</v>
      </c>
    </row>
    <row r="900" spans="1:19" x14ac:dyDescent="0.3">
      <c r="A900" s="105">
        <v>899</v>
      </c>
      <c r="B900" s="41">
        <v>12000000</v>
      </c>
      <c r="C900" s="41">
        <v>4.1999999999999997E-3</v>
      </c>
      <c r="D900" s="41">
        <v>8.7241</v>
      </c>
      <c r="E900" s="41">
        <v>30</v>
      </c>
      <c r="F900" s="41">
        <v>0</v>
      </c>
      <c r="G900" s="41" t="s">
        <v>104</v>
      </c>
      <c r="H900" s="41">
        <v>0</v>
      </c>
      <c r="I900" s="41">
        <v>1</v>
      </c>
      <c r="J900" s="108">
        <v>0</v>
      </c>
      <c r="K900" s="41">
        <v>0</v>
      </c>
      <c r="L900" s="41">
        <v>55</v>
      </c>
      <c r="M900" s="41">
        <v>-1</v>
      </c>
      <c r="N900" s="41">
        <v>4</v>
      </c>
      <c r="O900" s="111" t="s">
        <v>1415</v>
      </c>
      <c r="P900" s="109">
        <v>192450</v>
      </c>
      <c r="Q900" s="41"/>
      <c r="R900" s="111"/>
      <c r="S900" s="110" t="s">
        <v>1625</v>
      </c>
    </row>
    <row r="901" spans="1:19" x14ac:dyDescent="0.3">
      <c r="A901" s="105">
        <v>900</v>
      </c>
      <c r="B901" s="41">
        <v>12000000</v>
      </c>
      <c r="C901" s="41">
        <v>4.1999999999999997E-3</v>
      </c>
      <c r="D901" s="41">
        <v>9.5137</v>
      </c>
      <c r="E901" s="41">
        <v>30</v>
      </c>
      <c r="F901" s="41">
        <v>0</v>
      </c>
      <c r="G901" s="41" t="s">
        <v>104</v>
      </c>
      <c r="H901" s="41">
        <v>0</v>
      </c>
      <c r="I901" s="41">
        <v>1</v>
      </c>
      <c r="J901" s="108">
        <v>0</v>
      </c>
      <c r="K901" s="41">
        <v>0</v>
      </c>
      <c r="L901" s="41">
        <v>55</v>
      </c>
      <c r="M901" s="41">
        <v>-1</v>
      </c>
      <c r="N901" s="41">
        <v>4</v>
      </c>
      <c r="O901" s="111" t="s">
        <v>1416</v>
      </c>
      <c r="P901" s="109">
        <v>192450</v>
      </c>
      <c r="Q901" s="41"/>
      <c r="R901" s="111"/>
      <c r="S901" s="110" t="s">
        <v>1625</v>
      </c>
    </row>
    <row r="902" spans="1:19" x14ac:dyDescent="0.3">
      <c r="A902" s="105">
        <v>901</v>
      </c>
      <c r="B902" s="41">
        <v>12000000</v>
      </c>
      <c r="C902" s="41">
        <v>4.1999999999999997E-3</v>
      </c>
      <c r="D902" s="41">
        <v>10.374700000000001</v>
      </c>
      <c r="E902" s="41">
        <v>30</v>
      </c>
      <c r="F902" s="41">
        <v>0</v>
      </c>
      <c r="G902" s="41" t="s">
        <v>104</v>
      </c>
      <c r="H902" s="41">
        <v>0</v>
      </c>
      <c r="I902" s="41">
        <v>1</v>
      </c>
      <c r="J902" s="108">
        <v>0</v>
      </c>
      <c r="K902" s="41">
        <v>0</v>
      </c>
      <c r="L902" s="41">
        <v>55</v>
      </c>
      <c r="M902" s="41">
        <v>-1</v>
      </c>
      <c r="N902" s="41">
        <v>4</v>
      </c>
      <c r="O902" s="111" t="s">
        <v>1417</v>
      </c>
      <c r="P902" s="109">
        <v>192450</v>
      </c>
      <c r="Q902" s="41"/>
      <c r="R902" s="111"/>
      <c r="S902" s="110" t="s">
        <v>1625</v>
      </c>
    </row>
    <row r="903" spans="1:19" x14ac:dyDescent="0.3">
      <c r="A903" s="105">
        <v>902</v>
      </c>
      <c r="B903" s="41">
        <v>12000000</v>
      </c>
      <c r="C903" s="41">
        <v>4.1999999999999997E-3</v>
      </c>
      <c r="D903" s="41">
        <v>11.313700000000001</v>
      </c>
      <c r="E903" s="41">
        <v>30</v>
      </c>
      <c r="F903" s="41">
        <v>0</v>
      </c>
      <c r="G903" s="41" t="s">
        <v>104</v>
      </c>
      <c r="H903" s="41">
        <v>0</v>
      </c>
      <c r="I903" s="41">
        <v>1</v>
      </c>
      <c r="J903" s="108">
        <v>0</v>
      </c>
      <c r="K903" s="41">
        <v>0</v>
      </c>
      <c r="L903" s="41">
        <v>55</v>
      </c>
      <c r="M903" s="41">
        <v>-1</v>
      </c>
      <c r="N903" s="41">
        <v>4</v>
      </c>
      <c r="O903" s="111" t="s">
        <v>1418</v>
      </c>
      <c r="P903" s="109">
        <v>192450</v>
      </c>
      <c r="Q903" s="41"/>
      <c r="R903" s="111"/>
      <c r="S903" s="110" t="s">
        <v>1625</v>
      </c>
    </row>
    <row r="904" spans="1:19" x14ac:dyDescent="0.3">
      <c r="A904" s="105">
        <v>903</v>
      </c>
      <c r="B904" s="41">
        <v>12000000</v>
      </c>
      <c r="C904" s="41">
        <v>4.1999999999999997E-3</v>
      </c>
      <c r="D904" s="41">
        <v>12.3377</v>
      </c>
      <c r="E904" s="41">
        <v>30</v>
      </c>
      <c r="F904" s="41">
        <v>0</v>
      </c>
      <c r="G904" s="41" t="s">
        <v>104</v>
      </c>
      <c r="H904" s="41">
        <v>0</v>
      </c>
      <c r="I904" s="41">
        <v>1</v>
      </c>
      <c r="J904" s="108">
        <v>0</v>
      </c>
      <c r="K904" s="41">
        <v>0</v>
      </c>
      <c r="L904" s="41">
        <v>55</v>
      </c>
      <c r="M904" s="41">
        <v>-1</v>
      </c>
      <c r="N904" s="41">
        <v>4</v>
      </c>
      <c r="O904" s="111" t="s">
        <v>1419</v>
      </c>
      <c r="P904" s="109">
        <v>192450</v>
      </c>
      <c r="Q904" s="41"/>
      <c r="R904" s="111"/>
      <c r="S904" s="110" t="s">
        <v>1625</v>
      </c>
    </row>
    <row r="905" spans="1:19" x14ac:dyDescent="0.3">
      <c r="A905" s="105">
        <v>904</v>
      </c>
      <c r="B905" s="41">
        <v>12000000</v>
      </c>
      <c r="C905" s="41">
        <v>4.1999999999999997E-3</v>
      </c>
      <c r="D905" s="41">
        <v>13.4543</v>
      </c>
      <c r="E905" s="41">
        <v>30</v>
      </c>
      <c r="F905" s="41">
        <v>0</v>
      </c>
      <c r="G905" s="41" t="s">
        <v>104</v>
      </c>
      <c r="H905" s="41">
        <v>0</v>
      </c>
      <c r="I905" s="41">
        <v>1</v>
      </c>
      <c r="J905" s="108">
        <v>0</v>
      </c>
      <c r="K905" s="41">
        <v>0</v>
      </c>
      <c r="L905" s="41">
        <v>55</v>
      </c>
      <c r="M905" s="41">
        <v>-1</v>
      </c>
      <c r="N905" s="41">
        <v>4</v>
      </c>
      <c r="O905" s="111" t="s">
        <v>1420</v>
      </c>
      <c r="P905" s="109">
        <v>192450</v>
      </c>
      <c r="Q905" s="41"/>
      <c r="R905" s="111"/>
      <c r="S905" s="110" t="s">
        <v>1625</v>
      </c>
    </row>
    <row r="906" spans="1:19" x14ac:dyDescent="0.3">
      <c r="A906" s="105">
        <v>905</v>
      </c>
      <c r="B906" s="41">
        <v>12000000</v>
      </c>
      <c r="C906" s="41">
        <v>4.1999999999999997E-3</v>
      </c>
      <c r="D906" s="41">
        <v>14.6721</v>
      </c>
      <c r="E906" s="41">
        <v>30</v>
      </c>
      <c r="F906" s="41">
        <v>0</v>
      </c>
      <c r="G906" s="41" t="s">
        <v>104</v>
      </c>
      <c r="H906" s="41">
        <v>0</v>
      </c>
      <c r="I906" s="41">
        <v>1</v>
      </c>
      <c r="J906" s="108">
        <v>0</v>
      </c>
      <c r="K906" s="41">
        <v>0</v>
      </c>
      <c r="L906" s="41">
        <v>55</v>
      </c>
      <c r="M906" s="41">
        <v>-1</v>
      </c>
      <c r="N906" s="41">
        <v>4</v>
      </c>
      <c r="O906" s="111" t="s">
        <v>1421</v>
      </c>
      <c r="P906" s="109">
        <v>192450</v>
      </c>
      <c r="Q906" s="41"/>
      <c r="R906" s="111"/>
      <c r="S906" s="110" t="s">
        <v>1625</v>
      </c>
    </row>
    <row r="907" spans="1:19" x14ac:dyDescent="0.3">
      <c r="A907" s="105">
        <v>906</v>
      </c>
      <c r="B907" s="41">
        <v>12000000</v>
      </c>
      <c r="C907" s="41">
        <v>4.1999999999999997E-3</v>
      </c>
      <c r="D907" s="41">
        <v>16</v>
      </c>
      <c r="E907" s="41">
        <v>30</v>
      </c>
      <c r="F907" s="41">
        <v>0</v>
      </c>
      <c r="G907" s="41" t="s">
        <v>104</v>
      </c>
      <c r="H907" s="41">
        <v>0</v>
      </c>
      <c r="I907" s="41">
        <v>1</v>
      </c>
      <c r="J907" s="108">
        <v>0</v>
      </c>
      <c r="K907" s="41">
        <v>0</v>
      </c>
      <c r="L907" s="41">
        <v>55</v>
      </c>
      <c r="M907" s="41">
        <v>-1</v>
      </c>
      <c r="N907" s="41">
        <v>4</v>
      </c>
      <c r="O907" s="111" t="s">
        <v>1422</v>
      </c>
      <c r="P907" s="109">
        <v>192450</v>
      </c>
      <c r="Q907" s="41"/>
      <c r="R907" s="111"/>
      <c r="S907" s="110" t="s">
        <v>1625</v>
      </c>
    </row>
    <row r="908" spans="1:19" x14ac:dyDescent="0.3">
      <c r="A908" s="105">
        <v>907</v>
      </c>
      <c r="B908" s="41">
        <v>12000000</v>
      </c>
      <c r="C908" s="41">
        <v>4.1999999999999997E-3</v>
      </c>
      <c r="D908" s="41">
        <v>17.4481</v>
      </c>
      <c r="E908" s="41">
        <v>30</v>
      </c>
      <c r="F908" s="41">
        <v>0</v>
      </c>
      <c r="G908" s="41" t="s">
        <v>104</v>
      </c>
      <c r="H908" s="41">
        <v>0</v>
      </c>
      <c r="I908" s="41">
        <v>1</v>
      </c>
      <c r="J908" s="108">
        <v>0</v>
      </c>
      <c r="K908" s="41">
        <v>0</v>
      </c>
      <c r="L908" s="41">
        <v>55</v>
      </c>
      <c r="M908" s="41">
        <v>-1</v>
      </c>
      <c r="N908" s="41">
        <v>4</v>
      </c>
      <c r="O908" s="111" t="s">
        <v>1423</v>
      </c>
      <c r="P908" s="109">
        <v>192450</v>
      </c>
      <c r="Q908" s="41"/>
      <c r="R908" s="111"/>
      <c r="S908" s="110" t="s">
        <v>1625</v>
      </c>
    </row>
    <row r="909" spans="1:19" x14ac:dyDescent="0.3">
      <c r="A909" s="105">
        <v>908</v>
      </c>
      <c r="B909" s="41">
        <v>12000000</v>
      </c>
      <c r="C909" s="41">
        <v>4.1999999999999997E-3</v>
      </c>
      <c r="D909" s="41">
        <v>19.0273</v>
      </c>
      <c r="E909" s="41">
        <v>30</v>
      </c>
      <c r="F909" s="41">
        <v>0</v>
      </c>
      <c r="G909" s="41" t="s">
        <v>104</v>
      </c>
      <c r="H909" s="41">
        <v>0</v>
      </c>
      <c r="I909" s="41">
        <v>1</v>
      </c>
      <c r="J909" s="108">
        <v>0</v>
      </c>
      <c r="K909" s="41">
        <v>0</v>
      </c>
      <c r="L909" s="41">
        <v>55</v>
      </c>
      <c r="M909" s="41">
        <v>-1</v>
      </c>
      <c r="N909" s="41">
        <v>4</v>
      </c>
      <c r="O909" s="111" t="s">
        <v>1424</v>
      </c>
      <c r="P909" s="109">
        <v>192450</v>
      </c>
      <c r="Q909" s="41"/>
      <c r="R909" s="111"/>
      <c r="S909" s="110" t="s">
        <v>1625</v>
      </c>
    </row>
    <row r="910" spans="1:19" x14ac:dyDescent="0.3">
      <c r="A910" s="105">
        <v>909</v>
      </c>
      <c r="B910" s="41">
        <v>12000000</v>
      </c>
      <c r="C910" s="41">
        <v>4.4999999999999997E-3</v>
      </c>
      <c r="D910" s="41">
        <v>6.7271999999999998</v>
      </c>
      <c r="E910" s="41">
        <v>30</v>
      </c>
      <c r="F910" s="41">
        <v>0</v>
      </c>
      <c r="G910" s="41" t="s">
        <v>104</v>
      </c>
      <c r="H910" s="41">
        <v>0</v>
      </c>
      <c r="I910" s="41">
        <v>1</v>
      </c>
      <c r="J910" s="108">
        <v>0</v>
      </c>
      <c r="K910" s="41">
        <v>0</v>
      </c>
      <c r="L910" s="41">
        <v>55</v>
      </c>
      <c r="M910" s="41">
        <v>-1</v>
      </c>
      <c r="N910" s="41">
        <v>4</v>
      </c>
      <c r="O910" s="111" t="s">
        <v>1425</v>
      </c>
      <c r="P910" s="109">
        <v>192450</v>
      </c>
      <c r="Q910" s="41"/>
      <c r="R910" s="111"/>
      <c r="S910" s="110" t="s">
        <v>1625</v>
      </c>
    </row>
    <row r="911" spans="1:19" x14ac:dyDescent="0.3">
      <c r="A911" s="105">
        <v>910</v>
      </c>
      <c r="B911" s="41">
        <v>12000000</v>
      </c>
      <c r="C911" s="41">
        <v>4.4999999999999997E-3</v>
      </c>
      <c r="D911" s="41">
        <v>7.3360000000000003</v>
      </c>
      <c r="E911" s="41">
        <v>30</v>
      </c>
      <c r="F911" s="41">
        <v>0</v>
      </c>
      <c r="G911" s="41" t="s">
        <v>104</v>
      </c>
      <c r="H911" s="41">
        <v>0</v>
      </c>
      <c r="I911" s="41">
        <v>1</v>
      </c>
      <c r="J911" s="108">
        <v>0</v>
      </c>
      <c r="K911" s="41">
        <v>0</v>
      </c>
      <c r="L911" s="41">
        <v>55</v>
      </c>
      <c r="M911" s="41">
        <v>-1</v>
      </c>
      <c r="N911" s="41">
        <v>4</v>
      </c>
      <c r="O911" s="111" t="s">
        <v>1426</v>
      </c>
      <c r="P911" s="109">
        <v>192450</v>
      </c>
      <c r="Q911" s="41"/>
      <c r="R911" s="111"/>
      <c r="S911" s="110" t="s">
        <v>1625</v>
      </c>
    </row>
    <row r="912" spans="1:19" x14ac:dyDescent="0.3">
      <c r="A912" s="105">
        <v>911</v>
      </c>
      <c r="B912" s="41">
        <v>12000000</v>
      </c>
      <c r="C912" s="41">
        <v>4.4999999999999997E-3</v>
      </c>
      <c r="D912" s="41">
        <v>8</v>
      </c>
      <c r="E912" s="41">
        <v>30</v>
      </c>
      <c r="F912" s="41">
        <v>0</v>
      </c>
      <c r="G912" s="41" t="s">
        <v>104</v>
      </c>
      <c r="H912" s="41">
        <v>0</v>
      </c>
      <c r="I912" s="41">
        <v>1</v>
      </c>
      <c r="J912" s="108">
        <v>0</v>
      </c>
      <c r="K912" s="41">
        <v>0</v>
      </c>
      <c r="L912" s="41">
        <v>55</v>
      </c>
      <c r="M912" s="41">
        <v>-1</v>
      </c>
      <c r="N912" s="41">
        <v>4</v>
      </c>
      <c r="O912" s="111" t="s">
        <v>1427</v>
      </c>
      <c r="P912" s="109">
        <v>192450</v>
      </c>
      <c r="Q912" s="41"/>
      <c r="R912" s="111"/>
      <c r="S912" s="110" t="s">
        <v>1625</v>
      </c>
    </row>
    <row r="913" spans="1:19" x14ac:dyDescent="0.3">
      <c r="A913" s="105">
        <v>912</v>
      </c>
      <c r="B913" s="41">
        <v>12000000</v>
      </c>
      <c r="C913" s="41">
        <v>4.4999999999999997E-3</v>
      </c>
      <c r="D913" s="41">
        <v>8.7241</v>
      </c>
      <c r="E913" s="41">
        <v>30</v>
      </c>
      <c r="F913" s="41">
        <v>0</v>
      </c>
      <c r="G913" s="41" t="s">
        <v>104</v>
      </c>
      <c r="H913" s="41">
        <v>0</v>
      </c>
      <c r="I913" s="41">
        <v>1</v>
      </c>
      <c r="J913" s="108">
        <v>0</v>
      </c>
      <c r="K913" s="41">
        <v>0</v>
      </c>
      <c r="L913" s="41">
        <v>55</v>
      </c>
      <c r="M913" s="41">
        <v>-1</v>
      </c>
      <c r="N913" s="41">
        <v>4</v>
      </c>
      <c r="O913" s="111" t="s">
        <v>1428</v>
      </c>
      <c r="P913" s="109">
        <v>192450</v>
      </c>
      <c r="Q913" s="41"/>
      <c r="R913" s="111"/>
      <c r="S913" s="110" t="s">
        <v>1625</v>
      </c>
    </row>
    <row r="914" spans="1:19" x14ac:dyDescent="0.3">
      <c r="A914" s="105">
        <v>913</v>
      </c>
      <c r="B914" s="41">
        <v>12000000</v>
      </c>
      <c r="C914" s="41">
        <v>4.4999999999999997E-3</v>
      </c>
      <c r="D914" s="41">
        <v>9.5137</v>
      </c>
      <c r="E914" s="41">
        <v>30</v>
      </c>
      <c r="F914" s="41">
        <v>0</v>
      </c>
      <c r="G914" s="41" t="s">
        <v>104</v>
      </c>
      <c r="H914" s="41">
        <v>0</v>
      </c>
      <c r="I914" s="41">
        <v>1</v>
      </c>
      <c r="J914" s="108">
        <v>0</v>
      </c>
      <c r="K914" s="41">
        <v>0</v>
      </c>
      <c r="L914" s="41">
        <v>55</v>
      </c>
      <c r="M914" s="41">
        <v>-1</v>
      </c>
      <c r="N914" s="41">
        <v>4</v>
      </c>
      <c r="O914" s="111" t="s">
        <v>1429</v>
      </c>
      <c r="P914" s="109">
        <v>192450</v>
      </c>
      <c r="Q914" s="41"/>
      <c r="R914" s="111"/>
      <c r="S914" s="110" t="s">
        <v>1625</v>
      </c>
    </row>
    <row r="915" spans="1:19" x14ac:dyDescent="0.3">
      <c r="A915" s="105">
        <v>914</v>
      </c>
      <c r="B915" s="41">
        <v>12000000</v>
      </c>
      <c r="C915" s="41">
        <v>4.4999999999999997E-3</v>
      </c>
      <c r="D915" s="41">
        <v>10.374700000000001</v>
      </c>
      <c r="E915" s="41">
        <v>30</v>
      </c>
      <c r="F915" s="41">
        <v>0</v>
      </c>
      <c r="G915" s="41" t="s">
        <v>104</v>
      </c>
      <c r="H915" s="41">
        <v>0</v>
      </c>
      <c r="I915" s="41">
        <v>1</v>
      </c>
      <c r="J915" s="108">
        <v>0</v>
      </c>
      <c r="K915" s="41">
        <v>0</v>
      </c>
      <c r="L915" s="41">
        <v>55</v>
      </c>
      <c r="M915" s="41">
        <v>-1</v>
      </c>
      <c r="N915" s="41">
        <v>4</v>
      </c>
      <c r="O915" s="111" t="s">
        <v>1430</v>
      </c>
      <c r="P915" s="109">
        <v>192450</v>
      </c>
      <c r="Q915" s="41"/>
      <c r="R915" s="111"/>
      <c r="S915" s="110" t="s">
        <v>1625</v>
      </c>
    </row>
    <row r="916" spans="1:19" x14ac:dyDescent="0.3">
      <c r="A916" s="105">
        <v>915</v>
      </c>
      <c r="B916" s="41">
        <v>12000000</v>
      </c>
      <c r="C916" s="41">
        <v>4.4999999999999997E-3</v>
      </c>
      <c r="D916" s="41">
        <v>11.313700000000001</v>
      </c>
      <c r="E916" s="41">
        <v>30</v>
      </c>
      <c r="F916" s="41">
        <v>0</v>
      </c>
      <c r="G916" s="41" t="s">
        <v>104</v>
      </c>
      <c r="H916" s="41">
        <v>0</v>
      </c>
      <c r="I916" s="41">
        <v>1</v>
      </c>
      <c r="J916" s="108">
        <v>0</v>
      </c>
      <c r="K916" s="41">
        <v>0</v>
      </c>
      <c r="L916" s="41">
        <v>55</v>
      </c>
      <c r="M916" s="41">
        <v>-1</v>
      </c>
      <c r="N916" s="41">
        <v>4</v>
      </c>
      <c r="O916" s="111" t="s">
        <v>1431</v>
      </c>
      <c r="P916" s="109">
        <v>192450</v>
      </c>
      <c r="Q916" s="41"/>
      <c r="R916" s="111"/>
      <c r="S916" s="110" t="s">
        <v>1625</v>
      </c>
    </row>
    <row r="917" spans="1:19" x14ac:dyDescent="0.3">
      <c r="A917" s="105">
        <v>916</v>
      </c>
      <c r="B917" s="41">
        <v>12000000</v>
      </c>
      <c r="C917" s="41">
        <v>4.4999999999999997E-3</v>
      </c>
      <c r="D917" s="41">
        <v>12.3377</v>
      </c>
      <c r="E917" s="41">
        <v>30</v>
      </c>
      <c r="F917" s="41">
        <v>0</v>
      </c>
      <c r="G917" s="41" t="s">
        <v>104</v>
      </c>
      <c r="H917" s="41">
        <v>0</v>
      </c>
      <c r="I917" s="41">
        <v>1</v>
      </c>
      <c r="J917" s="108">
        <v>0</v>
      </c>
      <c r="K917" s="41">
        <v>0</v>
      </c>
      <c r="L917" s="41">
        <v>55</v>
      </c>
      <c r="M917" s="41">
        <v>-1</v>
      </c>
      <c r="N917" s="41">
        <v>4</v>
      </c>
      <c r="O917" s="111" t="s">
        <v>1432</v>
      </c>
      <c r="P917" s="109">
        <v>192458</v>
      </c>
      <c r="Q917" s="41"/>
      <c r="R917" s="111"/>
      <c r="S917" s="110" t="s">
        <v>1625</v>
      </c>
    </row>
    <row r="918" spans="1:19" x14ac:dyDescent="0.3">
      <c r="A918" s="105">
        <v>917</v>
      </c>
      <c r="B918" s="41">
        <v>12000000</v>
      </c>
      <c r="C918" s="41">
        <v>4.4999999999999997E-3</v>
      </c>
      <c r="D918" s="41">
        <v>13.4543</v>
      </c>
      <c r="E918" s="41">
        <v>30</v>
      </c>
      <c r="F918" s="41">
        <v>0</v>
      </c>
      <c r="G918" s="41" t="s">
        <v>104</v>
      </c>
      <c r="H918" s="41">
        <v>0</v>
      </c>
      <c r="I918" s="41">
        <v>1</v>
      </c>
      <c r="J918" s="108">
        <v>0</v>
      </c>
      <c r="K918" s="41">
        <v>0</v>
      </c>
      <c r="L918" s="41">
        <v>55</v>
      </c>
      <c r="M918" s="41">
        <v>-1</v>
      </c>
      <c r="N918" s="41">
        <v>4</v>
      </c>
      <c r="O918" s="111" t="s">
        <v>1433</v>
      </c>
      <c r="P918" s="109">
        <v>192458</v>
      </c>
      <c r="Q918" s="41"/>
      <c r="R918" s="111"/>
      <c r="S918" s="110" t="s">
        <v>1625</v>
      </c>
    </row>
    <row r="919" spans="1:19" x14ac:dyDescent="0.3">
      <c r="A919" s="105">
        <v>918</v>
      </c>
      <c r="B919" s="41">
        <v>12000000</v>
      </c>
      <c r="C919" s="41">
        <v>4.4999999999999997E-3</v>
      </c>
      <c r="D919" s="41">
        <v>14.6721</v>
      </c>
      <c r="E919" s="41">
        <v>30</v>
      </c>
      <c r="F919" s="41">
        <v>0</v>
      </c>
      <c r="G919" s="41" t="s">
        <v>104</v>
      </c>
      <c r="H919" s="41">
        <v>0</v>
      </c>
      <c r="I919" s="41">
        <v>1</v>
      </c>
      <c r="J919" s="108">
        <v>0</v>
      </c>
      <c r="K919" s="41">
        <v>0</v>
      </c>
      <c r="L919" s="41">
        <v>55</v>
      </c>
      <c r="M919" s="41">
        <v>-1</v>
      </c>
      <c r="N919" s="41">
        <v>4</v>
      </c>
      <c r="O919" s="111" t="s">
        <v>1434</v>
      </c>
      <c r="P919" s="109">
        <v>192458</v>
      </c>
      <c r="Q919" s="41"/>
      <c r="R919" s="111"/>
      <c r="S919" s="110" t="s">
        <v>1625</v>
      </c>
    </row>
    <row r="920" spans="1:19" x14ac:dyDescent="0.3">
      <c r="A920" s="105">
        <v>919</v>
      </c>
      <c r="B920" s="41">
        <v>12000000</v>
      </c>
      <c r="C920" s="41">
        <v>4.4999999999999997E-3</v>
      </c>
      <c r="D920" s="41">
        <v>16</v>
      </c>
      <c r="E920" s="41">
        <v>30</v>
      </c>
      <c r="F920" s="41">
        <v>0</v>
      </c>
      <c r="G920" s="41" t="s">
        <v>104</v>
      </c>
      <c r="H920" s="41">
        <v>0</v>
      </c>
      <c r="I920" s="41">
        <v>1</v>
      </c>
      <c r="J920" s="108">
        <v>0</v>
      </c>
      <c r="K920" s="41">
        <v>0</v>
      </c>
      <c r="L920" s="41">
        <v>55</v>
      </c>
      <c r="M920" s="41">
        <v>-1</v>
      </c>
      <c r="N920" s="41">
        <v>4</v>
      </c>
      <c r="O920" s="111" t="s">
        <v>1435</v>
      </c>
      <c r="P920" s="109">
        <v>192458</v>
      </c>
      <c r="Q920" s="41"/>
      <c r="R920" s="111"/>
      <c r="S920" s="110" t="s">
        <v>1625</v>
      </c>
    </row>
    <row r="921" spans="1:19" x14ac:dyDescent="0.3">
      <c r="A921" s="105">
        <v>920</v>
      </c>
      <c r="B921" s="41">
        <v>12000000</v>
      </c>
      <c r="C921" s="41">
        <v>4.4999999999999997E-3</v>
      </c>
      <c r="D921" s="41">
        <v>17.4481</v>
      </c>
      <c r="E921" s="41">
        <v>30</v>
      </c>
      <c r="F921" s="41">
        <v>0</v>
      </c>
      <c r="G921" s="41" t="s">
        <v>104</v>
      </c>
      <c r="H921" s="41">
        <v>0</v>
      </c>
      <c r="I921" s="41">
        <v>1</v>
      </c>
      <c r="J921" s="108">
        <v>0</v>
      </c>
      <c r="K921" s="41">
        <v>0</v>
      </c>
      <c r="L921" s="41">
        <v>55</v>
      </c>
      <c r="M921" s="41">
        <v>-1</v>
      </c>
      <c r="N921" s="41">
        <v>4</v>
      </c>
      <c r="O921" s="111" t="s">
        <v>1436</v>
      </c>
      <c r="P921" s="109">
        <v>192458</v>
      </c>
      <c r="Q921" s="41"/>
      <c r="R921" s="111"/>
      <c r="S921" s="110" t="s">
        <v>1625</v>
      </c>
    </row>
    <row r="922" spans="1:19" x14ac:dyDescent="0.3">
      <c r="A922" s="105">
        <v>921</v>
      </c>
      <c r="B922" s="41">
        <v>12000000</v>
      </c>
      <c r="C922" s="41">
        <v>4.4999999999999997E-3</v>
      </c>
      <c r="D922" s="41">
        <v>19.0273</v>
      </c>
      <c r="E922" s="41">
        <v>30</v>
      </c>
      <c r="F922" s="41">
        <v>0</v>
      </c>
      <c r="G922" s="41" t="s">
        <v>104</v>
      </c>
      <c r="H922" s="41">
        <v>0</v>
      </c>
      <c r="I922" s="41">
        <v>1</v>
      </c>
      <c r="J922" s="108">
        <v>0</v>
      </c>
      <c r="K922" s="41">
        <v>0</v>
      </c>
      <c r="L922" s="41">
        <v>55</v>
      </c>
      <c r="M922" s="41">
        <v>-1</v>
      </c>
      <c r="N922" s="41">
        <v>4</v>
      </c>
      <c r="O922" s="111" t="s">
        <v>1437</v>
      </c>
      <c r="P922" s="109">
        <v>192458</v>
      </c>
      <c r="Q922" s="41"/>
      <c r="R922" s="111"/>
      <c r="S922" s="110" t="s">
        <v>1625</v>
      </c>
    </row>
    <row r="923" spans="1:19" x14ac:dyDescent="0.3">
      <c r="A923" s="105">
        <v>922</v>
      </c>
      <c r="B923" s="41">
        <v>12000000</v>
      </c>
      <c r="C923" s="41">
        <v>4.8999999999999998E-3</v>
      </c>
      <c r="D923" s="41">
        <v>8</v>
      </c>
      <c r="E923" s="41">
        <v>30</v>
      </c>
      <c r="F923" s="41">
        <v>0</v>
      </c>
      <c r="G923" s="41" t="s">
        <v>104</v>
      </c>
      <c r="H923" s="41">
        <v>0</v>
      </c>
      <c r="I923" s="41">
        <v>1</v>
      </c>
      <c r="J923" s="108">
        <v>0</v>
      </c>
      <c r="K923" s="41">
        <v>0</v>
      </c>
      <c r="L923" s="41">
        <v>55</v>
      </c>
      <c r="M923" s="41">
        <v>-1</v>
      </c>
      <c r="N923" s="41">
        <v>4</v>
      </c>
      <c r="O923" s="111" t="s">
        <v>1438</v>
      </c>
      <c r="P923" s="109">
        <v>192458</v>
      </c>
      <c r="Q923" s="41"/>
      <c r="R923" s="111"/>
      <c r="S923" s="110" t="s">
        <v>1625</v>
      </c>
    </row>
    <row r="924" spans="1:19" x14ac:dyDescent="0.3">
      <c r="A924" s="105">
        <v>923</v>
      </c>
      <c r="B924" s="41">
        <v>12000000</v>
      </c>
      <c r="C924" s="41">
        <v>4.8999999999999998E-3</v>
      </c>
      <c r="D924" s="41">
        <v>8.7241</v>
      </c>
      <c r="E924" s="41">
        <v>30</v>
      </c>
      <c r="F924" s="41">
        <v>0</v>
      </c>
      <c r="G924" s="41" t="s">
        <v>104</v>
      </c>
      <c r="H924" s="41">
        <v>0</v>
      </c>
      <c r="I924" s="41">
        <v>1</v>
      </c>
      <c r="J924" s="108">
        <v>0</v>
      </c>
      <c r="K924" s="41">
        <v>0</v>
      </c>
      <c r="L924" s="41">
        <v>55</v>
      </c>
      <c r="M924" s="41">
        <v>-1</v>
      </c>
      <c r="N924" s="41">
        <v>4</v>
      </c>
      <c r="O924" s="111" t="s">
        <v>1439</v>
      </c>
      <c r="P924" s="109">
        <v>192458</v>
      </c>
      <c r="Q924" s="41"/>
      <c r="R924" s="111"/>
      <c r="S924" s="110" t="s">
        <v>1625</v>
      </c>
    </row>
    <row r="925" spans="1:19" x14ac:dyDescent="0.3">
      <c r="A925" s="105">
        <v>924</v>
      </c>
      <c r="B925" s="41">
        <v>12000000</v>
      </c>
      <c r="C925" s="41">
        <v>4.8999999999999998E-3</v>
      </c>
      <c r="D925" s="41">
        <v>9.5137</v>
      </c>
      <c r="E925" s="41">
        <v>30</v>
      </c>
      <c r="F925" s="41">
        <v>0</v>
      </c>
      <c r="G925" s="41" t="s">
        <v>104</v>
      </c>
      <c r="H925" s="41">
        <v>0</v>
      </c>
      <c r="I925" s="41">
        <v>1</v>
      </c>
      <c r="J925" s="108">
        <v>0</v>
      </c>
      <c r="K925" s="41">
        <v>0</v>
      </c>
      <c r="L925" s="41">
        <v>55</v>
      </c>
      <c r="M925" s="41">
        <v>-1</v>
      </c>
      <c r="N925" s="41">
        <v>4</v>
      </c>
      <c r="O925" s="111" t="s">
        <v>1440</v>
      </c>
      <c r="P925" s="109">
        <v>192458</v>
      </c>
      <c r="Q925" s="41"/>
      <c r="R925" s="111"/>
      <c r="S925" s="110" t="s">
        <v>1625</v>
      </c>
    </row>
    <row r="926" spans="1:19" x14ac:dyDescent="0.3">
      <c r="A926" s="105">
        <v>925</v>
      </c>
      <c r="B926" s="41">
        <v>12000000</v>
      </c>
      <c r="C926" s="41">
        <v>4.8999999999999998E-3</v>
      </c>
      <c r="D926" s="41">
        <v>10.374700000000001</v>
      </c>
      <c r="E926" s="41">
        <v>30</v>
      </c>
      <c r="F926" s="41">
        <v>0</v>
      </c>
      <c r="G926" s="41" t="s">
        <v>104</v>
      </c>
      <c r="H926" s="41">
        <v>0</v>
      </c>
      <c r="I926" s="41">
        <v>1</v>
      </c>
      <c r="J926" s="108">
        <v>0</v>
      </c>
      <c r="K926" s="41">
        <v>0</v>
      </c>
      <c r="L926" s="41">
        <v>55</v>
      </c>
      <c r="M926" s="41">
        <v>-1</v>
      </c>
      <c r="N926" s="41">
        <v>4</v>
      </c>
      <c r="O926" s="111" t="s">
        <v>1441</v>
      </c>
      <c r="P926" s="109">
        <v>192458</v>
      </c>
      <c r="Q926" s="41"/>
      <c r="R926" s="111"/>
      <c r="S926" s="110" t="s">
        <v>1625</v>
      </c>
    </row>
    <row r="927" spans="1:19" x14ac:dyDescent="0.3">
      <c r="A927" s="105">
        <v>926</v>
      </c>
      <c r="B927" s="41">
        <v>12000000</v>
      </c>
      <c r="C927" s="41">
        <v>4.8999999999999998E-3</v>
      </c>
      <c r="D927" s="41">
        <v>11.313700000000001</v>
      </c>
      <c r="E927" s="41">
        <v>30</v>
      </c>
      <c r="F927" s="41">
        <v>0</v>
      </c>
      <c r="G927" s="41" t="s">
        <v>104</v>
      </c>
      <c r="H927" s="41">
        <v>0</v>
      </c>
      <c r="I927" s="41">
        <v>1</v>
      </c>
      <c r="J927" s="108">
        <v>0</v>
      </c>
      <c r="K927" s="41">
        <v>0</v>
      </c>
      <c r="L927" s="41">
        <v>55</v>
      </c>
      <c r="M927" s="41">
        <v>-1</v>
      </c>
      <c r="N927" s="41">
        <v>4</v>
      </c>
      <c r="O927" s="111" t="s">
        <v>1442</v>
      </c>
      <c r="P927" s="109">
        <v>192458</v>
      </c>
      <c r="Q927" s="41"/>
      <c r="R927" s="111"/>
      <c r="S927" s="110" t="s">
        <v>1625</v>
      </c>
    </row>
    <row r="928" spans="1:19" x14ac:dyDescent="0.3">
      <c r="A928" s="105">
        <v>927</v>
      </c>
      <c r="B928" s="41">
        <v>12000000</v>
      </c>
      <c r="C928" s="41">
        <v>4.8999999999999998E-3</v>
      </c>
      <c r="D928" s="41">
        <v>12.3377</v>
      </c>
      <c r="E928" s="41">
        <v>30</v>
      </c>
      <c r="F928" s="41">
        <v>0</v>
      </c>
      <c r="G928" s="41" t="s">
        <v>104</v>
      </c>
      <c r="H928" s="41">
        <v>0</v>
      </c>
      <c r="I928" s="41">
        <v>1</v>
      </c>
      <c r="J928" s="108">
        <v>0</v>
      </c>
      <c r="K928" s="41">
        <v>0</v>
      </c>
      <c r="L928" s="41">
        <v>55</v>
      </c>
      <c r="M928" s="41">
        <v>-1</v>
      </c>
      <c r="N928" s="41">
        <v>4</v>
      </c>
      <c r="O928" s="111" t="s">
        <v>1443</v>
      </c>
      <c r="P928" s="109">
        <v>192458</v>
      </c>
      <c r="Q928" s="41"/>
      <c r="R928" s="111"/>
      <c r="S928" s="110" t="s">
        <v>1625</v>
      </c>
    </row>
    <row r="929" spans="1:19" x14ac:dyDescent="0.3">
      <c r="A929" s="105">
        <v>928</v>
      </c>
      <c r="B929" s="41">
        <v>12000000</v>
      </c>
      <c r="C929" s="41">
        <v>4.8999999999999998E-3</v>
      </c>
      <c r="D929" s="41">
        <v>13.4543</v>
      </c>
      <c r="E929" s="41">
        <v>30</v>
      </c>
      <c r="F929" s="41">
        <v>0</v>
      </c>
      <c r="G929" s="41" t="s">
        <v>104</v>
      </c>
      <c r="H929" s="41">
        <v>0</v>
      </c>
      <c r="I929" s="41">
        <v>1</v>
      </c>
      <c r="J929" s="108">
        <v>0</v>
      </c>
      <c r="K929" s="41">
        <v>0</v>
      </c>
      <c r="L929" s="41">
        <v>55</v>
      </c>
      <c r="M929" s="41">
        <v>-1</v>
      </c>
      <c r="N929" s="41">
        <v>4</v>
      </c>
      <c r="O929" s="111" t="s">
        <v>1444</v>
      </c>
      <c r="P929" s="109">
        <v>192458</v>
      </c>
      <c r="Q929" s="41"/>
      <c r="R929" s="111"/>
      <c r="S929" s="110" t="s">
        <v>1625</v>
      </c>
    </row>
    <row r="930" spans="1:19" x14ac:dyDescent="0.3">
      <c r="A930" s="105">
        <v>929</v>
      </c>
      <c r="B930" s="41">
        <v>12000000</v>
      </c>
      <c r="C930" s="41">
        <v>4.8999999999999998E-3</v>
      </c>
      <c r="D930" s="41">
        <v>14.6721</v>
      </c>
      <c r="E930" s="41">
        <v>30</v>
      </c>
      <c r="F930" s="41">
        <v>0</v>
      </c>
      <c r="G930" s="41" t="s">
        <v>104</v>
      </c>
      <c r="H930" s="41">
        <v>0</v>
      </c>
      <c r="I930" s="41">
        <v>1</v>
      </c>
      <c r="J930" s="108">
        <v>0</v>
      </c>
      <c r="K930" s="41">
        <v>0</v>
      </c>
      <c r="L930" s="41">
        <v>55</v>
      </c>
      <c r="M930" s="41">
        <v>-1</v>
      </c>
      <c r="N930" s="41">
        <v>4</v>
      </c>
      <c r="O930" s="111" t="s">
        <v>1445</v>
      </c>
      <c r="P930" s="109">
        <v>192458</v>
      </c>
      <c r="Q930" s="41"/>
      <c r="R930" s="111"/>
      <c r="S930" s="110" t="s">
        <v>1625</v>
      </c>
    </row>
    <row r="931" spans="1:19" x14ac:dyDescent="0.3">
      <c r="A931" s="105">
        <v>930</v>
      </c>
      <c r="B931" s="41">
        <v>12000000</v>
      </c>
      <c r="C931" s="41">
        <v>4.8999999999999998E-3</v>
      </c>
      <c r="D931" s="41">
        <v>16</v>
      </c>
      <c r="E931" s="41">
        <v>30</v>
      </c>
      <c r="F931" s="41">
        <v>0</v>
      </c>
      <c r="G931" s="41" t="s">
        <v>104</v>
      </c>
      <c r="H931" s="41">
        <v>0</v>
      </c>
      <c r="I931" s="41">
        <v>1</v>
      </c>
      <c r="J931" s="108">
        <v>0</v>
      </c>
      <c r="K931" s="41">
        <v>0</v>
      </c>
      <c r="L931" s="41">
        <v>55</v>
      </c>
      <c r="M931" s="41">
        <v>-1</v>
      </c>
      <c r="N931" s="41">
        <v>4</v>
      </c>
      <c r="O931" s="111" t="s">
        <v>1446</v>
      </c>
      <c r="P931" s="109">
        <v>192458</v>
      </c>
      <c r="Q931" s="41"/>
      <c r="R931" s="111"/>
      <c r="S931" s="110" t="s">
        <v>1625</v>
      </c>
    </row>
    <row r="932" spans="1:19" x14ac:dyDescent="0.3">
      <c r="A932" s="105">
        <v>931</v>
      </c>
      <c r="B932" s="41">
        <v>12000000</v>
      </c>
      <c r="C932" s="41">
        <v>4.8999999999999998E-3</v>
      </c>
      <c r="D932" s="41">
        <v>17.4481</v>
      </c>
      <c r="E932" s="41">
        <v>30</v>
      </c>
      <c r="F932" s="41">
        <v>0</v>
      </c>
      <c r="G932" s="41" t="s">
        <v>104</v>
      </c>
      <c r="H932" s="41">
        <v>0</v>
      </c>
      <c r="I932" s="41">
        <v>1</v>
      </c>
      <c r="J932" s="108">
        <v>0</v>
      </c>
      <c r="K932" s="41">
        <v>0</v>
      </c>
      <c r="L932" s="41">
        <v>55</v>
      </c>
      <c r="M932" s="41">
        <v>-1</v>
      </c>
      <c r="N932" s="41">
        <v>4</v>
      </c>
      <c r="O932" s="111" t="s">
        <v>1447</v>
      </c>
      <c r="P932" s="109">
        <v>192458</v>
      </c>
      <c r="Q932" s="41"/>
      <c r="R932" s="111"/>
      <c r="S932" s="110" t="s">
        <v>1625</v>
      </c>
    </row>
    <row r="933" spans="1:19" x14ac:dyDescent="0.3">
      <c r="A933" s="105">
        <v>932</v>
      </c>
      <c r="B933" s="41">
        <v>12000000</v>
      </c>
      <c r="C933" s="41">
        <v>4.8999999999999998E-3</v>
      </c>
      <c r="D933" s="41">
        <v>19.0273</v>
      </c>
      <c r="E933" s="41">
        <v>30</v>
      </c>
      <c r="F933" s="41">
        <v>0</v>
      </c>
      <c r="G933" s="41" t="s">
        <v>104</v>
      </c>
      <c r="H933" s="41">
        <v>0</v>
      </c>
      <c r="I933" s="41">
        <v>1</v>
      </c>
      <c r="J933" s="108">
        <v>0</v>
      </c>
      <c r="K933" s="41">
        <v>0</v>
      </c>
      <c r="L933" s="41">
        <v>55</v>
      </c>
      <c r="M933" s="41">
        <v>-1</v>
      </c>
      <c r="N933" s="41">
        <v>4</v>
      </c>
      <c r="O933" s="111" t="s">
        <v>1448</v>
      </c>
      <c r="P933" s="109">
        <v>192458</v>
      </c>
      <c r="Q933" s="41"/>
      <c r="R933" s="111"/>
      <c r="S933" s="110" t="s">
        <v>1625</v>
      </c>
    </row>
    <row r="934" spans="1:19" x14ac:dyDescent="0.3">
      <c r="A934" s="105">
        <v>933</v>
      </c>
      <c r="B934" s="41">
        <v>12000000</v>
      </c>
      <c r="C934" s="41">
        <v>5.4000000000000003E-3</v>
      </c>
      <c r="D934" s="41">
        <v>9.5137</v>
      </c>
      <c r="E934" s="41">
        <v>30</v>
      </c>
      <c r="F934" s="41">
        <v>0</v>
      </c>
      <c r="G934" s="41" t="s">
        <v>104</v>
      </c>
      <c r="H934" s="41">
        <v>0</v>
      </c>
      <c r="I934" s="41">
        <v>1</v>
      </c>
      <c r="J934" s="108">
        <v>0</v>
      </c>
      <c r="K934" s="41">
        <v>0</v>
      </c>
      <c r="L934" s="41">
        <v>55</v>
      </c>
      <c r="M934" s="41">
        <v>-1</v>
      </c>
      <c r="N934" s="41">
        <v>4</v>
      </c>
      <c r="O934" s="111" t="s">
        <v>1449</v>
      </c>
      <c r="P934" s="109">
        <v>192458</v>
      </c>
      <c r="Q934" s="41"/>
      <c r="R934" s="111"/>
      <c r="S934" s="110" t="s">
        <v>1625</v>
      </c>
    </row>
    <row r="935" spans="1:19" x14ac:dyDescent="0.3">
      <c r="A935" s="105">
        <v>934</v>
      </c>
      <c r="B935" s="41">
        <v>12000000</v>
      </c>
      <c r="C935" s="41">
        <v>5.4000000000000003E-3</v>
      </c>
      <c r="D935" s="41">
        <v>10.374700000000001</v>
      </c>
      <c r="E935" s="41">
        <v>30</v>
      </c>
      <c r="F935" s="41">
        <v>0</v>
      </c>
      <c r="G935" s="41" t="s">
        <v>104</v>
      </c>
      <c r="H935" s="41">
        <v>0</v>
      </c>
      <c r="I935" s="41">
        <v>1</v>
      </c>
      <c r="J935" s="108">
        <v>0</v>
      </c>
      <c r="K935" s="41">
        <v>0</v>
      </c>
      <c r="L935" s="41">
        <v>55</v>
      </c>
      <c r="M935" s="41">
        <v>-1</v>
      </c>
      <c r="N935" s="41">
        <v>4</v>
      </c>
      <c r="O935" s="111" t="s">
        <v>1450</v>
      </c>
      <c r="P935" s="109">
        <v>192458</v>
      </c>
      <c r="Q935" s="41"/>
      <c r="R935" s="111"/>
      <c r="S935" s="110" t="s">
        <v>1625</v>
      </c>
    </row>
    <row r="936" spans="1:19" x14ac:dyDescent="0.3">
      <c r="A936" s="105">
        <v>935</v>
      </c>
      <c r="B936" s="41">
        <v>12000000</v>
      </c>
      <c r="C936" s="41">
        <v>5.4000000000000003E-3</v>
      </c>
      <c r="D936" s="41">
        <v>11.313700000000001</v>
      </c>
      <c r="E936" s="41">
        <v>30</v>
      </c>
      <c r="F936" s="41">
        <v>0</v>
      </c>
      <c r="G936" s="41" t="s">
        <v>104</v>
      </c>
      <c r="H936" s="41">
        <v>0</v>
      </c>
      <c r="I936" s="41">
        <v>1</v>
      </c>
      <c r="J936" s="108">
        <v>0</v>
      </c>
      <c r="K936" s="41">
        <v>0</v>
      </c>
      <c r="L936" s="41">
        <v>55</v>
      </c>
      <c r="M936" s="41">
        <v>-1</v>
      </c>
      <c r="N936" s="41">
        <v>4</v>
      </c>
      <c r="O936" s="111" t="s">
        <v>1451</v>
      </c>
      <c r="P936" s="109">
        <v>192458</v>
      </c>
      <c r="Q936" s="41"/>
      <c r="R936" s="111"/>
      <c r="S936" s="110" t="s">
        <v>1625</v>
      </c>
    </row>
    <row r="937" spans="1:19" x14ac:dyDescent="0.3">
      <c r="A937" s="105">
        <v>936</v>
      </c>
      <c r="B937" s="41">
        <v>12000000</v>
      </c>
      <c r="C937" s="41">
        <v>5.4000000000000003E-3</v>
      </c>
      <c r="D937" s="41">
        <v>12.3377</v>
      </c>
      <c r="E937" s="41">
        <v>30</v>
      </c>
      <c r="F937" s="41">
        <v>0</v>
      </c>
      <c r="G937" s="41" t="s">
        <v>104</v>
      </c>
      <c r="H937" s="41">
        <v>0</v>
      </c>
      <c r="I937" s="41">
        <v>1</v>
      </c>
      <c r="J937" s="108">
        <v>0</v>
      </c>
      <c r="K937" s="41">
        <v>0</v>
      </c>
      <c r="L937" s="41">
        <v>55</v>
      </c>
      <c r="M937" s="41">
        <v>-1</v>
      </c>
      <c r="N937" s="41">
        <v>4</v>
      </c>
      <c r="O937" s="111" t="s">
        <v>1452</v>
      </c>
      <c r="P937" s="109">
        <v>192458</v>
      </c>
      <c r="Q937" s="41"/>
      <c r="R937" s="111"/>
      <c r="S937" s="110" t="s">
        <v>1625</v>
      </c>
    </row>
    <row r="938" spans="1:19" x14ac:dyDescent="0.3">
      <c r="A938" s="105">
        <v>937</v>
      </c>
      <c r="B938" s="41">
        <v>12000000</v>
      </c>
      <c r="C938" s="41">
        <v>5.4000000000000003E-3</v>
      </c>
      <c r="D938" s="41">
        <v>13.4543</v>
      </c>
      <c r="E938" s="41">
        <v>30</v>
      </c>
      <c r="F938" s="41">
        <v>0</v>
      </c>
      <c r="G938" s="41" t="s">
        <v>104</v>
      </c>
      <c r="H938" s="41">
        <v>0</v>
      </c>
      <c r="I938" s="41">
        <v>1</v>
      </c>
      <c r="J938" s="108">
        <v>0</v>
      </c>
      <c r="K938" s="41">
        <v>0</v>
      </c>
      <c r="L938" s="41">
        <v>55</v>
      </c>
      <c r="M938" s="41">
        <v>-1</v>
      </c>
      <c r="N938" s="41">
        <v>4</v>
      </c>
      <c r="O938" s="111" t="s">
        <v>1453</v>
      </c>
      <c r="P938" s="109">
        <v>192458</v>
      </c>
      <c r="Q938" s="41"/>
      <c r="R938" s="111"/>
      <c r="S938" s="110" t="s">
        <v>1625</v>
      </c>
    </row>
    <row r="939" spans="1:19" x14ac:dyDescent="0.3">
      <c r="A939" s="105">
        <v>938</v>
      </c>
      <c r="B939" s="41">
        <v>12000000</v>
      </c>
      <c r="C939" s="41">
        <v>5.4000000000000003E-3</v>
      </c>
      <c r="D939" s="41">
        <v>14.6721</v>
      </c>
      <c r="E939" s="41">
        <v>30</v>
      </c>
      <c r="F939" s="41">
        <v>0</v>
      </c>
      <c r="G939" s="41" t="s">
        <v>104</v>
      </c>
      <c r="H939" s="41">
        <v>0</v>
      </c>
      <c r="I939" s="41">
        <v>1</v>
      </c>
      <c r="J939" s="108">
        <v>0</v>
      </c>
      <c r="K939" s="41">
        <v>0</v>
      </c>
      <c r="L939" s="41">
        <v>55</v>
      </c>
      <c r="M939" s="41">
        <v>-1</v>
      </c>
      <c r="N939" s="41">
        <v>4</v>
      </c>
      <c r="O939" s="111" t="s">
        <v>1454</v>
      </c>
      <c r="P939" s="109">
        <v>192458</v>
      </c>
      <c r="Q939" s="41"/>
      <c r="R939" s="111"/>
      <c r="S939" s="110" t="s">
        <v>1625</v>
      </c>
    </row>
    <row r="940" spans="1:19" x14ac:dyDescent="0.3">
      <c r="A940" s="105">
        <v>939</v>
      </c>
      <c r="B940" s="41">
        <v>12000000</v>
      </c>
      <c r="C940" s="41">
        <v>5.4000000000000003E-3</v>
      </c>
      <c r="D940" s="41">
        <v>16</v>
      </c>
      <c r="E940" s="41">
        <v>30</v>
      </c>
      <c r="F940" s="41">
        <v>0</v>
      </c>
      <c r="G940" s="41" t="s">
        <v>104</v>
      </c>
      <c r="H940" s="41">
        <v>0</v>
      </c>
      <c r="I940" s="41">
        <v>1</v>
      </c>
      <c r="J940" s="108">
        <v>0</v>
      </c>
      <c r="K940" s="41">
        <v>0</v>
      </c>
      <c r="L940" s="41">
        <v>55</v>
      </c>
      <c r="M940" s="41">
        <v>-1</v>
      </c>
      <c r="N940" s="41">
        <v>4</v>
      </c>
      <c r="O940" s="111" t="s">
        <v>1455</v>
      </c>
      <c r="P940" s="109">
        <v>192458</v>
      </c>
      <c r="Q940" s="41"/>
      <c r="R940" s="111"/>
      <c r="S940" s="110" t="s">
        <v>1625</v>
      </c>
    </row>
    <row r="941" spans="1:19" x14ac:dyDescent="0.3">
      <c r="A941" s="105">
        <v>940</v>
      </c>
      <c r="B941" s="41">
        <v>12000000</v>
      </c>
      <c r="C941" s="41">
        <v>5.4000000000000003E-3</v>
      </c>
      <c r="D941" s="41">
        <v>17.4481</v>
      </c>
      <c r="E941" s="41">
        <v>30</v>
      </c>
      <c r="F941" s="41">
        <v>0</v>
      </c>
      <c r="G941" s="41" t="s">
        <v>104</v>
      </c>
      <c r="H941" s="41">
        <v>0</v>
      </c>
      <c r="I941" s="41">
        <v>1</v>
      </c>
      <c r="J941" s="108">
        <v>0</v>
      </c>
      <c r="K941" s="41">
        <v>0</v>
      </c>
      <c r="L941" s="41">
        <v>55</v>
      </c>
      <c r="M941" s="41">
        <v>-1</v>
      </c>
      <c r="N941" s="41">
        <v>4</v>
      </c>
      <c r="O941" s="111" t="s">
        <v>1456</v>
      </c>
      <c r="P941" s="109">
        <v>192458</v>
      </c>
      <c r="Q941" s="41"/>
      <c r="R941" s="111"/>
      <c r="S941" s="110" t="s">
        <v>1625</v>
      </c>
    </row>
    <row r="942" spans="1:19" x14ac:dyDescent="0.3">
      <c r="A942" s="105">
        <v>941</v>
      </c>
      <c r="B942" s="41">
        <v>12000000</v>
      </c>
      <c r="C942" s="41">
        <v>5.4000000000000003E-3</v>
      </c>
      <c r="D942" s="41">
        <v>19.0273</v>
      </c>
      <c r="E942" s="41">
        <v>30</v>
      </c>
      <c r="F942" s="41">
        <v>0</v>
      </c>
      <c r="G942" s="41" t="s">
        <v>104</v>
      </c>
      <c r="H942" s="41">
        <v>0</v>
      </c>
      <c r="I942" s="41">
        <v>1</v>
      </c>
      <c r="J942" s="108">
        <v>0</v>
      </c>
      <c r="K942" s="41">
        <v>0</v>
      </c>
      <c r="L942" s="41">
        <v>55</v>
      </c>
      <c r="M942" s="41">
        <v>-1</v>
      </c>
      <c r="N942" s="41">
        <v>4</v>
      </c>
      <c r="O942" s="111" t="s">
        <v>1457</v>
      </c>
      <c r="P942" s="109">
        <v>192458</v>
      </c>
      <c r="Q942" s="41"/>
      <c r="R942" s="111"/>
      <c r="S942" s="110" t="s">
        <v>1625</v>
      </c>
    </row>
    <row r="943" spans="1:19" x14ac:dyDescent="0.3">
      <c r="A943" s="105">
        <v>942</v>
      </c>
      <c r="B943" s="41">
        <v>12000000</v>
      </c>
      <c r="C943" s="41">
        <v>5.8999999999999999E-3</v>
      </c>
      <c r="D943" s="41">
        <v>11.313700000000001</v>
      </c>
      <c r="E943" s="41">
        <v>30</v>
      </c>
      <c r="F943" s="41">
        <v>0</v>
      </c>
      <c r="G943" s="41" t="s">
        <v>104</v>
      </c>
      <c r="H943" s="41">
        <v>0</v>
      </c>
      <c r="I943" s="41">
        <v>1</v>
      </c>
      <c r="J943" s="108">
        <v>0</v>
      </c>
      <c r="K943" s="41">
        <v>0</v>
      </c>
      <c r="L943" s="41">
        <v>55</v>
      </c>
      <c r="M943" s="41">
        <v>-1</v>
      </c>
      <c r="N943" s="41">
        <v>4</v>
      </c>
      <c r="O943" s="111" t="s">
        <v>1458</v>
      </c>
      <c r="P943" s="109">
        <v>192458</v>
      </c>
      <c r="Q943" s="41"/>
      <c r="R943" s="111"/>
      <c r="S943" s="110" t="s">
        <v>1625</v>
      </c>
    </row>
    <row r="944" spans="1:19" x14ac:dyDescent="0.3">
      <c r="A944" s="105">
        <v>943</v>
      </c>
      <c r="B944" s="41">
        <v>12000000</v>
      </c>
      <c r="C944" s="41">
        <v>5.8999999999999999E-3</v>
      </c>
      <c r="D944" s="41">
        <v>12.3377</v>
      </c>
      <c r="E944" s="41">
        <v>30</v>
      </c>
      <c r="F944" s="41">
        <v>0</v>
      </c>
      <c r="G944" s="41" t="s">
        <v>104</v>
      </c>
      <c r="H944" s="41">
        <v>0</v>
      </c>
      <c r="I944" s="41">
        <v>1</v>
      </c>
      <c r="J944" s="108">
        <v>0</v>
      </c>
      <c r="K944" s="41">
        <v>0</v>
      </c>
      <c r="L944" s="41">
        <v>55</v>
      </c>
      <c r="M944" s="41">
        <v>-1</v>
      </c>
      <c r="N944" s="41">
        <v>4</v>
      </c>
      <c r="O944" s="111" t="s">
        <v>1459</v>
      </c>
      <c r="P944" s="109">
        <v>192458</v>
      </c>
      <c r="Q944" s="41"/>
      <c r="R944" s="111"/>
      <c r="S944" s="110" t="s">
        <v>1625</v>
      </c>
    </row>
    <row r="945" spans="1:19" x14ac:dyDescent="0.3">
      <c r="A945" s="105">
        <v>944</v>
      </c>
      <c r="B945" s="41">
        <v>12000000</v>
      </c>
      <c r="C945" s="41">
        <v>5.8999999999999999E-3</v>
      </c>
      <c r="D945" s="41">
        <v>13.4543</v>
      </c>
      <c r="E945" s="41">
        <v>30</v>
      </c>
      <c r="F945" s="41">
        <v>0</v>
      </c>
      <c r="G945" s="41" t="s">
        <v>104</v>
      </c>
      <c r="H945" s="41">
        <v>0</v>
      </c>
      <c r="I945" s="41">
        <v>1</v>
      </c>
      <c r="J945" s="108">
        <v>0</v>
      </c>
      <c r="K945" s="41">
        <v>0</v>
      </c>
      <c r="L945" s="41">
        <v>55</v>
      </c>
      <c r="M945" s="41">
        <v>-1</v>
      </c>
      <c r="N945" s="41">
        <v>4</v>
      </c>
      <c r="O945" s="111" t="s">
        <v>1460</v>
      </c>
      <c r="P945" s="109">
        <v>192458</v>
      </c>
      <c r="Q945" s="41"/>
      <c r="R945" s="111"/>
      <c r="S945" s="110" t="s">
        <v>1625</v>
      </c>
    </row>
    <row r="946" spans="1:19" x14ac:dyDescent="0.3">
      <c r="A946" s="105">
        <v>945</v>
      </c>
      <c r="B946" s="41">
        <v>12000000</v>
      </c>
      <c r="C946" s="41">
        <v>5.8999999999999999E-3</v>
      </c>
      <c r="D946" s="41">
        <v>14.6721</v>
      </c>
      <c r="E946" s="41">
        <v>30</v>
      </c>
      <c r="F946" s="41">
        <v>0</v>
      </c>
      <c r="G946" s="41" t="s">
        <v>104</v>
      </c>
      <c r="H946" s="41">
        <v>0</v>
      </c>
      <c r="I946" s="41">
        <v>1</v>
      </c>
      <c r="J946" s="108">
        <v>0</v>
      </c>
      <c r="K946" s="41">
        <v>0</v>
      </c>
      <c r="L946" s="41">
        <v>55</v>
      </c>
      <c r="M946" s="41">
        <v>-1</v>
      </c>
      <c r="N946" s="41">
        <v>4</v>
      </c>
      <c r="O946" s="111" t="s">
        <v>1461</v>
      </c>
      <c r="P946" s="109">
        <v>192458</v>
      </c>
      <c r="Q946" s="41"/>
      <c r="R946" s="111"/>
      <c r="S946" s="110" t="s">
        <v>1625</v>
      </c>
    </row>
    <row r="947" spans="1:19" x14ac:dyDescent="0.3">
      <c r="A947" s="105">
        <v>946</v>
      </c>
      <c r="B947" s="41">
        <v>12000000</v>
      </c>
      <c r="C947" s="41">
        <v>5.8999999999999999E-3</v>
      </c>
      <c r="D947" s="41">
        <v>16</v>
      </c>
      <c r="E947" s="41">
        <v>30</v>
      </c>
      <c r="F947" s="41">
        <v>0</v>
      </c>
      <c r="G947" s="41" t="s">
        <v>104</v>
      </c>
      <c r="H947" s="41">
        <v>0</v>
      </c>
      <c r="I947" s="41">
        <v>1</v>
      </c>
      <c r="J947" s="108">
        <v>0</v>
      </c>
      <c r="K947" s="41">
        <v>0</v>
      </c>
      <c r="L947" s="41">
        <v>55</v>
      </c>
      <c r="M947" s="41">
        <v>-1</v>
      </c>
      <c r="N947" s="41">
        <v>4</v>
      </c>
      <c r="O947" s="111" t="s">
        <v>1462</v>
      </c>
      <c r="P947" s="109">
        <v>192471</v>
      </c>
      <c r="Q947" s="41"/>
      <c r="R947" s="111"/>
      <c r="S947" s="110" t="s">
        <v>1625</v>
      </c>
    </row>
    <row r="948" spans="1:19" x14ac:dyDescent="0.3">
      <c r="A948" s="105">
        <v>947</v>
      </c>
      <c r="B948" s="41">
        <v>12000000</v>
      </c>
      <c r="C948" s="41">
        <v>5.8999999999999999E-3</v>
      </c>
      <c r="D948" s="41">
        <v>17.4481</v>
      </c>
      <c r="E948" s="41">
        <v>30</v>
      </c>
      <c r="F948" s="41">
        <v>0</v>
      </c>
      <c r="G948" s="41" t="s">
        <v>104</v>
      </c>
      <c r="H948" s="41">
        <v>0</v>
      </c>
      <c r="I948" s="41">
        <v>1</v>
      </c>
      <c r="J948" s="108">
        <v>0</v>
      </c>
      <c r="K948" s="41">
        <v>0</v>
      </c>
      <c r="L948" s="41">
        <v>55</v>
      </c>
      <c r="M948" s="41">
        <v>-1</v>
      </c>
      <c r="N948" s="41">
        <v>4</v>
      </c>
      <c r="O948" s="111" t="s">
        <v>1463</v>
      </c>
      <c r="P948" s="109">
        <v>192471</v>
      </c>
      <c r="Q948" s="41"/>
      <c r="R948" s="111"/>
      <c r="S948" s="110" t="s">
        <v>1625</v>
      </c>
    </row>
    <row r="949" spans="1:19" x14ac:dyDescent="0.3">
      <c r="A949" s="105">
        <v>948</v>
      </c>
      <c r="B949" s="41">
        <v>12000000</v>
      </c>
      <c r="C949" s="41">
        <v>5.8999999999999999E-3</v>
      </c>
      <c r="D949" s="41">
        <v>19.0273</v>
      </c>
      <c r="E949" s="41">
        <v>30</v>
      </c>
      <c r="F949" s="41">
        <v>0</v>
      </c>
      <c r="G949" s="41" t="s">
        <v>104</v>
      </c>
      <c r="H949" s="41">
        <v>0</v>
      </c>
      <c r="I949" s="41">
        <v>1</v>
      </c>
      <c r="J949" s="108">
        <v>0</v>
      </c>
      <c r="K949" s="41">
        <v>0</v>
      </c>
      <c r="L949" s="41">
        <v>55</v>
      </c>
      <c r="M949" s="41">
        <v>-1</v>
      </c>
      <c r="N949" s="41">
        <v>4</v>
      </c>
      <c r="O949" s="111" t="s">
        <v>1464</v>
      </c>
      <c r="P949" s="109">
        <v>192471</v>
      </c>
      <c r="Q949" s="41"/>
      <c r="R949" s="111"/>
      <c r="S949" s="110" t="s">
        <v>1625</v>
      </c>
    </row>
    <row r="950" spans="1:19" x14ac:dyDescent="0.3">
      <c r="A950" s="105">
        <v>949</v>
      </c>
      <c r="B950" s="41">
        <v>12000000</v>
      </c>
      <c r="C950" s="41">
        <v>6.4000000000000003E-3</v>
      </c>
      <c r="D950" s="41">
        <v>13.4543</v>
      </c>
      <c r="E950" s="41">
        <v>30</v>
      </c>
      <c r="F950" s="41">
        <v>0</v>
      </c>
      <c r="G950" s="41" t="s">
        <v>104</v>
      </c>
      <c r="H950" s="41">
        <v>0</v>
      </c>
      <c r="I950" s="41">
        <v>1</v>
      </c>
      <c r="J950" s="108">
        <v>0</v>
      </c>
      <c r="K950" s="41">
        <v>0</v>
      </c>
      <c r="L950" s="41">
        <v>55</v>
      </c>
      <c r="M950" s="41">
        <v>-1</v>
      </c>
      <c r="N950" s="41">
        <v>4</v>
      </c>
      <c r="O950" s="111" t="s">
        <v>1465</v>
      </c>
      <c r="P950" s="109">
        <v>192471</v>
      </c>
      <c r="Q950" s="41"/>
      <c r="R950" s="111"/>
      <c r="S950" s="110" t="s">
        <v>1625</v>
      </c>
    </row>
    <row r="951" spans="1:19" x14ac:dyDescent="0.3">
      <c r="A951" s="105">
        <v>950</v>
      </c>
      <c r="B951" s="41">
        <v>12000000</v>
      </c>
      <c r="C951" s="41">
        <v>6.4000000000000003E-3</v>
      </c>
      <c r="D951" s="41">
        <v>14.6721</v>
      </c>
      <c r="E951" s="41">
        <v>30</v>
      </c>
      <c r="F951" s="41">
        <v>0</v>
      </c>
      <c r="G951" s="41" t="s">
        <v>104</v>
      </c>
      <c r="H951" s="41">
        <v>0</v>
      </c>
      <c r="I951" s="41">
        <v>1</v>
      </c>
      <c r="J951" s="108">
        <v>0</v>
      </c>
      <c r="K951" s="41">
        <v>0</v>
      </c>
      <c r="L951" s="41">
        <v>55</v>
      </c>
      <c r="M951" s="41">
        <v>-1</v>
      </c>
      <c r="N951" s="41">
        <v>4</v>
      </c>
      <c r="O951" s="111" t="s">
        <v>1466</v>
      </c>
      <c r="P951" s="109">
        <v>192471</v>
      </c>
      <c r="Q951" s="41"/>
      <c r="R951" s="111"/>
      <c r="S951" s="110" t="s">
        <v>1625</v>
      </c>
    </row>
    <row r="952" spans="1:19" x14ac:dyDescent="0.3">
      <c r="A952" s="105">
        <v>951</v>
      </c>
      <c r="B952" s="41">
        <v>12000000</v>
      </c>
      <c r="C952" s="41">
        <v>6.4000000000000003E-3</v>
      </c>
      <c r="D952" s="41">
        <v>16</v>
      </c>
      <c r="E952" s="41">
        <v>30</v>
      </c>
      <c r="F952" s="41">
        <v>0</v>
      </c>
      <c r="G952" s="41" t="s">
        <v>104</v>
      </c>
      <c r="H952" s="41">
        <v>0</v>
      </c>
      <c r="I952" s="41">
        <v>1</v>
      </c>
      <c r="J952" s="108">
        <v>0</v>
      </c>
      <c r="K952" s="41">
        <v>0</v>
      </c>
      <c r="L952" s="41">
        <v>55</v>
      </c>
      <c r="M952" s="41">
        <v>-1</v>
      </c>
      <c r="N952" s="41">
        <v>4</v>
      </c>
      <c r="O952" s="111" t="s">
        <v>1467</v>
      </c>
      <c r="P952" s="109">
        <v>192471</v>
      </c>
      <c r="Q952" s="41"/>
      <c r="R952" s="111"/>
      <c r="S952" s="110" t="s">
        <v>1625</v>
      </c>
    </row>
    <row r="953" spans="1:19" x14ac:dyDescent="0.3">
      <c r="A953" s="105">
        <v>952</v>
      </c>
      <c r="B953" s="41">
        <v>12000000</v>
      </c>
      <c r="C953" s="41">
        <v>6.4000000000000003E-3</v>
      </c>
      <c r="D953" s="41">
        <v>17.4481</v>
      </c>
      <c r="E953" s="41">
        <v>30</v>
      </c>
      <c r="F953" s="41">
        <v>0</v>
      </c>
      <c r="G953" s="41" t="s">
        <v>104</v>
      </c>
      <c r="H953" s="41">
        <v>0</v>
      </c>
      <c r="I953" s="41">
        <v>1</v>
      </c>
      <c r="J953" s="108">
        <v>0</v>
      </c>
      <c r="K953" s="41">
        <v>0</v>
      </c>
      <c r="L953" s="41">
        <v>55</v>
      </c>
      <c r="M953" s="41">
        <v>-1</v>
      </c>
      <c r="N953" s="41">
        <v>4</v>
      </c>
      <c r="O953" s="111" t="s">
        <v>1468</v>
      </c>
      <c r="P953" s="109">
        <v>192471</v>
      </c>
      <c r="Q953" s="41"/>
      <c r="R953" s="111"/>
      <c r="S953" s="110" t="s">
        <v>1625</v>
      </c>
    </row>
    <row r="954" spans="1:19" x14ac:dyDescent="0.3">
      <c r="A954" s="105">
        <v>953</v>
      </c>
      <c r="B954" s="41">
        <v>12000000</v>
      </c>
      <c r="C954" s="41">
        <v>6.4000000000000003E-3</v>
      </c>
      <c r="D954" s="41">
        <v>19.0273</v>
      </c>
      <c r="E954" s="41">
        <v>30</v>
      </c>
      <c r="F954" s="41">
        <v>0</v>
      </c>
      <c r="G954" s="41" t="s">
        <v>104</v>
      </c>
      <c r="H954" s="41">
        <v>0</v>
      </c>
      <c r="I954" s="41">
        <v>1</v>
      </c>
      <c r="J954" s="108">
        <v>0</v>
      </c>
      <c r="K954" s="41">
        <v>0</v>
      </c>
      <c r="L954" s="41">
        <v>55</v>
      </c>
      <c r="M954" s="41">
        <v>-1</v>
      </c>
      <c r="N954" s="41">
        <v>4</v>
      </c>
      <c r="O954" s="111" t="s">
        <v>1469</v>
      </c>
      <c r="P954" s="109">
        <v>192471</v>
      </c>
      <c r="Q954" s="41"/>
      <c r="R954" s="111"/>
      <c r="S954" s="110" t="s">
        <v>1625</v>
      </c>
    </row>
    <row r="955" spans="1:19" x14ac:dyDescent="0.3">
      <c r="A955" s="105">
        <v>954</v>
      </c>
      <c r="B955" s="41">
        <v>12000000</v>
      </c>
      <c r="C955" s="41">
        <v>7.0000000000000001E-3</v>
      </c>
      <c r="D955" s="41">
        <v>16</v>
      </c>
      <c r="E955" s="41">
        <v>30</v>
      </c>
      <c r="F955" s="41">
        <v>0</v>
      </c>
      <c r="G955" s="41" t="s">
        <v>104</v>
      </c>
      <c r="H955" s="41">
        <v>0</v>
      </c>
      <c r="I955" s="41">
        <v>1</v>
      </c>
      <c r="J955" s="108">
        <v>0</v>
      </c>
      <c r="K955" s="41">
        <v>0</v>
      </c>
      <c r="L955" s="41">
        <v>55</v>
      </c>
      <c r="M955" s="41">
        <v>-1</v>
      </c>
      <c r="N955" s="41">
        <v>4</v>
      </c>
      <c r="O955" s="111" t="s">
        <v>1470</v>
      </c>
      <c r="P955" s="109">
        <v>192471</v>
      </c>
      <c r="Q955" s="41"/>
      <c r="R955" s="111"/>
      <c r="S955" s="110" t="s">
        <v>1625</v>
      </c>
    </row>
    <row r="956" spans="1:19" x14ac:dyDescent="0.3">
      <c r="A956" s="105">
        <v>955</v>
      </c>
      <c r="B956" s="41">
        <v>12000000</v>
      </c>
      <c r="C956" s="41">
        <v>7.0000000000000001E-3</v>
      </c>
      <c r="D956" s="41">
        <v>17.4481</v>
      </c>
      <c r="E956" s="41">
        <v>30</v>
      </c>
      <c r="F956" s="41">
        <v>0</v>
      </c>
      <c r="G956" s="41" t="s">
        <v>104</v>
      </c>
      <c r="H956" s="41">
        <v>0</v>
      </c>
      <c r="I956" s="41">
        <v>1</v>
      </c>
      <c r="J956" s="108">
        <v>0</v>
      </c>
      <c r="K956" s="41">
        <v>0</v>
      </c>
      <c r="L956" s="41">
        <v>55</v>
      </c>
      <c r="M956" s="41">
        <v>-1</v>
      </c>
      <c r="N956" s="41">
        <v>4</v>
      </c>
      <c r="O956" s="111" t="s">
        <v>1471</v>
      </c>
      <c r="P956" s="109">
        <v>192471</v>
      </c>
      <c r="Q956" s="41"/>
      <c r="R956" s="111"/>
      <c r="S956" s="110" t="s">
        <v>1625</v>
      </c>
    </row>
    <row r="957" spans="1:19" x14ac:dyDescent="0.3">
      <c r="A957" s="105">
        <v>956</v>
      </c>
      <c r="B957" s="41">
        <v>12000000</v>
      </c>
      <c r="C957" s="41">
        <v>7.0000000000000001E-3</v>
      </c>
      <c r="D957" s="41">
        <v>19.0273</v>
      </c>
      <c r="E957" s="41">
        <v>30</v>
      </c>
      <c r="F957" s="41">
        <v>0</v>
      </c>
      <c r="G957" s="41" t="s">
        <v>104</v>
      </c>
      <c r="H957" s="41">
        <v>0</v>
      </c>
      <c r="I957" s="41">
        <v>1</v>
      </c>
      <c r="J957" s="108">
        <v>0</v>
      </c>
      <c r="K957" s="41">
        <v>0</v>
      </c>
      <c r="L957" s="41">
        <v>55</v>
      </c>
      <c r="M957" s="41">
        <v>-1</v>
      </c>
      <c r="N957" s="41">
        <v>4</v>
      </c>
      <c r="O957" s="111" t="s">
        <v>1472</v>
      </c>
      <c r="P957" s="109">
        <v>192471</v>
      </c>
      <c r="Q957" s="41"/>
      <c r="R957" s="111"/>
      <c r="S957" s="110" t="s">
        <v>1625</v>
      </c>
    </row>
    <row r="958" spans="1:19" x14ac:dyDescent="0.3">
      <c r="A958" s="105">
        <v>957</v>
      </c>
      <c r="B958" s="41">
        <v>12000000</v>
      </c>
      <c r="C958" s="41">
        <v>7.6E-3</v>
      </c>
      <c r="D958" s="41">
        <v>19.0273</v>
      </c>
      <c r="E958" s="41">
        <v>30</v>
      </c>
      <c r="F958" s="41">
        <v>0</v>
      </c>
      <c r="G958" s="41" t="s">
        <v>104</v>
      </c>
      <c r="H958" s="41">
        <v>0</v>
      </c>
      <c r="I958" s="41">
        <v>1</v>
      </c>
      <c r="J958" s="108">
        <v>0</v>
      </c>
      <c r="K958" s="41">
        <v>0</v>
      </c>
      <c r="L958" s="41">
        <v>55</v>
      </c>
      <c r="M958" s="41">
        <v>-1</v>
      </c>
      <c r="N958" s="41">
        <v>4</v>
      </c>
      <c r="O958" s="111" t="s">
        <v>1473</v>
      </c>
      <c r="P958" s="109">
        <v>192471</v>
      </c>
      <c r="Q958" s="41"/>
      <c r="R958" s="111"/>
      <c r="S958" s="110" t="s">
        <v>1625</v>
      </c>
    </row>
    <row r="959" spans="1:19" x14ac:dyDescent="0.3">
      <c r="A959" s="105">
        <v>958</v>
      </c>
      <c r="B959" s="41">
        <v>12000000</v>
      </c>
      <c r="C959" s="41">
        <v>2.8999999999999998E-3</v>
      </c>
      <c r="D959" s="41">
        <v>3.3635999999999999</v>
      </c>
      <c r="E959" s="41">
        <v>30</v>
      </c>
      <c r="F959" s="41">
        <v>0</v>
      </c>
      <c r="G959" s="41" t="s">
        <v>104</v>
      </c>
      <c r="H959" s="41">
        <v>0</v>
      </c>
      <c r="I959" s="41">
        <v>1</v>
      </c>
      <c r="J959" s="108">
        <f>POWER(POWER(Table2[[#This Row],[mv]],4)/10,0.25)</f>
        <v>1.6307898430520129E-3</v>
      </c>
      <c r="K959" s="41">
        <v>0</v>
      </c>
      <c r="L959" s="41">
        <v>55</v>
      </c>
      <c r="M959" s="41">
        <v>-1</v>
      </c>
      <c r="N959" s="41">
        <v>4</v>
      </c>
      <c r="O959" s="111" t="s">
        <v>1477</v>
      </c>
      <c r="P959" s="109">
        <v>192471</v>
      </c>
      <c r="Q959" s="41"/>
      <c r="R959" s="111"/>
      <c r="S959" s="110" t="s">
        <v>1625</v>
      </c>
    </row>
    <row r="960" spans="1:19" x14ac:dyDescent="0.3">
      <c r="A960" s="105">
        <v>959</v>
      </c>
      <c r="B960" s="41">
        <v>12000000</v>
      </c>
      <c r="C960" s="41">
        <v>2.8999999999999998E-3</v>
      </c>
      <c r="D960" s="41">
        <v>3.6680000000000001</v>
      </c>
      <c r="E960" s="41">
        <v>30</v>
      </c>
      <c r="F960" s="41">
        <v>0</v>
      </c>
      <c r="G960" s="41" t="s">
        <v>104</v>
      </c>
      <c r="H960" s="41">
        <v>0</v>
      </c>
      <c r="I960" s="41">
        <v>1</v>
      </c>
      <c r="J960" s="108">
        <f>POWER(POWER(Table2[[#This Row],[mv]],4)/10,0.25)</f>
        <v>1.6307898430520129E-3</v>
      </c>
      <c r="K960" s="41">
        <v>0</v>
      </c>
      <c r="L960" s="41">
        <v>55</v>
      </c>
      <c r="M960" s="41">
        <v>-1</v>
      </c>
      <c r="N960" s="41">
        <v>4</v>
      </c>
      <c r="O960" s="111" t="s">
        <v>1478</v>
      </c>
      <c r="P960" s="109">
        <v>192471</v>
      </c>
      <c r="Q960" s="41"/>
      <c r="R960" s="111"/>
      <c r="S960" s="110" t="s">
        <v>1625</v>
      </c>
    </row>
    <row r="961" spans="1:19" x14ac:dyDescent="0.3">
      <c r="A961" s="105">
        <v>960</v>
      </c>
      <c r="B961" s="41">
        <v>12000000</v>
      </c>
      <c r="C961" s="41">
        <v>2.8999999999999998E-3</v>
      </c>
      <c r="D961" s="41">
        <v>4</v>
      </c>
      <c r="E961" s="41">
        <v>30</v>
      </c>
      <c r="F961" s="41">
        <v>0</v>
      </c>
      <c r="G961" s="41" t="s">
        <v>104</v>
      </c>
      <c r="H961" s="41">
        <v>0</v>
      </c>
      <c r="I961" s="41">
        <v>1</v>
      </c>
      <c r="J961" s="108">
        <f>POWER(POWER(Table2[[#This Row],[mv]],4)/10,0.25)</f>
        <v>1.6307898430520129E-3</v>
      </c>
      <c r="K961" s="41">
        <v>0</v>
      </c>
      <c r="L961" s="41">
        <v>55</v>
      </c>
      <c r="M961" s="41">
        <v>-1</v>
      </c>
      <c r="N961" s="41">
        <v>4</v>
      </c>
      <c r="O961" s="111" t="s">
        <v>1479</v>
      </c>
      <c r="P961" s="109">
        <v>192471</v>
      </c>
      <c r="Q961" s="41"/>
      <c r="R961" s="111"/>
      <c r="S961" s="110" t="s">
        <v>1625</v>
      </c>
    </row>
    <row r="962" spans="1:19" x14ac:dyDescent="0.3">
      <c r="A962" s="105">
        <v>961</v>
      </c>
      <c r="B962" s="41">
        <v>12000000</v>
      </c>
      <c r="C962" s="41">
        <v>2.8999999999999998E-3</v>
      </c>
      <c r="D962" s="41">
        <v>4.3620000000000001</v>
      </c>
      <c r="E962" s="41">
        <v>30</v>
      </c>
      <c r="F962" s="41">
        <v>0</v>
      </c>
      <c r="G962" s="41" t="s">
        <v>104</v>
      </c>
      <c r="H962" s="41">
        <v>0</v>
      </c>
      <c r="I962" s="41">
        <v>1</v>
      </c>
      <c r="J962" s="108">
        <f>POWER(POWER(Table2[[#This Row],[mv]],4)/10,0.25)</f>
        <v>1.6307898430520129E-3</v>
      </c>
      <c r="K962" s="41">
        <v>0</v>
      </c>
      <c r="L962" s="41">
        <v>55</v>
      </c>
      <c r="M962" s="41">
        <v>-1</v>
      </c>
      <c r="N962" s="41">
        <v>4</v>
      </c>
      <c r="O962" s="111" t="s">
        <v>1480</v>
      </c>
      <c r="P962" s="109">
        <v>192471</v>
      </c>
      <c r="Q962" s="41"/>
      <c r="R962" s="111"/>
      <c r="S962" s="110" t="s">
        <v>1625</v>
      </c>
    </row>
    <row r="963" spans="1:19" x14ac:dyDescent="0.3">
      <c r="A963" s="105">
        <v>962</v>
      </c>
      <c r="B963" s="41">
        <v>12000000</v>
      </c>
      <c r="C963" s="41">
        <v>2.8999999999999998E-3</v>
      </c>
      <c r="D963" s="41">
        <v>4.7568000000000001</v>
      </c>
      <c r="E963" s="41">
        <v>30</v>
      </c>
      <c r="F963" s="41">
        <v>0</v>
      </c>
      <c r="G963" s="41" t="s">
        <v>104</v>
      </c>
      <c r="H963" s="41">
        <v>0</v>
      </c>
      <c r="I963" s="41">
        <v>1</v>
      </c>
      <c r="J963" s="108">
        <f>POWER(POWER(Table2[[#This Row],[mv]],4)/10,0.25)</f>
        <v>1.6307898430520129E-3</v>
      </c>
      <c r="K963" s="41">
        <v>0</v>
      </c>
      <c r="L963" s="41">
        <v>55</v>
      </c>
      <c r="M963" s="41">
        <v>-1</v>
      </c>
      <c r="N963" s="41">
        <v>4</v>
      </c>
      <c r="O963" s="111" t="s">
        <v>1481</v>
      </c>
      <c r="P963" s="109">
        <v>192471</v>
      </c>
      <c r="Q963" s="41"/>
      <c r="R963" s="111"/>
      <c r="S963" s="110" t="s">
        <v>1625</v>
      </c>
    </row>
    <row r="964" spans="1:19" x14ac:dyDescent="0.3">
      <c r="A964" s="105">
        <v>963</v>
      </c>
      <c r="B964" s="41">
        <v>12000000</v>
      </c>
      <c r="C964" s="41">
        <v>2.8999999999999998E-3</v>
      </c>
      <c r="D964" s="41">
        <v>5.1874000000000002</v>
      </c>
      <c r="E964" s="41">
        <v>30</v>
      </c>
      <c r="F964" s="41">
        <v>0</v>
      </c>
      <c r="G964" s="41" t="s">
        <v>104</v>
      </c>
      <c r="H964" s="41">
        <v>0</v>
      </c>
      <c r="I964" s="41">
        <v>1</v>
      </c>
      <c r="J964" s="108">
        <f>POWER(POWER(Table2[[#This Row],[mv]],4)/10,0.25)</f>
        <v>1.6307898430520129E-3</v>
      </c>
      <c r="K964" s="41">
        <v>0</v>
      </c>
      <c r="L964" s="41">
        <v>55</v>
      </c>
      <c r="M964" s="41">
        <v>-1</v>
      </c>
      <c r="N964" s="41">
        <v>4</v>
      </c>
      <c r="O964" s="111" t="s">
        <v>1482</v>
      </c>
      <c r="P964" s="109">
        <v>192471</v>
      </c>
      <c r="Q964" s="41"/>
      <c r="R964" s="111"/>
      <c r="S964" s="110" t="s">
        <v>1625</v>
      </c>
    </row>
    <row r="965" spans="1:19" x14ac:dyDescent="0.3">
      <c r="A965" s="105">
        <v>964</v>
      </c>
      <c r="B965" s="41">
        <v>12000000</v>
      </c>
      <c r="C965" s="41">
        <v>2.8999999999999998E-3</v>
      </c>
      <c r="D965" s="41">
        <v>5.6569000000000003</v>
      </c>
      <c r="E965" s="41">
        <v>30</v>
      </c>
      <c r="F965" s="41">
        <v>0</v>
      </c>
      <c r="G965" s="41" t="s">
        <v>104</v>
      </c>
      <c r="H965" s="41">
        <v>0</v>
      </c>
      <c r="I965" s="41">
        <v>1</v>
      </c>
      <c r="J965" s="108">
        <f>POWER(POWER(Table2[[#This Row],[mv]],4)/10,0.25)</f>
        <v>1.6307898430520129E-3</v>
      </c>
      <c r="K965" s="41">
        <v>0</v>
      </c>
      <c r="L965" s="41">
        <v>55</v>
      </c>
      <c r="M965" s="41">
        <v>-1</v>
      </c>
      <c r="N965" s="41">
        <v>4</v>
      </c>
      <c r="O965" s="111" t="s">
        <v>1483</v>
      </c>
      <c r="P965" s="109">
        <v>192471</v>
      </c>
      <c r="Q965" s="41"/>
      <c r="R965" s="111"/>
      <c r="S965" s="110" t="s">
        <v>1625</v>
      </c>
    </row>
    <row r="966" spans="1:19" x14ac:dyDescent="0.3">
      <c r="A966" s="105">
        <v>965</v>
      </c>
      <c r="B966" s="41">
        <v>12000000</v>
      </c>
      <c r="C966" s="41">
        <v>2.8999999999999998E-3</v>
      </c>
      <c r="D966" s="41">
        <v>6.1688000000000001</v>
      </c>
      <c r="E966" s="41">
        <v>30</v>
      </c>
      <c r="F966" s="41">
        <v>0</v>
      </c>
      <c r="G966" s="41" t="s">
        <v>104</v>
      </c>
      <c r="H966" s="41">
        <v>0</v>
      </c>
      <c r="I966" s="41">
        <v>1</v>
      </c>
      <c r="J966" s="108">
        <f>POWER(POWER(Table2[[#This Row],[mv]],4)/10,0.25)</f>
        <v>1.6307898430520129E-3</v>
      </c>
      <c r="K966" s="41">
        <v>0</v>
      </c>
      <c r="L966" s="41">
        <v>55</v>
      </c>
      <c r="M966" s="41">
        <v>-1</v>
      </c>
      <c r="N966" s="41">
        <v>4</v>
      </c>
      <c r="O966" s="111" t="s">
        <v>1484</v>
      </c>
      <c r="P966" s="109">
        <v>192471</v>
      </c>
      <c r="Q966" s="41"/>
      <c r="R966" s="111"/>
      <c r="S966" s="110" t="s">
        <v>1625</v>
      </c>
    </row>
    <row r="967" spans="1:19" x14ac:dyDescent="0.3">
      <c r="A967" s="105">
        <v>966</v>
      </c>
      <c r="B967" s="41">
        <v>12000000</v>
      </c>
      <c r="C967" s="41">
        <v>2.8999999999999998E-3</v>
      </c>
      <c r="D967" s="41">
        <v>6.7271999999999998</v>
      </c>
      <c r="E967" s="41">
        <v>30</v>
      </c>
      <c r="F967" s="41">
        <v>0</v>
      </c>
      <c r="G967" s="41" t="s">
        <v>104</v>
      </c>
      <c r="H967" s="41">
        <v>0</v>
      </c>
      <c r="I967" s="41">
        <v>1</v>
      </c>
      <c r="J967" s="108">
        <f>POWER(POWER(Table2[[#This Row],[mv]],4)/10,0.25)</f>
        <v>1.6307898430520129E-3</v>
      </c>
      <c r="K967" s="41">
        <v>0</v>
      </c>
      <c r="L967" s="41">
        <v>55</v>
      </c>
      <c r="M967" s="41">
        <v>-1</v>
      </c>
      <c r="N967" s="41">
        <v>4</v>
      </c>
      <c r="O967" s="111" t="s">
        <v>1485</v>
      </c>
      <c r="P967" s="109">
        <v>192471</v>
      </c>
      <c r="Q967" s="41"/>
      <c r="R967" s="111"/>
      <c r="S967" s="110" t="s">
        <v>1625</v>
      </c>
    </row>
    <row r="968" spans="1:19" x14ac:dyDescent="0.3">
      <c r="A968" s="105">
        <v>967</v>
      </c>
      <c r="B968" s="41">
        <v>12000000</v>
      </c>
      <c r="C968" s="41">
        <v>2.8999999999999998E-3</v>
      </c>
      <c r="D968" s="41">
        <v>7.3360000000000003</v>
      </c>
      <c r="E968" s="41">
        <v>30</v>
      </c>
      <c r="F968" s="41">
        <v>0</v>
      </c>
      <c r="G968" s="41" t="s">
        <v>104</v>
      </c>
      <c r="H968" s="41">
        <v>0</v>
      </c>
      <c r="I968" s="41">
        <v>1</v>
      </c>
      <c r="J968" s="108">
        <f>POWER(POWER(Table2[[#This Row],[mv]],4)/10,0.25)</f>
        <v>1.6307898430520129E-3</v>
      </c>
      <c r="K968" s="41">
        <v>0</v>
      </c>
      <c r="L968" s="41">
        <v>55</v>
      </c>
      <c r="M968" s="41">
        <v>-1</v>
      </c>
      <c r="N968" s="41">
        <v>4</v>
      </c>
      <c r="O968" s="111" t="s">
        <v>1486</v>
      </c>
      <c r="P968" s="109">
        <v>192471</v>
      </c>
      <c r="Q968" s="41"/>
      <c r="R968" s="111"/>
      <c r="S968" s="110" t="s">
        <v>1625</v>
      </c>
    </row>
    <row r="969" spans="1:19" x14ac:dyDescent="0.3">
      <c r="A969" s="105">
        <v>968</v>
      </c>
      <c r="B969" s="41">
        <v>12000000</v>
      </c>
      <c r="C969" s="41">
        <v>2.8999999999999998E-3</v>
      </c>
      <c r="D969" s="41">
        <v>8</v>
      </c>
      <c r="E969" s="41">
        <v>30</v>
      </c>
      <c r="F969" s="41">
        <v>0</v>
      </c>
      <c r="G969" s="41" t="s">
        <v>104</v>
      </c>
      <c r="H969" s="41">
        <v>0</v>
      </c>
      <c r="I969" s="41">
        <v>1</v>
      </c>
      <c r="J969" s="108">
        <f>POWER(POWER(Table2[[#This Row],[mv]],4)/10,0.25)</f>
        <v>1.6307898430520129E-3</v>
      </c>
      <c r="K969" s="41">
        <v>0</v>
      </c>
      <c r="L969" s="41">
        <v>55</v>
      </c>
      <c r="M969" s="41">
        <v>-1</v>
      </c>
      <c r="N969" s="41">
        <v>4</v>
      </c>
      <c r="O969" s="111" t="s">
        <v>1487</v>
      </c>
      <c r="P969" s="109">
        <v>192471</v>
      </c>
      <c r="Q969" s="41"/>
      <c r="R969" s="111"/>
      <c r="S969" s="110" t="s">
        <v>1625</v>
      </c>
    </row>
    <row r="970" spans="1:19" x14ac:dyDescent="0.3">
      <c r="A970" s="105">
        <v>969</v>
      </c>
      <c r="B970" s="41">
        <v>12000000</v>
      </c>
      <c r="C970" s="41">
        <v>2.8999999999999998E-3</v>
      </c>
      <c r="D970" s="41">
        <v>8.7241</v>
      </c>
      <c r="E970" s="41">
        <v>30</v>
      </c>
      <c r="F970" s="41">
        <v>0</v>
      </c>
      <c r="G970" s="41" t="s">
        <v>104</v>
      </c>
      <c r="H970" s="41">
        <v>0</v>
      </c>
      <c r="I970" s="41">
        <v>1</v>
      </c>
      <c r="J970" s="108">
        <f>POWER(POWER(Table2[[#This Row],[mv]],4)/10,0.25)</f>
        <v>1.6307898430520129E-3</v>
      </c>
      <c r="K970" s="41">
        <v>0</v>
      </c>
      <c r="L970" s="41">
        <v>55</v>
      </c>
      <c r="M970" s="41">
        <v>-1</v>
      </c>
      <c r="N970" s="41">
        <v>4</v>
      </c>
      <c r="O970" s="111" t="s">
        <v>1488</v>
      </c>
      <c r="P970" s="109">
        <v>192471</v>
      </c>
      <c r="Q970" s="41"/>
      <c r="R970" s="111"/>
      <c r="S970" s="110" t="s">
        <v>1625</v>
      </c>
    </row>
    <row r="971" spans="1:19" x14ac:dyDescent="0.3">
      <c r="A971" s="105">
        <v>970</v>
      </c>
      <c r="B971" s="41">
        <v>12000000</v>
      </c>
      <c r="C971" s="41">
        <v>2.8999999999999998E-3</v>
      </c>
      <c r="D971" s="41">
        <v>9.5137</v>
      </c>
      <c r="E971" s="41">
        <v>30</v>
      </c>
      <c r="F971" s="41">
        <v>0</v>
      </c>
      <c r="G971" s="41" t="s">
        <v>104</v>
      </c>
      <c r="H971" s="41">
        <v>0</v>
      </c>
      <c r="I971" s="41">
        <v>1</v>
      </c>
      <c r="J971" s="108">
        <f>POWER(POWER(Table2[[#This Row],[mv]],4)/10,0.25)</f>
        <v>1.6307898430520129E-3</v>
      </c>
      <c r="K971" s="41">
        <v>0</v>
      </c>
      <c r="L971" s="41">
        <v>55</v>
      </c>
      <c r="M971" s="41">
        <v>-1</v>
      </c>
      <c r="N971" s="41">
        <v>4</v>
      </c>
      <c r="O971" s="111" t="s">
        <v>1489</v>
      </c>
      <c r="P971" s="109">
        <v>192471</v>
      </c>
      <c r="Q971" s="41"/>
      <c r="R971" s="111"/>
      <c r="S971" s="110" t="s">
        <v>1625</v>
      </c>
    </row>
    <row r="972" spans="1:19" x14ac:dyDescent="0.3">
      <c r="A972" s="105">
        <v>971</v>
      </c>
      <c r="B972" s="41">
        <v>12000000</v>
      </c>
      <c r="C972" s="41">
        <v>2.8999999999999998E-3</v>
      </c>
      <c r="D972" s="41">
        <v>10.374700000000001</v>
      </c>
      <c r="E972" s="41">
        <v>30</v>
      </c>
      <c r="F972" s="41">
        <v>0</v>
      </c>
      <c r="G972" s="41" t="s">
        <v>104</v>
      </c>
      <c r="H972" s="41">
        <v>0</v>
      </c>
      <c r="I972" s="41">
        <v>1</v>
      </c>
      <c r="J972" s="108">
        <f>POWER(POWER(Table2[[#This Row],[mv]],4)/10,0.25)</f>
        <v>1.6307898430520129E-3</v>
      </c>
      <c r="K972" s="41">
        <v>0</v>
      </c>
      <c r="L972" s="41">
        <v>55</v>
      </c>
      <c r="M972" s="41">
        <v>-1</v>
      </c>
      <c r="N972" s="41">
        <v>4</v>
      </c>
      <c r="O972" s="111" t="s">
        <v>1490</v>
      </c>
      <c r="P972" s="109">
        <v>192471</v>
      </c>
      <c r="Q972" s="41"/>
      <c r="R972" s="111"/>
      <c r="S972" s="110" t="s">
        <v>1625</v>
      </c>
    </row>
    <row r="973" spans="1:19" x14ac:dyDescent="0.3">
      <c r="A973" s="105">
        <v>972</v>
      </c>
      <c r="B973" s="41">
        <v>12000000</v>
      </c>
      <c r="C973" s="41">
        <v>2.8999999999999998E-3</v>
      </c>
      <c r="D973" s="41">
        <v>11.313700000000001</v>
      </c>
      <c r="E973" s="41">
        <v>30</v>
      </c>
      <c r="F973" s="41">
        <v>0</v>
      </c>
      <c r="G973" s="41" t="s">
        <v>104</v>
      </c>
      <c r="H973" s="41">
        <v>0</v>
      </c>
      <c r="I973" s="41">
        <v>1</v>
      </c>
      <c r="J973" s="108">
        <f>POWER(POWER(Table2[[#This Row],[mv]],4)/10,0.25)</f>
        <v>1.6307898430520129E-3</v>
      </c>
      <c r="K973" s="41">
        <v>0</v>
      </c>
      <c r="L973" s="41">
        <v>55</v>
      </c>
      <c r="M973" s="41">
        <v>-1</v>
      </c>
      <c r="N973" s="41">
        <v>4</v>
      </c>
      <c r="O973" s="111" t="s">
        <v>1491</v>
      </c>
      <c r="P973" s="109">
        <v>192471</v>
      </c>
      <c r="Q973" s="41"/>
      <c r="R973" s="111"/>
      <c r="S973" s="110" t="s">
        <v>1625</v>
      </c>
    </row>
    <row r="974" spans="1:19" x14ac:dyDescent="0.3">
      <c r="A974" s="105">
        <v>973</v>
      </c>
      <c r="B974" s="41">
        <v>12000000</v>
      </c>
      <c r="C974" s="41">
        <v>2.8999999999999998E-3</v>
      </c>
      <c r="D974" s="41">
        <v>12.3377</v>
      </c>
      <c r="E974" s="41">
        <v>30</v>
      </c>
      <c r="F974" s="41">
        <v>0</v>
      </c>
      <c r="G974" s="41" t="s">
        <v>104</v>
      </c>
      <c r="H974" s="41">
        <v>0</v>
      </c>
      <c r="I974" s="41">
        <v>1</v>
      </c>
      <c r="J974" s="108">
        <f>POWER(POWER(Table2[[#This Row],[mv]],4)/10,0.25)</f>
        <v>1.6307898430520129E-3</v>
      </c>
      <c r="K974" s="41">
        <v>0</v>
      </c>
      <c r="L974" s="41">
        <v>55</v>
      </c>
      <c r="M974" s="41">
        <v>-1</v>
      </c>
      <c r="N974" s="41">
        <v>4</v>
      </c>
      <c r="O974" s="111" t="s">
        <v>1492</v>
      </c>
      <c r="P974" s="109">
        <v>192471</v>
      </c>
      <c r="Q974" s="41"/>
      <c r="R974" s="111"/>
      <c r="S974" s="110" t="s">
        <v>1625</v>
      </c>
    </row>
    <row r="975" spans="1:19" x14ac:dyDescent="0.3">
      <c r="A975" s="105">
        <v>974</v>
      </c>
      <c r="B975" s="41">
        <v>12000000</v>
      </c>
      <c r="C975" s="41">
        <v>2.8999999999999998E-3</v>
      </c>
      <c r="D975" s="41">
        <v>13.4543</v>
      </c>
      <c r="E975" s="41">
        <v>30</v>
      </c>
      <c r="F975" s="41">
        <v>0</v>
      </c>
      <c r="G975" s="41" t="s">
        <v>104</v>
      </c>
      <c r="H975" s="41">
        <v>0</v>
      </c>
      <c r="I975" s="41">
        <v>1</v>
      </c>
      <c r="J975" s="108">
        <f>POWER(POWER(Table2[[#This Row],[mv]],4)/10,0.25)</f>
        <v>1.6307898430520129E-3</v>
      </c>
      <c r="K975" s="41">
        <v>0</v>
      </c>
      <c r="L975" s="41">
        <v>55</v>
      </c>
      <c r="M975" s="41">
        <v>-1</v>
      </c>
      <c r="N975" s="41">
        <v>4</v>
      </c>
      <c r="O975" s="111" t="s">
        <v>1493</v>
      </c>
      <c r="P975" s="109">
        <v>192471</v>
      </c>
      <c r="Q975" s="41"/>
      <c r="R975" s="111"/>
      <c r="S975" s="110" t="s">
        <v>1625</v>
      </c>
    </row>
    <row r="976" spans="1:19" x14ac:dyDescent="0.3">
      <c r="A976" s="105">
        <v>975</v>
      </c>
      <c r="B976" s="41">
        <v>12000000</v>
      </c>
      <c r="C976" s="41">
        <v>2.8999999999999998E-3</v>
      </c>
      <c r="D976" s="41">
        <v>14.6721</v>
      </c>
      <c r="E976" s="41">
        <v>30</v>
      </c>
      <c r="F976" s="41">
        <v>0</v>
      </c>
      <c r="G976" s="41" t="s">
        <v>104</v>
      </c>
      <c r="H976" s="41">
        <v>0</v>
      </c>
      <c r="I976" s="41">
        <v>1</v>
      </c>
      <c r="J976" s="108">
        <f>POWER(POWER(Table2[[#This Row],[mv]],4)/10,0.25)</f>
        <v>1.6307898430520129E-3</v>
      </c>
      <c r="K976" s="41">
        <v>0</v>
      </c>
      <c r="L976" s="41">
        <v>55</v>
      </c>
      <c r="M976" s="41">
        <v>-1</v>
      </c>
      <c r="N976" s="41">
        <v>4</v>
      </c>
      <c r="O976" s="111" t="s">
        <v>1494</v>
      </c>
      <c r="P976" s="109">
        <v>192471</v>
      </c>
      <c r="Q976" s="41"/>
      <c r="R976" s="111"/>
      <c r="S976" s="110" t="s">
        <v>1625</v>
      </c>
    </row>
    <row r="977" spans="1:19" x14ac:dyDescent="0.3">
      <c r="A977" s="105">
        <v>976</v>
      </c>
      <c r="B977" s="41">
        <v>12000000</v>
      </c>
      <c r="C977" s="41">
        <v>2.8999999999999998E-3</v>
      </c>
      <c r="D977" s="41">
        <v>16</v>
      </c>
      <c r="E977" s="41">
        <v>30</v>
      </c>
      <c r="F977" s="41">
        <v>0</v>
      </c>
      <c r="G977" s="41" t="s">
        <v>104</v>
      </c>
      <c r="H977" s="41">
        <v>0</v>
      </c>
      <c r="I977" s="41">
        <v>1</v>
      </c>
      <c r="J977" s="108">
        <f>POWER(POWER(Table2[[#This Row],[mv]],4)/10,0.25)</f>
        <v>1.6307898430520129E-3</v>
      </c>
      <c r="K977" s="41">
        <v>0</v>
      </c>
      <c r="L977" s="41">
        <v>55</v>
      </c>
      <c r="M977" s="41">
        <v>-1</v>
      </c>
      <c r="N977" s="41">
        <v>4</v>
      </c>
      <c r="O977" s="111" t="s">
        <v>1495</v>
      </c>
      <c r="P977" s="109">
        <v>192472</v>
      </c>
      <c r="Q977" s="41"/>
      <c r="R977" s="111"/>
      <c r="S977" s="110" t="s">
        <v>1625</v>
      </c>
    </row>
    <row r="978" spans="1:19" x14ac:dyDescent="0.3">
      <c r="A978" s="105">
        <v>977</v>
      </c>
      <c r="B978" s="41">
        <v>12000000</v>
      </c>
      <c r="C978" s="41">
        <v>2.8999999999999998E-3</v>
      </c>
      <c r="D978" s="41">
        <v>17.4481</v>
      </c>
      <c r="E978" s="41">
        <v>30</v>
      </c>
      <c r="F978" s="41">
        <v>0</v>
      </c>
      <c r="G978" s="41" t="s">
        <v>104</v>
      </c>
      <c r="H978" s="41">
        <v>0</v>
      </c>
      <c r="I978" s="41">
        <v>1</v>
      </c>
      <c r="J978" s="108">
        <f>POWER(POWER(Table2[[#This Row],[mv]],4)/10,0.25)</f>
        <v>1.6307898430520129E-3</v>
      </c>
      <c r="K978" s="41">
        <v>0</v>
      </c>
      <c r="L978" s="41">
        <v>55</v>
      </c>
      <c r="M978" s="41">
        <v>-1</v>
      </c>
      <c r="N978" s="41">
        <v>4</v>
      </c>
      <c r="O978" s="111" t="s">
        <v>1496</v>
      </c>
      <c r="P978" s="109">
        <v>192472</v>
      </c>
      <c r="Q978" s="41"/>
      <c r="R978" s="111"/>
      <c r="S978" s="110" t="s">
        <v>1625</v>
      </c>
    </row>
    <row r="979" spans="1:19" x14ac:dyDescent="0.3">
      <c r="A979" s="105">
        <v>978</v>
      </c>
      <c r="B979" s="41">
        <v>12000000</v>
      </c>
      <c r="C979" s="41">
        <v>2.8999999999999998E-3</v>
      </c>
      <c r="D979" s="41">
        <v>19.0273</v>
      </c>
      <c r="E979" s="41">
        <v>30</v>
      </c>
      <c r="F979" s="41">
        <v>0</v>
      </c>
      <c r="G979" s="41" t="s">
        <v>104</v>
      </c>
      <c r="H979" s="41">
        <v>0</v>
      </c>
      <c r="I979" s="41">
        <v>1</v>
      </c>
      <c r="J979" s="108">
        <f>POWER(POWER(Table2[[#This Row],[mv]],4)/10,0.25)</f>
        <v>1.6307898430520129E-3</v>
      </c>
      <c r="K979" s="41">
        <v>0</v>
      </c>
      <c r="L979" s="41">
        <v>55</v>
      </c>
      <c r="M979" s="41">
        <v>-1</v>
      </c>
      <c r="N979" s="41">
        <v>4</v>
      </c>
      <c r="O979" s="111" t="s">
        <v>1497</v>
      </c>
      <c r="P979" s="109">
        <v>192472</v>
      </c>
      <c r="Q979" s="41"/>
      <c r="R979" s="111"/>
      <c r="S979" s="110" t="s">
        <v>1625</v>
      </c>
    </row>
    <row r="980" spans="1:19" x14ac:dyDescent="0.3">
      <c r="A980" s="105">
        <v>979</v>
      </c>
      <c r="B980" s="41">
        <v>12000000</v>
      </c>
      <c r="C980" s="41">
        <v>3.2000000000000002E-3</v>
      </c>
      <c r="D980" s="41">
        <v>3.3635999999999999</v>
      </c>
      <c r="E980" s="41">
        <v>30</v>
      </c>
      <c r="F980" s="41">
        <v>0</v>
      </c>
      <c r="G980" s="41" t="s">
        <v>104</v>
      </c>
      <c r="H980" s="41">
        <v>0</v>
      </c>
      <c r="I980" s="41">
        <v>1</v>
      </c>
      <c r="J980" s="108">
        <f>POWER(POWER(Table2[[#This Row],[mv]],4)/10,0.25)</f>
        <v>1.7994922406091175E-3</v>
      </c>
      <c r="K980" s="41">
        <v>0</v>
      </c>
      <c r="L980" s="41">
        <v>55</v>
      </c>
      <c r="M980" s="41">
        <v>-1</v>
      </c>
      <c r="N980" s="41">
        <v>4</v>
      </c>
      <c r="O980" s="111" t="s">
        <v>1498</v>
      </c>
      <c r="P980" s="109">
        <v>192472</v>
      </c>
      <c r="Q980" s="41"/>
      <c r="R980" s="111"/>
      <c r="S980" s="110" t="s">
        <v>1625</v>
      </c>
    </row>
    <row r="981" spans="1:19" x14ac:dyDescent="0.3">
      <c r="A981" s="105">
        <v>980</v>
      </c>
      <c r="B981" s="41">
        <v>12000000</v>
      </c>
      <c r="C981" s="41">
        <v>3.2000000000000002E-3</v>
      </c>
      <c r="D981" s="41">
        <v>3.6680000000000001</v>
      </c>
      <c r="E981" s="41">
        <v>30</v>
      </c>
      <c r="F981" s="41">
        <v>0</v>
      </c>
      <c r="G981" s="41" t="s">
        <v>104</v>
      </c>
      <c r="H981" s="41">
        <v>0</v>
      </c>
      <c r="I981" s="41">
        <v>1</v>
      </c>
      <c r="J981" s="108">
        <f>POWER(POWER(Table2[[#This Row],[mv]],4)/10,0.25)</f>
        <v>1.7994922406091175E-3</v>
      </c>
      <c r="K981" s="41">
        <v>0</v>
      </c>
      <c r="L981" s="41">
        <v>55</v>
      </c>
      <c r="M981" s="41">
        <v>-1</v>
      </c>
      <c r="N981" s="41">
        <v>4</v>
      </c>
      <c r="O981" s="111" t="s">
        <v>1499</v>
      </c>
      <c r="P981" s="109">
        <v>192472</v>
      </c>
      <c r="Q981" s="41"/>
      <c r="R981" s="111"/>
      <c r="S981" s="110" t="s">
        <v>1625</v>
      </c>
    </row>
    <row r="982" spans="1:19" x14ac:dyDescent="0.3">
      <c r="A982" s="105">
        <v>981</v>
      </c>
      <c r="B982" s="41">
        <v>12000000</v>
      </c>
      <c r="C982" s="41">
        <v>3.2000000000000002E-3</v>
      </c>
      <c r="D982" s="41">
        <v>4</v>
      </c>
      <c r="E982" s="41">
        <v>30</v>
      </c>
      <c r="F982" s="41">
        <v>0</v>
      </c>
      <c r="G982" s="41" t="s">
        <v>104</v>
      </c>
      <c r="H982" s="41">
        <v>0</v>
      </c>
      <c r="I982" s="41">
        <v>1</v>
      </c>
      <c r="J982" s="108">
        <f>POWER(POWER(Table2[[#This Row],[mv]],4)/10,0.25)</f>
        <v>1.7994922406091175E-3</v>
      </c>
      <c r="K982" s="41">
        <v>0</v>
      </c>
      <c r="L982" s="41">
        <v>55</v>
      </c>
      <c r="M982" s="41">
        <v>-1</v>
      </c>
      <c r="N982" s="41">
        <v>4</v>
      </c>
      <c r="O982" s="111" t="s">
        <v>1500</v>
      </c>
      <c r="P982" s="109">
        <v>192472</v>
      </c>
      <c r="Q982" s="41"/>
      <c r="R982" s="111"/>
      <c r="S982" s="110" t="s">
        <v>1625</v>
      </c>
    </row>
    <row r="983" spans="1:19" x14ac:dyDescent="0.3">
      <c r="A983" s="105">
        <v>982</v>
      </c>
      <c r="B983" s="41">
        <v>12000000</v>
      </c>
      <c r="C983" s="41">
        <v>3.2000000000000002E-3</v>
      </c>
      <c r="D983" s="41">
        <v>4.3620000000000001</v>
      </c>
      <c r="E983" s="41">
        <v>30</v>
      </c>
      <c r="F983" s="41">
        <v>0</v>
      </c>
      <c r="G983" s="41" t="s">
        <v>104</v>
      </c>
      <c r="H983" s="41">
        <v>0</v>
      </c>
      <c r="I983" s="41">
        <v>1</v>
      </c>
      <c r="J983" s="108">
        <f>POWER(POWER(Table2[[#This Row],[mv]],4)/10,0.25)</f>
        <v>1.7994922406091175E-3</v>
      </c>
      <c r="K983" s="41">
        <v>0</v>
      </c>
      <c r="L983" s="41">
        <v>55</v>
      </c>
      <c r="M983" s="41">
        <v>-1</v>
      </c>
      <c r="N983" s="41">
        <v>4</v>
      </c>
      <c r="O983" s="111" t="s">
        <v>1501</v>
      </c>
      <c r="P983" s="109">
        <v>192472</v>
      </c>
      <c r="Q983" s="41"/>
      <c r="R983" s="111"/>
      <c r="S983" s="110" t="s">
        <v>1625</v>
      </c>
    </row>
    <row r="984" spans="1:19" x14ac:dyDescent="0.3">
      <c r="A984" s="105">
        <v>983</v>
      </c>
      <c r="B984" s="41">
        <v>12000000</v>
      </c>
      <c r="C984" s="41">
        <v>3.2000000000000002E-3</v>
      </c>
      <c r="D984" s="41">
        <v>4.7568000000000001</v>
      </c>
      <c r="E984" s="41">
        <v>30</v>
      </c>
      <c r="F984" s="41">
        <v>0</v>
      </c>
      <c r="G984" s="41" t="s">
        <v>104</v>
      </c>
      <c r="H984" s="41">
        <v>0</v>
      </c>
      <c r="I984" s="41">
        <v>1</v>
      </c>
      <c r="J984" s="108">
        <f>POWER(POWER(Table2[[#This Row],[mv]],4)/10,0.25)</f>
        <v>1.7994922406091175E-3</v>
      </c>
      <c r="K984" s="41">
        <v>0</v>
      </c>
      <c r="L984" s="41">
        <v>55</v>
      </c>
      <c r="M984" s="41">
        <v>-1</v>
      </c>
      <c r="N984" s="41">
        <v>4</v>
      </c>
      <c r="O984" s="111" t="s">
        <v>1502</v>
      </c>
      <c r="P984" s="109">
        <v>192472</v>
      </c>
      <c r="Q984" s="41"/>
      <c r="R984" s="111"/>
      <c r="S984" s="110" t="s">
        <v>1625</v>
      </c>
    </row>
    <row r="985" spans="1:19" x14ac:dyDescent="0.3">
      <c r="A985" s="105">
        <v>984</v>
      </c>
      <c r="B985" s="41">
        <v>12000000</v>
      </c>
      <c r="C985" s="41">
        <v>3.2000000000000002E-3</v>
      </c>
      <c r="D985" s="41">
        <v>5.1874000000000002</v>
      </c>
      <c r="E985" s="41">
        <v>30</v>
      </c>
      <c r="F985" s="41">
        <v>0</v>
      </c>
      <c r="G985" s="41" t="s">
        <v>104</v>
      </c>
      <c r="H985" s="41">
        <v>0</v>
      </c>
      <c r="I985" s="41">
        <v>1</v>
      </c>
      <c r="J985" s="108">
        <f>POWER(POWER(Table2[[#This Row],[mv]],4)/10,0.25)</f>
        <v>1.7994922406091175E-3</v>
      </c>
      <c r="K985" s="41">
        <v>0</v>
      </c>
      <c r="L985" s="41">
        <v>55</v>
      </c>
      <c r="M985" s="41">
        <v>-1</v>
      </c>
      <c r="N985" s="41">
        <v>4</v>
      </c>
      <c r="O985" s="111" t="s">
        <v>1503</v>
      </c>
      <c r="P985" s="109">
        <v>192472</v>
      </c>
      <c r="Q985" s="41"/>
      <c r="R985" s="111"/>
      <c r="S985" s="110" t="s">
        <v>1625</v>
      </c>
    </row>
    <row r="986" spans="1:19" x14ac:dyDescent="0.3">
      <c r="A986" s="105">
        <v>985</v>
      </c>
      <c r="B986" s="41">
        <v>12000000</v>
      </c>
      <c r="C986" s="41">
        <v>3.2000000000000002E-3</v>
      </c>
      <c r="D986" s="41">
        <v>5.6569000000000003</v>
      </c>
      <c r="E986" s="41">
        <v>30</v>
      </c>
      <c r="F986" s="41">
        <v>0</v>
      </c>
      <c r="G986" s="41" t="s">
        <v>104</v>
      </c>
      <c r="H986" s="41">
        <v>0</v>
      </c>
      <c r="I986" s="41">
        <v>1</v>
      </c>
      <c r="J986" s="108">
        <f>POWER(POWER(Table2[[#This Row],[mv]],4)/10,0.25)</f>
        <v>1.7994922406091175E-3</v>
      </c>
      <c r="K986" s="41">
        <v>0</v>
      </c>
      <c r="L986" s="41">
        <v>55</v>
      </c>
      <c r="M986" s="41">
        <v>-1</v>
      </c>
      <c r="N986" s="41">
        <v>4</v>
      </c>
      <c r="O986" s="111" t="s">
        <v>1504</v>
      </c>
      <c r="P986" s="109">
        <v>192472</v>
      </c>
      <c r="Q986" s="41"/>
      <c r="R986" s="111"/>
      <c r="S986" s="110" t="s">
        <v>1625</v>
      </c>
    </row>
    <row r="987" spans="1:19" x14ac:dyDescent="0.3">
      <c r="A987" s="105">
        <v>986</v>
      </c>
      <c r="B987" s="41">
        <v>12000000</v>
      </c>
      <c r="C987" s="41">
        <v>3.2000000000000002E-3</v>
      </c>
      <c r="D987" s="41">
        <v>6.1688000000000001</v>
      </c>
      <c r="E987" s="41">
        <v>30</v>
      </c>
      <c r="F987" s="41">
        <v>0</v>
      </c>
      <c r="G987" s="41" t="s">
        <v>104</v>
      </c>
      <c r="H987" s="41">
        <v>0</v>
      </c>
      <c r="I987" s="41">
        <v>1</v>
      </c>
      <c r="J987" s="108">
        <f>POWER(POWER(Table2[[#This Row],[mv]],4)/10,0.25)</f>
        <v>1.7994922406091175E-3</v>
      </c>
      <c r="K987" s="41">
        <v>0</v>
      </c>
      <c r="L987" s="41">
        <v>55</v>
      </c>
      <c r="M987" s="41">
        <v>-1</v>
      </c>
      <c r="N987" s="41">
        <v>4</v>
      </c>
      <c r="O987" s="111" t="s">
        <v>1505</v>
      </c>
      <c r="P987" s="109">
        <v>192472</v>
      </c>
      <c r="Q987" s="41"/>
      <c r="R987" s="111"/>
      <c r="S987" s="110" t="s">
        <v>1625</v>
      </c>
    </row>
    <row r="988" spans="1:19" x14ac:dyDescent="0.3">
      <c r="A988" s="105">
        <v>987</v>
      </c>
      <c r="B988" s="41">
        <v>12000000</v>
      </c>
      <c r="C988" s="41">
        <v>3.2000000000000002E-3</v>
      </c>
      <c r="D988" s="41">
        <v>6.7271999999999998</v>
      </c>
      <c r="E988" s="41">
        <v>30</v>
      </c>
      <c r="F988" s="41">
        <v>0</v>
      </c>
      <c r="G988" s="41" t="s">
        <v>104</v>
      </c>
      <c r="H988" s="41">
        <v>0</v>
      </c>
      <c r="I988" s="41">
        <v>1</v>
      </c>
      <c r="J988" s="108">
        <f>POWER(POWER(Table2[[#This Row],[mv]],4)/10,0.25)</f>
        <v>1.7994922406091175E-3</v>
      </c>
      <c r="K988" s="41">
        <v>0</v>
      </c>
      <c r="L988" s="41">
        <v>55</v>
      </c>
      <c r="M988" s="41">
        <v>-1</v>
      </c>
      <c r="N988" s="41">
        <v>4</v>
      </c>
      <c r="O988" s="111" t="s">
        <v>1506</v>
      </c>
      <c r="P988" s="109">
        <v>192472</v>
      </c>
      <c r="Q988" s="41"/>
      <c r="R988" s="111"/>
      <c r="S988" s="110" t="s">
        <v>1625</v>
      </c>
    </row>
    <row r="989" spans="1:19" x14ac:dyDescent="0.3">
      <c r="A989" s="105">
        <v>988</v>
      </c>
      <c r="B989" s="41">
        <v>12000000</v>
      </c>
      <c r="C989" s="41">
        <v>3.2000000000000002E-3</v>
      </c>
      <c r="D989" s="41">
        <v>7.3360000000000003</v>
      </c>
      <c r="E989" s="41">
        <v>30</v>
      </c>
      <c r="F989" s="41">
        <v>0</v>
      </c>
      <c r="G989" s="41" t="s">
        <v>104</v>
      </c>
      <c r="H989" s="41">
        <v>0</v>
      </c>
      <c r="I989" s="41">
        <v>1</v>
      </c>
      <c r="J989" s="108">
        <f>POWER(POWER(Table2[[#This Row],[mv]],4)/10,0.25)</f>
        <v>1.7994922406091175E-3</v>
      </c>
      <c r="K989" s="41">
        <v>0</v>
      </c>
      <c r="L989" s="41">
        <v>55</v>
      </c>
      <c r="M989" s="41">
        <v>-1</v>
      </c>
      <c r="N989" s="41">
        <v>4</v>
      </c>
      <c r="O989" s="111" t="s">
        <v>1507</v>
      </c>
      <c r="P989" s="109">
        <v>192472</v>
      </c>
      <c r="Q989" s="41"/>
      <c r="R989" s="111"/>
      <c r="S989" s="110" t="s">
        <v>1625</v>
      </c>
    </row>
    <row r="990" spans="1:19" x14ac:dyDescent="0.3">
      <c r="A990" s="105">
        <v>989</v>
      </c>
      <c r="B990" s="41">
        <v>12000000</v>
      </c>
      <c r="C990" s="41">
        <v>3.2000000000000002E-3</v>
      </c>
      <c r="D990" s="41">
        <v>8</v>
      </c>
      <c r="E990" s="41">
        <v>30</v>
      </c>
      <c r="F990" s="41">
        <v>0</v>
      </c>
      <c r="G990" s="41" t="s">
        <v>104</v>
      </c>
      <c r="H990" s="41">
        <v>0</v>
      </c>
      <c r="I990" s="41">
        <v>1</v>
      </c>
      <c r="J990" s="108">
        <f>POWER(POWER(Table2[[#This Row],[mv]],4)/10,0.25)</f>
        <v>1.7994922406091175E-3</v>
      </c>
      <c r="K990" s="41">
        <v>0</v>
      </c>
      <c r="L990" s="41">
        <v>55</v>
      </c>
      <c r="M990" s="41">
        <v>-1</v>
      </c>
      <c r="N990" s="41">
        <v>4</v>
      </c>
      <c r="O990" s="111" t="s">
        <v>1508</v>
      </c>
      <c r="P990" s="109">
        <v>192472</v>
      </c>
      <c r="Q990" s="41"/>
      <c r="R990" s="111"/>
      <c r="S990" s="110" t="s">
        <v>1625</v>
      </c>
    </row>
    <row r="991" spans="1:19" x14ac:dyDescent="0.3">
      <c r="A991" s="105">
        <v>990</v>
      </c>
      <c r="B991" s="41">
        <v>12000000</v>
      </c>
      <c r="C991" s="41">
        <v>3.2000000000000002E-3</v>
      </c>
      <c r="D991" s="41">
        <v>8.7241</v>
      </c>
      <c r="E991" s="41">
        <v>30</v>
      </c>
      <c r="F991" s="41">
        <v>0</v>
      </c>
      <c r="G991" s="41" t="s">
        <v>104</v>
      </c>
      <c r="H991" s="41">
        <v>0</v>
      </c>
      <c r="I991" s="41">
        <v>1</v>
      </c>
      <c r="J991" s="108">
        <f>POWER(POWER(Table2[[#This Row],[mv]],4)/10,0.25)</f>
        <v>1.7994922406091175E-3</v>
      </c>
      <c r="K991" s="41">
        <v>0</v>
      </c>
      <c r="L991" s="41">
        <v>55</v>
      </c>
      <c r="M991" s="41">
        <v>-1</v>
      </c>
      <c r="N991" s="41">
        <v>4</v>
      </c>
      <c r="O991" s="111" t="s">
        <v>1509</v>
      </c>
      <c r="P991" s="109">
        <v>192472</v>
      </c>
      <c r="Q991" s="41"/>
      <c r="R991" s="111"/>
      <c r="S991" s="110" t="s">
        <v>1625</v>
      </c>
    </row>
    <row r="992" spans="1:19" x14ac:dyDescent="0.3">
      <c r="A992" s="105">
        <v>991</v>
      </c>
      <c r="B992" s="41">
        <v>12000000</v>
      </c>
      <c r="C992" s="41">
        <v>3.2000000000000002E-3</v>
      </c>
      <c r="D992" s="41">
        <v>9.5137</v>
      </c>
      <c r="E992" s="41">
        <v>30</v>
      </c>
      <c r="F992" s="41">
        <v>0</v>
      </c>
      <c r="G992" s="41" t="s">
        <v>104</v>
      </c>
      <c r="H992" s="41">
        <v>0</v>
      </c>
      <c r="I992" s="41">
        <v>1</v>
      </c>
      <c r="J992" s="108">
        <f>POWER(POWER(Table2[[#This Row],[mv]],4)/10,0.25)</f>
        <v>1.7994922406091175E-3</v>
      </c>
      <c r="K992" s="41">
        <v>0</v>
      </c>
      <c r="L992" s="41">
        <v>55</v>
      </c>
      <c r="M992" s="41">
        <v>-1</v>
      </c>
      <c r="N992" s="41">
        <v>4</v>
      </c>
      <c r="O992" s="111" t="s">
        <v>1510</v>
      </c>
      <c r="P992" s="109">
        <v>192472</v>
      </c>
      <c r="Q992" s="41"/>
      <c r="R992" s="111"/>
      <c r="S992" s="110" t="s">
        <v>1625</v>
      </c>
    </row>
    <row r="993" spans="1:19" x14ac:dyDescent="0.3">
      <c r="A993" s="105">
        <v>992</v>
      </c>
      <c r="B993" s="41">
        <v>12000000</v>
      </c>
      <c r="C993" s="41">
        <v>3.2000000000000002E-3</v>
      </c>
      <c r="D993" s="41">
        <v>10.374700000000001</v>
      </c>
      <c r="E993" s="41">
        <v>30</v>
      </c>
      <c r="F993" s="41">
        <v>0</v>
      </c>
      <c r="G993" s="41" t="s">
        <v>104</v>
      </c>
      <c r="H993" s="41">
        <v>0</v>
      </c>
      <c r="I993" s="41">
        <v>1</v>
      </c>
      <c r="J993" s="108">
        <f>POWER(POWER(Table2[[#This Row],[mv]],4)/10,0.25)</f>
        <v>1.7994922406091175E-3</v>
      </c>
      <c r="K993" s="41">
        <v>0</v>
      </c>
      <c r="L993" s="41">
        <v>55</v>
      </c>
      <c r="M993" s="41">
        <v>-1</v>
      </c>
      <c r="N993" s="41">
        <v>4</v>
      </c>
      <c r="O993" s="111" t="s">
        <v>1511</v>
      </c>
      <c r="P993" s="109">
        <v>192472</v>
      </c>
      <c r="Q993" s="41"/>
      <c r="R993" s="111"/>
      <c r="S993" s="110" t="s">
        <v>1625</v>
      </c>
    </row>
    <row r="994" spans="1:19" x14ac:dyDescent="0.3">
      <c r="A994" s="105">
        <v>993</v>
      </c>
      <c r="B994" s="41">
        <v>12000000</v>
      </c>
      <c r="C994" s="41">
        <v>3.2000000000000002E-3</v>
      </c>
      <c r="D994" s="41">
        <v>11.313700000000001</v>
      </c>
      <c r="E994" s="41">
        <v>30</v>
      </c>
      <c r="F994" s="41">
        <v>0</v>
      </c>
      <c r="G994" s="41" t="s">
        <v>104</v>
      </c>
      <c r="H994" s="41">
        <v>0</v>
      </c>
      <c r="I994" s="41">
        <v>1</v>
      </c>
      <c r="J994" s="108">
        <f>POWER(POWER(Table2[[#This Row],[mv]],4)/10,0.25)</f>
        <v>1.7994922406091175E-3</v>
      </c>
      <c r="K994" s="41">
        <v>0</v>
      </c>
      <c r="L994" s="41">
        <v>55</v>
      </c>
      <c r="M994" s="41">
        <v>-1</v>
      </c>
      <c r="N994" s="41">
        <v>4</v>
      </c>
      <c r="O994" s="111" t="s">
        <v>1512</v>
      </c>
      <c r="P994" s="109">
        <v>192472</v>
      </c>
      <c r="Q994" s="41"/>
      <c r="R994" s="111"/>
      <c r="S994" s="110" t="s">
        <v>1625</v>
      </c>
    </row>
    <row r="995" spans="1:19" x14ac:dyDescent="0.3">
      <c r="A995" s="105">
        <v>994</v>
      </c>
      <c r="B995" s="41">
        <v>12000000</v>
      </c>
      <c r="C995" s="41">
        <v>3.2000000000000002E-3</v>
      </c>
      <c r="D995" s="41">
        <v>12.3377</v>
      </c>
      <c r="E995" s="41">
        <v>30</v>
      </c>
      <c r="F995" s="41">
        <v>0</v>
      </c>
      <c r="G995" s="41" t="s">
        <v>104</v>
      </c>
      <c r="H995" s="41">
        <v>0</v>
      </c>
      <c r="I995" s="41">
        <v>1</v>
      </c>
      <c r="J995" s="108">
        <f>POWER(POWER(Table2[[#This Row],[mv]],4)/10,0.25)</f>
        <v>1.7994922406091175E-3</v>
      </c>
      <c r="K995" s="41">
        <v>0</v>
      </c>
      <c r="L995" s="41">
        <v>55</v>
      </c>
      <c r="M995" s="41">
        <v>-1</v>
      </c>
      <c r="N995" s="41">
        <v>4</v>
      </c>
      <c r="O995" s="111" t="s">
        <v>1513</v>
      </c>
      <c r="P995" s="109">
        <v>192472</v>
      </c>
      <c r="Q995" s="41"/>
      <c r="R995" s="111"/>
      <c r="S995" s="110" t="s">
        <v>1625</v>
      </c>
    </row>
    <row r="996" spans="1:19" x14ac:dyDescent="0.3">
      <c r="A996" s="105">
        <v>995</v>
      </c>
      <c r="B996" s="41">
        <v>12000000</v>
      </c>
      <c r="C996" s="41">
        <v>3.2000000000000002E-3</v>
      </c>
      <c r="D996" s="41">
        <v>13.4543</v>
      </c>
      <c r="E996" s="41">
        <v>30</v>
      </c>
      <c r="F996" s="41">
        <v>0</v>
      </c>
      <c r="G996" s="41" t="s">
        <v>104</v>
      </c>
      <c r="H996" s="41">
        <v>0</v>
      </c>
      <c r="I996" s="41">
        <v>1</v>
      </c>
      <c r="J996" s="108">
        <f>POWER(POWER(Table2[[#This Row],[mv]],4)/10,0.25)</f>
        <v>1.7994922406091175E-3</v>
      </c>
      <c r="K996" s="41">
        <v>0</v>
      </c>
      <c r="L996" s="41">
        <v>55</v>
      </c>
      <c r="M996" s="41">
        <v>-1</v>
      </c>
      <c r="N996" s="41">
        <v>4</v>
      </c>
      <c r="O996" s="111" t="s">
        <v>1514</v>
      </c>
      <c r="P996" s="109">
        <v>192472</v>
      </c>
      <c r="Q996" s="41"/>
      <c r="R996" s="111"/>
      <c r="S996" s="110" t="s">
        <v>1625</v>
      </c>
    </row>
    <row r="997" spans="1:19" x14ac:dyDescent="0.3">
      <c r="A997" s="105">
        <v>996</v>
      </c>
      <c r="B997" s="41">
        <v>12000000</v>
      </c>
      <c r="C997" s="41">
        <v>3.2000000000000002E-3</v>
      </c>
      <c r="D997" s="41">
        <v>14.6721</v>
      </c>
      <c r="E997" s="41">
        <v>30</v>
      </c>
      <c r="F997" s="41">
        <v>0</v>
      </c>
      <c r="G997" s="41" t="s">
        <v>104</v>
      </c>
      <c r="H997" s="41">
        <v>0</v>
      </c>
      <c r="I997" s="41">
        <v>1</v>
      </c>
      <c r="J997" s="108">
        <f>POWER(POWER(Table2[[#This Row],[mv]],4)/10,0.25)</f>
        <v>1.7994922406091175E-3</v>
      </c>
      <c r="K997" s="41">
        <v>0</v>
      </c>
      <c r="L997" s="41">
        <v>55</v>
      </c>
      <c r="M997" s="41">
        <v>-1</v>
      </c>
      <c r="N997" s="41">
        <v>4</v>
      </c>
      <c r="O997" s="111" t="s">
        <v>1515</v>
      </c>
      <c r="P997" s="109">
        <v>192472</v>
      </c>
      <c r="Q997" s="41"/>
      <c r="R997" s="111"/>
      <c r="S997" s="110" t="s">
        <v>1625</v>
      </c>
    </row>
    <row r="998" spans="1:19" x14ac:dyDescent="0.3">
      <c r="A998" s="105">
        <v>997</v>
      </c>
      <c r="B998" s="41">
        <v>12000000</v>
      </c>
      <c r="C998" s="41">
        <v>3.2000000000000002E-3</v>
      </c>
      <c r="D998" s="41">
        <v>16</v>
      </c>
      <c r="E998" s="41">
        <v>30</v>
      </c>
      <c r="F998" s="41">
        <v>0</v>
      </c>
      <c r="G998" s="41" t="s">
        <v>104</v>
      </c>
      <c r="H998" s="41">
        <v>0</v>
      </c>
      <c r="I998" s="41">
        <v>1</v>
      </c>
      <c r="J998" s="108">
        <f>POWER(POWER(Table2[[#This Row],[mv]],4)/10,0.25)</f>
        <v>1.7994922406091175E-3</v>
      </c>
      <c r="K998" s="41">
        <v>0</v>
      </c>
      <c r="L998" s="41">
        <v>55</v>
      </c>
      <c r="M998" s="41">
        <v>-1</v>
      </c>
      <c r="N998" s="41">
        <v>4</v>
      </c>
      <c r="O998" s="111" t="s">
        <v>1516</v>
      </c>
      <c r="P998" s="109">
        <v>192472</v>
      </c>
      <c r="Q998" s="41"/>
      <c r="R998" s="111"/>
      <c r="S998" s="110" t="s">
        <v>1625</v>
      </c>
    </row>
    <row r="999" spans="1:19" x14ac:dyDescent="0.3">
      <c r="A999" s="105">
        <v>998</v>
      </c>
      <c r="B999" s="41">
        <v>12000000</v>
      </c>
      <c r="C999" s="41">
        <v>3.2000000000000002E-3</v>
      </c>
      <c r="D999" s="41">
        <v>17.4481</v>
      </c>
      <c r="E999" s="41">
        <v>30</v>
      </c>
      <c r="F999" s="41">
        <v>0</v>
      </c>
      <c r="G999" s="41" t="s">
        <v>104</v>
      </c>
      <c r="H999" s="41">
        <v>0</v>
      </c>
      <c r="I999" s="41">
        <v>1</v>
      </c>
      <c r="J999" s="108">
        <f>POWER(POWER(Table2[[#This Row],[mv]],4)/10,0.25)</f>
        <v>1.7994922406091175E-3</v>
      </c>
      <c r="K999" s="41">
        <v>0</v>
      </c>
      <c r="L999" s="41">
        <v>55</v>
      </c>
      <c r="M999" s="41">
        <v>-1</v>
      </c>
      <c r="N999" s="41">
        <v>4</v>
      </c>
      <c r="O999" s="111" t="s">
        <v>1517</v>
      </c>
      <c r="P999" s="109">
        <v>192472</v>
      </c>
      <c r="Q999" s="41"/>
      <c r="R999" s="111"/>
      <c r="S999" s="110" t="s">
        <v>1625</v>
      </c>
    </row>
    <row r="1000" spans="1:19" x14ac:dyDescent="0.3">
      <c r="A1000" s="105">
        <v>999</v>
      </c>
      <c r="B1000" s="41">
        <v>12000000</v>
      </c>
      <c r="C1000" s="41">
        <v>3.2000000000000002E-3</v>
      </c>
      <c r="D1000" s="41">
        <v>19.0273</v>
      </c>
      <c r="E1000" s="41">
        <v>30</v>
      </c>
      <c r="F1000" s="41">
        <v>0</v>
      </c>
      <c r="G1000" s="41" t="s">
        <v>104</v>
      </c>
      <c r="H1000" s="41">
        <v>0</v>
      </c>
      <c r="I1000" s="41">
        <v>1</v>
      </c>
      <c r="J1000" s="108">
        <f>POWER(POWER(Table2[[#This Row],[mv]],4)/10,0.25)</f>
        <v>1.7994922406091175E-3</v>
      </c>
      <c r="K1000" s="41">
        <v>0</v>
      </c>
      <c r="L1000" s="41">
        <v>55</v>
      </c>
      <c r="M1000" s="41">
        <v>-1</v>
      </c>
      <c r="N1000" s="41">
        <v>4</v>
      </c>
      <c r="O1000" s="111" t="s">
        <v>1518</v>
      </c>
      <c r="P1000" s="109">
        <v>192472</v>
      </c>
      <c r="Q1000" s="41"/>
      <c r="R1000" s="111"/>
      <c r="S1000" s="110" t="s">
        <v>1625</v>
      </c>
    </row>
    <row r="1001" spans="1:19" x14ac:dyDescent="0.3">
      <c r="A1001" s="105">
        <v>1000</v>
      </c>
      <c r="B1001" s="41">
        <v>12000000</v>
      </c>
      <c r="C1001" s="41">
        <v>3.5000000000000001E-3</v>
      </c>
      <c r="D1001" s="41">
        <v>4</v>
      </c>
      <c r="E1001" s="41">
        <v>30</v>
      </c>
      <c r="F1001" s="41">
        <v>0</v>
      </c>
      <c r="G1001" s="41" t="s">
        <v>104</v>
      </c>
      <c r="H1001" s="41">
        <v>0</v>
      </c>
      <c r="I1001" s="41">
        <v>1</v>
      </c>
      <c r="J1001" s="108">
        <f>POWER(POWER(Table2[[#This Row],[mv]],4)/10,0.25)</f>
        <v>1.9681946381662216E-3</v>
      </c>
      <c r="K1001" s="41">
        <v>0</v>
      </c>
      <c r="L1001" s="41">
        <v>55</v>
      </c>
      <c r="M1001" s="41">
        <v>-1</v>
      </c>
      <c r="N1001" s="41">
        <v>4</v>
      </c>
      <c r="O1001" s="111" t="s">
        <v>1519</v>
      </c>
      <c r="P1001" s="109">
        <v>192472</v>
      </c>
      <c r="Q1001" s="41"/>
      <c r="R1001" s="111"/>
      <c r="S1001" s="110" t="s">
        <v>1625</v>
      </c>
    </row>
    <row r="1002" spans="1:19" x14ac:dyDescent="0.3">
      <c r="A1002" s="105">
        <v>1001</v>
      </c>
      <c r="B1002" s="41">
        <v>12000000</v>
      </c>
      <c r="C1002" s="41">
        <v>3.5000000000000001E-3</v>
      </c>
      <c r="D1002" s="41">
        <v>4.3620000000000001</v>
      </c>
      <c r="E1002" s="41">
        <v>30</v>
      </c>
      <c r="F1002" s="41">
        <v>0</v>
      </c>
      <c r="G1002" s="41" t="s">
        <v>104</v>
      </c>
      <c r="H1002" s="41">
        <v>0</v>
      </c>
      <c r="I1002" s="41">
        <v>1</v>
      </c>
      <c r="J1002" s="108">
        <f>POWER(POWER(Table2[[#This Row],[mv]],4)/10,0.25)</f>
        <v>1.9681946381662216E-3</v>
      </c>
      <c r="K1002" s="41">
        <v>0</v>
      </c>
      <c r="L1002" s="41">
        <v>55</v>
      </c>
      <c r="M1002" s="41">
        <v>-1</v>
      </c>
      <c r="N1002" s="41">
        <v>4</v>
      </c>
      <c r="O1002" s="111" t="s">
        <v>1520</v>
      </c>
      <c r="P1002" s="109">
        <v>192472</v>
      </c>
      <c r="Q1002" s="41"/>
      <c r="R1002" s="111"/>
      <c r="S1002" s="110" t="s">
        <v>1625</v>
      </c>
    </row>
    <row r="1003" spans="1:19" x14ac:dyDescent="0.3">
      <c r="A1003" s="105">
        <v>1002</v>
      </c>
      <c r="B1003" s="41">
        <v>12000000</v>
      </c>
      <c r="C1003" s="41">
        <v>3.5000000000000001E-3</v>
      </c>
      <c r="D1003" s="41">
        <v>4.7568000000000001</v>
      </c>
      <c r="E1003" s="41">
        <v>30</v>
      </c>
      <c r="F1003" s="41">
        <v>0</v>
      </c>
      <c r="G1003" s="41" t="s">
        <v>104</v>
      </c>
      <c r="H1003" s="41">
        <v>0</v>
      </c>
      <c r="I1003" s="41">
        <v>1</v>
      </c>
      <c r="J1003" s="108">
        <f>POWER(POWER(Table2[[#This Row],[mv]],4)/10,0.25)</f>
        <v>1.9681946381662216E-3</v>
      </c>
      <c r="K1003" s="41">
        <v>0</v>
      </c>
      <c r="L1003" s="41">
        <v>55</v>
      </c>
      <c r="M1003" s="41">
        <v>-1</v>
      </c>
      <c r="N1003" s="41">
        <v>4</v>
      </c>
      <c r="O1003" s="111" t="s">
        <v>1521</v>
      </c>
      <c r="P1003" s="109">
        <v>192472</v>
      </c>
      <c r="Q1003" s="41"/>
      <c r="R1003" s="111"/>
      <c r="S1003" s="110" t="s">
        <v>1625</v>
      </c>
    </row>
    <row r="1004" spans="1:19" x14ac:dyDescent="0.3">
      <c r="A1004" s="105">
        <v>1003</v>
      </c>
      <c r="B1004" s="41">
        <v>12000000</v>
      </c>
      <c r="C1004" s="41">
        <v>3.5000000000000001E-3</v>
      </c>
      <c r="D1004" s="41">
        <v>5.1874000000000002</v>
      </c>
      <c r="E1004" s="41">
        <v>30</v>
      </c>
      <c r="F1004" s="41">
        <v>0</v>
      </c>
      <c r="G1004" s="41" t="s">
        <v>104</v>
      </c>
      <c r="H1004" s="41">
        <v>0</v>
      </c>
      <c r="I1004" s="41">
        <v>1</v>
      </c>
      <c r="J1004" s="108">
        <f>POWER(POWER(Table2[[#This Row],[mv]],4)/10,0.25)</f>
        <v>1.9681946381662216E-3</v>
      </c>
      <c r="K1004" s="41">
        <v>0</v>
      </c>
      <c r="L1004" s="41">
        <v>55</v>
      </c>
      <c r="M1004" s="41">
        <v>-1</v>
      </c>
      <c r="N1004" s="41">
        <v>4</v>
      </c>
      <c r="O1004" s="111" t="s">
        <v>1522</v>
      </c>
      <c r="P1004" s="109">
        <v>192472</v>
      </c>
      <c r="Q1004" s="41"/>
      <c r="R1004" s="111"/>
      <c r="S1004" s="110" t="s">
        <v>1625</v>
      </c>
    </row>
    <row r="1005" spans="1:19" x14ac:dyDescent="0.3">
      <c r="A1005" s="105">
        <v>1004</v>
      </c>
      <c r="B1005" s="41">
        <v>12000000</v>
      </c>
      <c r="C1005" s="41">
        <v>3.5000000000000001E-3</v>
      </c>
      <c r="D1005" s="41">
        <v>5.6569000000000003</v>
      </c>
      <c r="E1005" s="41">
        <v>30</v>
      </c>
      <c r="F1005" s="41">
        <v>0</v>
      </c>
      <c r="G1005" s="41" t="s">
        <v>104</v>
      </c>
      <c r="H1005" s="41">
        <v>0</v>
      </c>
      <c r="I1005" s="41">
        <v>1</v>
      </c>
      <c r="J1005" s="108">
        <f>POWER(POWER(Table2[[#This Row],[mv]],4)/10,0.25)</f>
        <v>1.9681946381662216E-3</v>
      </c>
      <c r="K1005" s="41">
        <v>0</v>
      </c>
      <c r="L1005" s="41">
        <v>55</v>
      </c>
      <c r="M1005" s="41">
        <v>-1</v>
      </c>
      <c r="N1005" s="41">
        <v>4</v>
      </c>
      <c r="O1005" s="111" t="s">
        <v>1523</v>
      </c>
      <c r="P1005" s="109">
        <v>192472</v>
      </c>
      <c r="Q1005" s="41"/>
      <c r="R1005" s="111"/>
      <c r="S1005" s="110" t="s">
        <v>1625</v>
      </c>
    </row>
    <row r="1006" spans="1:19" x14ac:dyDescent="0.3">
      <c r="A1006" s="105">
        <v>1005</v>
      </c>
      <c r="B1006" s="41">
        <v>12000000</v>
      </c>
      <c r="C1006" s="41">
        <v>3.5000000000000001E-3</v>
      </c>
      <c r="D1006" s="41">
        <v>6.1688000000000001</v>
      </c>
      <c r="E1006" s="41">
        <v>30</v>
      </c>
      <c r="F1006" s="41">
        <v>0</v>
      </c>
      <c r="G1006" s="41" t="s">
        <v>104</v>
      </c>
      <c r="H1006" s="41">
        <v>0</v>
      </c>
      <c r="I1006" s="41">
        <v>1</v>
      </c>
      <c r="J1006" s="108">
        <f>POWER(POWER(Table2[[#This Row],[mv]],4)/10,0.25)</f>
        <v>1.9681946381662216E-3</v>
      </c>
      <c r="K1006" s="41">
        <v>0</v>
      </c>
      <c r="L1006" s="41">
        <v>55</v>
      </c>
      <c r="M1006" s="41">
        <v>-1</v>
      </c>
      <c r="N1006" s="41">
        <v>4</v>
      </c>
      <c r="O1006" s="111" t="s">
        <v>1524</v>
      </c>
      <c r="P1006" s="109">
        <v>192472</v>
      </c>
      <c r="Q1006" s="41"/>
      <c r="R1006" s="111"/>
      <c r="S1006" s="110" t="s">
        <v>1625</v>
      </c>
    </row>
    <row r="1007" spans="1:19" x14ac:dyDescent="0.3">
      <c r="A1007" s="105">
        <v>1006</v>
      </c>
      <c r="B1007" s="41">
        <v>12000000</v>
      </c>
      <c r="C1007" s="41">
        <v>3.5000000000000001E-3</v>
      </c>
      <c r="D1007" s="41">
        <v>6.7271999999999998</v>
      </c>
      <c r="E1007" s="41">
        <v>30</v>
      </c>
      <c r="F1007" s="41">
        <v>0</v>
      </c>
      <c r="G1007" s="41" t="s">
        <v>104</v>
      </c>
      <c r="H1007" s="41">
        <v>0</v>
      </c>
      <c r="I1007" s="41">
        <v>1</v>
      </c>
      <c r="J1007" s="108">
        <f>POWER(POWER(Table2[[#This Row],[mv]],4)/10,0.25)</f>
        <v>1.9681946381662216E-3</v>
      </c>
      <c r="K1007" s="41">
        <v>0</v>
      </c>
      <c r="L1007" s="41">
        <v>55</v>
      </c>
      <c r="M1007" s="41">
        <v>-1</v>
      </c>
      <c r="N1007" s="41">
        <v>4</v>
      </c>
      <c r="O1007" s="111" t="s">
        <v>1525</v>
      </c>
      <c r="P1007" s="109">
        <v>192946</v>
      </c>
      <c r="Q1007" s="41"/>
      <c r="R1007" s="111"/>
      <c r="S1007" s="110" t="s">
        <v>1625</v>
      </c>
    </row>
    <row r="1008" spans="1:19" x14ac:dyDescent="0.3">
      <c r="A1008" s="105">
        <v>1007</v>
      </c>
      <c r="B1008" s="41">
        <v>12000000</v>
      </c>
      <c r="C1008" s="41">
        <v>3.5000000000000001E-3</v>
      </c>
      <c r="D1008" s="41">
        <v>7.3360000000000003</v>
      </c>
      <c r="E1008" s="41">
        <v>30</v>
      </c>
      <c r="F1008" s="41">
        <v>0</v>
      </c>
      <c r="G1008" s="41" t="s">
        <v>104</v>
      </c>
      <c r="H1008" s="41">
        <v>0</v>
      </c>
      <c r="I1008" s="41">
        <v>1</v>
      </c>
      <c r="J1008" s="108">
        <f>POWER(POWER(Table2[[#This Row],[mv]],4)/10,0.25)</f>
        <v>1.9681946381662216E-3</v>
      </c>
      <c r="K1008" s="41">
        <v>0</v>
      </c>
      <c r="L1008" s="41">
        <v>55</v>
      </c>
      <c r="M1008" s="41">
        <v>-1</v>
      </c>
      <c r="N1008" s="41">
        <v>4</v>
      </c>
      <c r="O1008" s="111" t="s">
        <v>1526</v>
      </c>
      <c r="P1008" s="109">
        <v>192946</v>
      </c>
      <c r="Q1008" s="41"/>
      <c r="R1008" s="111"/>
      <c r="S1008" s="110" t="s">
        <v>1625</v>
      </c>
    </row>
    <row r="1009" spans="1:19" x14ac:dyDescent="0.3">
      <c r="A1009" s="105">
        <v>1008</v>
      </c>
      <c r="B1009" s="41">
        <v>12000000</v>
      </c>
      <c r="C1009" s="41">
        <v>3.5000000000000001E-3</v>
      </c>
      <c r="D1009" s="41">
        <v>8</v>
      </c>
      <c r="E1009" s="41">
        <v>30</v>
      </c>
      <c r="F1009" s="41">
        <v>0</v>
      </c>
      <c r="G1009" s="41" t="s">
        <v>104</v>
      </c>
      <c r="H1009" s="41">
        <v>0</v>
      </c>
      <c r="I1009" s="41">
        <v>1</v>
      </c>
      <c r="J1009" s="108">
        <f>POWER(POWER(Table2[[#This Row],[mv]],4)/10,0.25)</f>
        <v>1.9681946381662216E-3</v>
      </c>
      <c r="K1009" s="41">
        <v>0</v>
      </c>
      <c r="L1009" s="41">
        <v>55</v>
      </c>
      <c r="M1009" s="41">
        <v>-1</v>
      </c>
      <c r="N1009" s="41">
        <v>4</v>
      </c>
      <c r="O1009" s="111" t="s">
        <v>1527</v>
      </c>
      <c r="P1009" s="109">
        <v>192946</v>
      </c>
      <c r="Q1009" s="41"/>
      <c r="R1009" s="111"/>
      <c r="S1009" s="110" t="s">
        <v>1625</v>
      </c>
    </row>
    <row r="1010" spans="1:19" x14ac:dyDescent="0.3">
      <c r="A1010" s="105">
        <v>1009</v>
      </c>
      <c r="B1010" s="41">
        <v>12000000</v>
      </c>
      <c r="C1010" s="41">
        <v>3.5000000000000001E-3</v>
      </c>
      <c r="D1010" s="41">
        <v>8.7241</v>
      </c>
      <c r="E1010" s="41">
        <v>30</v>
      </c>
      <c r="F1010" s="41">
        <v>0</v>
      </c>
      <c r="G1010" s="41" t="s">
        <v>104</v>
      </c>
      <c r="H1010" s="41">
        <v>0</v>
      </c>
      <c r="I1010" s="41">
        <v>1</v>
      </c>
      <c r="J1010" s="108">
        <f>POWER(POWER(Table2[[#This Row],[mv]],4)/10,0.25)</f>
        <v>1.9681946381662216E-3</v>
      </c>
      <c r="K1010" s="41">
        <v>0</v>
      </c>
      <c r="L1010" s="41">
        <v>55</v>
      </c>
      <c r="M1010" s="41">
        <v>-1</v>
      </c>
      <c r="N1010" s="41">
        <v>4</v>
      </c>
      <c r="O1010" s="111" t="s">
        <v>1528</v>
      </c>
      <c r="P1010" s="109">
        <v>192946</v>
      </c>
      <c r="Q1010" s="41"/>
      <c r="R1010" s="111"/>
      <c r="S1010" s="110" t="s">
        <v>1625</v>
      </c>
    </row>
    <row r="1011" spans="1:19" x14ac:dyDescent="0.3">
      <c r="A1011" s="105">
        <v>1010</v>
      </c>
      <c r="B1011" s="41">
        <v>12000000</v>
      </c>
      <c r="C1011" s="41">
        <v>3.5000000000000001E-3</v>
      </c>
      <c r="D1011" s="41">
        <v>9.5137</v>
      </c>
      <c r="E1011" s="41">
        <v>30</v>
      </c>
      <c r="F1011" s="41">
        <v>0</v>
      </c>
      <c r="G1011" s="41" t="s">
        <v>104</v>
      </c>
      <c r="H1011" s="41">
        <v>0</v>
      </c>
      <c r="I1011" s="41">
        <v>1</v>
      </c>
      <c r="J1011" s="108">
        <f>POWER(POWER(Table2[[#This Row],[mv]],4)/10,0.25)</f>
        <v>1.9681946381662216E-3</v>
      </c>
      <c r="K1011" s="41">
        <v>0</v>
      </c>
      <c r="L1011" s="41">
        <v>55</v>
      </c>
      <c r="M1011" s="41">
        <v>-1</v>
      </c>
      <c r="N1011" s="41">
        <v>4</v>
      </c>
      <c r="O1011" s="111" t="s">
        <v>1529</v>
      </c>
      <c r="P1011" s="109">
        <v>192946</v>
      </c>
      <c r="Q1011" s="41"/>
      <c r="R1011" s="111"/>
      <c r="S1011" s="110" t="s">
        <v>1625</v>
      </c>
    </row>
    <row r="1012" spans="1:19" x14ac:dyDescent="0.3">
      <c r="A1012" s="105">
        <v>1011</v>
      </c>
      <c r="B1012" s="41">
        <v>12000000</v>
      </c>
      <c r="C1012" s="41">
        <v>3.5000000000000001E-3</v>
      </c>
      <c r="D1012" s="41">
        <v>10.374700000000001</v>
      </c>
      <c r="E1012" s="41">
        <v>30</v>
      </c>
      <c r="F1012" s="41">
        <v>0</v>
      </c>
      <c r="G1012" s="41" t="s">
        <v>104</v>
      </c>
      <c r="H1012" s="41">
        <v>0</v>
      </c>
      <c r="I1012" s="41">
        <v>1</v>
      </c>
      <c r="J1012" s="108">
        <f>POWER(POWER(Table2[[#This Row],[mv]],4)/10,0.25)</f>
        <v>1.9681946381662216E-3</v>
      </c>
      <c r="K1012" s="41">
        <v>0</v>
      </c>
      <c r="L1012" s="41">
        <v>55</v>
      </c>
      <c r="M1012" s="41">
        <v>-1</v>
      </c>
      <c r="N1012" s="41">
        <v>4</v>
      </c>
      <c r="O1012" s="111" t="s">
        <v>1530</v>
      </c>
      <c r="P1012" s="109">
        <v>192946</v>
      </c>
      <c r="Q1012" s="41"/>
      <c r="R1012" s="111"/>
      <c r="S1012" s="110" t="s">
        <v>1625</v>
      </c>
    </row>
    <row r="1013" spans="1:19" x14ac:dyDescent="0.3">
      <c r="A1013" s="105">
        <v>1012</v>
      </c>
      <c r="B1013" s="41">
        <v>12000000</v>
      </c>
      <c r="C1013" s="41">
        <v>3.5000000000000001E-3</v>
      </c>
      <c r="D1013" s="41">
        <v>11.313700000000001</v>
      </c>
      <c r="E1013" s="41">
        <v>30</v>
      </c>
      <c r="F1013" s="41">
        <v>0</v>
      </c>
      <c r="G1013" s="41" t="s">
        <v>104</v>
      </c>
      <c r="H1013" s="41">
        <v>0</v>
      </c>
      <c r="I1013" s="41">
        <v>1</v>
      </c>
      <c r="J1013" s="108">
        <f>POWER(POWER(Table2[[#This Row],[mv]],4)/10,0.25)</f>
        <v>1.9681946381662216E-3</v>
      </c>
      <c r="K1013" s="41">
        <v>0</v>
      </c>
      <c r="L1013" s="41">
        <v>55</v>
      </c>
      <c r="M1013" s="41">
        <v>-1</v>
      </c>
      <c r="N1013" s="41">
        <v>4</v>
      </c>
      <c r="O1013" s="111" t="s">
        <v>1531</v>
      </c>
      <c r="P1013" s="109">
        <v>192946</v>
      </c>
      <c r="Q1013" s="41"/>
      <c r="R1013" s="111"/>
      <c r="S1013" s="110" t="s">
        <v>1625</v>
      </c>
    </row>
    <row r="1014" spans="1:19" x14ac:dyDescent="0.3">
      <c r="A1014" s="105">
        <v>1013</v>
      </c>
      <c r="B1014" s="41">
        <v>12000000</v>
      </c>
      <c r="C1014" s="41">
        <v>3.5000000000000001E-3</v>
      </c>
      <c r="D1014" s="41">
        <v>12.3377</v>
      </c>
      <c r="E1014" s="41">
        <v>30</v>
      </c>
      <c r="F1014" s="41">
        <v>0</v>
      </c>
      <c r="G1014" s="41" t="s">
        <v>104</v>
      </c>
      <c r="H1014" s="41">
        <v>0</v>
      </c>
      <c r="I1014" s="41">
        <v>1</v>
      </c>
      <c r="J1014" s="108">
        <f>POWER(POWER(Table2[[#This Row],[mv]],4)/10,0.25)</f>
        <v>1.9681946381662216E-3</v>
      </c>
      <c r="K1014" s="41">
        <v>0</v>
      </c>
      <c r="L1014" s="41">
        <v>55</v>
      </c>
      <c r="M1014" s="41">
        <v>-1</v>
      </c>
      <c r="N1014" s="41">
        <v>4</v>
      </c>
      <c r="O1014" s="111" t="s">
        <v>1532</v>
      </c>
      <c r="P1014" s="109">
        <v>192946</v>
      </c>
      <c r="Q1014" s="41"/>
      <c r="R1014" s="111"/>
      <c r="S1014" s="110" t="s">
        <v>1625</v>
      </c>
    </row>
    <row r="1015" spans="1:19" x14ac:dyDescent="0.3">
      <c r="A1015" s="105">
        <v>1014</v>
      </c>
      <c r="B1015" s="41">
        <v>12000000</v>
      </c>
      <c r="C1015" s="41">
        <v>3.5000000000000001E-3</v>
      </c>
      <c r="D1015" s="41">
        <v>13.4543</v>
      </c>
      <c r="E1015" s="41">
        <v>30</v>
      </c>
      <c r="F1015" s="41">
        <v>0</v>
      </c>
      <c r="G1015" s="41" t="s">
        <v>104</v>
      </c>
      <c r="H1015" s="41">
        <v>0</v>
      </c>
      <c r="I1015" s="41">
        <v>1</v>
      </c>
      <c r="J1015" s="108">
        <f>POWER(POWER(Table2[[#This Row],[mv]],4)/10,0.25)</f>
        <v>1.9681946381662216E-3</v>
      </c>
      <c r="K1015" s="41">
        <v>0</v>
      </c>
      <c r="L1015" s="41">
        <v>55</v>
      </c>
      <c r="M1015" s="41">
        <v>-1</v>
      </c>
      <c r="N1015" s="41">
        <v>4</v>
      </c>
      <c r="O1015" s="111" t="s">
        <v>1533</v>
      </c>
      <c r="P1015" s="109">
        <v>192946</v>
      </c>
      <c r="Q1015" s="41"/>
      <c r="R1015" s="111"/>
      <c r="S1015" s="110" t="s">
        <v>1625</v>
      </c>
    </row>
    <row r="1016" spans="1:19" x14ac:dyDescent="0.3">
      <c r="A1016" s="105">
        <v>1015</v>
      </c>
      <c r="B1016" s="41">
        <v>12000000</v>
      </c>
      <c r="C1016" s="41">
        <v>3.5000000000000001E-3</v>
      </c>
      <c r="D1016" s="41">
        <v>14.6721</v>
      </c>
      <c r="E1016" s="41">
        <v>30</v>
      </c>
      <c r="F1016" s="41">
        <v>0</v>
      </c>
      <c r="G1016" s="41" t="s">
        <v>104</v>
      </c>
      <c r="H1016" s="41">
        <v>0</v>
      </c>
      <c r="I1016" s="41">
        <v>1</v>
      </c>
      <c r="J1016" s="108">
        <f>POWER(POWER(Table2[[#This Row],[mv]],4)/10,0.25)</f>
        <v>1.9681946381662216E-3</v>
      </c>
      <c r="K1016" s="41">
        <v>0</v>
      </c>
      <c r="L1016" s="41">
        <v>55</v>
      </c>
      <c r="M1016" s="41">
        <v>-1</v>
      </c>
      <c r="N1016" s="41">
        <v>4</v>
      </c>
      <c r="O1016" s="111" t="s">
        <v>1534</v>
      </c>
      <c r="P1016" s="109">
        <v>192946</v>
      </c>
      <c r="Q1016" s="41"/>
      <c r="R1016" s="111"/>
      <c r="S1016" s="110" t="s">
        <v>1625</v>
      </c>
    </row>
    <row r="1017" spans="1:19" x14ac:dyDescent="0.3">
      <c r="A1017" s="105">
        <v>1016</v>
      </c>
      <c r="B1017" s="41">
        <v>12000000</v>
      </c>
      <c r="C1017" s="41">
        <v>3.5000000000000001E-3</v>
      </c>
      <c r="D1017" s="41">
        <v>16</v>
      </c>
      <c r="E1017" s="41">
        <v>30</v>
      </c>
      <c r="F1017" s="41">
        <v>0</v>
      </c>
      <c r="G1017" s="41" t="s">
        <v>104</v>
      </c>
      <c r="H1017" s="41">
        <v>0</v>
      </c>
      <c r="I1017" s="41">
        <v>1</v>
      </c>
      <c r="J1017" s="108">
        <f>POWER(POWER(Table2[[#This Row],[mv]],4)/10,0.25)</f>
        <v>1.9681946381662216E-3</v>
      </c>
      <c r="K1017" s="41">
        <v>0</v>
      </c>
      <c r="L1017" s="41">
        <v>55</v>
      </c>
      <c r="M1017" s="41">
        <v>-1</v>
      </c>
      <c r="N1017" s="41">
        <v>4</v>
      </c>
      <c r="O1017" s="111" t="s">
        <v>1535</v>
      </c>
      <c r="P1017" s="109">
        <v>192946</v>
      </c>
      <c r="Q1017" s="41"/>
      <c r="R1017" s="111"/>
      <c r="S1017" s="110" t="s">
        <v>1625</v>
      </c>
    </row>
    <row r="1018" spans="1:19" x14ac:dyDescent="0.3">
      <c r="A1018" s="105">
        <v>1017</v>
      </c>
      <c r="B1018" s="41">
        <v>12000000</v>
      </c>
      <c r="C1018" s="41">
        <v>3.5000000000000001E-3</v>
      </c>
      <c r="D1018" s="41">
        <v>17.4481</v>
      </c>
      <c r="E1018" s="41">
        <v>30</v>
      </c>
      <c r="F1018" s="41">
        <v>0</v>
      </c>
      <c r="G1018" s="41" t="s">
        <v>104</v>
      </c>
      <c r="H1018" s="41">
        <v>0</v>
      </c>
      <c r="I1018" s="41">
        <v>1</v>
      </c>
      <c r="J1018" s="108">
        <f>POWER(POWER(Table2[[#This Row],[mv]],4)/10,0.25)</f>
        <v>1.9681946381662216E-3</v>
      </c>
      <c r="K1018" s="41">
        <v>0</v>
      </c>
      <c r="L1018" s="41">
        <v>55</v>
      </c>
      <c r="M1018" s="41">
        <v>-1</v>
      </c>
      <c r="N1018" s="41">
        <v>4</v>
      </c>
      <c r="O1018" s="111" t="s">
        <v>1536</v>
      </c>
      <c r="P1018" s="109">
        <v>192946</v>
      </c>
      <c r="Q1018" s="41"/>
      <c r="R1018" s="111"/>
      <c r="S1018" s="110" t="s">
        <v>1625</v>
      </c>
    </row>
    <row r="1019" spans="1:19" x14ac:dyDescent="0.3">
      <c r="A1019" s="105">
        <v>1018</v>
      </c>
      <c r="B1019" s="41">
        <v>12000000</v>
      </c>
      <c r="C1019" s="41">
        <v>3.5000000000000001E-3</v>
      </c>
      <c r="D1019" s="41">
        <v>19.0273</v>
      </c>
      <c r="E1019" s="41">
        <v>30</v>
      </c>
      <c r="F1019" s="41">
        <v>0</v>
      </c>
      <c r="G1019" s="41" t="s">
        <v>104</v>
      </c>
      <c r="H1019" s="41">
        <v>0</v>
      </c>
      <c r="I1019" s="41">
        <v>1</v>
      </c>
      <c r="J1019" s="108">
        <f>POWER(POWER(Table2[[#This Row],[mv]],4)/10,0.25)</f>
        <v>1.9681946381662216E-3</v>
      </c>
      <c r="K1019" s="41">
        <v>0</v>
      </c>
      <c r="L1019" s="41">
        <v>55</v>
      </c>
      <c r="M1019" s="41">
        <v>-1</v>
      </c>
      <c r="N1019" s="41">
        <v>4</v>
      </c>
      <c r="O1019" s="111" t="s">
        <v>1537</v>
      </c>
      <c r="P1019" s="109">
        <v>192946</v>
      </c>
      <c r="Q1019" s="41"/>
      <c r="R1019" s="111"/>
      <c r="S1019" s="110" t="s">
        <v>1625</v>
      </c>
    </row>
    <row r="1020" spans="1:19" x14ac:dyDescent="0.3">
      <c r="A1020" s="105">
        <v>1019</v>
      </c>
      <c r="B1020" s="41">
        <v>12000000</v>
      </c>
      <c r="C1020" s="41">
        <v>3.8E-3</v>
      </c>
      <c r="D1020" s="41">
        <v>4.7568000000000001</v>
      </c>
      <c r="E1020" s="41">
        <v>30</v>
      </c>
      <c r="F1020" s="41">
        <v>0</v>
      </c>
      <c r="G1020" s="41" t="s">
        <v>104</v>
      </c>
      <c r="H1020" s="41">
        <v>0</v>
      </c>
      <c r="I1020" s="41">
        <v>1</v>
      </c>
      <c r="J1020" s="108">
        <f>POWER(POWER(Table2[[#This Row],[mv]],4)/10,0.25)</f>
        <v>2.1368970357233258E-3</v>
      </c>
      <c r="K1020" s="41">
        <v>0</v>
      </c>
      <c r="L1020" s="41">
        <v>55</v>
      </c>
      <c r="M1020" s="41">
        <v>-1</v>
      </c>
      <c r="N1020" s="41">
        <v>4</v>
      </c>
      <c r="O1020" s="111" t="s">
        <v>1538</v>
      </c>
      <c r="P1020" s="109">
        <v>192946</v>
      </c>
      <c r="Q1020" s="41"/>
      <c r="R1020" s="111"/>
      <c r="S1020" s="110" t="s">
        <v>1625</v>
      </c>
    </row>
    <row r="1021" spans="1:19" x14ac:dyDescent="0.3">
      <c r="A1021" s="105">
        <v>1020</v>
      </c>
      <c r="B1021" s="41">
        <v>12000000</v>
      </c>
      <c r="C1021" s="41">
        <v>3.8E-3</v>
      </c>
      <c r="D1021" s="41">
        <v>5.1874000000000002</v>
      </c>
      <c r="E1021" s="41">
        <v>30</v>
      </c>
      <c r="F1021" s="41">
        <v>0</v>
      </c>
      <c r="G1021" s="41" t="s">
        <v>104</v>
      </c>
      <c r="H1021" s="41">
        <v>0</v>
      </c>
      <c r="I1021" s="41">
        <v>1</v>
      </c>
      <c r="J1021" s="108">
        <f>POWER(POWER(Table2[[#This Row],[mv]],4)/10,0.25)</f>
        <v>2.1368970357233258E-3</v>
      </c>
      <c r="K1021" s="41">
        <v>0</v>
      </c>
      <c r="L1021" s="41">
        <v>55</v>
      </c>
      <c r="M1021" s="41">
        <v>-1</v>
      </c>
      <c r="N1021" s="41">
        <v>4</v>
      </c>
      <c r="O1021" s="111" t="s">
        <v>1539</v>
      </c>
      <c r="P1021" s="109">
        <v>192946</v>
      </c>
      <c r="Q1021" s="41"/>
      <c r="R1021" s="111"/>
      <c r="S1021" s="110" t="s">
        <v>1625</v>
      </c>
    </row>
    <row r="1022" spans="1:19" x14ac:dyDescent="0.3">
      <c r="A1022" s="105">
        <v>1021</v>
      </c>
      <c r="B1022" s="41">
        <v>12000000</v>
      </c>
      <c r="C1022" s="41">
        <v>3.8E-3</v>
      </c>
      <c r="D1022" s="41">
        <v>5.6569000000000003</v>
      </c>
      <c r="E1022" s="41">
        <v>30</v>
      </c>
      <c r="F1022" s="41">
        <v>0</v>
      </c>
      <c r="G1022" s="41" t="s">
        <v>104</v>
      </c>
      <c r="H1022" s="41">
        <v>0</v>
      </c>
      <c r="I1022" s="41">
        <v>1</v>
      </c>
      <c r="J1022" s="108">
        <f>POWER(POWER(Table2[[#This Row],[mv]],4)/10,0.25)</f>
        <v>2.1368970357233258E-3</v>
      </c>
      <c r="K1022" s="41">
        <v>0</v>
      </c>
      <c r="L1022" s="41">
        <v>55</v>
      </c>
      <c r="M1022" s="41">
        <v>-1</v>
      </c>
      <c r="N1022" s="41">
        <v>4</v>
      </c>
      <c r="O1022" s="111" t="s">
        <v>1540</v>
      </c>
      <c r="P1022" s="109">
        <v>192946</v>
      </c>
      <c r="Q1022" s="41"/>
      <c r="R1022" s="111"/>
      <c r="S1022" s="110" t="s">
        <v>1625</v>
      </c>
    </row>
    <row r="1023" spans="1:19" x14ac:dyDescent="0.3">
      <c r="A1023" s="105">
        <v>1022</v>
      </c>
      <c r="B1023" s="41">
        <v>12000000</v>
      </c>
      <c r="C1023" s="41">
        <v>3.8E-3</v>
      </c>
      <c r="D1023" s="41">
        <v>6.1688000000000001</v>
      </c>
      <c r="E1023" s="41">
        <v>30</v>
      </c>
      <c r="F1023" s="41">
        <v>0</v>
      </c>
      <c r="G1023" s="41" t="s">
        <v>104</v>
      </c>
      <c r="H1023" s="41">
        <v>0</v>
      </c>
      <c r="I1023" s="41">
        <v>1</v>
      </c>
      <c r="J1023" s="108">
        <f>POWER(POWER(Table2[[#This Row],[mv]],4)/10,0.25)</f>
        <v>2.1368970357233258E-3</v>
      </c>
      <c r="K1023" s="41">
        <v>0</v>
      </c>
      <c r="L1023" s="41">
        <v>55</v>
      </c>
      <c r="M1023" s="41">
        <v>-1</v>
      </c>
      <c r="N1023" s="41">
        <v>4</v>
      </c>
      <c r="O1023" s="111" t="s">
        <v>1541</v>
      </c>
      <c r="P1023" s="109">
        <v>192946</v>
      </c>
      <c r="Q1023" s="41"/>
      <c r="R1023" s="111"/>
      <c r="S1023" s="110" t="s">
        <v>1625</v>
      </c>
    </row>
    <row r="1024" spans="1:19" x14ac:dyDescent="0.3">
      <c r="A1024" s="105">
        <v>1023</v>
      </c>
      <c r="B1024" s="41">
        <v>12000000</v>
      </c>
      <c r="C1024" s="41">
        <v>3.8E-3</v>
      </c>
      <c r="D1024" s="41">
        <v>6.7271999999999998</v>
      </c>
      <c r="E1024" s="41">
        <v>30</v>
      </c>
      <c r="F1024" s="41">
        <v>0</v>
      </c>
      <c r="G1024" s="41" t="s">
        <v>104</v>
      </c>
      <c r="H1024" s="41">
        <v>0</v>
      </c>
      <c r="I1024" s="41">
        <v>1</v>
      </c>
      <c r="J1024" s="108">
        <f>POWER(POWER(Table2[[#This Row],[mv]],4)/10,0.25)</f>
        <v>2.1368970357233258E-3</v>
      </c>
      <c r="K1024" s="41">
        <v>0</v>
      </c>
      <c r="L1024" s="41">
        <v>55</v>
      </c>
      <c r="M1024" s="41">
        <v>-1</v>
      </c>
      <c r="N1024" s="41">
        <v>4</v>
      </c>
      <c r="O1024" s="111" t="s">
        <v>1542</v>
      </c>
      <c r="P1024" s="109">
        <v>192946</v>
      </c>
      <c r="Q1024" s="41"/>
      <c r="R1024" s="111"/>
      <c r="S1024" s="110" t="s">
        <v>1625</v>
      </c>
    </row>
    <row r="1025" spans="1:19" x14ac:dyDescent="0.3">
      <c r="A1025" s="105">
        <v>1024</v>
      </c>
      <c r="B1025" s="41">
        <v>12000000</v>
      </c>
      <c r="C1025" s="41">
        <v>3.8E-3</v>
      </c>
      <c r="D1025" s="41">
        <v>7.3360000000000003</v>
      </c>
      <c r="E1025" s="41">
        <v>30</v>
      </c>
      <c r="F1025" s="41">
        <v>0</v>
      </c>
      <c r="G1025" s="41" t="s">
        <v>104</v>
      </c>
      <c r="H1025" s="41">
        <v>0</v>
      </c>
      <c r="I1025" s="41">
        <v>1</v>
      </c>
      <c r="J1025" s="108">
        <f>POWER(POWER(Table2[[#This Row],[mv]],4)/10,0.25)</f>
        <v>2.1368970357233258E-3</v>
      </c>
      <c r="K1025" s="41">
        <v>0</v>
      </c>
      <c r="L1025" s="41">
        <v>55</v>
      </c>
      <c r="M1025" s="41">
        <v>-1</v>
      </c>
      <c r="N1025" s="41">
        <v>4</v>
      </c>
      <c r="O1025" s="111" t="s">
        <v>1543</v>
      </c>
      <c r="P1025" s="109">
        <v>192946</v>
      </c>
      <c r="Q1025" s="41"/>
      <c r="R1025" s="111"/>
      <c r="S1025" s="110" t="s">
        <v>1625</v>
      </c>
    </row>
    <row r="1026" spans="1:19" x14ac:dyDescent="0.3">
      <c r="A1026" s="105">
        <v>1025</v>
      </c>
      <c r="B1026" s="41">
        <v>12000000</v>
      </c>
      <c r="C1026" s="41">
        <v>3.8E-3</v>
      </c>
      <c r="D1026" s="41">
        <v>8</v>
      </c>
      <c r="E1026" s="41">
        <v>30</v>
      </c>
      <c r="F1026" s="41">
        <v>0</v>
      </c>
      <c r="G1026" s="41" t="s">
        <v>104</v>
      </c>
      <c r="H1026" s="41">
        <v>0</v>
      </c>
      <c r="I1026" s="41">
        <v>1</v>
      </c>
      <c r="J1026" s="108">
        <f>POWER(POWER(Table2[[#This Row],[mv]],4)/10,0.25)</f>
        <v>2.1368970357233258E-3</v>
      </c>
      <c r="K1026" s="41">
        <v>0</v>
      </c>
      <c r="L1026" s="41">
        <v>55</v>
      </c>
      <c r="M1026" s="41">
        <v>-1</v>
      </c>
      <c r="N1026" s="41">
        <v>4</v>
      </c>
      <c r="O1026" s="111" t="s">
        <v>1544</v>
      </c>
      <c r="P1026" s="109">
        <v>192946</v>
      </c>
      <c r="Q1026" s="41"/>
      <c r="R1026" s="111"/>
      <c r="S1026" s="110" t="s">
        <v>1625</v>
      </c>
    </row>
    <row r="1027" spans="1:19" x14ac:dyDescent="0.3">
      <c r="A1027" s="105">
        <v>1026</v>
      </c>
      <c r="B1027" s="41">
        <v>12000000</v>
      </c>
      <c r="C1027" s="41">
        <v>3.8E-3</v>
      </c>
      <c r="D1027" s="41">
        <v>8.7241</v>
      </c>
      <c r="E1027" s="41">
        <v>30</v>
      </c>
      <c r="F1027" s="41">
        <v>0</v>
      </c>
      <c r="G1027" s="41" t="s">
        <v>104</v>
      </c>
      <c r="H1027" s="41">
        <v>0</v>
      </c>
      <c r="I1027" s="41">
        <v>1</v>
      </c>
      <c r="J1027" s="108">
        <f>POWER(POWER(Table2[[#This Row],[mv]],4)/10,0.25)</f>
        <v>2.1368970357233258E-3</v>
      </c>
      <c r="K1027" s="41">
        <v>0</v>
      </c>
      <c r="L1027" s="41">
        <v>55</v>
      </c>
      <c r="M1027" s="41">
        <v>-1</v>
      </c>
      <c r="N1027" s="41">
        <v>4</v>
      </c>
      <c r="O1027" s="111" t="s">
        <v>1545</v>
      </c>
      <c r="P1027" s="109">
        <v>192946</v>
      </c>
      <c r="Q1027" s="41"/>
      <c r="R1027" s="111"/>
      <c r="S1027" s="110" t="s">
        <v>1625</v>
      </c>
    </row>
    <row r="1028" spans="1:19" x14ac:dyDescent="0.3">
      <c r="A1028" s="105">
        <v>1027</v>
      </c>
      <c r="B1028" s="41">
        <v>12000000</v>
      </c>
      <c r="C1028" s="41">
        <v>3.8E-3</v>
      </c>
      <c r="D1028" s="41">
        <v>9.5137</v>
      </c>
      <c r="E1028" s="41">
        <v>30</v>
      </c>
      <c r="F1028" s="41">
        <v>0</v>
      </c>
      <c r="G1028" s="41" t="s">
        <v>104</v>
      </c>
      <c r="H1028" s="41">
        <v>0</v>
      </c>
      <c r="I1028" s="41">
        <v>1</v>
      </c>
      <c r="J1028" s="108">
        <f>POWER(POWER(Table2[[#This Row],[mv]],4)/10,0.25)</f>
        <v>2.1368970357233258E-3</v>
      </c>
      <c r="K1028" s="41">
        <v>0</v>
      </c>
      <c r="L1028" s="41">
        <v>55</v>
      </c>
      <c r="M1028" s="41">
        <v>-1</v>
      </c>
      <c r="N1028" s="41">
        <v>4</v>
      </c>
      <c r="O1028" s="111" t="s">
        <v>1546</v>
      </c>
      <c r="P1028" s="109">
        <v>192946</v>
      </c>
      <c r="Q1028" s="41"/>
      <c r="R1028" s="111"/>
      <c r="S1028" s="110" t="s">
        <v>1625</v>
      </c>
    </row>
    <row r="1029" spans="1:19" x14ac:dyDescent="0.3">
      <c r="A1029" s="105">
        <v>1028</v>
      </c>
      <c r="B1029" s="41">
        <v>12000000</v>
      </c>
      <c r="C1029" s="41">
        <v>3.8E-3</v>
      </c>
      <c r="D1029" s="41">
        <v>10.374700000000001</v>
      </c>
      <c r="E1029" s="41">
        <v>30</v>
      </c>
      <c r="F1029" s="41">
        <v>0</v>
      </c>
      <c r="G1029" s="41" t="s">
        <v>104</v>
      </c>
      <c r="H1029" s="41">
        <v>0</v>
      </c>
      <c r="I1029" s="41">
        <v>1</v>
      </c>
      <c r="J1029" s="108">
        <f>POWER(POWER(Table2[[#This Row],[mv]],4)/10,0.25)</f>
        <v>2.1368970357233258E-3</v>
      </c>
      <c r="K1029" s="41">
        <v>0</v>
      </c>
      <c r="L1029" s="41">
        <v>55</v>
      </c>
      <c r="M1029" s="41">
        <v>-1</v>
      </c>
      <c r="N1029" s="41">
        <v>4</v>
      </c>
      <c r="O1029" s="111" t="s">
        <v>1547</v>
      </c>
      <c r="P1029" s="109">
        <v>192946</v>
      </c>
      <c r="Q1029" s="41"/>
      <c r="R1029" s="111"/>
      <c r="S1029" s="110" t="s">
        <v>1625</v>
      </c>
    </row>
    <row r="1030" spans="1:19" x14ac:dyDescent="0.3">
      <c r="A1030" s="105">
        <v>1029</v>
      </c>
      <c r="B1030" s="41">
        <v>12000000</v>
      </c>
      <c r="C1030" s="41">
        <v>3.8E-3</v>
      </c>
      <c r="D1030" s="41">
        <v>11.313700000000001</v>
      </c>
      <c r="E1030" s="41">
        <v>30</v>
      </c>
      <c r="F1030" s="41">
        <v>0</v>
      </c>
      <c r="G1030" s="41" t="s">
        <v>104</v>
      </c>
      <c r="H1030" s="41">
        <v>0</v>
      </c>
      <c r="I1030" s="41">
        <v>1</v>
      </c>
      <c r="J1030" s="108">
        <f>POWER(POWER(Table2[[#This Row],[mv]],4)/10,0.25)</f>
        <v>2.1368970357233258E-3</v>
      </c>
      <c r="K1030" s="41">
        <v>0</v>
      </c>
      <c r="L1030" s="41">
        <v>55</v>
      </c>
      <c r="M1030" s="41">
        <v>-1</v>
      </c>
      <c r="N1030" s="41">
        <v>4</v>
      </c>
      <c r="O1030" s="111" t="s">
        <v>1548</v>
      </c>
      <c r="P1030" s="109">
        <v>192946</v>
      </c>
      <c r="Q1030" s="41"/>
      <c r="R1030" s="111"/>
      <c r="S1030" s="110" t="s">
        <v>1625</v>
      </c>
    </row>
    <row r="1031" spans="1:19" x14ac:dyDescent="0.3">
      <c r="A1031" s="105">
        <v>1030</v>
      </c>
      <c r="B1031" s="41">
        <v>12000000</v>
      </c>
      <c r="C1031" s="41">
        <v>3.8E-3</v>
      </c>
      <c r="D1031" s="41">
        <v>12.3377</v>
      </c>
      <c r="E1031" s="41">
        <v>30</v>
      </c>
      <c r="F1031" s="41">
        <v>0</v>
      </c>
      <c r="G1031" s="41" t="s">
        <v>104</v>
      </c>
      <c r="H1031" s="41">
        <v>0</v>
      </c>
      <c r="I1031" s="41">
        <v>1</v>
      </c>
      <c r="J1031" s="108">
        <f>POWER(POWER(Table2[[#This Row],[mv]],4)/10,0.25)</f>
        <v>2.1368970357233258E-3</v>
      </c>
      <c r="K1031" s="41">
        <v>0</v>
      </c>
      <c r="L1031" s="41">
        <v>55</v>
      </c>
      <c r="M1031" s="41">
        <v>-1</v>
      </c>
      <c r="N1031" s="41">
        <v>4</v>
      </c>
      <c r="O1031" s="111" t="s">
        <v>1549</v>
      </c>
      <c r="P1031" s="109">
        <v>192946</v>
      </c>
      <c r="Q1031" s="41"/>
      <c r="R1031" s="111"/>
      <c r="S1031" s="110" t="s">
        <v>1625</v>
      </c>
    </row>
    <row r="1032" spans="1:19" x14ac:dyDescent="0.3">
      <c r="A1032" s="105">
        <v>1031</v>
      </c>
      <c r="B1032" s="41">
        <v>12000000</v>
      </c>
      <c r="C1032" s="41">
        <v>3.8E-3</v>
      </c>
      <c r="D1032" s="41">
        <v>13.4543</v>
      </c>
      <c r="E1032" s="41">
        <v>30</v>
      </c>
      <c r="F1032" s="41">
        <v>0</v>
      </c>
      <c r="G1032" s="41" t="s">
        <v>104</v>
      </c>
      <c r="H1032" s="41">
        <v>0</v>
      </c>
      <c r="I1032" s="41">
        <v>1</v>
      </c>
      <c r="J1032" s="108">
        <f>POWER(POWER(Table2[[#This Row],[mv]],4)/10,0.25)</f>
        <v>2.1368970357233258E-3</v>
      </c>
      <c r="K1032" s="41">
        <v>0</v>
      </c>
      <c r="L1032" s="41">
        <v>55</v>
      </c>
      <c r="M1032" s="41">
        <v>-1</v>
      </c>
      <c r="N1032" s="41">
        <v>4</v>
      </c>
      <c r="O1032" s="111" t="s">
        <v>1550</v>
      </c>
      <c r="P1032" s="109">
        <v>192946</v>
      </c>
      <c r="Q1032" s="41"/>
      <c r="R1032" s="111"/>
      <c r="S1032" s="110" t="s">
        <v>1625</v>
      </c>
    </row>
    <row r="1033" spans="1:19" x14ac:dyDescent="0.3">
      <c r="A1033" s="105">
        <v>1032</v>
      </c>
      <c r="B1033" s="41">
        <v>12000000</v>
      </c>
      <c r="C1033" s="41">
        <v>3.8E-3</v>
      </c>
      <c r="D1033" s="41">
        <v>14.6721</v>
      </c>
      <c r="E1033" s="41">
        <v>30</v>
      </c>
      <c r="F1033" s="41">
        <v>0</v>
      </c>
      <c r="G1033" s="41" t="s">
        <v>104</v>
      </c>
      <c r="H1033" s="41">
        <v>0</v>
      </c>
      <c r="I1033" s="41">
        <v>1</v>
      </c>
      <c r="J1033" s="108">
        <f>POWER(POWER(Table2[[#This Row],[mv]],4)/10,0.25)</f>
        <v>2.1368970357233258E-3</v>
      </c>
      <c r="K1033" s="41">
        <v>0</v>
      </c>
      <c r="L1033" s="41">
        <v>55</v>
      </c>
      <c r="M1033" s="41">
        <v>-1</v>
      </c>
      <c r="N1033" s="41">
        <v>4</v>
      </c>
      <c r="O1033" s="111" t="s">
        <v>1551</v>
      </c>
      <c r="P1033" s="109">
        <v>192946</v>
      </c>
      <c r="Q1033" s="41"/>
      <c r="R1033" s="111"/>
      <c r="S1033" s="110" t="s">
        <v>1625</v>
      </c>
    </row>
    <row r="1034" spans="1:19" x14ac:dyDescent="0.3">
      <c r="A1034" s="105">
        <v>1033</v>
      </c>
      <c r="B1034" s="41">
        <v>12000000</v>
      </c>
      <c r="C1034" s="41">
        <v>3.8E-3</v>
      </c>
      <c r="D1034" s="41">
        <v>16</v>
      </c>
      <c r="E1034" s="41">
        <v>30</v>
      </c>
      <c r="F1034" s="41">
        <v>0</v>
      </c>
      <c r="G1034" s="41" t="s">
        <v>104</v>
      </c>
      <c r="H1034" s="41">
        <v>0</v>
      </c>
      <c r="I1034" s="41">
        <v>1</v>
      </c>
      <c r="J1034" s="108">
        <f>POWER(POWER(Table2[[#This Row],[mv]],4)/10,0.25)</f>
        <v>2.1368970357233258E-3</v>
      </c>
      <c r="K1034" s="41">
        <v>0</v>
      </c>
      <c r="L1034" s="41">
        <v>55</v>
      </c>
      <c r="M1034" s="41">
        <v>-1</v>
      </c>
      <c r="N1034" s="41">
        <v>4</v>
      </c>
      <c r="O1034" s="111" t="s">
        <v>1552</v>
      </c>
      <c r="P1034" s="109">
        <v>192946</v>
      </c>
      <c r="Q1034" s="41"/>
      <c r="R1034" s="111"/>
      <c r="S1034" s="110" t="s">
        <v>1625</v>
      </c>
    </row>
    <row r="1035" spans="1:19" x14ac:dyDescent="0.3">
      <c r="A1035" s="105">
        <v>1034</v>
      </c>
      <c r="B1035" s="41">
        <v>12000000</v>
      </c>
      <c r="C1035" s="41">
        <v>3.8E-3</v>
      </c>
      <c r="D1035" s="41">
        <v>17.4481</v>
      </c>
      <c r="E1035" s="41">
        <v>30</v>
      </c>
      <c r="F1035" s="41">
        <v>0</v>
      </c>
      <c r="G1035" s="41" t="s">
        <v>104</v>
      </c>
      <c r="H1035" s="41">
        <v>0</v>
      </c>
      <c r="I1035" s="41">
        <v>1</v>
      </c>
      <c r="J1035" s="108">
        <f>POWER(POWER(Table2[[#This Row],[mv]],4)/10,0.25)</f>
        <v>2.1368970357233258E-3</v>
      </c>
      <c r="K1035" s="41">
        <v>0</v>
      </c>
      <c r="L1035" s="41">
        <v>55</v>
      </c>
      <c r="M1035" s="41">
        <v>-1</v>
      </c>
      <c r="N1035" s="41">
        <v>4</v>
      </c>
      <c r="O1035" s="111" t="s">
        <v>1553</v>
      </c>
      <c r="P1035" s="109">
        <v>192946</v>
      </c>
      <c r="Q1035" s="41"/>
      <c r="R1035" s="111"/>
      <c r="S1035" s="110" t="s">
        <v>1625</v>
      </c>
    </row>
    <row r="1036" spans="1:19" x14ac:dyDescent="0.3">
      <c r="A1036" s="105">
        <v>1035</v>
      </c>
      <c r="B1036" s="41">
        <v>12000000</v>
      </c>
      <c r="C1036" s="41">
        <v>3.8E-3</v>
      </c>
      <c r="D1036" s="41">
        <v>19.0273</v>
      </c>
      <c r="E1036" s="41">
        <v>30</v>
      </c>
      <c r="F1036" s="41">
        <v>0</v>
      </c>
      <c r="G1036" s="41" t="s">
        <v>104</v>
      </c>
      <c r="H1036" s="41">
        <v>0</v>
      </c>
      <c r="I1036" s="41">
        <v>1</v>
      </c>
      <c r="J1036" s="108">
        <f>POWER(POWER(Table2[[#This Row],[mv]],4)/10,0.25)</f>
        <v>2.1368970357233258E-3</v>
      </c>
      <c r="K1036" s="41">
        <v>0</v>
      </c>
      <c r="L1036" s="41">
        <v>55</v>
      </c>
      <c r="M1036" s="41">
        <v>-1</v>
      </c>
      <c r="N1036" s="41">
        <v>4</v>
      </c>
      <c r="O1036" s="111" t="s">
        <v>1554</v>
      </c>
      <c r="P1036" s="109">
        <v>192946</v>
      </c>
      <c r="Q1036" s="41"/>
      <c r="R1036" s="111"/>
      <c r="S1036" s="110" t="s">
        <v>1625</v>
      </c>
    </row>
    <row r="1037" spans="1:19" x14ac:dyDescent="0.3">
      <c r="A1037" s="105">
        <v>1036</v>
      </c>
      <c r="B1037" s="41">
        <v>12000000</v>
      </c>
      <c r="C1037" s="41">
        <v>4.1999999999999997E-3</v>
      </c>
      <c r="D1037" s="41">
        <v>5.6569000000000003</v>
      </c>
      <c r="E1037" s="41">
        <v>30</v>
      </c>
      <c r="F1037" s="41">
        <v>0</v>
      </c>
      <c r="G1037" s="41" t="s">
        <v>104</v>
      </c>
      <c r="H1037" s="41">
        <v>0</v>
      </c>
      <c r="I1037" s="41">
        <v>1</v>
      </c>
      <c r="J1037" s="108">
        <f>POWER(POWER(Table2[[#This Row],[mv]],4)/10,0.25)</f>
        <v>2.361833565799467E-3</v>
      </c>
      <c r="K1037" s="41">
        <v>0</v>
      </c>
      <c r="L1037" s="41">
        <v>55</v>
      </c>
      <c r="M1037" s="41">
        <v>-1</v>
      </c>
      <c r="N1037" s="41">
        <v>4</v>
      </c>
      <c r="O1037" s="111" t="s">
        <v>1555</v>
      </c>
      <c r="P1037" s="109">
        <v>193500</v>
      </c>
      <c r="Q1037" s="41"/>
      <c r="R1037" s="111"/>
      <c r="S1037" s="110" t="s">
        <v>1625</v>
      </c>
    </row>
    <row r="1038" spans="1:19" x14ac:dyDescent="0.3">
      <c r="A1038" s="105">
        <v>1037</v>
      </c>
      <c r="B1038" s="41">
        <v>12000000</v>
      </c>
      <c r="C1038" s="41">
        <v>4.1999999999999997E-3</v>
      </c>
      <c r="D1038" s="41">
        <v>6.1688000000000001</v>
      </c>
      <c r="E1038" s="41">
        <v>30</v>
      </c>
      <c r="F1038" s="41">
        <v>0</v>
      </c>
      <c r="G1038" s="41" t="s">
        <v>104</v>
      </c>
      <c r="H1038" s="41">
        <v>0</v>
      </c>
      <c r="I1038" s="41">
        <v>1</v>
      </c>
      <c r="J1038" s="108">
        <f>POWER(POWER(Table2[[#This Row],[mv]],4)/10,0.25)</f>
        <v>2.361833565799467E-3</v>
      </c>
      <c r="K1038" s="41">
        <v>0</v>
      </c>
      <c r="L1038" s="41">
        <v>55</v>
      </c>
      <c r="M1038" s="41">
        <v>-1</v>
      </c>
      <c r="N1038" s="41">
        <v>4</v>
      </c>
      <c r="O1038" s="111" t="s">
        <v>1556</v>
      </c>
      <c r="P1038" s="109">
        <v>193500</v>
      </c>
      <c r="Q1038" s="41"/>
      <c r="R1038" s="111"/>
      <c r="S1038" s="110" t="s">
        <v>1625</v>
      </c>
    </row>
    <row r="1039" spans="1:19" x14ac:dyDescent="0.3">
      <c r="A1039" s="105">
        <v>1038</v>
      </c>
      <c r="B1039" s="41">
        <v>12000000</v>
      </c>
      <c r="C1039" s="41">
        <v>4.1999999999999997E-3</v>
      </c>
      <c r="D1039" s="41">
        <v>6.7271999999999998</v>
      </c>
      <c r="E1039" s="41">
        <v>30</v>
      </c>
      <c r="F1039" s="41">
        <v>0</v>
      </c>
      <c r="G1039" s="41" t="s">
        <v>104</v>
      </c>
      <c r="H1039" s="41">
        <v>0</v>
      </c>
      <c r="I1039" s="41">
        <v>1</v>
      </c>
      <c r="J1039" s="108">
        <f>POWER(POWER(Table2[[#This Row],[mv]],4)/10,0.25)</f>
        <v>2.361833565799467E-3</v>
      </c>
      <c r="K1039" s="41">
        <v>0</v>
      </c>
      <c r="L1039" s="41">
        <v>55</v>
      </c>
      <c r="M1039" s="41">
        <v>-1</v>
      </c>
      <c r="N1039" s="41">
        <v>4</v>
      </c>
      <c r="O1039" s="111" t="s">
        <v>1557</v>
      </c>
      <c r="P1039" s="109">
        <v>193500</v>
      </c>
      <c r="Q1039" s="41"/>
      <c r="R1039" s="111"/>
      <c r="S1039" s="110" t="s">
        <v>1625</v>
      </c>
    </row>
    <row r="1040" spans="1:19" x14ac:dyDescent="0.3">
      <c r="A1040" s="105">
        <v>1039</v>
      </c>
      <c r="B1040" s="41">
        <v>12000000</v>
      </c>
      <c r="C1040" s="41">
        <v>4.1999999999999997E-3</v>
      </c>
      <c r="D1040" s="41">
        <v>7.3360000000000003</v>
      </c>
      <c r="E1040" s="41">
        <v>30</v>
      </c>
      <c r="F1040" s="41">
        <v>0</v>
      </c>
      <c r="G1040" s="41" t="s">
        <v>104</v>
      </c>
      <c r="H1040" s="41">
        <v>0</v>
      </c>
      <c r="I1040" s="41">
        <v>1</v>
      </c>
      <c r="J1040" s="108">
        <f>POWER(POWER(Table2[[#This Row],[mv]],4)/10,0.25)</f>
        <v>2.361833565799467E-3</v>
      </c>
      <c r="K1040" s="41">
        <v>0</v>
      </c>
      <c r="L1040" s="41">
        <v>55</v>
      </c>
      <c r="M1040" s="41">
        <v>-1</v>
      </c>
      <c r="N1040" s="41">
        <v>4</v>
      </c>
      <c r="O1040" s="111" t="s">
        <v>1558</v>
      </c>
      <c r="P1040" s="109">
        <v>193500</v>
      </c>
      <c r="Q1040" s="41"/>
      <c r="R1040" s="111"/>
      <c r="S1040" s="110" t="s">
        <v>1625</v>
      </c>
    </row>
    <row r="1041" spans="1:19" x14ac:dyDescent="0.3">
      <c r="A1041" s="105">
        <v>1040</v>
      </c>
      <c r="B1041" s="41">
        <v>12000000</v>
      </c>
      <c r="C1041" s="41">
        <v>4.1999999999999997E-3</v>
      </c>
      <c r="D1041" s="41">
        <v>8</v>
      </c>
      <c r="E1041" s="41">
        <v>30</v>
      </c>
      <c r="F1041" s="41">
        <v>0</v>
      </c>
      <c r="G1041" s="41" t="s">
        <v>104</v>
      </c>
      <c r="H1041" s="41">
        <v>0</v>
      </c>
      <c r="I1041" s="41">
        <v>1</v>
      </c>
      <c r="J1041" s="108">
        <f>POWER(POWER(Table2[[#This Row],[mv]],4)/10,0.25)</f>
        <v>2.361833565799467E-3</v>
      </c>
      <c r="K1041" s="41">
        <v>0</v>
      </c>
      <c r="L1041" s="41">
        <v>55</v>
      </c>
      <c r="M1041" s="41">
        <v>-1</v>
      </c>
      <c r="N1041" s="41">
        <v>4</v>
      </c>
      <c r="O1041" s="111" t="s">
        <v>1559</v>
      </c>
      <c r="P1041" s="109">
        <v>193500</v>
      </c>
      <c r="Q1041" s="41"/>
      <c r="R1041" s="111"/>
      <c r="S1041" s="110" t="s">
        <v>1625</v>
      </c>
    </row>
    <row r="1042" spans="1:19" x14ac:dyDescent="0.3">
      <c r="A1042" s="105">
        <v>1041</v>
      </c>
      <c r="B1042" s="41">
        <v>12000000</v>
      </c>
      <c r="C1042" s="41">
        <v>4.1999999999999997E-3</v>
      </c>
      <c r="D1042" s="41">
        <v>8.7241</v>
      </c>
      <c r="E1042" s="41">
        <v>30</v>
      </c>
      <c r="F1042" s="41">
        <v>0</v>
      </c>
      <c r="G1042" s="41" t="s">
        <v>104</v>
      </c>
      <c r="H1042" s="41">
        <v>0</v>
      </c>
      <c r="I1042" s="41">
        <v>1</v>
      </c>
      <c r="J1042" s="108">
        <f>POWER(POWER(Table2[[#This Row],[mv]],4)/10,0.25)</f>
        <v>2.361833565799467E-3</v>
      </c>
      <c r="K1042" s="41">
        <v>0</v>
      </c>
      <c r="L1042" s="41">
        <v>55</v>
      </c>
      <c r="M1042" s="41">
        <v>-1</v>
      </c>
      <c r="N1042" s="41">
        <v>4</v>
      </c>
      <c r="O1042" s="111" t="s">
        <v>1560</v>
      </c>
      <c r="P1042" s="109">
        <v>193500</v>
      </c>
      <c r="Q1042" s="41"/>
      <c r="R1042" s="111"/>
      <c r="S1042" s="110" t="s">
        <v>1625</v>
      </c>
    </row>
    <row r="1043" spans="1:19" x14ac:dyDescent="0.3">
      <c r="A1043" s="105">
        <v>1042</v>
      </c>
      <c r="B1043" s="41">
        <v>12000000</v>
      </c>
      <c r="C1043" s="41">
        <v>4.1999999999999997E-3</v>
      </c>
      <c r="D1043" s="41">
        <v>9.5137</v>
      </c>
      <c r="E1043" s="41">
        <v>30</v>
      </c>
      <c r="F1043" s="41">
        <v>0</v>
      </c>
      <c r="G1043" s="41" t="s">
        <v>104</v>
      </c>
      <c r="H1043" s="41">
        <v>0</v>
      </c>
      <c r="I1043" s="41">
        <v>1</v>
      </c>
      <c r="J1043" s="108">
        <f>POWER(POWER(Table2[[#This Row],[mv]],4)/10,0.25)</f>
        <v>2.361833565799467E-3</v>
      </c>
      <c r="K1043" s="41">
        <v>0</v>
      </c>
      <c r="L1043" s="41">
        <v>55</v>
      </c>
      <c r="M1043" s="41">
        <v>-1</v>
      </c>
      <c r="N1043" s="41">
        <v>4</v>
      </c>
      <c r="O1043" s="111" t="s">
        <v>1561</v>
      </c>
      <c r="P1043" s="109">
        <v>193500</v>
      </c>
      <c r="Q1043" s="41"/>
      <c r="R1043" s="111"/>
      <c r="S1043" s="110" t="s">
        <v>1625</v>
      </c>
    </row>
    <row r="1044" spans="1:19" x14ac:dyDescent="0.3">
      <c r="A1044" s="105">
        <v>1043</v>
      </c>
      <c r="B1044" s="41">
        <v>12000000</v>
      </c>
      <c r="C1044" s="41">
        <v>4.1999999999999997E-3</v>
      </c>
      <c r="D1044" s="41">
        <v>10.374700000000001</v>
      </c>
      <c r="E1044" s="41">
        <v>30</v>
      </c>
      <c r="F1044" s="41">
        <v>0</v>
      </c>
      <c r="G1044" s="41" t="s">
        <v>104</v>
      </c>
      <c r="H1044" s="41">
        <v>0</v>
      </c>
      <c r="I1044" s="41">
        <v>1</v>
      </c>
      <c r="J1044" s="108">
        <f>POWER(POWER(Table2[[#This Row],[mv]],4)/10,0.25)</f>
        <v>2.361833565799467E-3</v>
      </c>
      <c r="K1044" s="41">
        <v>0</v>
      </c>
      <c r="L1044" s="41">
        <v>55</v>
      </c>
      <c r="M1044" s="41">
        <v>-1</v>
      </c>
      <c r="N1044" s="41">
        <v>4</v>
      </c>
      <c r="O1044" s="111" t="s">
        <v>1562</v>
      </c>
      <c r="P1044" s="109">
        <v>193505</v>
      </c>
      <c r="Q1044" s="41"/>
      <c r="R1044" s="111"/>
      <c r="S1044" s="110" t="s">
        <v>1625</v>
      </c>
    </row>
    <row r="1045" spans="1:19" x14ac:dyDescent="0.3">
      <c r="A1045" s="105">
        <v>1044</v>
      </c>
      <c r="B1045" s="41">
        <v>12000000</v>
      </c>
      <c r="C1045" s="41">
        <v>4.1999999999999997E-3</v>
      </c>
      <c r="D1045" s="41">
        <v>11.313700000000001</v>
      </c>
      <c r="E1045" s="41">
        <v>30</v>
      </c>
      <c r="F1045" s="41">
        <v>0</v>
      </c>
      <c r="G1045" s="41" t="s">
        <v>104</v>
      </c>
      <c r="H1045" s="41">
        <v>0</v>
      </c>
      <c r="I1045" s="41">
        <v>1</v>
      </c>
      <c r="J1045" s="108">
        <f>POWER(POWER(Table2[[#This Row],[mv]],4)/10,0.25)</f>
        <v>2.361833565799467E-3</v>
      </c>
      <c r="K1045" s="41">
        <v>0</v>
      </c>
      <c r="L1045" s="41">
        <v>55</v>
      </c>
      <c r="M1045" s="41">
        <v>-1</v>
      </c>
      <c r="N1045" s="41">
        <v>4</v>
      </c>
      <c r="O1045" s="111" t="s">
        <v>1563</v>
      </c>
      <c r="P1045" s="109">
        <v>193505</v>
      </c>
      <c r="Q1045" s="41"/>
      <c r="R1045" s="111"/>
      <c r="S1045" s="110" t="s">
        <v>1625</v>
      </c>
    </row>
    <row r="1046" spans="1:19" x14ac:dyDescent="0.3">
      <c r="A1046" s="105">
        <v>1045</v>
      </c>
      <c r="B1046" s="41">
        <v>12000000</v>
      </c>
      <c r="C1046" s="41">
        <v>4.1999999999999997E-3</v>
      </c>
      <c r="D1046" s="41">
        <v>12.3377</v>
      </c>
      <c r="E1046" s="41">
        <v>30</v>
      </c>
      <c r="F1046" s="41">
        <v>0</v>
      </c>
      <c r="G1046" s="41" t="s">
        <v>104</v>
      </c>
      <c r="H1046" s="41">
        <v>0</v>
      </c>
      <c r="I1046" s="41">
        <v>1</v>
      </c>
      <c r="J1046" s="108">
        <f>POWER(POWER(Table2[[#This Row],[mv]],4)/10,0.25)</f>
        <v>2.361833565799467E-3</v>
      </c>
      <c r="K1046" s="41">
        <v>0</v>
      </c>
      <c r="L1046" s="41">
        <v>55</v>
      </c>
      <c r="M1046" s="41">
        <v>-1</v>
      </c>
      <c r="N1046" s="41">
        <v>4</v>
      </c>
      <c r="O1046" s="111" t="s">
        <v>1564</v>
      </c>
      <c r="P1046" s="109">
        <v>193505</v>
      </c>
      <c r="Q1046" s="41"/>
      <c r="R1046" s="111"/>
      <c r="S1046" s="110" t="s">
        <v>1625</v>
      </c>
    </row>
    <row r="1047" spans="1:19" x14ac:dyDescent="0.3">
      <c r="A1047" s="105">
        <v>1046</v>
      </c>
      <c r="B1047" s="41">
        <v>12000000</v>
      </c>
      <c r="C1047" s="41">
        <v>4.1999999999999997E-3</v>
      </c>
      <c r="D1047" s="41">
        <v>13.4543</v>
      </c>
      <c r="E1047" s="41">
        <v>30</v>
      </c>
      <c r="F1047" s="41">
        <v>0</v>
      </c>
      <c r="G1047" s="41" t="s">
        <v>104</v>
      </c>
      <c r="H1047" s="41">
        <v>0</v>
      </c>
      <c r="I1047" s="41">
        <v>1</v>
      </c>
      <c r="J1047" s="108">
        <f>POWER(POWER(Table2[[#This Row],[mv]],4)/10,0.25)</f>
        <v>2.361833565799467E-3</v>
      </c>
      <c r="K1047" s="41">
        <v>0</v>
      </c>
      <c r="L1047" s="41">
        <v>55</v>
      </c>
      <c r="M1047" s="41">
        <v>-1</v>
      </c>
      <c r="N1047" s="41">
        <v>4</v>
      </c>
      <c r="O1047" s="111" t="s">
        <v>1565</v>
      </c>
      <c r="P1047" s="109">
        <v>193505</v>
      </c>
      <c r="Q1047" s="41"/>
      <c r="R1047" s="111"/>
      <c r="S1047" s="110" t="s">
        <v>1625</v>
      </c>
    </row>
    <row r="1048" spans="1:19" x14ac:dyDescent="0.3">
      <c r="A1048" s="105">
        <v>1047</v>
      </c>
      <c r="B1048" s="41">
        <v>12000000</v>
      </c>
      <c r="C1048" s="41">
        <v>4.1999999999999997E-3</v>
      </c>
      <c r="D1048" s="41">
        <v>14.6721</v>
      </c>
      <c r="E1048" s="41">
        <v>30</v>
      </c>
      <c r="F1048" s="41">
        <v>0</v>
      </c>
      <c r="G1048" s="41" t="s">
        <v>104</v>
      </c>
      <c r="H1048" s="41">
        <v>0</v>
      </c>
      <c r="I1048" s="41">
        <v>1</v>
      </c>
      <c r="J1048" s="108">
        <f>POWER(POWER(Table2[[#This Row],[mv]],4)/10,0.25)</f>
        <v>2.361833565799467E-3</v>
      </c>
      <c r="K1048" s="41">
        <v>0</v>
      </c>
      <c r="L1048" s="41">
        <v>55</v>
      </c>
      <c r="M1048" s="41">
        <v>-1</v>
      </c>
      <c r="N1048" s="41">
        <v>4</v>
      </c>
      <c r="O1048" s="111" t="s">
        <v>1566</v>
      </c>
      <c r="P1048" s="109">
        <v>193505</v>
      </c>
      <c r="Q1048" s="41"/>
      <c r="R1048" s="111"/>
      <c r="S1048" s="110" t="s">
        <v>1625</v>
      </c>
    </row>
    <row r="1049" spans="1:19" x14ac:dyDescent="0.3">
      <c r="A1049" s="105">
        <v>1048</v>
      </c>
      <c r="B1049" s="41">
        <v>12000000</v>
      </c>
      <c r="C1049" s="41">
        <v>4.1999999999999997E-3</v>
      </c>
      <c r="D1049" s="41">
        <v>16</v>
      </c>
      <c r="E1049" s="41">
        <v>30</v>
      </c>
      <c r="F1049" s="41">
        <v>0</v>
      </c>
      <c r="G1049" s="41" t="s">
        <v>104</v>
      </c>
      <c r="H1049" s="41">
        <v>0</v>
      </c>
      <c r="I1049" s="41">
        <v>1</v>
      </c>
      <c r="J1049" s="108">
        <f>POWER(POWER(Table2[[#This Row],[mv]],4)/10,0.25)</f>
        <v>2.361833565799467E-3</v>
      </c>
      <c r="K1049" s="41">
        <v>0</v>
      </c>
      <c r="L1049" s="41">
        <v>55</v>
      </c>
      <c r="M1049" s="41">
        <v>-1</v>
      </c>
      <c r="N1049" s="41">
        <v>4</v>
      </c>
      <c r="O1049" s="111" t="s">
        <v>1567</v>
      </c>
      <c r="P1049" s="109">
        <v>193500</v>
      </c>
      <c r="Q1049" s="41"/>
      <c r="R1049" s="111"/>
      <c r="S1049" s="110" t="s">
        <v>1625</v>
      </c>
    </row>
    <row r="1050" spans="1:19" x14ac:dyDescent="0.3">
      <c r="A1050" s="105">
        <v>1049</v>
      </c>
      <c r="B1050" s="41">
        <v>12000000</v>
      </c>
      <c r="C1050" s="41">
        <v>4.1999999999999997E-3</v>
      </c>
      <c r="D1050" s="41">
        <v>17.4481</v>
      </c>
      <c r="E1050" s="41">
        <v>30</v>
      </c>
      <c r="F1050" s="41">
        <v>0</v>
      </c>
      <c r="G1050" s="41" t="s">
        <v>104</v>
      </c>
      <c r="H1050" s="41">
        <v>0</v>
      </c>
      <c r="I1050" s="41">
        <v>1</v>
      </c>
      <c r="J1050" s="108">
        <f>POWER(POWER(Table2[[#This Row],[mv]],4)/10,0.25)</f>
        <v>2.361833565799467E-3</v>
      </c>
      <c r="K1050" s="41">
        <v>0</v>
      </c>
      <c r="L1050" s="41">
        <v>55</v>
      </c>
      <c r="M1050" s="41">
        <v>-1</v>
      </c>
      <c r="N1050" s="41">
        <v>4</v>
      </c>
      <c r="O1050" s="111" t="s">
        <v>1568</v>
      </c>
      <c r="P1050" s="109">
        <v>193500</v>
      </c>
      <c r="Q1050" s="41"/>
      <c r="R1050" s="111"/>
      <c r="S1050" s="110" t="s">
        <v>1625</v>
      </c>
    </row>
    <row r="1051" spans="1:19" x14ac:dyDescent="0.3">
      <c r="A1051" s="105">
        <v>1050</v>
      </c>
      <c r="B1051" s="41">
        <v>12000000</v>
      </c>
      <c r="C1051" s="41">
        <v>4.1999999999999997E-3</v>
      </c>
      <c r="D1051" s="41">
        <v>19.0273</v>
      </c>
      <c r="E1051" s="41">
        <v>30</v>
      </c>
      <c r="F1051" s="41">
        <v>0</v>
      </c>
      <c r="G1051" s="41" t="s">
        <v>104</v>
      </c>
      <c r="H1051" s="41">
        <v>0</v>
      </c>
      <c r="I1051" s="41">
        <v>1</v>
      </c>
      <c r="J1051" s="108">
        <f>POWER(POWER(Table2[[#This Row],[mv]],4)/10,0.25)</f>
        <v>2.361833565799467E-3</v>
      </c>
      <c r="K1051" s="41">
        <v>0</v>
      </c>
      <c r="L1051" s="41">
        <v>55</v>
      </c>
      <c r="M1051" s="41">
        <v>-1</v>
      </c>
      <c r="N1051" s="41">
        <v>4</v>
      </c>
      <c r="O1051" s="111" t="s">
        <v>1569</v>
      </c>
      <c r="P1051" s="109">
        <v>193500</v>
      </c>
      <c r="Q1051" s="41"/>
      <c r="R1051" s="111"/>
      <c r="S1051" s="110" t="s">
        <v>1625</v>
      </c>
    </row>
    <row r="1052" spans="1:19" x14ac:dyDescent="0.3">
      <c r="A1052" s="105">
        <v>1051</v>
      </c>
      <c r="B1052" s="41">
        <v>12000000</v>
      </c>
      <c r="C1052" s="41">
        <v>4.4999999999999997E-3</v>
      </c>
      <c r="D1052" s="41">
        <v>6.7271999999999998</v>
      </c>
      <c r="E1052" s="41">
        <v>30</v>
      </c>
      <c r="F1052" s="41">
        <v>0</v>
      </c>
      <c r="G1052" s="41" t="s">
        <v>104</v>
      </c>
      <c r="H1052" s="41">
        <v>0</v>
      </c>
      <c r="I1052" s="41">
        <v>1</v>
      </c>
      <c r="J1052" s="108">
        <f>POWER(POWER(Table2[[#This Row],[mv]],4)/10,0.25)</f>
        <v>2.5305359633565699E-3</v>
      </c>
      <c r="K1052" s="41">
        <v>0</v>
      </c>
      <c r="L1052" s="41">
        <v>55</v>
      </c>
      <c r="M1052" s="41">
        <v>-1</v>
      </c>
      <c r="N1052" s="41">
        <v>4</v>
      </c>
      <c r="O1052" s="111" t="s">
        <v>1570</v>
      </c>
      <c r="P1052" s="109">
        <v>193500</v>
      </c>
      <c r="Q1052" s="41"/>
      <c r="R1052" s="111"/>
      <c r="S1052" s="110" t="s">
        <v>1625</v>
      </c>
    </row>
    <row r="1053" spans="1:19" x14ac:dyDescent="0.3">
      <c r="A1053" s="105">
        <v>1052</v>
      </c>
      <c r="B1053" s="41">
        <v>12000000</v>
      </c>
      <c r="C1053" s="41">
        <v>4.4999999999999997E-3</v>
      </c>
      <c r="D1053" s="41">
        <v>7.3360000000000003</v>
      </c>
      <c r="E1053" s="41">
        <v>30</v>
      </c>
      <c r="F1053" s="41">
        <v>0</v>
      </c>
      <c r="G1053" s="41" t="s">
        <v>104</v>
      </c>
      <c r="H1053" s="41">
        <v>0</v>
      </c>
      <c r="I1053" s="41">
        <v>1</v>
      </c>
      <c r="J1053" s="108">
        <f>POWER(POWER(Table2[[#This Row],[mv]],4)/10,0.25)</f>
        <v>2.5305359633565699E-3</v>
      </c>
      <c r="K1053" s="41">
        <v>0</v>
      </c>
      <c r="L1053" s="41">
        <v>55</v>
      </c>
      <c r="M1053" s="41">
        <v>-1</v>
      </c>
      <c r="N1053" s="41">
        <v>4</v>
      </c>
      <c r="O1053" s="111" t="s">
        <v>1571</v>
      </c>
      <c r="P1053" s="109">
        <v>193500</v>
      </c>
      <c r="Q1053" s="41"/>
      <c r="R1053" s="111"/>
      <c r="S1053" s="110" t="s">
        <v>1625</v>
      </c>
    </row>
    <row r="1054" spans="1:19" x14ac:dyDescent="0.3">
      <c r="A1054" s="105">
        <v>1053</v>
      </c>
      <c r="B1054" s="41">
        <v>12000000</v>
      </c>
      <c r="C1054" s="41">
        <v>4.4999999999999997E-3</v>
      </c>
      <c r="D1054" s="41">
        <v>8</v>
      </c>
      <c r="E1054" s="41">
        <v>30</v>
      </c>
      <c r="F1054" s="41">
        <v>0</v>
      </c>
      <c r="G1054" s="41" t="s">
        <v>104</v>
      </c>
      <c r="H1054" s="41">
        <v>0</v>
      </c>
      <c r="I1054" s="41">
        <v>1</v>
      </c>
      <c r="J1054" s="108">
        <f>POWER(POWER(Table2[[#This Row],[mv]],4)/10,0.25)</f>
        <v>2.5305359633565699E-3</v>
      </c>
      <c r="K1054" s="41">
        <v>0</v>
      </c>
      <c r="L1054" s="41">
        <v>55</v>
      </c>
      <c r="M1054" s="41">
        <v>-1</v>
      </c>
      <c r="N1054" s="41">
        <v>4</v>
      </c>
      <c r="O1054" s="111" t="s">
        <v>1572</v>
      </c>
      <c r="P1054" s="109">
        <v>193500</v>
      </c>
      <c r="Q1054" s="41"/>
      <c r="R1054" s="111"/>
      <c r="S1054" s="110" t="s">
        <v>1625</v>
      </c>
    </row>
    <row r="1055" spans="1:19" x14ac:dyDescent="0.3">
      <c r="A1055" s="105">
        <v>1054</v>
      </c>
      <c r="B1055" s="41">
        <v>12000000</v>
      </c>
      <c r="C1055" s="41">
        <v>4.4999999999999997E-3</v>
      </c>
      <c r="D1055" s="41">
        <v>8.7241</v>
      </c>
      <c r="E1055" s="41">
        <v>30</v>
      </c>
      <c r="F1055" s="41">
        <v>0</v>
      </c>
      <c r="G1055" s="41" t="s">
        <v>104</v>
      </c>
      <c r="H1055" s="41">
        <v>0</v>
      </c>
      <c r="I1055" s="41">
        <v>1</v>
      </c>
      <c r="J1055" s="108">
        <f>POWER(POWER(Table2[[#This Row],[mv]],4)/10,0.25)</f>
        <v>2.5305359633565699E-3</v>
      </c>
      <c r="K1055" s="41">
        <v>0</v>
      </c>
      <c r="L1055" s="41">
        <v>55</v>
      </c>
      <c r="M1055" s="41">
        <v>-1</v>
      </c>
      <c r="N1055" s="41">
        <v>4</v>
      </c>
      <c r="O1055" s="111" t="s">
        <v>1573</v>
      </c>
      <c r="P1055" s="109">
        <v>193500</v>
      </c>
      <c r="Q1055" s="41"/>
      <c r="R1055" s="111"/>
      <c r="S1055" s="110" t="s">
        <v>1625</v>
      </c>
    </row>
    <row r="1056" spans="1:19" x14ac:dyDescent="0.3">
      <c r="A1056" s="105">
        <v>1055</v>
      </c>
      <c r="B1056" s="41">
        <v>12000000</v>
      </c>
      <c r="C1056" s="41">
        <v>4.4999999999999997E-3</v>
      </c>
      <c r="D1056" s="41">
        <v>9.5137</v>
      </c>
      <c r="E1056" s="41">
        <v>30</v>
      </c>
      <c r="F1056" s="41">
        <v>0</v>
      </c>
      <c r="G1056" s="41" t="s">
        <v>104</v>
      </c>
      <c r="H1056" s="41">
        <v>0</v>
      </c>
      <c r="I1056" s="41">
        <v>1</v>
      </c>
      <c r="J1056" s="108">
        <f>POWER(POWER(Table2[[#This Row],[mv]],4)/10,0.25)</f>
        <v>2.5305359633565699E-3</v>
      </c>
      <c r="K1056" s="41">
        <v>0</v>
      </c>
      <c r="L1056" s="41">
        <v>55</v>
      </c>
      <c r="M1056" s="41">
        <v>-1</v>
      </c>
      <c r="N1056" s="41">
        <v>4</v>
      </c>
      <c r="O1056" s="111" t="s">
        <v>1574</v>
      </c>
      <c r="P1056" s="109">
        <v>193500</v>
      </c>
      <c r="Q1056" s="41"/>
      <c r="R1056" s="111"/>
      <c r="S1056" s="110" t="s">
        <v>1625</v>
      </c>
    </row>
    <row r="1057" spans="1:19" x14ac:dyDescent="0.3">
      <c r="A1057" s="105">
        <v>1056</v>
      </c>
      <c r="B1057" s="41">
        <v>12000000</v>
      </c>
      <c r="C1057" s="41">
        <v>4.4999999999999997E-3</v>
      </c>
      <c r="D1057" s="41">
        <v>10.374700000000001</v>
      </c>
      <c r="E1057" s="41">
        <v>30</v>
      </c>
      <c r="F1057" s="41">
        <v>0</v>
      </c>
      <c r="G1057" s="41" t="s">
        <v>104</v>
      </c>
      <c r="H1057" s="41">
        <v>0</v>
      </c>
      <c r="I1057" s="41">
        <v>1</v>
      </c>
      <c r="J1057" s="108">
        <f>POWER(POWER(Table2[[#This Row],[mv]],4)/10,0.25)</f>
        <v>2.5305359633565699E-3</v>
      </c>
      <c r="K1057" s="41">
        <v>0</v>
      </c>
      <c r="L1057" s="41">
        <v>55</v>
      </c>
      <c r="M1057" s="41">
        <v>-1</v>
      </c>
      <c r="N1057" s="41">
        <v>4</v>
      </c>
      <c r="O1057" s="111" t="s">
        <v>1575</v>
      </c>
      <c r="P1057" s="109">
        <v>193500</v>
      </c>
      <c r="Q1057" s="41"/>
      <c r="R1057" s="111"/>
      <c r="S1057" s="110" t="s">
        <v>1625</v>
      </c>
    </row>
    <row r="1058" spans="1:19" x14ac:dyDescent="0.3">
      <c r="A1058" s="105">
        <v>1057</v>
      </c>
      <c r="B1058" s="41">
        <v>12000000</v>
      </c>
      <c r="C1058" s="41">
        <v>4.4999999999999997E-3</v>
      </c>
      <c r="D1058" s="41">
        <v>11.313700000000001</v>
      </c>
      <c r="E1058" s="41">
        <v>30</v>
      </c>
      <c r="F1058" s="41">
        <v>0</v>
      </c>
      <c r="G1058" s="41" t="s">
        <v>104</v>
      </c>
      <c r="H1058" s="41">
        <v>0</v>
      </c>
      <c r="I1058" s="41">
        <v>1</v>
      </c>
      <c r="J1058" s="108">
        <f>POWER(POWER(Table2[[#This Row],[mv]],4)/10,0.25)</f>
        <v>2.5305359633565699E-3</v>
      </c>
      <c r="K1058" s="41">
        <v>0</v>
      </c>
      <c r="L1058" s="41">
        <v>55</v>
      </c>
      <c r="M1058" s="41">
        <v>-1</v>
      </c>
      <c r="N1058" s="41">
        <v>4</v>
      </c>
      <c r="O1058" s="111" t="s">
        <v>1576</v>
      </c>
      <c r="P1058" s="109">
        <v>193505</v>
      </c>
      <c r="Q1058" s="41"/>
      <c r="R1058" s="111"/>
      <c r="S1058" s="110" t="s">
        <v>1625</v>
      </c>
    </row>
    <row r="1059" spans="1:19" x14ac:dyDescent="0.3">
      <c r="A1059" s="105">
        <v>1058</v>
      </c>
      <c r="B1059" s="41">
        <v>12000000</v>
      </c>
      <c r="C1059" s="41">
        <v>4.4999999999999997E-3</v>
      </c>
      <c r="D1059" s="41">
        <v>12.3377</v>
      </c>
      <c r="E1059" s="41">
        <v>30</v>
      </c>
      <c r="F1059" s="41">
        <v>0</v>
      </c>
      <c r="G1059" s="41" t="s">
        <v>104</v>
      </c>
      <c r="H1059" s="41">
        <v>0</v>
      </c>
      <c r="I1059" s="41">
        <v>1</v>
      </c>
      <c r="J1059" s="108">
        <f>POWER(POWER(Table2[[#This Row],[mv]],4)/10,0.25)</f>
        <v>2.5305359633565699E-3</v>
      </c>
      <c r="K1059" s="41">
        <v>0</v>
      </c>
      <c r="L1059" s="41">
        <v>55</v>
      </c>
      <c r="M1059" s="41">
        <v>-1</v>
      </c>
      <c r="N1059" s="41">
        <v>4</v>
      </c>
      <c r="O1059" s="111" t="s">
        <v>1577</v>
      </c>
      <c r="P1059" s="109">
        <v>193505</v>
      </c>
      <c r="Q1059" s="41"/>
      <c r="R1059" s="111"/>
      <c r="S1059" s="110" t="s">
        <v>1625</v>
      </c>
    </row>
    <row r="1060" spans="1:19" x14ac:dyDescent="0.3">
      <c r="A1060" s="105">
        <v>1059</v>
      </c>
      <c r="B1060" s="41">
        <v>12000000</v>
      </c>
      <c r="C1060" s="41">
        <v>4.4999999999999997E-3</v>
      </c>
      <c r="D1060" s="41">
        <v>13.4543</v>
      </c>
      <c r="E1060" s="41">
        <v>30</v>
      </c>
      <c r="F1060" s="41">
        <v>0</v>
      </c>
      <c r="G1060" s="41" t="s">
        <v>104</v>
      </c>
      <c r="H1060" s="41">
        <v>0</v>
      </c>
      <c r="I1060" s="41">
        <v>1</v>
      </c>
      <c r="J1060" s="108">
        <f>POWER(POWER(Table2[[#This Row],[mv]],4)/10,0.25)</f>
        <v>2.5305359633565699E-3</v>
      </c>
      <c r="K1060" s="41">
        <v>0</v>
      </c>
      <c r="L1060" s="41">
        <v>55</v>
      </c>
      <c r="M1060" s="41">
        <v>-1</v>
      </c>
      <c r="N1060" s="41">
        <v>4</v>
      </c>
      <c r="O1060" s="111" t="s">
        <v>1578</v>
      </c>
      <c r="P1060" s="109">
        <v>193505</v>
      </c>
      <c r="Q1060" s="41"/>
      <c r="R1060" s="111"/>
      <c r="S1060" s="110" t="s">
        <v>1625</v>
      </c>
    </row>
    <row r="1061" spans="1:19" x14ac:dyDescent="0.3">
      <c r="A1061" s="105">
        <v>1060</v>
      </c>
      <c r="B1061" s="41">
        <v>12000000</v>
      </c>
      <c r="C1061" s="41">
        <v>4.4999999999999997E-3</v>
      </c>
      <c r="D1061" s="41">
        <v>14.6721</v>
      </c>
      <c r="E1061" s="41">
        <v>30</v>
      </c>
      <c r="F1061" s="41">
        <v>0</v>
      </c>
      <c r="G1061" s="41" t="s">
        <v>104</v>
      </c>
      <c r="H1061" s="41">
        <v>0</v>
      </c>
      <c r="I1061" s="41">
        <v>1</v>
      </c>
      <c r="J1061" s="108">
        <f>POWER(POWER(Table2[[#This Row],[mv]],4)/10,0.25)</f>
        <v>2.5305359633565699E-3</v>
      </c>
      <c r="K1061" s="41">
        <v>0</v>
      </c>
      <c r="L1061" s="41">
        <v>55</v>
      </c>
      <c r="M1061" s="41">
        <v>-1</v>
      </c>
      <c r="N1061" s="41">
        <v>4</v>
      </c>
      <c r="O1061" s="111" t="s">
        <v>1579</v>
      </c>
      <c r="P1061" s="109">
        <v>193500</v>
      </c>
      <c r="Q1061" s="41"/>
      <c r="R1061" s="111"/>
      <c r="S1061" s="110" t="s">
        <v>1625</v>
      </c>
    </row>
    <row r="1062" spans="1:19" x14ac:dyDescent="0.3">
      <c r="A1062" s="105">
        <v>1061</v>
      </c>
      <c r="B1062" s="41">
        <v>12000000</v>
      </c>
      <c r="C1062" s="41">
        <v>4.4999999999999997E-3</v>
      </c>
      <c r="D1062" s="41">
        <v>16</v>
      </c>
      <c r="E1062" s="41">
        <v>30</v>
      </c>
      <c r="F1062" s="41">
        <v>0</v>
      </c>
      <c r="G1062" s="41" t="s">
        <v>104</v>
      </c>
      <c r="H1062" s="41">
        <v>0</v>
      </c>
      <c r="I1062" s="41">
        <v>1</v>
      </c>
      <c r="J1062" s="108">
        <f>POWER(POWER(Table2[[#This Row],[mv]],4)/10,0.25)</f>
        <v>2.5305359633565699E-3</v>
      </c>
      <c r="K1062" s="41">
        <v>0</v>
      </c>
      <c r="L1062" s="41">
        <v>55</v>
      </c>
      <c r="M1062" s="41">
        <v>-1</v>
      </c>
      <c r="N1062" s="41">
        <v>4</v>
      </c>
      <c r="O1062" s="111" t="s">
        <v>1580</v>
      </c>
      <c r="P1062" s="109">
        <v>193500</v>
      </c>
      <c r="Q1062" s="41"/>
      <c r="R1062" s="111"/>
      <c r="S1062" s="110" t="s">
        <v>1625</v>
      </c>
    </row>
    <row r="1063" spans="1:19" x14ac:dyDescent="0.3">
      <c r="A1063" s="105">
        <v>1062</v>
      </c>
      <c r="B1063" s="41">
        <v>12000000</v>
      </c>
      <c r="C1063" s="41">
        <v>4.4999999999999997E-3</v>
      </c>
      <c r="D1063" s="41">
        <v>17.4481</v>
      </c>
      <c r="E1063" s="41">
        <v>30</v>
      </c>
      <c r="F1063" s="41">
        <v>0</v>
      </c>
      <c r="G1063" s="41" t="s">
        <v>104</v>
      </c>
      <c r="H1063" s="41">
        <v>0</v>
      </c>
      <c r="I1063" s="41">
        <v>1</v>
      </c>
      <c r="J1063" s="108">
        <f>POWER(POWER(Table2[[#This Row],[mv]],4)/10,0.25)</f>
        <v>2.5305359633565699E-3</v>
      </c>
      <c r="K1063" s="41">
        <v>0</v>
      </c>
      <c r="L1063" s="41">
        <v>55</v>
      </c>
      <c r="M1063" s="41">
        <v>-1</v>
      </c>
      <c r="N1063" s="41">
        <v>4</v>
      </c>
      <c r="O1063" s="111" t="s">
        <v>1581</v>
      </c>
      <c r="P1063" s="109">
        <v>193500</v>
      </c>
      <c r="Q1063" s="41"/>
      <c r="R1063" s="111"/>
      <c r="S1063" s="110" t="s">
        <v>1625</v>
      </c>
    </row>
    <row r="1064" spans="1:19" x14ac:dyDescent="0.3">
      <c r="A1064" s="105">
        <v>1063</v>
      </c>
      <c r="B1064" s="41">
        <v>12000000</v>
      </c>
      <c r="C1064" s="41">
        <v>4.4999999999999997E-3</v>
      </c>
      <c r="D1064" s="41">
        <v>19.0273</v>
      </c>
      <c r="E1064" s="41">
        <v>30</v>
      </c>
      <c r="F1064" s="41">
        <v>0</v>
      </c>
      <c r="G1064" s="41" t="s">
        <v>104</v>
      </c>
      <c r="H1064" s="41">
        <v>0</v>
      </c>
      <c r="I1064" s="41">
        <v>1</v>
      </c>
      <c r="J1064" s="108">
        <f>POWER(POWER(Table2[[#This Row],[mv]],4)/10,0.25)</f>
        <v>2.5305359633565699E-3</v>
      </c>
      <c r="K1064" s="41">
        <v>0</v>
      </c>
      <c r="L1064" s="41">
        <v>55</v>
      </c>
      <c r="M1064" s="41">
        <v>-1</v>
      </c>
      <c r="N1064" s="41">
        <v>4</v>
      </c>
      <c r="O1064" s="111" t="s">
        <v>1582</v>
      </c>
      <c r="P1064" s="109">
        <v>193500</v>
      </c>
      <c r="Q1064" s="41"/>
      <c r="R1064" s="111"/>
      <c r="S1064" s="110" t="s">
        <v>1625</v>
      </c>
    </row>
    <row r="1065" spans="1:19" x14ac:dyDescent="0.3">
      <c r="A1065" s="105">
        <v>1064</v>
      </c>
      <c r="B1065" s="41">
        <v>12000000</v>
      </c>
      <c r="C1065" s="41">
        <v>4.8999999999999998E-3</v>
      </c>
      <c r="D1065" s="41">
        <v>8</v>
      </c>
      <c r="E1065" s="41">
        <v>30</v>
      </c>
      <c r="F1065" s="41">
        <v>0</v>
      </c>
      <c r="G1065" s="41" t="s">
        <v>104</v>
      </c>
      <c r="H1065" s="41">
        <v>0</v>
      </c>
      <c r="I1065" s="41">
        <v>1</v>
      </c>
      <c r="J1065" s="108">
        <f>POWER(POWER(Table2[[#This Row],[mv]],4)/10,0.25)</f>
        <v>2.7554724934327106E-3</v>
      </c>
      <c r="K1065" s="41">
        <v>0</v>
      </c>
      <c r="L1065" s="41">
        <v>55</v>
      </c>
      <c r="M1065" s="41">
        <v>-1</v>
      </c>
      <c r="N1065" s="41">
        <v>4</v>
      </c>
      <c r="O1065" s="111" t="s">
        <v>1583</v>
      </c>
      <c r="P1065" s="109">
        <v>193500</v>
      </c>
      <c r="Q1065" s="41"/>
      <c r="R1065" s="111"/>
      <c r="S1065" s="110" t="s">
        <v>1625</v>
      </c>
    </row>
    <row r="1066" spans="1:19" x14ac:dyDescent="0.3">
      <c r="A1066" s="105">
        <v>1065</v>
      </c>
      <c r="B1066" s="41">
        <v>12000000</v>
      </c>
      <c r="C1066" s="41">
        <v>4.8999999999999998E-3</v>
      </c>
      <c r="D1066" s="41">
        <v>8.7241</v>
      </c>
      <c r="E1066" s="41">
        <v>30</v>
      </c>
      <c r="F1066" s="41">
        <v>0</v>
      </c>
      <c r="G1066" s="41" t="s">
        <v>104</v>
      </c>
      <c r="H1066" s="41">
        <v>0</v>
      </c>
      <c r="I1066" s="41">
        <v>1</v>
      </c>
      <c r="J1066" s="108">
        <f>POWER(POWER(Table2[[#This Row],[mv]],4)/10,0.25)</f>
        <v>2.7554724934327106E-3</v>
      </c>
      <c r="K1066" s="41">
        <v>0</v>
      </c>
      <c r="L1066" s="41">
        <v>55</v>
      </c>
      <c r="M1066" s="41">
        <v>-1</v>
      </c>
      <c r="N1066" s="41">
        <v>4</v>
      </c>
      <c r="O1066" s="111" t="s">
        <v>1584</v>
      </c>
      <c r="P1066" s="109">
        <v>193500</v>
      </c>
      <c r="Q1066" s="41"/>
      <c r="R1066" s="111"/>
      <c r="S1066" s="110" t="s">
        <v>1625</v>
      </c>
    </row>
    <row r="1067" spans="1:19" x14ac:dyDescent="0.3">
      <c r="A1067" s="105">
        <v>1066</v>
      </c>
      <c r="B1067" s="41">
        <v>12000000</v>
      </c>
      <c r="C1067" s="41">
        <v>4.8999999999999998E-3</v>
      </c>
      <c r="D1067" s="41">
        <v>9.5137</v>
      </c>
      <c r="E1067" s="41">
        <v>30</v>
      </c>
      <c r="F1067" s="41">
        <v>0</v>
      </c>
      <c r="G1067" s="41" t="s">
        <v>104</v>
      </c>
      <c r="H1067" s="41">
        <v>0</v>
      </c>
      <c r="I1067" s="41">
        <v>1</v>
      </c>
      <c r="J1067" s="108">
        <f>POWER(POWER(Table2[[#This Row],[mv]],4)/10,0.25)</f>
        <v>2.7554724934327106E-3</v>
      </c>
      <c r="K1067" s="41">
        <v>0</v>
      </c>
      <c r="L1067" s="41">
        <v>55</v>
      </c>
      <c r="M1067" s="41">
        <v>-1</v>
      </c>
      <c r="N1067" s="41">
        <v>4</v>
      </c>
      <c r="O1067" s="111" t="s">
        <v>1585</v>
      </c>
      <c r="P1067" s="109">
        <v>193500</v>
      </c>
      <c r="Q1067" s="41"/>
      <c r="R1067" s="111"/>
      <c r="S1067" s="110" t="s">
        <v>1625</v>
      </c>
    </row>
    <row r="1068" spans="1:19" x14ac:dyDescent="0.3">
      <c r="A1068" s="105">
        <v>1067</v>
      </c>
      <c r="B1068" s="41">
        <v>12000000</v>
      </c>
      <c r="C1068" s="41">
        <v>4.8999999999999998E-3</v>
      </c>
      <c r="D1068" s="41">
        <v>10.374700000000001</v>
      </c>
      <c r="E1068" s="41">
        <v>30</v>
      </c>
      <c r="F1068" s="41">
        <v>0</v>
      </c>
      <c r="G1068" s="41" t="s">
        <v>104</v>
      </c>
      <c r="H1068" s="41">
        <v>0</v>
      </c>
      <c r="I1068" s="41">
        <v>1</v>
      </c>
      <c r="J1068" s="108">
        <f>POWER(POWER(Table2[[#This Row],[mv]],4)/10,0.25)</f>
        <v>2.7554724934327106E-3</v>
      </c>
      <c r="K1068" s="41">
        <v>0</v>
      </c>
      <c r="L1068" s="41">
        <v>55</v>
      </c>
      <c r="M1068" s="41">
        <v>-1</v>
      </c>
      <c r="N1068" s="41">
        <v>4</v>
      </c>
      <c r="O1068" s="111" t="s">
        <v>1586</v>
      </c>
      <c r="P1068" s="109">
        <v>193500</v>
      </c>
      <c r="Q1068" s="41"/>
      <c r="R1068" s="111"/>
      <c r="S1068" s="110" t="s">
        <v>1625</v>
      </c>
    </row>
    <row r="1069" spans="1:19" x14ac:dyDescent="0.3">
      <c r="A1069" s="105">
        <v>1068</v>
      </c>
      <c r="B1069" s="41">
        <v>12000000</v>
      </c>
      <c r="C1069" s="41">
        <v>4.8999999999999998E-3</v>
      </c>
      <c r="D1069" s="41">
        <v>11.313700000000001</v>
      </c>
      <c r="E1069" s="41">
        <v>30</v>
      </c>
      <c r="F1069" s="41">
        <v>0</v>
      </c>
      <c r="G1069" s="41" t="s">
        <v>104</v>
      </c>
      <c r="H1069" s="41">
        <v>0</v>
      </c>
      <c r="I1069" s="41">
        <v>1</v>
      </c>
      <c r="J1069" s="108">
        <f>POWER(POWER(Table2[[#This Row],[mv]],4)/10,0.25)</f>
        <v>2.7554724934327106E-3</v>
      </c>
      <c r="K1069" s="41">
        <v>0</v>
      </c>
      <c r="L1069" s="41">
        <v>55</v>
      </c>
      <c r="M1069" s="41">
        <v>-1</v>
      </c>
      <c r="N1069" s="41">
        <v>4</v>
      </c>
      <c r="O1069" s="111" t="s">
        <v>1587</v>
      </c>
      <c r="P1069" s="109">
        <v>193500</v>
      </c>
      <c r="Q1069" s="41"/>
      <c r="R1069" s="111"/>
      <c r="S1069" s="110" t="s">
        <v>1625</v>
      </c>
    </row>
    <row r="1070" spans="1:19" x14ac:dyDescent="0.3">
      <c r="A1070" s="105">
        <v>1069</v>
      </c>
      <c r="B1070" s="41">
        <v>12000000</v>
      </c>
      <c r="C1070" s="41">
        <v>4.8999999999999998E-3</v>
      </c>
      <c r="D1070" s="41">
        <v>12.3377</v>
      </c>
      <c r="E1070" s="41">
        <v>30</v>
      </c>
      <c r="F1070" s="41">
        <v>0</v>
      </c>
      <c r="G1070" s="41" t="s">
        <v>104</v>
      </c>
      <c r="H1070" s="41">
        <v>0</v>
      </c>
      <c r="I1070" s="41">
        <v>1</v>
      </c>
      <c r="J1070" s="108">
        <f>POWER(POWER(Table2[[#This Row],[mv]],4)/10,0.25)</f>
        <v>2.7554724934327106E-3</v>
      </c>
      <c r="K1070" s="41">
        <v>0</v>
      </c>
      <c r="L1070" s="41">
        <v>55</v>
      </c>
      <c r="M1070" s="41">
        <v>-1</v>
      </c>
      <c r="N1070" s="41">
        <v>4</v>
      </c>
      <c r="O1070" s="111" t="s">
        <v>1588</v>
      </c>
      <c r="P1070" s="109">
        <v>193500</v>
      </c>
      <c r="Q1070" s="41"/>
      <c r="R1070" s="111"/>
      <c r="S1070" s="110" t="s">
        <v>1625</v>
      </c>
    </row>
    <row r="1071" spans="1:19" x14ac:dyDescent="0.3">
      <c r="A1071" s="105">
        <v>1070</v>
      </c>
      <c r="B1071" s="41">
        <v>12000000</v>
      </c>
      <c r="C1071" s="41">
        <v>4.8999999999999998E-3</v>
      </c>
      <c r="D1071" s="41">
        <v>13.4543</v>
      </c>
      <c r="E1071" s="41">
        <v>30</v>
      </c>
      <c r="F1071" s="41">
        <v>0</v>
      </c>
      <c r="G1071" s="41" t="s">
        <v>104</v>
      </c>
      <c r="H1071" s="41">
        <v>0</v>
      </c>
      <c r="I1071" s="41">
        <v>1</v>
      </c>
      <c r="J1071" s="108">
        <f>POWER(POWER(Table2[[#This Row],[mv]],4)/10,0.25)</f>
        <v>2.7554724934327106E-3</v>
      </c>
      <c r="K1071" s="41">
        <v>0</v>
      </c>
      <c r="L1071" s="41">
        <v>55</v>
      </c>
      <c r="M1071" s="41">
        <v>-1</v>
      </c>
      <c r="N1071" s="41">
        <v>4</v>
      </c>
      <c r="O1071" s="111" t="s">
        <v>1589</v>
      </c>
      <c r="P1071" s="109">
        <v>193500</v>
      </c>
      <c r="Q1071" s="41"/>
      <c r="R1071" s="111"/>
      <c r="S1071" s="110" t="s">
        <v>1625</v>
      </c>
    </row>
    <row r="1072" spans="1:19" x14ac:dyDescent="0.3">
      <c r="A1072" s="105">
        <v>1071</v>
      </c>
      <c r="B1072" s="41">
        <v>12000000</v>
      </c>
      <c r="C1072" s="41">
        <v>4.8999999999999998E-3</v>
      </c>
      <c r="D1072" s="41">
        <v>14.6721</v>
      </c>
      <c r="E1072" s="41">
        <v>30</v>
      </c>
      <c r="F1072" s="41">
        <v>0</v>
      </c>
      <c r="G1072" s="41" t="s">
        <v>104</v>
      </c>
      <c r="H1072" s="41">
        <v>0</v>
      </c>
      <c r="I1072" s="41">
        <v>1</v>
      </c>
      <c r="J1072" s="108">
        <f>POWER(POWER(Table2[[#This Row],[mv]],4)/10,0.25)</f>
        <v>2.7554724934327106E-3</v>
      </c>
      <c r="K1072" s="41">
        <v>0</v>
      </c>
      <c r="L1072" s="41">
        <v>55</v>
      </c>
      <c r="M1072" s="41">
        <v>-1</v>
      </c>
      <c r="N1072" s="41">
        <v>4</v>
      </c>
      <c r="O1072" s="111" t="s">
        <v>1590</v>
      </c>
      <c r="P1072" s="109">
        <v>193500</v>
      </c>
      <c r="Q1072" s="41"/>
      <c r="R1072" s="111"/>
      <c r="S1072" s="110" t="s">
        <v>1625</v>
      </c>
    </row>
    <row r="1073" spans="1:19" x14ac:dyDescent="0.3">
      <c r="A1073" s="105">
        <v>1072</v>
      </c>
      <c r="B1073" s="41">
        <v>12000000</v>
      </c>
      <c r="C1073" s="41">
        <v>4.8999999999999998E-3</v>
      </c>
      <c r="D1073" s="41">
        <v>16</v>
      </c>
      <c r="E1073" s="41">
        <v>30</v>
      </c>
      <c r="F1073" s="41">
        <v>0</v>
      </c>
      <c r="G1073" s="41" t="s">
        <v>104</v>
      </c>
      <c r="H1073" s="41">
        <v>0</v>
      </c>
      <c r="I1073" s="41">
        <v>1</v>
      </c>
      <c r="J1073" s="108">
        <f>POWER(POWER(Table2[[#This Row],[mv]],4)/10,0.25)</f>
        <v>2.7554724934327106E-3</v>
      </c>
      <c r="K1073" s="41">
        <v>0</v>
      </c>
      <c r="L1073" s="41">
        <v>55</v>
      </c>
      <c r="M1073" s="41">
        <v>-1</v>
      </c>
      <c r="N1073" s="41">
        <v>4</v>
      </c>
      <c r="O1073" s="111" t="s">
        <v>1591</v>
      </c>
      <c r="P1073" s="109">
        <v>193500</v>
      </c>
      <c r="Q1073" s="41"/>
      <c r="R1073" s="111"/>
      <c r="S1073" s="110" t="s">
        <v>1625</v>
      </c>
    </row>
    <row r="1074" spans="1:19" x14ac:dyDescent="0.3">
      <c r="A1074" s="105">
        <v>1073</v>
      </c>
      <c r="B1074" s="41">
        <v>12000000</v>
      </c>
      <c r="C1074" s="41">
        <v>4.8999999999999998E-3</v>
      </c>
      <c r="D1074" s="41">
        <v>17.4481</v>
      </c>
      <c r="E1074" s="41">
        <v>30</v>
      </c>
      <c r="F1074" s="41">
        <v>0</v>
      </c>
      <c r="G1074" s="41" t="s">
        <v>104</v>
      </c>
      <c r="H1074" s="41">
        <v>0</v>
      </c>
      <c r="I1074" s="41">
        <v>1</v>
      </c>
      <c r="J1074" s="108">
        <f>POWER(POWER(Table2[[#This Row],[mv]],4)/10,0.25)</f>
        <v>2.7554724934327106E-3</v>
      </c>
      <c r="K1074" s="41">
        <v>0</v>
      </c>
      <c r="L1074" s="41">
        <v>55</v>
      </c>
      <c r="M1074" s="41">
        <v>-1</v>
      </c>
      <c r="N1074" s="41">
        <v>4</v>
      </c>
      <c r="O1074" s="111" t="s">
        <v>1592</v>
      </c>
      <c r="P1074" s="109">
        <v>193500</v>
      </c>
      <c r="Q1074" s="41"/>
      <c r="R1074" s="111"/>
      <c r="S1074" s="110" t="s">
        <v>1625</v>
      </c>
    </row>
    <row r="1075" spans="1:19" x14ac:dyDescent="0.3">
      <c r="A1075" s="105">
        <v>1074</v>
      </c>
      <c r="B1075" s="41">
        <v>12000000</v>
      </c>
      <c r="C1075" s="41">
        <v>4.8999999999999998E-3</v>
      </c>
      <c r="D1075" s="41">
        <v>19.0273</v>
      </c>
      <c r="E1075" s="41">
        <v>30</v>
      </c>
      <c r="F1075" s="41">
        <v>0</v>
      </c>
      <c r="G1075" s="41" t="s">
        <v>104</v>
      </c>
      <c r="H1075" s="41">
        <v>0</v>
      </c>
      <c r="I1075" s="41">
        <v>1</v>
      </c>
      <c r="J1075" s="108">
        <f>POWER(POWER(Table2[[#This Row],[mv]],4)/10,0.25)</f>
        <v>2.7554724934327106E-3</v>
      </c>
      <c r="K1075" s="41">
        <v>0</v>
      </c>
      <c r="L1075" s="41">
        <v>55</v>
      </c>
      <c r="M1075" s="41">
        <v>-1</v>
      </c>
      <c r="N1075" s="41">
        <v>4</v>
      </c>
      <c r="O1075" s="111" t="s">
        <v>1593</v>
      </c>
      <c r="P1075" s="109">
        <v>193500</v>
      </c>
      <c r="Q1075" s="41"/>
      <c r="R1075" s="111"/>
      <c r="S1075" s="110" t="s">
        <v>1625</v>
      </c>
    </row>
    <row r="1076" spans="1:19" x14ac:dyDescent="0.3">
      <c r="A1076" s="105">
        <v>1075</v>
      </c>
      <c r="B1076" s="41">
        <v>12000000</v>
      </c>
      <c r="C1076" s="41">
        <v>5.4000000000000003E-3</v>
      </c>
      <c r="D1076" s="41">
        <v>9.5137</v>
      </c>
      <c r="E1076" s="41">
        <v>30</v>
      </c>
      <c r="F1076" s="41">
        <v>0</v>
      </c>
      <c r="G1076" s="41" t="s">
        <v>104</v>
      </c>
      <c r="H1076" s="41">
        <v>0</v>
      </c>
      <c r="I1076" s="41">
        <v>1</v>
      </c>
      <c r="J1076" s="108">
        <f>POWER(POWER(Table2[[#This Row],[mv]],4)/10,0.25)</f>
        <v>3.0366431560278845E-3</v>
      </c>
      <c r="K1076" s="41">
        <v>0</v>
      </c>
      <c r="L1076" s="41">
        <v>55</v>
      </c>
      <c r="M1076" s="41">
        <v>-1</v>
      </c>
      <c r="N1076" s="41">
        <v>4</v>
      </c>
      <c r="O1076" s="111" t="s">
        <v>1594</v>
      </c>
      <c r="P1076" s="109">
        <v>193500</v>
      </c>
      <c r="Q1076" s="41"/>
      <c r="R1076" s="111"/>
      <c r="S1076" s="110" t="s">
        <v>1625</v>
      </c>
    </row>
    <row r="1077" spans="1:19" x14ac:dyDescent="0.3">
      <c r="A1077" s="105">
        <v>1076</v>
      </c>
      <c r="B1077" s="41">
        <v>12000000</v>
      </c>
      <c r="C1077" s="41">
        <v>5.4000000000000003E-3</v>
      </c>
      <c r="D1077" s="41">
        <v>10.374700000000001</v>
      </c>
      <c r="E1077" s="41">
        <v>30</v>
      </c>
      <c r="F1077" s="41">
        <v>0</v>
      </c>
      <c r="G1077" s="41" t="s">
        <v>104</v>
      </c>
      <c r="H1077" s="41">
        <v>0</v>
      </c>
      <c r="I1077" s="41">
        <v>1</v>
      </c>
      <c r="J1077" s="108">
        <f>POWER(POWER(Table2[[#This Row],[mv]],4)/10,0.25)</f>
        <v>3.0366431560278845E-3</v>
      </c>
      <c r="K1077" s="41">
        <v>0</v>
      </c>
      <c r="L1077" s="41">
        <v>55</v>
      </c>
      <c r="M1077" s="41">
        <v>-1</v>
      </c>
      <c r="N1077" s="41">
        <v>4</v>
      </c>
      <c r="O1077" s="111" t="s">
        <v>1595</v>
      </c>
      <c r="P1077" s="109">
        <v>193501</v>
      </c>
      <c r="Q1077" s="41"/>
      <c r="R1077" s="111"/>
      <c r="S1077" s="110" t="s">
        <v>1625</v>
      </c>
    </row>
    <row r="1078" spans="1:19" x14ac:dyDescent="0.3">
      <c r="A1078" s="105">
        <v>1077</v>
      </c>
      <c r="B1078" s="41">
        <v>12000000</v>
      </c>
      <c r="C1078" s="41">
        <v>5.4000000000000003E-3</v>
      </c>
      <c r="D1078" s="41">
        <v>11.313700000000001</v>
      </c>
      <c r="E1078" s="41">
        <v>30</v>
      </c>
      <c r="F1078" s="41">
        <v>0</v>
      </c>
      <c r="G1078" s="41" t="s">
        <v>104</v>
      </c>
      <c r="H1078" s="41">
        <v>0</v>
      </c>
      <c r="I1078" s="41">
        <v>1</v>
      </c>
      <c r="J1078" s="108">
        <f>POWER(POWER(Table2[[#This Row],[mv]],4)/10,0.25)</f>
        <v>3.0366431560278845E-3</v>
      </c>
      <c r="K1078" s="41">
        <v>0</v>
      </c>
      <c r="L1078" s="41">
        <v>55</v>
      </c>
      <c r="M1078" s="41">
        <v>-1</v>
      </c>
      <c r="N1078" s="41">
        <v>4</v>
      </c>
      <c r="O1078" s="111" t="s">
        <v>1596</v>
      </c>
      <c r="P1078" s="109">
        <v>193501</v>
      </c>
      <c r="Q1078" s="41"/>
      <c r="R1078" s="111"/>
      <c r="S1078" s="110" t="s">
        <v>1625</v>
      </c>
    </row>
    <row r="1079" spans="1:19" x14ac:dyDescent="0.3">
      <c r="A1079" s="105">
        <v>1078</v>
      </c>
      <c r="B1079" s="41">
        <v>12000000</v>
      </c>
      <c r="C1079" s="41">
        <v>5.4000000000000003E-3</v>
      </c>
      <c r="D1079" s="41">
        <v>12.3377</v>
      </c>
      <c r="E1079" s="41">
        <v>30</v>
      </c>
      <c r="F1079" s="41">
        <v>0</v>
      </c>
      <c r="G1079" s="41" t="s">
        <v>104</v>
      </c>
      <c r="H1079" s="41">
        <v>0</v>
      </c>
      <c r="I1079" s="41">
        <v>1</v>
      </c>
      <c r="J1079" s="108">
        <f>POWER(POWER(Table2[[#This Row],[mv]],4)/10,0.25)</f>
        <v>3.0366431560278845E-3</v>
      </c>
      <c r="K1079" s="41">
        <v>0</v>
      </c>
      <c r="L1079" s="41">
        <v>55</v>
      </c>
      <c r="M1079" s="41">
        <v>-1</v>
      </c>
      <c r="N1079" s="41">
        <v>4</v>
      </c>
      <c r="O1079" s="111" t="s">
        <v>1597</v>
      </c>
      <c r="P1079" s="109">
        <v>193501</v>
      </c>
      <c r="Q1079" s="41"/>
      <c r="R1079" s="111"/>
      <c r="S1079" s="110" t="s">
        <v>1625</v>
      </c>
    </row>
    <row r="1080" spans="1:19" x14ac:dyDescent="0.3">
      <c r="A1080" s="105">
        <v>1079</v>
      </c>
      <c r="B1080" s="41">
        <v>12000000</v>
      </c>
      <c r="C1080" s="41">
        <v>5.4000000000000003E-3</v>
      </c>
      <c r="D1080" s="41">
        <v>13.4543</v>
      </c>
      <c r="E1080" s="41">
        <v>30</v>
      </c>
      <c r="F1080" s="41">
        <v>0</v>
      </c>
      <c r="G1080" s="41" t="s">
        <v>104</v>
      </c>
      <c r="H1080" s="41">
        <v>0</v>
      </c>
      <c r="I1080" s="41">
        <v>1</v>
      </c>
      <c r="J1080" s="108">
        <f>POWER(POWER(Table2[[#This Row],[mv]],4)/10,0.25)</f>
        <v>3.0366431560278845E-3</v>
      </c>
      <c r="K1080" s="41">
        <v>0</v>
      </c>
      <c r="L1080" s="41">
        <v>55</v>
      </c>
      <c r="M1080" s="41">
        <v>-1</v>
      </c>
      <c r="N1080" s="41">
        <v>4</v>
      </c>
      <c r="O1080" s="111" t="s">
        <v>1598</v>
      </c>
      <c r="P1080" s="109">
        <v>193501</v>
      </c>
      <c r="Q1080" s="41"/>
      <c r="R1080" s="111"/>
      <c r="S1080" s="110" t="s">
        <v>1625</v>
      </c>
    </row>
    <row r="1081" spans="1:19" x14ac:dyDescent="0.3">
      <c r="A1081" s="105">
        <v>1080</v>
      </c>
      <c r="B1081" s="41">
        <v>12000000</v>
      </c>
      <c r="C1081" s="41">
        <v>5.4000000000000003E-3</v>
      </c>
      <c r="D1081" s="41">
        <v>14.6721</v>
      </c>
      <c r="E1081" s="41">
        <v>30</v>
      </c>
      <c r="F1081" s="41">
        <v>0</v>
      </c>
      <c r="G1081" s="41" t="s">
        <v>104</v>
      </c>
      <c r="H1081" s="41">
        <v>0</v>
      </c>
      <c r="I1081" s="41">
        <v>1</v>
      </c>
      <c r="J1081" s="108">
        <f>POWER(POWER(Table2[[#This Row],[mv]],4)/10,0.25)</f>
        <v>3.0366431560278845E-3</v>
      </c>
      <c r="K1081" s="41">
        <v>0</v>
      </c>
      <c r="L1081" s="41">
        <v>55</v>
      </c>
      <c r="M1081" s="41">
        <v>-1</v>
      </c>
      <c r="N1081" s="41">
        <v>4</v>
      </c>
      <c r="O1081" s="111" t="s">
        <v>1599</v>
      </c>
      <c r="P1081" s="109">
        <v>193501</v>
      </c>
      <c r="Q1081" s="41"/>
      <c r="R1081" s="111"/>
      <c r="S1081" s="110" t="s">
        <v>1625</v>
      </c>
    </row>
    <row r="1082" spans="1:19" x14ac:dyDescent="0.3">
      <c r="A1082" s="105">
        <v>1081</v>
      </c>
      <c r="B1082" s="41">
        <v>12000000</v>
      </c>
      <c r="C1082" s="41">
        <v>5.4000000000000003E-3</v>
      </c>
      <c r="D1082" s="41">
        <v>16</v>
      </c>
      <c r="E1082" s="41">
        <v>30</v>
      </c>
      <c r="F1082" s="41">
        <v>0</v>
      </c>
      <c r="G1082" s="41" t="s">
        <v>104</v>
      </c>
      <c r="H1082" s="41">
        <v>0</v>
      </c>
      <c r="I1082" s="41">
        <v>1</v>
      </c>
      <c r="J1082" s="108">
        <f>POWER(POWER(Table2[[#This Row],[mv]],4)/10,0.25)</f>
        <v>3.0366431560278845E-3</v>
      </c>
      <c r="K1082" s="41">
        <v>0</v>
      </c>
      <c r="L1082" s="41">
        <v>55</v>
      </c>
      <c r="M1082" s="41">
        <v>-1</v>
      </c>
      <c r="N1082" s="41">
        <v>4</v>
      </c>
      <c r="O1082" s="111" t="s">
        <v>1600</v>
      </c>
      <c r="P1082" s="109">
        <v>193501</v>
      </c>
      <c r="Q1082" s="41"/>
      <c r="R1082" s="111"/>
      <c r="S1082" s="110" t="s">
        <v>1625</v>
      </c>
    </row>
    <row r="1083" spans="1:19" x14ac:dyDescent="0.3">
      <c r="A1083" s="105">
        <v>1082</v>
      </c>
      <c r="B1083" s="41">
        <v>12000000</v>
      </c>
      <c r="C1083" s="41">
        <v>5.4000000000000003E-3</v>
      </c>
      <c r="D1083" s="41">
        <v>17.4481</v>
      </c>
      <c r="E1083" s="41">
        <v>30</v>
      </c>
      <c r="F1083" s="41">
        <v>0</v>
      </c>
      <c r="G1083" s="41" t="s">
        <v>104</v>
      </c>
      <c r="H1083" s="41">
        <v>0</v>
      </c>
      <c r="I1083" s="41">
        <v>1</v>
      </c>
      <c r="J1083" s="108">
        <f>POWER(POWER(Table2[[#This Row],[mv]],4)/10,0.25)</f>
        <v>3.0366431560278845E-3</v>
      </c>
      <c r="K1083" s="41">
        <v>0</v>
      </c>
      <c r="L1083" s="41">
        <v>55</v>
      </c>
      <c r="M1083" s="41">
        <v>-1</v>
      </c>
      <c r="N1083" s="41">
        <v>4</v>
      </c>
      <c r="O1083" s="111" t="s">
        <v>1601</v>
      </c>
      <c r="P1083" s="109">
        <v>193501</v>
      </c>
      <c r="Q1083" s="41"/>
      <c r="R1083" s="111"/>
      <c r="S1083" s="110" t="s">
        <v>1625</v>
      </c>
    </row>
    <row r="1084" spans="1:19" x14ac:dyDescent="0.3">
      <c r="A1084" s="105">
        <v>1083</v>
      </c>
      <c r="B1084" s="41">
        <v>12000000</v>
      </c>
      <c r="C1084" s="41">
        <v>5.4000000000000003E-3</v>
      </c>
      <c r="D1084" s="41">
        <v>19.0273</v>
      </c>
      <c r="E1084" s="41">
        <v>30</v>
      </c>
      <c r="F1084" s="41">
        <v>0</v>
      </c>
      <c r="G1084" s="41" t="s">
        <v>104</v>
      </c>
      <c r="H1084" s="41">
        <v>0</v>
      </c>
      <c r="I1084" s="41">
        <v>1</v>
      </c>
      <c r="J1084" s="108">
        <f>POWER(POWER(Table2[[#This Row],[mv]],4)/10,0.25)</f>
        <v>3.0366431560278845E-3</v>
      </c>
      <c r="K1084" s="41">
        <v>0</v>
      </c>
      <c r="L1084" s="41">
        <v>55</v>
      </c>
      <c r="M1084" s="41">
        <v>-1</v>
      </c>
      <c r="N1084" s="41">
        <v>4</v>
      </c>
      <c r="O1084" s="111" t="s">
        <v>1602</v>
      </c>
      <c r="P1084" s="109">
        <v>193501</v>
      </c>
      <c r="Q1084" s="41"/>
      <c r="R1084" s="111"/>
      <c r="S1084" s="110" t="s">
        <v>1625</v>
      </c>
    </row>
    <row r="1085" spans="1:19" x14ac:dyDescent="0.3">
      <c r="A1085" s="105">
        <v>1084</v>
      </c>
      <c r="B1085" s="41">
        <v>12000000</v>
      </c>
      <c r="C1085" s="41">
        <v>5.8999999999999999E-3</v>
      </c>
      <c r="D1085" s="41">
        <v>11.313700000000001</v>
      </c>
      <c r="E1085" s="41">
        <v>30</v>
      </c>
      <c r="F1085" s="41">
        <v>0</v>
      </c>
      <c r="G1085" s="41" t="s">
        <v>104</v>
      </c>
      <c r="H1085" s="41">
        <v>0</v>
      </c>
      <c r="I1085" s="41">
        <v>1</v>
      </c>
      <c r="J1085" s="108">
        <f>POWER(POWER(Table2[[#This Row],[mv]],4)/10,0.25)</f>
        <v>3.3178138186230597E-3</v>
      </c>
      <c r="K1085" s="41">
        <v>0</v>
      </c>
      <c r="L1085" s="41">
        <v>55</v>
      </c>
      <c r="M1085" s="41">
        <v>-1</v>
      </c>
      <c r="N1085" s="41">
        <v>4</v>
      </c>
      <c r="O1085" s="111" t="s">
        <v>1603</v>
      </c>
      <c r="P1085" s="109">
        <v>193501</v>
      </c>
      <c r="Q1085" s="41"/>
      <c r="R1085" s="111"/>
      <c r="S1085" s="110" t="s">
        <v>1625</v>
      </c>
    </row>
    <row r="1086" spans="1:19" x14ac:dyDescent="0.3">
      <c r="A1086" s="105">
        <v>1085</v>
      </c>
      <c r="B1086" s="41">
        <v>12000000</v>
      </c>
      <c r="C1086" s="41">
        <v>5.8999999999999999E-3</v>
      </c>
      <c r="D1086" s="41">
        <v>12.3377</v>
      </c>
      <c r="E1086" s="41">
        <v>30</v>
      </c>
      <c r="F1086" s="41">
        <v>0</v>
      </c>
      <c r="G1086" s="41" t="s">
        <v>104</v>
      </c>
      <c r="H1086" s="41">
        <v>0</v>
      </c>
      <c r="I1086" s="41">
        <v>1</v>
      </c>
      <c r="J1086" s="108">
        <f>POWER(POWER(Table2[[#This Row],[mv]],4)/10,0.25)</f>
        <v>3.3178138186230597E-3</v>
      </c>
      <c r="K1086" s="41">
        <v>0</v>
      </c>
      <c r="L1086" s="41">
        <v>55</v>
      </c>
      <c r="M1086" s="41">
        <v>-1</v>
      </c>
      <c r="N1086" s="41">
        <v>4</v>
      </c>
      <c r="O1086" s="111" t="s">
        <v>1604</v>
      </c>
      <c r="P1086" s="109">
        <v>193501</v>
      </c>
      <c r="Q1086" s="41"/>
      <c r="R1086" s="111"/>
      <c r="S1086" s="110" t="s">
        <v>1625</v>
      </c>
    </row>
    <row r="1087" spans="1:19" x14ac:dyDescent="0.3">
      <c r="A1087" s="105">
        <v>1086</v>
      </c>
      <c r="B1087" s="41">
        <v>12000000</v>
      </c>
      <c r="C1087" s="41">
        <v>5.8999999999999999E-3</v>
      </c>
      <c r="D1087" s="41">
        <v>13.4543</v>
      </c>
      <c r="E1087" s="41">
        <v>30</v>
      </c>
      <c r="F1087" s="41">
        <v>0</v>
      </c>
      <c r="G1087" s="41" t="s">
        <v>104</v>
      </c>
      <c r="H1087" s="41">
        <v>0</v>
      </c>
      <c r="I1087" s="41">
        <v>1</v>
      </c>
      <c r="J1087" s="108">
        <f>POWER(POWER(Table2[[#This Row],[mv]],4)/10,0.25)</f>
        <v>3.3178138186230597E-3</v>
      </c>
      <c r="K1087" s="41">
        <v>0</v>
      </c>
      <c r="L1087" s="41">
        <v>55</v>
      </c>
      <c r="M1087" s="41">
        <v>-1</v>
      </c>
      <c r="N1087" s="41">
        <v>4</v>
      </c>
      <c r="O1087" s="111" t="s">
        <v>1605</v>
      </c>
      <c r="P1087" s="109">
        <v>193501</v>
      </c>
      <c r="Q1087" s="41"/>
      <c r="R1087" s="111"/>
      <c r="S1087" s="110" t="s">
        <v>1625</v>
      </c>
    </row>
    <row r="1088" spans="1:19" x14ac:dyDescent="0.3">
      <c r="A1088" s="105">
        <v>1087</v>
      </c>
      <c r="B1088" s="41">
        <v>12000000</v>
      </c>
      <c r="C1088" s="41">
        <v>5.8999999999999999E-3</v>
      </c>
      <c r="D1088" s="41">
        <v>14.6721</v>
      </c>
      <c r="E1088" s="41">
        <v>30</v>
      </c>
      <c r="F1088" s="41">
        <v>0</v>
      </c>
      <c r="G1088" s="41" t="s">
        <v>104</v>
      </c>
      <c r="H1088" s="41">
        <v>0</v>
      </c>
      <c r="I1088" s="41">
        <v>1</v>
      </c>
      <c r="J1088" s="108">
        <f>POWER(POWER(Table2[[#This Row],[mv]],4)/10,0.25)</f>
        <v>3.3178138186230597E-3</v>
      </c>
      <c r="K1088" s="41">
        <v>0</v>
      </c>
      <c r="L1088" s="41">
        <v>55</v>
      </c>
      <c r="M1088" s="41">
        <v>-1</v>
      </c>
      <c r="N1088" s="41">
        <v>4</v>
      </c>
      <c r="O1088" s="111" t="s">
        <v>1606</v>
      </c>
      <c r="P1088" s="109">
        <v>193501</v>
      </c>
      <c r="Q1088" s="41"/>
      <c r="R1088" s="111"/>
      <c r="S1088" s="110" t="s">
        <v>1625</v>
      </c>
    </row>
    <row r="1089" spans="1:19" x14ac:dyDescent="0.3">
      <c r="A1089" s="105">
        <v>1088</v>
      </c>
      <c r="B1089" s="41">
        <v>12000000</v>
      </c>
      <c r="C1089" s="41">
        <v>5.8999999999999999E-3</v>
      </c>
      <c r="D1089" s="41">
        <v>16</v>
      </c>
      <c r="E1089" s="41">
        <v>30</v>
      </c>
      <c r="F1089" s="41">
        <v>0</v>
      </c>
      <c r="G1089" s="41" t="s">
        <v>104</v>
      </c>
      <c r="H1089" s="41">
        <v>0</v>
      </c>
      <c r="I1089" s="41">
        <v>1</v>
      </c>
      <c r="J1089" s="108">
        <f>POWER(POWER(Table2[[#This Row],[mv]],4)/10,0.25)</f>
        <v>3.3178138186230597E-3</v>
      </c>
      <c r="K1089" s="41">
        <v>0</v>
      </c>
      <c r="L1089" s="41">
        <v>55</v>
      </c>
      <c r="M1089" s="41">
        <v>-1</v>
      </c>
      <c r="N1089" s="41">
        <v>4</v>
      </c>
      <c r="O1089" s="111" t="s">
        <v>1607</v>
      </c>
      <c r="P1089" s="109">
        <v>193501</v>
      </c>
      <c r="Q1089" s="41"/>
      <c r="R1089" s="111"/>
      <c r="S1089" s="110" t="s">
        <v>1625</v>
      </c>
    </row>
    <row r="1090" spans="1:19" x14ac:dyDescent="0.3">
      <c r="A1090" s="105">
        <v>1089</v>
      </c>
      <c r="B1090" s="41">
        <v>12000000</v>
      </c>
      <c r="C1090" s="41">
        <v>5.8999999999999999E-3</v>
      </c>
      <c r="D1090" s="41">
        <v>17.4481</v>
      </c>
      <c r="E1090" s="41">
        <v>30</v>
      </c>
      <c r="F1090" s="41">
        <v>0</v>
      </c>
      <c r="G1090" s="41" t="s">
        <v>104</v>
      </c>
      <c r="H1090" s="41">
        <v>0</v>
      </c>
      <c r="I1090" s="41">
        <v>1</v>
      </c>
      <c r="J1090" s="108">
        <f>POWER(POWER(Table2[[#This Row],[mv]],4)/10,0.25)</f>
        <v>3.3178138186230597E-3</v>
      </c>
      <c r="K1090" s="41">
        <v>0</v>
      </c>
      <c r="L1090" s="41">
        <v>55</v>
      </c>
      <c r="M1090" s="41">
        <v>-1</v>
      </c>
      <c r="N1090" s="41">
        <v>4</v>
      </c>
      <c r="O1090" s="111" t="s">
        <v>1608</v>
      </c>
      <c r="P1090" s="109">
        <v>193501</v>
      </c>
      <c r="Q1090" s="41"/>
      <c r="R1090" s="111"/>
      <c r="S1090" s="110" t="s">
        <v>1625</v>
      </c>
    </row>
    <row r="1091" spans="1:19" x14ac:dyDescent="0.3">
      <c r="A1091" s="105">
        <v>1090</v>
      </c>
      <c r="B1091" s="41">
        <v>12000000</v>
      </c>
      <c r="C1091" s="41">
        <v>5.8999999999999999E-3</v>
      </c>
      <c r="D1091" s="41">
        <v>19.0273</v>
      </c>
      <c r="E1091" s="41">
        <v>30</v>
      </c>
      <c r="F1091" s="41">
        <v>0</v>
      </c>
      <c r="G1091" s="41" t="s">
        <v>104</v>
      </c>
      <c r="H1091" s="41">
        <v>0</v>
      </c>
      <c r="I1091" s="41">
        <v>1</v>
      </c>
      <c r="J1091" s="108">
        <f>POWER(POWER(Table2[[#This Row],[mv]],4)/10,0.25)</f>
        <v>3.3178138186230597E-3</v>
      </c>
      <c r="K1091" s="41">
        <v>0</v>
      </c>
      <c r="L1091" s="41">
        <v>55</v>
      </c>
      <c r="M1091" s="41">
        <v>-1</v>
      </c>
      <c r="N1091" s="41">
        <v>4</v>
      </c>
      <c r="O1091" s="111" t="s">
        <v>1609</v>
      </c>
      <c r="P1091" s="109">
        <v>193501</v>
      </c>
      <c r="Q1091" s="41"/>
      <c r="R1091" s="111"/>
      <c r="S1091" s="110" t="s">
        <v>1625</v>
      </c>
    </row>
    <row r="1092" spans="1:19" x14ac:dyDescent="0.3">
      <c r="A1092" s="105">
        <v>1091</v>
      </c>
      <c r="B1092" s="41">
        <v>12000000</v>
      </c>
      <c r="C1092" s="41">
        <v>6.4000000000000003E-3</v>
      </c>
      <c r="D1092" s="41">
        <v>13.4543</v>
      </c>
      <c r="E1092" s="41">
        <v>30</v>
      </c>
      <c r="F1092" s="41">
        <v>0</v>
      </c>
      <c r="G1092" s="41" t="s">
        <v>104</v>
      </c>
      <c r="H1092" s="41">
        <v>0</v>
      </c>
      <c r="I1092" s="41">
        <v>1</v>
      </c>
      <c r="J1092" s="108">
        <f>POWER(POWER(Table2[[#This Row],[mv]],4)/10,0.25)</f>
        <v>3.5989844812182349E-3</v>
      </c>
      <c r="K1092" s="41">
        <v>0</v>
      </c>
      <c r="L1092" s="41">
        <v>55</v>
      </c>
      <c r="M1092" s="41">
        <v>-1</v>
      </c>
      <c r="N1092" s="41">
        <v>4</v>
      </c>
      <c r="O1092" s="111" t="s">
        <v>1610</v>
      </c>
      <c r="P1092" s="109">
        <v>193501</v>
      </c>
      <c r="Q1092" s="41"/>
      <c r="R1092" s="111"/>
      <c r="S1092" s="110" t="s">
        <v>1625</v>
      </c>
    </row>
    <row r="1093" spans="1:19" x14ac:dyDescent="0.3">
      <c r="A1093" s="105">
        <v>1092</v>
      </c>
      <c r="B1093" s="41">
        <v>12000000</v>
      </c>
      <c r="C1093" s="41">
        <v>6.4000000000000003E-3</v>
      </c>
      <c r="D1093" s="41">
        <v>14.6721</v>
      </c>
      <c r="E1093" s="41">
        <v>30</v>
      </c>
      <c r="F1093" s="41">
        <v>0</v>
      </c>
      <c r="G1093" s="41" t="s">
        <v>104</v>
      </c>
      <c r="H1093" s="41">
        <v>0</v>
      </c>
      <c r="I1093" s="41">
        <v>1</v>
      </c>
      <c r="J1093" s="108">
        <f>POWER(POWER(Table2[[#This Row],[mv]],4)/10,0.25)</f>
        <v>3.5989844812182349E-3</v>
      </c>
      <c r="K1093" s="41">
        <v>0</v>
      </c>
      <c r="L1093" s="41">
        <v>55</v>
      </c>
      <c r="M1093" s="41">
        <v>-1</v>
      </c>
      <c r="N1093" s="41">
        <v>4</v>
      </c>
      <c r="O1093" s="111" t="s">
        <v>1611</v>
      </c>
      <c r="P1093" s="109">
        <v>193505</v>
      </c>
      <c r="Q1093" s="41"/>
      <c r="R1093" s="111"/>
      <c r="S1093" s="110" t="s">
        <v>1625</v>
      </c>
    </row>
    <row r="1094" spans="1:19" x14ac:dyDescent="0.3">
      <c r="A1094" s="105">
        <v>1093</v>
      </c>
      <c r="B1094" s="41">
        <v>12000000</v>
      </c>
      <c r="C1094" s="41">
        <v>6.4000000000000003E-3</v>
      </c>
      <c r="D1094" s="41">
        <v>16</v>
      </c>
      <c r="E1094" s="41">
        <v>30</v>
      </c>
      <c r="F1094" s="41">
        <v>0</v>
      </c>
      <c r="G1094" s="41" t="s">
        <v>104</v>
      </c>
      <c r="H1094" s="41">
        <v>0</v>
      </c>
      <c r="I1094" s="41">
        <v>1</v>
      </c>
      <c r="J1094" s="108">
        <f>POWER(POWER(Table2[[#This Row],[mv]],4)/10,0.25)</f>
        <v>3.5989844812182349E-3</v>
      </c>
      <c r="K1094" s="41">
        <v>0</v>
      </c>
      <c r="L1094" s="41">
        <v>55</v>
      </c>
      <c r="M1094" s="41">
        <v>-1</v>
      </c>
      <c r="N1094" s="41">
        <v>4</v>
      </c>
      <c r="O1094" s="111" t="s">
        <v>1612</v>
      </c>
      <c r="P1094" s="109">
        <v>193505</v>
      </c>
      <c r="Q1094" s="41"/>
      <c r="R1094" s="111"/>
      <c r="S1094" s="110" t="s">
        <v>1625</v>
      </c>
    </row>
    <row r="1095" spans="1:19" x14ac:dyDescent="0.3">
      <c r="A1095" s="105">
        <v>1094</v>
      </c>
      <c r="B1095" s="41">
        <v>12000000</v>
      </c>
      <c r="C1095" s="41">
        <v>6.4000000000000003E-3</v>
      </c>
      <c r="D1095" s="41">
        <v>17.4481</v>
      </c>
      <c r="E1095" s="41">
        <v>30</v>
      </c>
      <c r="F1095" s="41">
        <v>0</v>
      </c>
      <c r="G1095" s="41" t="s">
        <v>104</v>
      </c>
      <c r="H1095" s="41">
        <v>0</v>
      </c>
      <c r="I1095" s="41">
        <v>1</v>
      </c>
      <c r="J1095" s="108">
        <f>POWER(POWER(Table2[[#This Row],[mv]],4)/10,0.25)</f>
        <v>3.5989844812182349E-3</v>
      </c>
      <c r="K1095" s="41">
        <v>0</v>
      </c>
      <c r="L1095" s="41">
        <v>55</v>
      </c>
      <c r="M1095" s="41">
        <v>-1</v>
      </c>
      <c r="N1095" s="41">
        <v>4</v>
      </c>
      <c r="O1095" s="111" t="s">
        <v>1613</v>
      </c>
      <c r="P1095" s="109">
        <v>193505</v>
      </c>
      <c r="Q1095" s="41"/>
      <c r="R1095" s="111"/>
      <c r="S1095" s="110" t="s">
        <v>1625</v>
      </c>
    </row>
    <row r="1096" spans="1:19" x14ac:dyDescent="0.3">
      <c r="A1096" s="105">
        <v>1095</v>
      </c>
      <c r="B1096" s="41">
        <v>12000000</v>
      </c>
      <c r="C1096" s="41">
        <v>6.4000000000000003E-3</v>
      </c>
      <c r="D1096" s="41">
        <v>19.0273</v>
      </c>
      <c r="E1096" s="41">
        <v>30</v>
      </c>
      <c r="F1096" s="41">
        <v>0</v>
      </c>
      <c r="G1096" s="41" t="s">
        <v>104</v>
      </c>
      <c r="H1096" s="41">
        <v>0</v>
      </c>
      <c r="I1096" s="41">
        <v>1</v>
      </c>
      <c r="J1096" s="108">
        <f>POWER(POWER(Table2[[#This Row],[mv]],4)/10,0.25)</f>
        <v>3.5989844812182349E-3</v>
      </c>
      <c r="K1096" s="41">
        <v>0</v>
      </c>
      <c r="L1096" s="41">
        <v>55</v>
      </c>
      <c r="M1096" s="41">
        <v>-1</v>
      </c>
      <c r="N1096" s="41">
        <v>4</v>
      </c>
      <c r="O1096" s="111" t="s">
        <v>1614</v>
      </c>
      <c r="P1096" s="109">
        <v>193505</v>
      </c>
      <c r="Q1096" s="41"/>
      <c r="R1096" s="111"/>
      <c r="S1096" s="110" t="s">
        <v>1625</v>
      </c>
    </row>
    <row r="1097" spans="1:19" x14ac:dyDescent="0.3">
      <c r="A1097" s="105">
        <v>1096</v>
      </c>
      <c r="B1097" s="41">
        <v>12000000</v>
      </c>
      <c r="C1097" s="41">
        <v>7.0000000000000001E-3</v>
      </c>
      <c r="D1097" s="41">
        <v>16</v>
      </c>
      <c r="E1097" s="41">
        <v>30</v>
      </c>
      <c r="F1097" s="41">
        <v>0</v>
      </c>
      <c r="G1097" s="41" t="s">
        <v>104</v>
      </c>
      <c r="H1097" s="41">
        <v>0</v>
      </c>
      <c r="I1097" s="41">
        <v>1</v>
      </c>
      <c r="J1097" s="108">
        <f>POWER(POWER(Table2[[#This Row],[mv]],4)/10,0.25)</f>
        <v>3.9363892763324441E-3</v>
      </c>
      <c r="K1097" s="41">
        <v>0</v>
      </c>
      <c r="L1097" s="41">
        <v>55</v>
      </c>
      <c r="M1097" s="41">
        <v>-1</v>
      </c>
      <c r="N1097" s="41">
        <v>4</v>
      </c>
      <c r="O1097" s="111" t="s">
        <v>1615</v>
      </c>
      <c r="P1097" s="109">
        <v>193505</v>
      </c>
      <c r="Q1097" s="41"/>
      <c r="R1097" s="111"/>
      <c r="S1097" s="110" t="s">
        <v>1625</v>
      </c>
    </row>
    <row r="1098" spans="1:19" x14ac:dyDescent="0.3">
      <c r="A1098" s="105">
        <v>1097</v>
      </c>
      <c r="B1098" s="41">
        <v>12000000</v>
      </c>
      <c r="C1098" s="41">
        <v>7.0000000000000001E-3</v>
      </c>
      <c r="D1098" s="41">
        <v>17.4481</v>
      </c>
      <c r="E1098" s="41">
        <v>30</v>
      </c>
      <c r="F1098" s="41">
        <v>0</v>
      </c>
      <c r="G1098" s="41" t="s">
        <v>104</v>
      </c>
      <c r="H1098" s="41">
        <v>0</v>
      </c>
      <c r="I1098" s="41">
        <v>1</v>
      </c>
      <c r="J1098" s="108">
        <f>POWER(POWER(Table2[[#This Row],[mv]],4)/10,0.25)</f>
        <v>3.9363892763324441E-3</v>
      </c>
      <c r="K1098" s="41">
        <v>0</v>
      </c>
      <c r="L1098" s="41">
        <v>55</v>
      </c>
      <c r="M1098" s="41">
        <v>-1</v>
      </c>
      <c r="N1098" s="41">
        <v>4</v>
      </c>
      <c r="O1098" s="111" t="s">
        <v>1616</v>
      </c>
      <c r="P1098" s="109">
        <v>193501</v>
      </c>
      <c r="Q1098" s="41"/>
      <c r="R1098" s="111"/>
      <c r="S1098" s="110" t="s">
        <v>1625</v>
      </c>
    </row>
    <row r="1099" spans="1:19" x14ac:dyDescent="0.3">
      <c r="A1099" s="105">
        <v>1098</v>
      </c>
      <c r="B1099" s="41">
        <v>12000000</v>
      </c>
      <c r="C1099" s="41">
        <v>7.0000000000000001E-3</v>
      </c>
      <c r="D1099" s="41">
        <v>19.0273</v>
      </c>
      <c r="E1099" s="41">
        <v>30</v>
      </c>
      <c r="F1099" s="41">
        <v>0</v>
      </c>
      <c r="G1099" s="41" t="s">
        <v>104</v>
      </c>
      <c r="H1099" s="41">
        <v>0</v>
      </c>
      <c r="I1099" s="41">
        <v>1</v>
      </c>
      <c r="J1099" s="108">
        <f>POWER(POWER(Table2[[#This Row],[mv]],4)/10,0.25)</f>
        <v>3.9363892763324441E-3</v>
      </c>
      <c r="K1099" s="41">
        <v>0</v>
      </c>
      <c r="L1099" s="41">
        <v>55</v>
      </c>
      <c r="M1099" s="41">
        <v>-1</v>
      </c>
      <c r="N1099" s="41">
        <v>4</v>
      </c>
      <c r="O1099" s="111" t="s">
        <v>1617</v>
      </c>
      <c r="P1099" s="109">
        <v>193501</v>
      </c>
      <c r="Q1099" s="41"/>
      <c r="R1099" s="111"/>
      <c r="S1099" s="110" t="s">
        <v>1625</v>
      </c>
    </row>
    <row r="1100" spans="1:19" x14ac:dyDescent="0.3">
      <c r="A1100" s="105">
        <v>1099</v>
      </c>
      <c r="B1100" s="41">
        <v>12000000</v>
      </c>
      <c r="C1100" s="41">
        <v>7.6E-3</v>
      </c>
      <c r="D1100" s="41">
        <v>19.0273</v>
      </c>
      <c r="E1100" s="41">
        <v>30</v>
      </c>
      <c r="F1100" s="41">
        <v>0</v>
      </c>
      <c r="G1100" s="41" t="s">
        <v>104</v>
      </c>
      <c r="H1100" s="41">
        <v>0</v>
      </c>
      <c r="I1100" s="41">
        <v>1</v>
      </c>
      <c r="J1100" s="108">
        <f>POWER(POWER(Table2[[#This Row],[mv]],4)/10,0.25)</f>
        <v>4.2737940714466516E-3</v>
      </c>
      <c r="K1100" s="41">
        <v>0</v>
      </c>
      <c r="L1100" s="41">
        <v>55</v>
      </c>
      <c r="M1100" s="41">
        <v>-1</v>
      </c>
      <c r="N1100" s="41">
        <v>4</v>
      </c>
      <c r="O1100" s="111" t="s">
        <v>1618</v>
      </c>
      <c r="P1100" s="109">
        <v>193501</v>
      </c>
      <c r="Q1100" s="41"/>
      <c r="R1100" s="111"/>
      <c r="S1100" s="110" t="s">
        <v>1625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53"/>
  <sheetViews>
    <sheetView zoomScaleNormal="100" workbookViewId="0">
      <selection activeCell="G23" sqref="G23"/>
    </sheetView>
  </sheetViews>
  <sheetFormatPr defaultColWidth="0" defaultRowHeight="14.4" zeroHeight="1" x14ac:dyDescent="0.3"/>
  <cols>
    <col min="1" max="1" width="11.77734375" customWidth="1"/>
    <col min="2" max="2" width="18.88671875" customWidth="1"/>
    <col min="3" max="3" width="26.33203125" customWidth="1"/>
    <col min="4" max="4" width="11" customWidth="1"/>
    <col min="6" max="6" width="12.6640625" hidden="1" customWidth="1"/>
    <col min="7" max="7" width="94.88671875" customWidth="1"/>
    <col min="8" max="8" width="59.77734375" hidden="1" customWidth="1"/>
    <col min="9" max="16384" width="8.88671875" hidden="1"/>
  </cols>
  <sheetData>
    <row r="1" spans="1:7" x14ac:dyDescent="0.3">
      <c r="A1" t="s">
        <v>242</v>
      </c>
      <c r="B1" t="s">
        <v>342</v>
      </c>
      <c r="C1" t="s">
        <v>1157</v>
      </c>
      <c r="D1" s="144" t="s">
        <v>1156</v>
      </c>
      <c r="E1" t="s">
        <v>105</v>
      </c>
      <c r="F1" t="s">
        <v>110</v>
      </c>
      <c r="G1" s="43" t="s">
        <v>109</v>
      </c>
    </row>
    <row r="2" spans="1:7" hidden="1" x14ac:dyDescent="0.3">
      <c r="A2" t="s">
        <v>245</v>
      </c>
      <c r="B2" t="s">
        <v>106</v>
      </c>
      <c r="D2" s="144" t="e">
        <f>VALUE(LEFT(RIGHT(Table4[[#This Row],[Position History]],5),FIND(CHAR(34),RIGHT(Table4[[#This Row],[Position History]],5))-1))</f>
        <v>#VALUE!</v>
      </c>
      <c r="F2" t="s">
        <v>107</v>
      </c>
      <c r="G2" s="43" t="s">
        <v>248</v>
      </c>
    </row>
    <row r="3" spans="1:7" hidden="1" x14ac:dyDescent="0.3">
      <c r="A3" t="s">
        <v>245</v>
      </c>
      <c r="D3" s="144" t="e">
        <f>VALUE(LEFT(RIGHT(Table4[[#This Row],[Position History]],5),FIND(CHAR(34),RIGHT(Table4[[#This Row],[Position History]],5))-1))</f>
        <v>#VALUE!</v>
      </c>
      <c r="G3" s="43"/>
    </row>
    <row r="4" spans="1:7" hidden="1" x14ac:dyDescent="0.3">
      <c r="A4" t="s">
        <v>245</v>
      </c>
      <c r="D4" s="144" t="e">
        <f>VALUE(LEFT(RIGHT(Table4[[#This Row],[Position History]],5),FIND(CHAR(34),RIGHT(Table4[[#This Row],[Position History]],5))-1))</f>
        <v>#VALUE!</v>
      </c>
      <c r="G4" s="43"/>
    </row>
    <row r="5" spans="1:7" hidden="1" x14ac:dyDescent="0.3">
      <c r="A5" t="s">
        <v>245</v>
      </c>
      <c r="D5" s="144" t="e">
        <f>VALUE(LEFT(RIGHT(Table4[[#This Row],[Position History]],5),FIND(CHAR(34),RIGHT(Table4[[#This Row],[Position History]],5))-1))</f>
        <v>#VALUE!</v>
      </c>
      <c r="G5" s="43"/>
    </row>
    <row r="6" spans="1:7" hidden="1" x14ac:dyDescent="0.3">
      <c r="A6" s="102" t="s">
        <v>245</v>
      </c>
      <c r="B6" s="102" t="s">
        <v>108</v>
      </c>
      <c r="C6" s="102"/>
      <c r="D6" s="145" t="e">
        <f>VALUE(LEFT(RIGHT(Table4[[#This Row],[Position History]],5),FIND(CHAR(34),RIGHT(Table4[[#This Row],[Position History]],5))-1))</f>
        <v>#VALUE!</v>
      </c>
      <c r="E6" s="102" t="s">
        <v>331</v>
      </c>
      <c r="F6" s="102" t="s">
        <v>107</v>
      </c>
      <c r="G6" s="103" t="s">
        <v>111</v>
      </c>
    </row>
    <row r="7" spans="1:7" hidden="1" x14ac:dyDescent="0.3">
      <c r="A7" s="102"/>
      <c r="B7" s="102"/>
      <c r="C7" s="102"/>
      <c r="D7" s="145" t="e">
        <f>VALUE(LEFT(RIGHT(Table4[[#This Row],[Position History]],5),FIND(CHAR(34),RIGHT(Table4[[#This Row],[Position History]],5))-1))</f>
        <v>#VALUE!</v>
      </c>
      <c r="E7" s="102"/>
      <c r="F7" s="102"/>
      <c r="G7" s="103"/>
    </row>
    <row r="8" spans="1:7" x14ac:dyDescent="0.3">
      <c r="A8" s="102" t="s">
        <v>243</v>
      </c>
      <c r="B8" s="102" t="s">
        <v>318</v>
      </c>
      <c r="C8" s="142" t="s">
        <v>1162</v>
      </c>
      <c r="D8" s="146">
        <f>VALUE(LEFT(RIGHT(Table4[[#This Row],[Position History]],5),FIND(CHAR(34),RIGHT(Table4[[#This Row],[Position History]],5))-1))</f>
        <v>0</v>
      </c>
      <c r="E8" s="102" t="s">
        <v>332</v>
      </c>
      <c r="F8" s="102" t="s">
        <v>332</v>
      </c>
      <c r="G8" s="103" t="s">
        <v>361</v>
      </c>
    </row>
    <row r="9" spans="1:7" x14ac:dyDescent="0.3">
      <c r="A9" s="102" t="s">
        <v>243</v>
      </c>
      <c r="B9" s="102" t="s">
        <v>112</v>
      </c>
      <c r="C9" s="142" t="s">
        <v>1153</v>
      </c>
      <c r="D9" s="146">
        <f>VALUE(LEFT(RIGHT(Table4[[#This Row],[Position History]],5),FIND(CHAR(34),RIGHT(Table4[[#This Row],[Position History]],5))-1))</f>
        <v>1</v>
      </c>
      <c r="E9" s="102" t="s">
        <v>332</v>
      </c>
      <c r="F9" s="102" t="s">
        <v>332</v>
      </c>
      <c r="G9" s="103" t="s">
        <v>362</v>
      </c>
    </row>
    <row r="10" spans="1:7" x14ac:dyDescent="0.3">
      <c r="A10" s="102" t="s">
        <v>243</v>
      </c>
      <c r="B10" s="102" t="s">
        <v>99</v>
      </c>
      <c r="C10" s="142" t="s">
        <v>1152</v>
      </c>
      <c r="D10" s="146">
        <f>VALUE(LEFT(RIGHT(Table4[[#This Row],[Position History]],5),FIND(CHAR(34),RIGHT(Table4[[#This Row],[Position History]],5))-1))</f>
        <v>2</v>
      </c>
      <c r="E10" s="102" t="s">
        <v>332</v>
      </c>
      <c r="F10" s="102" t="s">
        <v>332</v>
      </c>
      <c r="G10" s="103" t="s">
        <v>363</v>
      </c>
    </row>
    <row r="11" spans="1:7" x14ac:dyDescent="0.3">
      <c r="A11" s="102" t="s">
        <v>243</v>
      </c>
      <c r="B11" s="102" t="s">
        <v>319</v>
      </c>
      <c r="C11" s="142" t="s">
        <v>1151</v>
      </c>
      <c r="D11" s="146">
        <f>VALUE(LEFT(RIGHT(Table4[[#This Row],[Position History]],5),FIND(CHAR(34),RIGHT(Table4[[#This Row],[Position History]],5))-1))</f>
        <v>3</v>
      </c>
      <c r="E11" s="102" t="s">
        <v>332</v>
      </c>
      <c r="F11" s="102" t="s">
        <v>332</v>
      </c>
      <c r="G11" s="103" t="s">
        <v>366</v>
      </c>
    </row>
    <row r="12" spans="1:7" x14ac:dyDescent="0.3">
      <c r="A12" s="102" t="s">
        <v>243</v>
      </c>
      <c r="B12" s="102" t="s">
        <v>320</v>
      </c>
      <c r="C12" s="142" t="s">
        <v>1148</v>
      </c>
      <c r="D12" s="146">
        <f>VALUE(LEFT(RIGHT(Table4[[#This Row],[Position History]],5),FIND(CHAR(34),RIGHT(Table4[[#This Row],[Position History]],5))-1))</f>
        <v>4</v>
      </c>
      <c r="E12" s="102" t="s">
        <v>332</v>
      </c>
      <c r="F12" s="102" t="s">
        <v>332</v>
      </c>
      <c r="G12" s="103" t="s">
        <v>367</v>
      </c>
    </row>
    <row r="13" spans="1:7" x14ac:dyDescent="0.3">
      <c r="A13" s="102" t="s">
        <v>243</v>
      </c>
      <c r="B13" s="102" t="s">
        <v>100</v>
      </c>
      <c r="C13" s="142" t="s">
        <v>1147</v>
      </c>
      <c r="D13" s="146">
        <f>VALUE(LEFT(RIGHT(Table4[[#This Row],[Position History]],5),FIND(CHAR(34),RIGHT(Table4[[#This Row],[Position History]],5))-1))</f>
        <v>5</v>
      </c>
      <c r="E13" s="102" t="s">
        <v>332</v>
      </c>
      <c r="F13" s="102" t="s">
        <v>332</v>
      </c>
      <c r="G13" s="104" t="s">
        <v>364</v>
      </c>
    </row>
    <row r="14" spans="1:7" x14ac:dyDescent="0.3">
      <c r="A14" s="102" t="s">
        <v>243</v>
      </c>
      <c r="B14" s="102" t="s">
        <v>101</v>
      </c>
      <c r="C14" s="142" t="s">
        <v>1150</v>
      </c>
      <c r="D14" s="146">
        <f>VALUE(LEFT(RIGHT(Table4[[#This Row],[Position History]],5),FIND(CHAR(34),RIGHT(Table4[[#This Row],[Position History]],5))-1))</f>
        <v>6</v>
      </c>
      <c r="E14" s="102" t="s">
        <v>332</v>
      </c>
      <c r="F14" s="102" t="s">
        <v>332</v>
      </c>
      <c r="G14" s="103" t="s">
        <v>359</v>
      </c>
    </row>
    <row r="15" spans="1:7" x14ac:dyDescent="0.3">
      <c r="A15" s="102" t="s">
        <v>243</v>
      </c>
      <c r="B15" s="102" t="s">
        <v>321</v>
      </c>
      <c r="C15" s="142" t="s">
        <v>1154</v>
      </c>
      <c r="D15" s="146">
        <f>VALUE(LEFT(RIGHT(Table4[[#This Row],[Position History]],5),FIND(CHAR(34),RIGHT(Table4[[#This Row],[Position History]],5))-1))</f>
        <v>7</v>
      </c>
      <c r="E15" s="102" t="s">
        <v>332</v>
      </c>
      <c r="F15" s="102" t="s">
        <v>332</v>
      </c>
      <c r="G15" s="103" t="s">
        <v>365</v>
      </c>
    </row>
    <row r="16" spans="1:7" x14ac:dyDescent="0.3">
      <c r="A16" s="102" t="s">
        <v>243</v>
      </c>
      <c r="B16" s="102" t="s">
        <v>322</v>
      </c>
      <c r="C16" s="142" t="s">
        <v>1149</v>
      </c>
      <c r="D16" s="146">
        <f>VALUE(LEFT(RIGHT(Table4[[#This Row],[Position History]],5),FIND(CHAR(34),RIGHT(Table4[[#This Row],[Position History]],5))-1))</f>
        <v>8</v>
      </c>
      <c r="E16" s="102" t="s">
        <v>332</v>
      </c>
      <c r="F16" s="102" t="s">
        <v>332</v>
      </c>
      <c r="G16" s="103" t="s">
        <v>343</v>
      </c>
    </row>
    <row r="17" spans="1:7" x14ac:dyDescent="0.3">
      <c r="A17" s="102" t="s">
        <v>243</v>
      </c>
      <c r="B17" s="102" t="s">
        <v>323</v>
      </c>
      <c r="C17" s="142" t="s">
        <v>1155</v>
      </c>
      <c r="D17" s="146">
        <f>VALUE(LEFT(RIGHT(Table4[[#This Row],[Position History]],5),FIND(CHAR(34),RIGHT(Table4[[#This Row],[Position History]],5))-1))</f>
        <v>9</v>
      </c>
      <c r="E17" s="102" t="s">
        <v>332</v>
      </c>
      <c r="F17" s="102" t="s">
        <v>332</v>
      </c>
      <c r="G17" s="103" t="s">
        <v>1160</v>
      </c>
    </row>
    <row r="18" spans="1:7" x14ac:dyDescent="0.3">
      <c r="A18" s="102" t="s">
        <v>243</v>
      </c>
      <c r="B18" s="102" t="s">
        <v>324</v>
      </c>
      <c r="C18" s="142" t="s">
        <v>1142</v>
      </c>
      <c r="D18" s="146">
        <f>VALUE(LEFT(RIGHT(Table4[[#This Row],[Position History]],5),FIND(CHAR(34),RIGHT(Table4[[#This Row],[Position History]],5))-1))</f>
        <v>10</v>
      </c>
      <c r="E18" s="102" t="s">
        <v>332</v>
      </c>
      <c r="F18" s="102" t="s">
        <v>332</v>
      </c>
      <c r="G18" s="103" t="s">
        <v>358</v>
      </c>
    </row>
    <row r="19" spans="1:7" x14ac:dyDescent="0.3">
      <c r="A19" s="102" t="s">
        <v>243</v>
      </c>
      <c r="B19" s="102" t="s">
        <v>325</v>
      </c>
      <c r="C19" s="142" t="s">
        <v>1143</v>
      </c>
      <c r="D19" s="146">
        <f>VALUE(LEFT(RIGHT(Table4[[#This Row],[Position History]],5),FIND(CHAR(34),RIGHT(Table4[[#This Row],[Position History]],5))-1))</f>
        <v>11</v>
      </c>
      <c r="E19" s="102" t="s">
        <v>332</v>
      </c>
      <c r="F19" s="102" t="s">
        <v>332</v>
      </c>
      <c r="G19" s="103" t="s">
        <v>357</v>
      </c>
    </row>
    <row r="20" spans="1:7" x14ac:dyDescent="0.3">
      <c r="A20" s="102" t="s">
        <v>243</v>
      </c>
      <c r="B20" s="102" t="s">
        <v>326</v>
      </c>
      <c r="C20" s="142" t="s">
        <v>1141</v>
      </c>
      <c r="D20" s="146">
        <f>VALUE(LEFT(RIGHT(Table4[[#This Row],[Position History]],5),FIND(CHAR(34),RIGHT(Table4[[#This Row],[Position History]],5))-1))</f>
        <v>12</v>
      </c>
      <c r="E20" s="102" t="s">
        <v>332</v>
      </c>
      <c r="F20" s="102" t="s">
        <v>332</v>
      </c>
      <c r="G20" s="103" t="s">
        <v>360</v>
      </c>
    </row>
    <row r="21" spans="1:7" x14ac:dyDescent="0.3">
      <c r="A21" s="102" t="s">
        <v>244</v>
      </c>
      <c r="B21" s="102" t="s">
        <v>1145</v>
      </c>
      <c r="C21" s="142" t="s">
        <v>1163</v>
      </c>
      <c r="D21" s="146">
        <f>VALUE(LEFT(RIGHT(Table4[[#This Row],[Position History]],5),FIND(CHAR(34),RIGHT(Table4[[#This Row],[Position History]],5))-1))</f>
        <v>0</v>
      </c>
      <c r="E21" s="102" t="s">
        <v>332</v>
      </c>
      <c r="F21" s="102" t="s">
        <v>332</v>
      </c>
      <c r="G21" s="103" t="s">
        <v>1161</v>
      </c>
    </row>
    <row r="22" spans="1:7" x14ac:dyDescent="0.3">
      <c r="A22" s="102" t="s">
        <v>244</v>
      </c>
      <c r="B22" s="102" t="s">
        <v>112</v>
      </c>
      <c r="C22" s="142" t="s">
        <v>1164</v>
      </c>
      <c r="D22" s="146">
        <f>VALUE(LEFT(RIGHT(Table4[[#This Row],[Position History]],5),FIND(CHAR(34),RIGHT(Table4[[#This Row],[Position History]],5))-1))</f>
        <v>1</v>
      </c>
      <c r="E22" s="102" t="s">
        <v>332</v>
      </c>
      <c r="F22" s="102" t="s">
        <v>332</v>
      </c>
      <c r="G22" s="103" t="s">
        <v>1159</v>
      </c>
    </row>
    <row r="23" spans="1:7" x14ac:dyDescent="0.3">
      <c r="A23" s="102" t="s">
        <v>244</v>
      </c>
      <c r="B23" s="102" t="s">
        <v>335</v>
      </c>
      <c r="C23" s="142" t="s">
        <v>1165</v>
      </c>
      <c r="D23" s="146">
        <f>VALUE(LEFT(RIGHT(Table4[[#This Row],[Position History]],5),FIND(CHAR(34),RIGHT(Table4[[#This Row],[Position History]],5))-1))</f>
        <v>2</v>
      </c>
      <c r="E23" s="102" t="s">
        <v>332</v>
      </c>
      <c r="F23" s="102" t="s">
        <v>332</v>
      </c>
      <c r="G23" s="103" t="s">
        <v>348</v>
      </c>
    </row>
    <row r="24" spans="1:7" x14ac:dyDescent="0.3">
      <c r="A24" s="102" t="s">
        <v>244</v>
      </c>
      <c r="B24" s="102" t="s">
        <v>336</v>
      </c>
      <c r="C24" s="142" t="s">
        <v>1166</v>
      </c>
      <c r="D24" s="146">
        <f>VALUE(LEFT(RIGHT(Table4[[#This Row],[Position History]],5),FIND(CHAR(34),RIGHT(Table4[[#This Row],[Position History]],5))-1))</f>
        <v>3</v>
      </c>
      <c r="E24" s="102" t="s">
        <v>332</v>
      </c>
      <c r="F24" s="102" t="s">
        <v>332</v>
      </c>
      <c r="G24" s="103" t="s">
        <v>349</v>
      </c>
    </row>
    <row r="25" spans="1:7" x14ac:dyDescent="0.3">
      <c r="A25" s="102" t="s">
        <v>244</v>
      </c>
      <c r="B25" s="102" t="s">
        <v>1144</v>
      </c>
      <c r="C25" s="142" t="s">
        <v>1167</v>
      </c>
      <c r="D25" s="146">
        <f>VALUE(LEFT(RIGHT(Table4[[#This Row],[Position History]],5),FIND(CHAR(34),RIGHT(Table4[[#This Row],[Position History]],5))-1))</f>
        <v>4</v>
      </c>
      <c r="E25" s="102" t="s">
        <v>332</v>
      </c>
      <c r="F25" s="102" t="s">
        <v>332</v>
      </c>
      <c r="G25" s="103" t="s">
        <v>1158</v>
      </c>
    </row>
    <row r="26" spans="1:7" x14ac:dyDescent="0.3">
      <c r="A26" s="102" t="s">
        <v>244</v>
      </c>
      <c r="B26" s="102" t="s">
        <v>337</v>
      </c>
      <c r="C26" s="142" t="s">
        <v>1168</v>
      </c>
      <c r="D26" s="146">
        <f>VALUE(LEFT(RIGHT(Table4[[#This Row],[Position History]],5),FIND(CHAR(34),RIGHT(Table4[[#This Row],[Position History]],5))-1))</f>
        <v>5</v>
      </c>
      <c r="E26" s="102" t="s">
        <v>332</v>
      </c>
      <c r="F26" s="102" t="s">
        <v>332</v>
      </c>
      <c r="G26" s="103" t="s">
        <v>353</v>
      </c>
    </row>
    <row r="27" spans="1:7" x14ac:dyDescent="0.3">
      <c r="A27" s="102" t="s">
        <v>244</v>
      </c>
      <c r="B27" s="102" t="s">
        <v>338</v>
      </c>
      <c r="C27" s="142" t="s">
        <v>1169</v>
      </c>
      <c r="D27" s="146">
        <f>VALUE(LEFT(RIGHT(Table4[[#This Row],[Position History]],5),FIND(CHAR(34),RIGHT(Table4[[#This Row],[Position History]],5))-1))</f>
        <v>6</v>
      </c>
      <c r="E27" s="102" t="s">
        <v>332</v>
      </c>
      <c r="F27" s="102" t="s">
        <v>332</v>
      </c>
      <c r="G27" s="103" t="s">
        <v>351</v>
      </c>
    </row>
    <row r="28" spans="1:7" x14ac:dyDescent="0.3">
      <c r="A28" s="102" t="s">
        <v>244</v>
      </c>
      <c r="B28" s="102" t="s">
        <v>339</v>
      </c>
      <c r="C28" s="142" t="s">
        <v>1170</v>
      </c>
      <c r="D28" s="146">
        <f>VALUE(LEFT(RIGHT(Table4[[#This Row],[Position History]],5),FIND(CHAR(34),RIGHT(Table4[[#This Row],[Position History]],5))-1))</f>
        <v>7</v>
      </c>
      <c r="E28" s="102" t="s">
        <v>332</v>
      </c>
      <c r="F28" s="102" t="s">
        <v>332</v>
      </c>
      <c r="G28" s="103" t="s">
        <v>344</v>
      </c>
    </row>
    <row r="29" spans="1:7" x14ac:dyDescent="0.3">
      <c r="A29" s="102" t="s">
        <v>244</v>
      </c>
      <c r="B29" s="102" t="s">
        <v>340</v>
      </c>
      <c r="C29" s="142" t="s">
        <v>1171</v>
      </c>
      <c r="D29" s="146">
        <f>VALUE(LEFT(RIGHT(Table4[[#This Row],[Position History]],5),FIND(CHAR(34),RIGHT(Table4[[#This Row],[Position History]],5))-1))</f>
        <v>8</v>
      </c>
      <c r="E29" s="102" t="s">
        <v>332</v>
      </c>
      <c r="F29" s="102" t="s">
        <v>332</v>
      </c>
      <c r="G29" s="103" t="s">
        <v>350</v>
      </c>
    </row>
    <row r="30" spans="1:7" x14ac:dyDescent="0.3">
      <c r="A30" s="102" t="s">
        <v>244</v>
      </c>
      <c r="B30" s="102" t="s">
        <v>341</v>
      </c>
      <c r="C30" s="142" t="s">
        <v>1172</v>
      </c>
      <c r="D30" s="146">
        <f>VALUE(LEFT(RIGHT(Table4[[#This Row],[Position History]],5),FIND(CHAR(34),RIGHT(Table4[[#This Row],[Position History]],5))-1))</f>
        <v>9</v>
      </c>
      <c r="E30" s="102" t="s">
        <v>332</v>
      </c>
      <c r="F30" s="102" t="s">
        <v>332</v>
      </c>
      <c r="G30" s="103" t="s">
        <v>345</v>
      </c>
    </row>
    <row r="31" spans="1:7" x14ac:dyDescent="0.3">
      <c r="A31" s="102" t="s">
        <v>244</v>
      </c>
      <c r="B31" s="102" t="s">
        <v>113</v>
      </c>
      <c r="C31" s="142" t="s">
        <v>1173</v>
      </c>
      <c r="D31" s="146">
        <f>VALUE(LEFT(RIGHT(Table4[[#This Row],[Position History]],5),FIND(CHAR(34),RIGHT(Table4[[#This Row],[Position History]],5))-1))</f>
        <v>10</v>
      </c>
      <c r="E31" s="102" t="s">
        <v>205</v>
      </c>
      <c r="F31" s="102"/>
      <c r="G31" s="103" t="s">
        <v>346</v>
      </c>
    </row>
    <row r="32" spans="1:7" x14ac:dyDescent="0.3">
      <c r="A32" s="102" t="s">
        <v>244</v>
      </c>
      <c r="B32" s="102" t="s">
        <v>329</v>
      </c>
      <c r="C32" s="142" t="s">
        <v>1174</v>
      </c>
      <c r="D32" s="146">
        <f>VALUE(LEFT(RIGHT(Table4[[#This Row],[Position History]],5),FIND(CHAR(34),RIGHT(Table4[[#This Row],[Position History]],5))-1))</f>
        <v>11</v>
      </c>
      <c r="E32" s="102" t="s">
        <v>332</v>
      </c>
      <c r="F32" s="102" t="s">
        <v>332</v>
      </c>
      <c r="G32" s="103" t="s">
        <v>347</v>
      </c>
    </row>
    <row r="33" spans="1:7" x14ac:dyDescent="0.3">
      <c r="A33" s="102" t="s">
        <v>244</v>
      </c>
      <c r="B33" s="102" t="s">
        <v>328</v>
      </c>
      <c r="C33" s="142" t="s">
        <v>1175</v>
      </c>
      <c r="D33" s="146">
        <f>VALUE(LEFT(RIGHT(Table4[[#This Row],[Position History]],5),FIND(CHAR(34),RIGHT(Table4[[#This Row],[Position History]],5))-1))</f>
        <v>12</v>
      </c>
      <c r="E33" s="102" t="s">
        <v>332</v>
      </c>
      <c r="F33" s="102" t="s">
        <v>332</v>
      </c>
      <c r="G33" s="103" t="s">
        <v>354</v>
      </c>
    </row>
    <row r="34" spans="1:7" x14ac:dyDescent="0.3">
      <c r="A34" s="102" t="s">
        <v>244</v>
      </c>
      <c r="B34" s="102" t="s">
        <v>330</v>
      </c>
      <c r="C34" s="142" t="s">
        <v>1176</v>
      </c>
      <c r="D34" s="146">
        <f>VALUE(LEFT(RIGHT(Table4[[#This Row],[Position History]],5),FIND(CHAR(34),RIGHT(Table4[[#This Row],[Position History]],5))-1))</f>
        <v>13</v>
      </c>
      <c r="E34" s="102" t="s">
        <v>332</v>
      </c>
      <c r="F34" s="102" t="s">
        <v>332</v>
      </c>
      <c r="G34" s="103" t="s">
        <v>356</v>
      </c>
    </row>
    <row r="35" spans="1:7" x14ac:dyDescent="0.3">
      <c r="A35" s="102" t="s">
        <v>244</v>
      </c>
      <c r="B35" s="102" t="s">
        <v>327</v>
      </c>
      <c r="C35" s="142" t="s">
        <v>1177</v>
      </c>
      <c r="D35" s="146">
        <f>VALUE(LEFT(RIGHT(Table4[[#This Row],[Position History]],5),FIND(CHAR(34),RIGHT(Table4[[#This Row],[Position History]],5))-1))</f>
        <v>14</v>
      </c>
      <c r="E35" s="102" t="s">
        <v>332</v>
      </c>
      <c r="F35" s="102" t="s">
        <v>332</v>
      </c>
      <c r="G35" s="103" t="s">
        <v>355</v>
      </c>
    </row>
    <row r="36" spans="1:7" x14ac:dyDescent="0.3">
      <c r="A36" s="102" t="s">
        <v>244</v>
      </c>
      <c r="B36" s="102" t="s">
        <v>333</v>
      </c>
      <c r="C36" s="142" t="s">
        <v>1178</v>
      </c>
      <c r="D36" s="146">
        <f>VALUE(LEFT(RIGHT(Table4[[#This Row],[Position History]],5),FIND(CHAR(34),RIGHT(Table4[[#This Row],[Position History]],5))-1))</f>
        <v>15</v>
      </c>
      <c r="E36" s="102"/>
      <c r="F36" s="102"/>
      <c r="G36" s="103" t="s">
        <v>368</v>
      </c>
    </row>
    <row r="37" spans="1:7" x14ac:dyDescent="0.3">
      <c r="A37" s="102" t="s">
        <v>244</v>
      </c>
      <c r="B37" s="102" t="s">
        <v>334</v>
      </c>
      <c r="C37" s="142" t="s">
        <v>1179</v>
      </c>
      <c r="D37" s="146">
        <f>VALUE(LEFT(RIGHT(Table4[[#This Row],[Position History]],5),FIND(CHAR(34),RIGHT(Table4[[#This Row],[Position History]],5))-1))</f>
        <v>16</v>
      </c>
      <c r="E37" s="102" t="s">
        <v>332</v>
      </c>
      <c r="F37" s="102" t="s">
        <v>332</v>
      </c>
      <c r="G37" s="103" t="s">
        <v>352</v>
      </c>
    </row>
    <row r="38" spans="1:7" x14ac:dyDescent="0.3">
      <c r="A38" s="102" t="s">
        <v>244</v>
      </c>
      <c r="B38" s="102" t="s">
        <v>114</v>
      </c>
      <c r="C38" s="142" t="s">
        <v>1180</v>
      </c>
      <c r="D38" s="146">
        <f>VALUE(LEFT(RIGHT(Table4[[#This Row],[Position History]],5),FIND(CHAR(34),RIGHT(Table4[[#This Row],[Position History]],5))-1))</f>
        <v>17</v>
      </c>
      <c r="E38" s="102" t="s">
        <v>332</v>
      </c>
      <c r="F38" s="102" t="s">
        <v>332</v>
      </c>
      <c r="G38" s="103" t="s">
        <v>343</v>
      </c>
    </row>
    <row r="39" spans="1:7" hidden="1" x14ac:dyDescent="0.3">
      <c r="A39" s="102"/>
      <c r="B39" s="102"/>
      <c r="C39" s="102"/>
      <c r="D39" s="145" t="e">
        <f>VALUE(LEFT(RIGHT(Table4[[#This Row],[Position History]],5),FIND(CHAR(34),RIGHT(Table4[[#This Row],[Position History]],5))-1))</f>
        <v>#VALUE!</v>
      </c>
      <c r="E39" s="102"/>
      <c r="F39" s="102"/>
      <c r="G39" s="103"/>
    </row>
    <row r="40" spans="1:7" hidden="1" x14ac:dyDescent="0.3">
      <c r="A40" s="102"/>
      <c r="B40" s="102"/>
      <c r="C40" s="102"/>
      <c r="D40" s="145" t="e">
        <f>VALUE(LEFT(RIGHT(Table4[[#This Row],[Position History]],5),FIND(CHAR(34),RIGHT(Table4[[#This Row],[Position History]],5))-1))</f>
        <v>#VALUE!</v>
      </c>
      <c r="E40" s="102"/>
      <c r="F40" s="102"/>
      <c r="G40" s="103"/>
    </row>
    <row r="41" spans="1:7" hidden="1" x14ac:dyDescent="0.3">
      <c r="A41" s="102"/>
      <c r="B41" s="102"/>
      <c r="C41" s="102"/>
      <c r="D41" s="145" t="e">
        <f>VALUE(LEFT(RIGHT(Table4[[#This Row],[Position History]],5),FIND(CHAR(34),RIGHT(Table4[[#This Row],[Position History]],5))-1))</f>
        <v>#VALUE!</v>
      </c>
      <c r="E41" s="102"/>
      <c r="F41" s="102"/>
      <c r="G41" s="103"/>
    </row>
    <row r="42" spans="1:7" hidden="1" x14ac:dyDescent="0.3">
      <c r="A42" s="102"/>
      <c r="B42" s="102"/>
      <c r="C42" s="102"/>
      <c r="D42" s="145" t="e">
        <f>VALUE(LEFT(RIGHT(Table4[[#This Row],[Position History]],5),FIND(CHAR(34),RIGHT(Table4[[#This Row],[Position History]],5))-1))</f>
        <v>#VALUE!</v>
      </c>
      <c r="E42" s="102"/>
      <c r="F42" s="102"/>
      <c r="G42" s="103"/>
    </row>
    <row r="43" spans="1:7" hidden="1" x14ac:dyDescent="0.3">
      <c r="A43" s="102"/>
      <c r="B43" s="102"/>
      <c r="C43" s="102"/>
      <c r="D43" s="145" t="e">
        <f>VALUE(LEFT(RIGHT(Table4[[#This Row],[Position History]],5),FIND(CHAR(34),RIGHT(Table4[[#This Row],[Position History]],5))-1))</f>
        <v>#VALUE!</v>
      </c>
      <c r="E43" s="102"/>
      <c r="F43" s="102"/>
      <c r="G43" s="103"/>
    </row>
    <row r="44" spans="1:7" hidden="1" x14ac:dyDescent="0.3">
      <c r="A44" s="102"/>
      <c r="B44" s="102"/>
      <c r="C44" s="102"/>
      <c r="D44" s="145" t="e">
        <f>VALUE(LEFT(RIGHT(Table4[[#This Row],[Position History]],5),FIND(CHAR(34),RIGHT(Table4[[#This Row],[Position History]],5))-1))</f>
        <v>#VALUE!</v>
      </c>
      <c r="E44" s="102"/>
      <c r="F44" s="102"/>
      <c r="G44" s="103"/>
    </row>
    <row r="45" spans="1:7" hidden="1" x14ac:dyDescent="0.3">
      <c r="A45" s="102"/>
      <c r="B45" s="102"/>
      <c r="C45" s="102"/>
      <c r="D45" s="145" t="e">
        <f>VALUE(LEFT(RIGHT(Table4[[#This Row],[Position History]],5),FIND(CHAR(34),RIGHT(Table4[[#This Row],[Position History]],5))-1))</f>
        <v>#VALUE!</v>
      </c>
      <c r="E45" s="102"/>
      <c r="F45" s="102"/>
      <c r="G45" s="103"/>
    </row>
    <row r="46" spans="1:7" hidden="1" x14ac:dyDescent="0.3">
      <c r="A46" s="102"/>
      <c r="B46" s="102"/>
      <c r="C46" s="102"/>
      <c r="D46" s="145" t="e">
        <f>VALUE(LEFT(RIGHT(Table4[[#This Row],[Position History]],5),FIND(CHAR(34),RIGHT(Table4[[#This Row],[Position History]],5))-1))</f>
        <v>#VALUE!</v>
      </c>
      <c r="E46" s="102"/>
      <c r="F46" s="102"/>
      <c r="G46" s="103"/>
    </row>
    <row r="47" spans="1:7" hidden="1" x14ac:dyDescent="0.3">
      <c r="A47" s="102"/>
      <c r="B47" s="102"/>
      <c r="C47" s="102"/>
      <c r="D47" s="145" t="e">
        <f>VALUE(LEFT(RIGHT(Table4[[#This Row],[Position History]],5),FIND(CHAR(34),RIGHT(Table4[[#This Row],[Position History]],5))-1))</f>
        <v>#VALUE!</v>
      </c>
      <c r="E47" s="102"/>
      <c r="F47" s="102"/>
      <c r="G47" s="103"/>
    </row>
    <row r="48" spans="1:7" hidden="1" x14ac:dyDescent="0.3">
      <c r="A48" s="102"/>
      <c r="B48" s="102"/>
      <c r="C48" s="102"/>
      <c r="D48" s="145" t="e">
        <f>VALUE(LEFT(RIGHT(Table4[[#This Row],[Position History]],5),FIND(CHAR(34),RIGHT(Table4[[#This Row],[Position History]],5))-1))</f>
        <v>#VALUE!</v>
      </c>
      <c r="E48" s="102"/>
      <c r="F48" s="102"/>
      <c r="G48" s="103"/>
    </row>
    <row r="49" spans="8:8" hidden="1" x14ac:dyDescent="0.3">
      <c r="H49" s="43"/>
    </row>
    <row r="50" spans="8:8" hidden="1" x14ac:dyDescent="0.3">
      <c r="H50" s="43"/>
    </row>
    <row r="51" spans="8:8" hidden="1" x14ac:dyDescent="0.3">
      <c r="H51" s="43"/>
    </row>
    <row r="52" spans="8:8" hidden="1" x14ac:dyDescent="0.3"/>
    <row r="53" spans="8:8" hidden="1" x14ac:dyDescent="0.3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C120"/>
  <sheetViews>
    <sheetView zoomScaleNormal="100" workbookViewId="0">
      <selection activeCell="B12" sqref="B12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199</v>
      </c>
      <c r="B1" t="s">
        <v>200</v>
      </c>
      <c r="C1" t="s">
        <v>201</v>
      </c>
      <c r="D1" t="s">
        <v>202</v>
      </c>
      <c r="E1" s="43" t="s">
        <v>109</v>
      </c>
    </row>
    <row r="2" spans="1:5" x14ac:dyDescent="0.3">
      <c r="A2" s="98" t="s">
        <v>236</v>
      </c>
      <c r="B2" s="99" t="s">
        <v>237</v>
      </c>
      <c r="C2" s="100">
        <v>128</v>
      </c>
      <c r="D2" s="97">
        <v>1</v>
      </c>
      <c r="E2" s="99" t="s">
        <v>238</v>
      </c>
    </row>
    <row r="3" spans="1:5" x14ac:dyDescent="0.3">
      <c r="A3" s="98" t="s">
        <v>236</v>
      </c>
      <c r="B3" s="99" t="s">
        <v>237</v>
      </c>
      <c r="C3" s="100">
        <v>129</v>
      </c>
      <c r="D3" s="97">
        <v>1</v>
      </c>
      <c r="E3" s="99" t="s">
        <v>239</v>
      </c>
    </row>
    <row r="4" spans="1:5" x14ac:dyDescent="0.3">
      <c r="A4" s="98" t="s">
        <v>236</v>
      </c>
      <c r="B4" s="99" t="s">
        <v>237</v>
      </c>
      <c r="C4" s="100">
        <v>137</v>
      </c>
      <c r="D4" s="97">
        <v>1</v>
      </c>
      <c r="E4" s="99" t="s">
        <v>240</v>
      </c>
    </row>
    <row r="5" spans="1:5" x14ac:dyDescent="0.3">
      <c r="A5" s="98" t="s">
        <v>236</v>
      </c>
      <c r="B5" s="99" t="s">
        <v>237</v>
      </c>
      <c r="C5" s="100">
        <v>139</v>
      </c>
      <c r="D5" s="97">
        <v>1</v>
      </c>
      <c r="E5" s="99" t="s">
        <v>241</v>
      </c>
    </row>
    <row r="6" spans="1:5" x14ac:dyDescent="0.3">
      <c r="A6" s="98" t="s">
        <v>236</v>
      </c>
      <c r="B6" s="99" t="s">
        <v>246</v>
      </c>
      <c r="C6" s="100">
        <v>508</v>
      </c>
      <c r="D6" s="97">
        <v>1</v>
      </c>
      <c r="E6" s="99" t="s">
        <v>247</v>
      </c>
    </row>
    <row r="7" spans="1:5" x14ac:dyDescent="0.3">
      <c r="A7" s="98" t="s">
        <v>236</v>
      </c>
      <c r="B7" s="99" t="s">
        <v>246</v>
      </c>
      <c r="C7" s="100">
        <v>510</v>
      </c>
      <c r="D7" s="97">
        <v>1</v>
      </c>
      <c r="E7" s="99" t="s">
        <v>313</v>
      </c>
    </row>
    <row r="8" spans="1:5" x14ac:dyDescent="0.3">
      <c r="A8" s="98" t="s">
        <v>236</v>
      </c>
      <c r="B8" s="99" t="s">
        <v>246</v>
      </c>
      <c r="C8" s="100">
        <v>529</v>
      </c>
      <c r="D8" s="97">
        <v>1</v>
      </c>
      <c r="E8" s="99" t="s">
        <v>249</v>
      </c>
    </row>
    <row r="9" spans="1:5" x14ac:dyDescent="0.3">
      <c r="A9" s="98" t="s">
        <v>236</v>
      </c>
      <c r="B9" s="99" t="s">
        <v>246</v>
      </c>
      <c r="C9" s="100">
        <v>533</v>
      </c>
      <c r="D9" s="97">
        <v>1</v>
      </c>
      <c r="E9" s="99" t="s">
        <v>298</v>
      </c>
    </row>
    <row r="10" spans="1:5" x14ac:dyDescent="0.3">
      <c r="A10" s="98" t="s">
        <v>236</v>
      </c>
      <c r="B10" s="99" t="s">
        <v>246</v>
      </c>
      <c r="C10" s="100">
        <v>548</v>
      </c>
      <c r="D10" s="97">
        <v>1</v>
      </c>
      <c r="E10" s="99" t="s">
        <v>251</v>
      </c>
    </row>
    <row r="11" spans="1:5" x14ac:dyDescent="0.3">
      <c r="A11" s="98" t="s">
        <v>236</v>
      </c>
      <c r="B11" s="99" t="s">
        <v>253</v>
      </c>
      <c r="C11" s="100">
        <v>576</v>
      </c>
      <c r="D11" s="97">
        <v>1</v>
      </c>
      <c r="E11" s="99" t="s">
        <v>252</v>
      </c>
    </row>
    <row r="12" spans="1:5" x14ac:dyDescent="0.3">
      <c r="A12" s="98" t="s">
        <v>236</v>
      </c>
      <c r="B12" s="99" t="s">
        <v>253</v>
      </c>
      <c r="C12" s="100">
        <v>656</v>
      </c>
      <c r="D12" s="97">
        <v>1</v>
      </c>
      <c r="E12" s="99" t="s">
        <v>254</v>
      </c>
    </row>
    <row r="13" spans="1:5" x14ac:dyDescent="0.3">
      <c r="A13" s="98" t="s">
        <v>236</v>
      </c>
      <c r="B13" s="99" t="s">
        <v>253</v>
      </c>
      <c r="C13" s="100">
        <v>658</v>
      </c>
      <c r="D13" s="97">
        <v>1</v>
      </c>
      <c r="E13" s="99" t="s">
        <v>255</v>
      </c>
    </row>
    <row r="14" spans="1:5" x14ac:dyDescent="0.3">
      <c r="A14" s="98" t="s">
        <v>236</v>
      </c>
      <c r="B14" s="99" t="s">
        <v>253</v>
      </c>
      <c r="C14" s="100">
        <v>696</v>
      </c>
      <c r="D14" s="97">
        <v>1</v>
      </c>
      <c r="E14" s="99" t="s">
        <v>256</v>
      </c>
    </row>
    <row r="15" spans="1:5" x14ac:dyDescent="0.3">
      <c r="A15" s="98" t="s">
        <v>236</v>
      </c>
      <c r="B15" s="99" t="s">
        <v>253</v>
      </c>
      <c r="C15" s="100">
        <v>697</v>
      </c>
      <c r="D15" s="97">
        <v>1</v>
      </c>
      <c r="E15" s="99" t="s">
        <v>299</v>
      </c>
    </row>
    <row r="16" spans="1:5" x14ac:dyDescent="0.3">
      <c r="A16" s="98" t="s">
        <v>236</v>
      </c>
      <c r="B16" s="99" t="s">
        <v>253</v>
      </c>
      <c r="C16" s="100">
        <v>731</v>
      </c>
      <c r="D16" s="97">
        <v>1</v>
      </c>
      <c r="E16" s="99" t="s">
        <v>257</v>
      </c>
    </row>
    <row r="17" spans="1:5" x14ac:dyDescent="0.3">
      <c r="A17" s="98" t="s">
        <v>236</v>
      </c>
      <c r="B17" s="99" t="s">
        <v>253</v>
      </c>
      <c r="C17" s="100">
        <v>766</v>
      </c>
      <c r="D17" s="97">
        <v>1</v>
      </c>
      <c r="E17" s="99" t="s">
        <v>303</v>
      </c>
    </row>
    <row r="18" spans="1:5" x14ac:dyDescent="0.3">
      <c r="A18" s="98" t="s">
        <v>236</v>
      </c>
      <c r="B18" s="99" t="s">
        <v>253</v>
      </c>
      <c r="C18" s="100">
        <v>839</v>
      </c>
      <c r="D18" s="97">
        <v>1</v>
      </c>
      <c r="E18" s="99" t="s">
        <v>307</v>
      </c>
    </row>
    <row r="19" spans="1:5" x14ac:dyDescent="0.3">
      <c r="A19" s="98" t="s">
        <v>236</v>
      </c>
      <c r="B19" s="99" t="s">
        <v>253</v>
      </c>
      <c r="C19" s="100">
        <v>856</v>
      </c>
      <c r="D19" s="97">
        <v>1</v>
      </c>
      <c r="E19" s="99" t="s">
        <v>311</v>
      </c>
    </row>
    <row r="20" spans="1:5" x14ac:dyDescent="0.3">
      <c r="A20" s="98" t="s">
        <v>236</v>
      </c>
      <c r="B20" s="99" t="s">
        <v>258</v>
      </c>
      <c r="C20" s="100">
        <v>888</v>
      </c>
      <c r="D20" s="97">
        <v>1</v>
      </c>
      <c r="E20" s="99" t="s">
        <v>259</v>
      </c>
    </row>
    <row r="21" spans="1:5" x14ac:dyDescent="0.3">
      <c r="A21" s="98" t="s">
        <v>236</v>
      </c>
      <c r="B21" s="99" t="s">
        <v>258</v>
      </c>
      <c r="C21" s="100">
        <v>898</v>
      </c>
      <c r="D21" s="97">
        <v>1</v>
      </c>
      <c r="E21" s="99" t="s">
        <v>304</v>
      </c>
    </row>
    <row r="22" spans="1:5" x14ac:dyDescent="0.3">
      <c r="A22" s="98" t="s">
        <v>236</v>
      </c>
      <c r="B22" s="99" t="s">
        <v>258</v>
      </c>
      <c r="C22" s="100">
        <v>913</v>
      </c>
      <c r="D22" s="97">
        <v>1</v>
      </c>
      <c r="E22" s="99" t="s">
        <v>260</v>
      </c>
    </row>
    <row r="23" spans="1:5" x14ac:dyDescent="0.3">
      <c r="A23" s="98" t="s">
        <v>236</v>
      </c>
      <c r="B23" s="99" t="s">
        <v>258</v>
      </c>
      <c r="C23" s="100">
        <v>937</v>
      </c>
      <c r="D23" s="98">
        <v>1</v>
      </c>
      <c r="E23" s="99" t="s">
        <v>261</v>
      </c>
    </row>
    <row r="24" spans="1:5" x14ac:dyDescent="0.3">
      <c r="A24" s="98" t="s">
        <v>236</v>
      </c>
      <c r="B24" s="99" t="s">
        <v>258</v>
      </c>
      <c r="C24" s="100">
        <v>1008</v>
      </c>
      <c r="D24" s="98">
        <v>1</v>
      </c>
      <c r="E24" s="99" t="s">
        <v>262</v>
      </c>
    </row>
    <row r="25" spans="1:5" x14ac:dyDescent="0.3">
      <c r="A25" s="98" t="s">
        <v>236</v>
      </c>
      <c r="B25" s="99" t="s">
        <v>265</v>
      </c>
      <c r="C25" s="100">
        <v>1095</v>
      </c>
      <c r="D25" s="98">
        <v>1</v>
      </c>
      <c r="E25" s="99" t="s">
        <v>266</v>
      </c>
    </row>
    <row r="26" spans="1:5" x14ac:dyDescent="0.3">
      <c r="A26" s="98" t="s">
        <v>236</v>
      </c>
      <c r="B26" s="99" t="s">
        <v>265</v>
      </c>
      <c r="C26" s="100">
        <v>1096</v>
      </c>
      <c r="D26" s="98">
        <v>1</v>
      </c>
      <c r="E26" s="99" t="s">
        <v>306</v>
      </c>
    </row>
    <row r="27" spans="1:5" x14ac:dyDescent="0.3">
      <c r="A27" s="98" t="s">
        <v>236</v>
      </c>
      <c r="B27" s="99" t="s">
        <v>265</v>
      </c>
      <c r="C27" s="100">
        <v>1097</v>
      </c>
      <c r="D27" s="98">
        <v>1</v>
      </c>
      <c r="E27" s="99" t="s">
        <v>267</v>
      </c>
    </row>
    <row r="28" spans="1:5" x14ac:dyDescent="0.3">
      <c r="A28" s="98" t="s">
        <v>236</v>
      </c>
      <c r="B28" s="99" t="s">
        <v>265</v>
      </c>
      <c r="C28" s="100">
        <v>1119</v>
      </c>
      <c r="D28" s="97">
        <v>1</v>
      </c>
      <c r="E28" s="99" t="s">
        <v>305</v>
      </c>
    </row>
    <row r="29" spans="1:5" x14ac:dyDescent="0.3">
      <c r="A29" s="98" t="s">
        <v>236</v>
      </c>
      <c r="B29" s="99" t="s">
        <v>268</v>
      </c>
      <c r="C29" s="100">
        <v>1157</v>
      </c>
      <c r="D29" s="97">
        <v>1</v>
      </c>
      <c r="E29" s="99" t="s">
        <v>259</v>
      </c>
    </row>
    <row r="30" spans="1:5" x14ac:dyDescent="0.3">
      <c r="A30" s="98" t="s">
        <v>236</v>
      </c>
      <c r="B30" s="99" t="s">
        <v>268</v>
      </c>
      <c r="C30" s="100">
        <v>1176</v>
      </c>
      <c r="D30" s="97">
        <v>1</v>
      </c>
      <c r="E30" s="99" t="s">
        <v>269</v>
      </c>
    </row>
    <row r="31" spans="1:5" x14ac:dyDescent="0.3">
      <c r="A31" s="98" t="s">
        <v>236</v>
      </c>
      <c r="B31" s="99" t="s">
        <v>268</v>
      </c>
      <c r="C31" s="100">
        <v>1178</v>
      </c>
      <c r="D31" s="97">
        <v>1</v>
      </c>
      <c r="E31" s="99" t="s">
        <v>270</v>
      </c>
    </row>
    <row r="32" spans="1:5" x14ac:dyDescent="0.3">
      <c r="A32" s="98" t="s">
        <v>236</v>
      </c>
      <c r="B32" s="99" t="s">
        <v>268</v>
      </c>
      <c r="C32" s="100">
        <v>1218</v>
      </c>
      <c r="D32" s="97">
        <v>1</v>
      </c>
      <c r="E32" s="99" t="s">
        <v>271</v>
      </c>
    </row>
    <row r="33" spans="1:5" x14ac:dyDescent="0.3">
      <c r="A33" s="98" t="s">
        <v>236</v>
      </c>
      <c r="B33" s="99" t="s">
        <v>273</v>
      </c>
      <c r="C33" s="100">
        <v>1271</v>
      </c>
      <c r="D33" s="97">
        <v>1</v>
      </c>
      <c r="E33" s="99" t="s">
        <v>272</v>
      </c>
    </row>
    <row r="34" spans="1:5" x14ac:dyDescent="0.3">
      <c r="A34" s="98" t="s">
        <v>236</v>
      </c>
      <c r="B34" s="99" t="s">
        <v>273</v>
      </c>
      <c r="C34" s="100">
        <v>1290</v>
      </c>
      <c r="D34" s="97">
        <v>1</v>
      </c>
      <c r="E34" s="99" t="s">
        <v>269</v>
      </c>
    </row>
    <row r="35" spans="1:5" x14ac:dyDescent="0.3">
      <c r="A35" s="98" t="s">
        <v>236</v>
      </c>
      <c r="B35" s="99" t="s">
        <v>273</v>
      </c>
      <c r="C35" s="100">
        <v>1292</v>
      </c>
      <c r="D35" s="97">
        <v>1</v>
      </c>
      <c r="E35" s="99" t="s">
        <v>270</v>
      </c>
    </row>
    <row r="36" spans="1:5" x14ac:dyDescent="0.3">
      <c r="A36" s="98" t="s">
        <v>236</v>
      </c>
      <c r="B36" s="99" t="s">
        <v>273</v>
      </c>
      <c r="C36" s="100">
        <v>1312</v>
      </c>
      <c r="D36" s="97">
        <v>1</v>
      </c>
      <c r="E36" s="99" t="s">
        <v>274</v>
      </c>
    </row>
    <row r="37" spans="1:5" x14ac:dyDescent="0.3">
      <c r="A37" s="98" t="s">
        <v>236</v>
      </c>
      <c r="B37" s="99" t="s">
        <v>276</v>
      </c>
      <c r="C37" s="100">
        <v>1351</v>
      </c>
      <c r="D37" s="97">
        <v>1</v>
      </c>
      <c r="E37" s="99" t="s">
        <v>275</v>
      </c>
    </row>
    <row r="38" spans="1:5" x14ac:dyDescent="0.3">
      <c r="A38" s="98" t="s">
        <v>236</v>
      </c>
      <c r="B38" s="99" t="s">
        <v>276</v>
      </c>
      <c r="C38" s="100">
        <v>1353</v>
      </c>
      <c r="D38" s="97">
        <v>1</v>
      </c>
      <c r="E38" s="99" t="s">
        <v>277</v>
      </c>
    </row>
    <row r="39" spans="1:5" x14ac:dyDescent="0.3">
      <c r="A39" s="98" t="s">
        <v>236</v>
      </c>
      <c r="B39" s="99" t="s">
        <v>287</v>
      </c>
      <c r="C39" s="100">
        <v>1377</v>
      </c>
      <c r="D39" s="97">
        <v>1</v>
      </c>
      <c r="E39" s="99" t="s">
        <v>278</v>
      </c>
    </row>
    <row r="40" spans="1:5" x14ac:dyDescent="0.3">
      <c r="A40" s="98" t="s">
        <v>236</v>
      </c>
      <c r="B40" s="99" t="s">
        <v>287</v>
      </c>
      <c r="C40" s="100">
        <v>1378</v>
      </c>
      <c r="D40" s="97">
        <v>1</v>
      </c>
      <c r="E40" s="99" t="s">
        <v>279</v>
      </c>
    </row>
    <row r="41" spans="1:5" x14ac:dyDescent="0.3">
      <c r="A41" s="98" t="s">
        <v>236</v>
      </c>
      <c r="B41" s="99" t="s">
        <v>287</v>
      </c>
      <c r="C41" s="100">
        <v>1379</v>
      </c>
      <c r="D41" s="97">
        <v>1</v>
      </c>
      <c r="E41" s="99" t="s">
        <v>280</v>
      </c>
    </row>
    <row r="42" spans="1:5" x14ac:dyDescent="0.3">
      <c r="A42" s="98" t="s">
        <v>236</v>
      </c>
      <c r="B42" s="99" t="s">
        <v>287</v>
      </c>
      <c r="C42" s="100">
        <v>1381</v>
      </c>
      <c r="D42" s="97">
        <v>1</v>
      </c>
      <c r="E42" s="99" t="s">
        <v>312</v>
      </c>
    </row>
    <row r="43" spans="1:5" x14ac:dyDescent="0.3">
      <c r="A43" s="98" t="s">
        <v>236</v>
      </c>
      <c r="B43" s="99" t="s">
        <v>287</v>
      </c>
      <c r="C43" s="100">
        <v>1382</v>
      </c>
      <c r="D43" s="97">
        <v>1</v>
      </c>
      <c r="E43" s="99" t="s">
        <v>281</v>
      </c>
    </row>
    <row r="44" spans="1:5" x14ac:dyDescent="0.3">
      <c r="A44" s="98" t="s">
        <v>236</v>
      </c>
      <c r="B44" s="99" t="s">
        <v>287</v>
      </c>
      <c r="C44" s="100">
        <v>1383</v>
      </c>
      <c r="D44" s="97">
        <v>1</v>
      </c>
      <c r="E44" s="99" t="s">
        <v>282</v>
      </c>
    </row>
    <row r="45" spans="1:5" x14ac:dyDescent="0.3">
      <c r="A45" s="98" t="s">
        <v>236</v>
      </c>
      <c r="B45" s="99" t="s">
        <v>287</v>
      </c>
      <c r="C45" s="100">
        <v>1384</v>
      </c>
      <c r="D45" s="97">
        <v>1</v>
      </c>
      <c r="E45" s="99" t="s">
        <v>283</v>
      </c>
    </row>
    <row r="46" spans="1:5" x14ac:dyDescent="0.3">
      <c r="A46" s="98" t="s">
        <v>236</v>
      </c>
      <c r="B46" s="99" t="s">
        <v>287</v>
      </c>
      <c r="C46" s="100">
        <v>1385</v>
      </c>
      <c r="D46" s="97">
        <v>1</v>
      </c>
      <c r="E46" s="99" t="s">
        <v>284</v>
      </c>
    </row>
    <row r="47" spans="1:5" x14ac:dyDescent="0.3">
      <c r="A47" s="98" t="s">
        <v>236</v>
      </c>
      <c r="B47" s="99" t="s">
        <v>287</v>
      </c>
      <c r="C47" s="100">
        <v>1386</v>
      </c>
      <c r="D47" s="97">
        <v>1</v>
      </c>
      <c r="E47" s="99" t="s">
        <v>285</v>
      </c>
    </row>
    <row r="48" spans="1:5" x14ac:dyDescent="0.3">
      <c r="A48" s="98" t="s">
        <v>236</v>
      </c>
      <c r="B48" s="99" t="s">
        <v>287</v>
      </c>
      <c r="C48" s="100">
        <v>1387</v>
      </c>
      <c r="D48" s="97">
        <v>1</v>
      </c>
      <c r="E48" s="99" t="s">
        <v>302</v>
      </c>
    </row>
    <row r="49" spans="1:5" x14ac:dyDescent="0.3">
      <c r="A49" s="98" t="s">
        <v>236</v>
      </c>
      <c r="B49" s="99" t="s">
        <v>287</v>
      </c>
      <c r="C49" s="100">
        <v>1388</v>
      </c>
      <c r="D49" s="97">
        <v>1</v>
      </c>
      <c r="E49" s="99" t="s">
        <v>286</v>
      </c>
    </row>
    <row r="50" spans="1:5" x14ac:dyDescent="0.3">
      <c r="A50" s="98" t="s">
        <v>236</v>
      </c>
      <c r="B50" s="99" t="s">
        <v>289</v>
      </c>
      <c r="C50" s="100">
        <v>2298</v>
      </c>
      <c r="D50" s="97">
        <v>1</v>
      </c>
      <c r="E50" s="99" t="s">
        <v>288</v>
      </c>
    </row>
    <row r="51" spans="1:5" x14ac:dyDescent="0.3">
      <c r="A51" s="98" t="s">
        <v>236</v>
      </c>
      <c r="B51" s="99" t="s">
        <v>289</v>
      </c>
      <c r="C51" s="100">
        <v>2308</v>
      </c>
      <c r="D51" s="97">
        <v>1</v>
      </c>
      <c r="E51" s="99" t="s">
        <v>290</v>
      </c>
    </row>
    <row r="52" spans="1:5" x14ac:dyDescent="0.3">
      <c r="A52" s="98" t="s">
        <v>236</v>
      </c>
      <c r="B52" s="99" t="s">
        <v>291</v>
      </c>
      <c r="C52" s="100" t="s">
        <v>205</v>
      </c>
      <c r="D52" s="97">
        <v>1</v>
      </c>
      <c r="E52" s="99"/>
    </row>
    <row r="53" spans="1:5" x14ac:dyDescent="0.3">
      <c r="A53" s="98" t="s">
        <v>236</v>
      </c>
      <c r="B53" s="99" t="s">
        <v>292</v>
      </c>
      <c r="C53" s="100" t="s">
        <v>205</v>
      </c>
      <c r="D53" s="97">
        <v>1</v>
      </c>
      <c r="E53" s="99"/>
    </row>
    <row r="54" spans="1:5" x14ac:dyDescent="0.3">
      <c r="A54" s="98" t="s">
        <v>236</v>
      </c>
      <c r="B54" s="99" t="s">
        <v>308</v>
      </c>
      <c r="C54" s="98" t="s">
        <v>205</v>
      </c>
      <c r="D54" s="97">
        <v>1</v>
      </c>
      <c r="E54" s="99"/>
    </row>
    <row r="55" spans="1:5" x14ac:dyDescent="0.3">
      <c r="A55" s="98" t="s">
        <v>203</v>
      </c>
      <c r="B55" s="99" t="s">
        <v>203</v>
      </c>
      <c r="C55" s="98">
        <v>188</v>
      </c>
      <c r="D55" s="97">
        <v>1</v>
      </c>
      <c r="E55" s="99" t="s">
        <v>309</v>
      </c>
    </row>
    <row r="56" spans="1:5" x14ac:dyDescent="0.3">
      <c r="A56" s="98" t="s">
        <v>203</v>
      </c>
      <c r="B56" s="99" t="s">
        <v>206</v>
      </c>
      <c r="C56" s="98">
        <v>271</v>
      </c>
      <c r="D56" s="97">
        <v>1</v>
      </c>
      <c r="E56" s="99" t="s">
        <v>207</v>
      </c>
    </row>
    <row r="57" spans="1:5" x14ac:dyDescent="0.3">
      <c r="A57" s="98" t="s">
        <v>203</v>
      </c>
      <c r="B57" s="99" t="s">
        <v>206</v>
      </c>
      <c r="C57" s="98">
        <v>279</v>
      </c>
      <c r="D57" s="97">
        <v>1</v>
      </c>
      <c r="E57" s="99" t="s">
        <v>208</v>
      </c>
    </row>
    <row r="58" spans="1:5" x14ac:dyDescent="0.3">
      <c r="A58" s="98" t="s">
        <v>203</v>
      </c>
      <c r="B58" s="99" t="s">
        <v>210</v>
      </c>
      <c r="C58" s="98">
        <v>394</v>
      </c>
      <c r="D58" s="97">
        <v>1</v>
      </c>
      <c r="E58" s="99" t="s">
        <v>211</v>
      </c>
    </row>
    <row r="59" spans="1:5" x14ac:dyDescent="0.3">
      <c r="A59" s="98" t="s">
        <v>203</v>
      </c>
      <c r="B59" s="99" t="s">
        <v>210</v>
      </c>
      <c r="C59" s="98">
        <v>400</v>
      </c>
      <c r="D59" s="97">
        <v>1</v>
      </c>
      <c r="E59" s="99" t="s">
        <v>212</v>
      </c>
    </row>
    <row r="60" spans="1:5" x14ac:dyDescent="0.3">
      <c r="A60" s="98" t="s">
        <v>203</v>
      </c>
      <c r="B60" s="99" t="s">
        <v>213</v>
      </c>
      <c r="C60" s="98">
        <v>423</v>
      </c>
      <c r="D60" s="97">
        <v>1</v>
      </c>
      <c r="E60" s="99" t="s">
        <v>214</v>
      </c>
    </row>
    <row r="61" spans="1:5" x14ac:dyDescent="0.3">
      <c r="A61" s="98" t="s">
        <v>203</v>
      </c>
      <c r="B61" s="99" t="s">
        <v>213</v>
      </c>
      <c r="C61" s="98">
        <v>425</v>
      </c>
      <c r="D61" s="97">
        <v>1</v>
      </c>
      <c r="E61" s="99" t="s">
        <v>215</v>
      </c>
    </row>
    <row r="62" spans="1:5" x14ac:dyDescent="0.3">
      <c r="A62" s="98" t="s">
        <v>203</v>
      </c>
      <c r="B62" s="99" t="s">
        <v>213</v>
      </c>
      <c r="C62" s="98">
        <v>428</v>
      </c>
      <c r="D62" s="97">
        <v>1</v>
      </c>
      <c r="E62" s="99" t="s">
        <v>216</v>
      </c>
    </row>
    <row r="63" spans="1:5" x14ac:dyDescent="0.3">
      <c r="A63" s="98" t="s">
        <v>203</v>
      </c>
      <c r="B63" s="99" t="s">
        <v>219</v>
      </c>
      <c r="C63" s="98">
        <v>459</v>
      </c>
      <c r="D63" s="97">
        <v>1</v>
      </c>
      <c r="E63" s="99" t="s">
        <v>220</v>
      </c>
    </row>
    <row r="64" spans="1:5" x14ac:dyDescent="0.3">
      <c r="A64" s="98" t="s">
        <v>203</v>
      </c>
      <c r="B64" s="99" t="s">
        <v>219</v>
      </c>
      <c r="C64" s="98">
        <v>470</v>
      </c>
      <c r="D64" s="97">
        <v>1</v>
      </c>
      <c r="E64" s="99" t="s">
        <v>217</v>
      </c>
    </row>
    <row r="65" spans="1:5" x14ac:dyDescent="0.3">
      <c r="A65" s="98" t="s">
        <v>203</v>
      </c>
      <c r="B65" s="99" t="s">
        <v>219</v>
      </c>
      <c r="C65" s="98">
        <v>472</v>
      </c>
      <c r="D65" s="97">
        <v>1</v>
      </c>
      <c r="E65" s="99" t="s">
        <v>218</v>
      </c>
    </row>
    <row r="66" spans="1:5" x14ac:dyDescent="0.3">
      <c r="A66" s="98" t="s">
        <v>203</v>
      </c>
      <c r="B66" s="99" t="s">
        <v>222</v>
      </c>
      <c r="C66" s="98">
        <v>598</v>
      </c>
      <c r="D66" s="97">
        <v>1</v>
      </c>
      <c r="E66" s="99" t="s">
        <v>223</v>
      </c>
    </row>
    <row r="67" spans="1:5" x14ac:dyDescent="0.3">
      <c r="A67" s="98" t="s">
        <v>203</v>
      </c>
      <c r="B67" s="99" t="s">
        <v>222</v>
      </c>
      <c r="C67" s="98">
        <v>680</v>
      </c>
      <c r="D67" s="97">
        <v>1</v>
      </c>
      <c r="E67" s="99" t="s">
        <v>224</v>
      </c>
    </row>
    <row r="68" spans="1:5" x14ac:dyDescent="0.3">
      <c r="A68" s="98" t="s">
        <v>203</v>
      </c>
      <c r="B68" s="99" t="s">
        <v>222</v>
      </c>
      <c r="C68" s="98">
        <v>708</v>
      </c>
      <c r="D68" s="97">
        <v>1</v>
      </c>
      <c r="E68" s="99" t="s">
        <v>225</v>
      </c>
    </row>
    <row r="69" spans="1:5" x14ac:dyDescent="0.3">
      <c r="A69" s="98" t="s">
        <v>203</v>
      </c>
      <c r="B69" s="99" t="s">
        <v>226</v>
      </c>
      <c r="C69" s="98">
        <v>726</v>
      </c>
      <c r="D69" s="97">
        <v>1</v>
      </c>
      <c r="E69" s="99" t="s">
        <v>227</v>
      </c>
    </row>
    <row r="70" spans="1:5" x14ac:dyDescent="0.3">
      <c r="A70" s="98" t="s">
        <v>203</v>
      </c>
      <c r="B70" s="99" t="s">
        <v>226</v>
      </c>
      <c r="C70" s="98">
        <v>739</v>
      </c>
      <c r="D70" s="97">
        <v>1</v>
      </c>
      <c r="E70" s="99" t="s">
        <v>228</v>
      </c>
    </row>
    <row r="71" spans="1:5" x14ac:dyDescent="0.3">
      <c r="A71" s="98" t="s">
        <v>203</v>
      </c>
      <c r="B71" s="99" t="s">
        <v>226</v>
      </c>
      <c r="C71" s="98">
        <v>740</v>
      </c>
      <c r="D71" s="97">
        <v>1</v>
      </c>
      <c r="E71" s="99" t="s">
        <v>229</v>
      </c>
    </row>
    <row r="72" spans="1:5" x14ac:dyDescent="0.3">
      <c r="A72" s="98" t="s">
        <v>203</v>
      </c>
      <c r="B72" s="99" t="s">
        <v>226</v>
      </c>
      <c r="C72" s="98">
        <v>754</v>
      </c>
      <c r="D72" s="97">
        <v>1</v>
      </c>
      <c r="E72" s="99" t="s">
        <v>230</v>
      </c>
    </row>
    <row r="73" spans="1:5" x14ac:dyDescent="0.3">
      <c r="A73" s="98" t="s">
        <v>203</v>
      </c>
      <c r="B73" s="99" t="s">
        <v>226</v>
      </c>
      <c r="C73" s="98">
        <v>758</v>
      </c>
      <c r="D73" s="97">
        <v>1</v>
      </c>
      <c r="E73" s="99" t="s">
        <v>231</v>
      </c>
    </row>
    <row r="74" spans="1:5" x14ac:dyDescent="0.3">
      <c r="A74" s="98" t="s">
        <v>203</v>
      </c>
      <c r="B74" s="99" t="s">
        <v>226</v>
      </c>
      <c r="C74" s="98">
        <v>779</v>
      </c>
      <c r="D74" s="97">
        <v>1</v>
      </c>
      <c r="E74" s="99" t="s">
        <v>232</v>
      </c>
    </row>
    <row r="75" spans="1:5" x14ac:dyDescent="0.3">
      <c r="A75" s="98" t="s">
        <v>203</v>
      </c>
      <c r="B75" s="99" t="s">
        <v>226</v>
      </c>
      <c r="C75" s="98">
        <v>793</v>
      </c>
      <c r="D75" s="97">
        <v>1</v>
      </c>
      <c r="E75" s="99" t="s">
        <v>233</v>
      </c>
    </row>
    <row r="76" spans="1:5" x14ac:dyDescent="0.3">
      <c r="A76" s="98" t="s">
        <v>203</v>
      </c>
      <c r="B76" s="99" t="s">
        <v>234</v>
      </c>
      <c r="C76" s="98">
        <v>898</v>
      </c>
      <c r="D76" s="97">
        <v>1</v>
      </c>
      <c r="E76" s="99" t="s">
        <v>225</v>
      </c>
    </row>
    <row r="77" spans="1:5" x14ac:dyDescent="0.3">
      <c r="A77" s="98" t="s">
        <v>203</v>
      </c>
      <c r="B77" s="99" t="s">
        <v>234</v>
      </c>
      <c r="C77" s="98">
        <v>927</v>
      </c>
      <c r="D77" s="97">
        <v>1</v>
      </c>
      <c r="E77" s="99" t="s">
        <v>235</v>
      </c>
    </row>
    <row r="78" spans="1:5" x14ac:dyDescent="0.3">
      <c r="A78" s="98" t="s">
        <v>203</v>
      </c>
      <c r="B78" s="99" t="s">
        <v>204</v>
      </c>
      <c r="C78" s="98" t="s">
        <v>205</v>
      </c>
      <c r="D78" s="97">
        <v>1</v>
      </c>
      <c r="E78" s="99"/>
    </row>
    <row r="79" spans="1:5" x14ac:dyDescent="0.3">
      <c r="A79" s="98" t="s">
        <v>203</v>
      </c>
      <c r="B79" s="99" t="s">
        <v>209</v>
      </c>
      <c r="C79" s="98" t="s">
        <v>205</v>
      </c>
      <c r="D79" s="97">
        <v>1</v>
      </c>
      <c r="E79" s="99"/>
    </row>
    <row r="80" spans="1:5" x14ac:dyDescent="0.3">
      <c r="A80" s="98" t="s">
        <v>203</v>
      </c>
      <c r="B80" s="99" t="s">
        <v>221</v>
      </c>
      <c r="C80" s="98" t="s">
        <v>205</v>
      </c>
      <c r="D80" s="97">
        <v>1</v>
      </c>
      <c r="E80" s="99"/>
    </row>
    <row r="81" spans="1:5" x14ac:dyDescent="0.3">
      <c r="A81" s="98" t="s">
        <v>263</v>
      </c>
      <c r="B81" s="99" t="s">
        <v>296</v>
      </c>
      <c r="C81" s="100">
        <v>106</v>
      </c>
      <c r="D81" s="97">
        <v>1</v>
      </c>
      <c r="E81" s="99" t="s">
        <v>300</v>
      </c>
    </row>
    <row r="82" spans="1:5" x14ac:dyDescent="0.3">
      <c r="A82" s="98" t="s">
        <v>263</v>
      </c>
      <c r="B82" s="99" t="s">
        <v>264</v>
      </c>
      <c r="C82" s="100">
        <v>107</v>
      </c>
      <c r="D82" s="97">
        <v>1</v>
      </c>
      <c r="E82" s="99" t="s">
        <v>300</v>
      </c>
    </row>
    <row r="83" spans="1:5" x14ac:dyDescent="0.3">
      <c r="A83" s="98" t="s">
        <v>263</v>
      </c>
      <c r="B83" s="99" t="s">
        <v>297</v>
      </c>
      <c r="C83" s="100">
        <v>115</v>
      </c>
      <c r="D83" s="97">
        <v>1</v>
      </c>
      <c r="E83" s="99" t="s">
        <v>294</v>
      </c>
    </row>
    <row r="84" spans="1:5" x14ac:dyDescent="0.3">
      <c r="A84" s="98" t="s">
        <v>263</v>
      </c>
      <c r="B84" s="99" t="s">
        <v>296</v>
      </c>
      <c r="C84" s="100">
        <v>120</v>
      </c>
      <c r="D84" s="97">
        <v>1</v>
      </c>
      <c r="E84" s="99" t="s">
        <v>293</v>
      </c>
    </row>
    <row r="85" spans="1:5" x14ac:dyDescent="0.3">
      <c r="A85" s="98" t="s">
        <v>263</v>
      </c>
      <c r="B85" s="99" t="s">
        <v>264</v>
      </c>
      <c r="C85" s="100">
        <v>122</v>
      </c>
      <c r="D85" s="97">
        <v>1</v>
      </c>
      <c r="E85" s="99" t="s">
        <v>293</v>
      </c>
    </row>
    <row r="86" spans="1:5" x14ac:dyDescent="0.3">
      <c r="A86" s="98" t="s">
        <v>263</v>
      </c>
      <c r="B86" s="99" t="s">
        <v>297</v>
      </c>
      <c r="C86" s="100">
        <v>131</v>
      </c>
      <c r="D86" s="97">
        <v>1</v>
      </c>
      <c r="E86" s="99" t="s">
        <v>293</v>
      </c>
    </row>
    <row r="87" spans="1:5" x14ac:dyDescent="0.3">
      <c r="A87" s="98" t="s">
        <v>263</v>
      </c>
      <c r="B87" s="99" t="s">
        <v>264</v>
      </c>
      <c r="C87" s="100">
        <v>136</v>
      </c>
      <c r="D87" s="97">
        <v>1</v>
      </c>
      <c r="E87" s="99" t="s">
        <v>295</v>
      </c>
    </row>
    <row r="88" spans="1:5" x14ac:dyDescent="0.3">
      <c r="A88" s="98"/>
      <c r="B88" s="99"/>
      <c r="C88" s="98"/>
      <c r="D88" s="97"/>
      <c r="E88" s="99"/>
    </row>
    <row r="89" spans="1:5" x14ac:dyDescent="0.3">
      <c r="A89" s="98"/>
      <c r="B89" s="99"/>
      <c r="C89" s="98"/>
      <c r="D89" s="97"/>
      <c r="E89" s="99"/>
    </row>
    <row r="90" spans="1:5" x14ac:dyDescent="0.3">
      <c r="A90" s="98"/>
      <c r="B90" s="99"/>
      <c r="C90" s="98"/>
      <c r="D90" s="97"/>
      <c r="E90" s="99"/>
    </row>
    <row r="91" spans="1:5" x14ac:dyDescent="0.3">
      <c r="A91" s="98"/>
      <c r="B91" s="99"/>
      <c r="C91" s="98"/>
      <c r="D91" s="97"/>
      <c r="E91" s="99"/>
    </row>
    <row r="92" spans="1:5" x14ac:dyDescent="0.3">
      <c r="A92" s="98"/>
      <c r="B92" s="99"/>
      <c r="C92" s="100"/>
      <c r="D92" s="97"/>
      <c r="E92" s="99"/>
    </row>
    <row r="93" spans="1:5" x14ac:dyDescent="0.3">
      <c r="A93" s="98"/>
      <c r="B93" s="99"/>
      <c r="C93" s="100"/>
      <c r="D93" s="97"/>
      <c r="E93" s="99"/>
    </row>
    <row r="94" spans="1:5" x14ac:dyDescent="0.3">
      <c r="A94" s="98"/>
      <c r="B94" s="99"/>
      <c r="C94" s="100"/>
      <c r="D94" s="97"/>
      <c r="E94" s="99"/>
    </row>
    <row r="95" spans="1:5" x14ac:dyDescent="0.3">
      <c r="A95" s="98"/>
      <c r="B95" s="99"/>
      <c r="C95" s="100"/>
      <c r="D95" s="97"/>
      <c r="E95" s="99"/>
    </row>
    <row r="96" spans="1:5" x14ac:dyDescent="0.3">
      <c r="A96" s="98"/>
      <c r="B96" s="99"/>
      <c r="C96" s="100"/>
      <c r="D96" s="97"/>
      <c r="E96" s="99"/>
    </row>
    <row r="97" spans="1:5" x14ac:dyDescent="0.3">
      <c r="A97" s="98"/>
      <c r="B97" s="99"/>
      <c r="C97" s="100"/>
      <c r="D97" s="97"/>
      <c r="E97" s="99"/>
    </row>
    <row r="98" spans="1:5" x14ac:dyDescent="0.3">
      <c r="A98" s="98"/>
      <c r="B98" s="99"/>
      <c r="C98" s="100"/>
      <c r="D98" s="97"/>
      <c r="E98" s="99"/>
    </row>
    <row r="99" spans="1:5" x14ac:dyDescent="0.3">
      <c r="A99" s="98"/>
      <c r="B99" s="99"/>
      <c r="C99" s="100"/>
      <c r="D99" s="97"/>
      <c r="E99" s="99"/>
    </row>
    <row r="100" spans="1:5" x14ac:dyDescent="0.3">
      <c r="A100" s="98"/>
      <c r="B100" s="99"/>
      <c r="C100" s="100"/>
      <c r="D100" s="97"/>
      <c r="E100" s="99"/>
    </row>
    <row r="101" spans="1:5" x14ac:dyDescent="0.3">
      <c r="A101" s="98"/>
      <c r="B101" s="99"/>
      <c r="C101" s="100"/>
      <c r="D101" s="97"/>
      <c r="E101" s="99"/>
    </row>
    <row r="102" spans="1:5" x14ac:dyDescent="0.3">
      <c r="A102" s="98"/>
      <c r="B102" s="99"/>
      <c r="C102" s="100"/>
      <c r="D102" s="97"/>
      <c r="E102" s="99"/>
    </row>
    <row r="103" spans="1:5" x14ac:dyDescent="0.3">
      <c r="A103" s="98"/>
      <c r="B103" s="99"/>
      <c r="C103" s="100"/>
      <c r="D103" s="97"/>
      <c r="E103" s="99"/>
    </row>
    <row r="104" spans="1:5" x14ac:dyDescent="0.3">
      <c r="A104" s="98"/>
      <c r="B104" s="99"/>
      <c r="C104" s="100"/>
      <c r="D104" s="97"/>
      <c r="E104" s="99"/>
    </row>
    <row r="105" spans="1:5" x14ac:dyDescent="0.3">
      <c r="A105" s="98"/>
      <c r="B105" s="99"/>
      <c r="C105" s="100"/>
      <c r="D105" s="97"/>
      <c r="E105" s="99"/>
    </row>
    <row r="106" spans="1:5" x14ac:dyDescent="0.3">
      <c r="A106" s="98"/>
      <c r="B106" s="99"/>
      <c r="C106" s="100"/>
      <c r="D106" s="97"/>
      <c r="E106" s="99"/>
    </row>
    <row r="107" spans="1:5" x14ac:dyDescent="0.3">
      <c r="A107" s="98"/>
      <c r="B107" s="99"/>
      <c r="C107" s="100"/>
      <c r="D107" s="97"/>
      <c r="E107" s="99"/>
    </row>
    <row r="108" spans="1:5" x14ac:dyDescent="0.3">
      <c r="A108" s="98"/>
      <c r="B108" s="99"/>
      <c r="C108" s="100"/>
      <c r="D108" s="97"/>
      <c r="E108" s="99"/>
    </row>
    <row r="109" spans="1:5" x14ac:dyDescent="0.3">
      <c r="A109" s="98"/>
      <c r="B109" s="99"/>
      <c r="C109" s="100"/>
      <c r="D109" s="97"/>
      <c r="E109" s="99"/>
    </row>
    <row r="110" spans="1:5" x14ac:dyDescent="0.3">
      <c r="A110" s="98"/>
      <c r="B110" s="99"/>
      <c r="C110" s="100"/>
      <c r="D110" s="97"/>
      <c r="E110" s="99"/>
    </row>
    <row r="111" spans="1:5" x14ac:dyDescent="0.3">
      <c r="A111" s="98"/>
      <c r="B111" s="99"/>
      <c r="C111" s="100"/>
      <c r="D111" s="97"/>
      <c r="E111" s="99"/>
    </row>
    <row r="112" spans="1:5" x14ac:dyDescent="0.3">
      <c r="A112" s="98"/>
      <c r="B112" s="99"/>
      <c r="C112" s="100"/>
      <c r="D112" s="97"/>
      <c r="E112" s="99"/>
    </row>
    <row r="113" spans="1:5" x14ac:dyDescent="0.3">
      <c r="A113" s="98"/>
      <c r="B113" s="99"/>
      <c r="C113" s="100"/>
      <c r="D113" s="97"/>
      <c r="E113" s="99"/>
    </row>
    <row r="114" spans="1:5" x14ac:dyDescent="0.3">
      <c r="A114" s="98"/>
      <c r="B114" s="99"/>
      <c r="C114" s="100"/>
      <c r="D114" s="97"/>
      <c r="E114" s="99"/>
    </row>
    <row r="115" spans="1:5" x14ac:dyDescent="0.3">
      <c r="A115" s="98"/>
      <c r="B115" s="99"/>
      <c r="C115" s="100"/>
      <c r="D115" s="97"/>
      <c r="E115" s="99"/>
    </row>
    <row r="116" spans="1:5" x14ac:dyDescent="0.3">
      <c r="A116" s="98"/>
      <c r="B116" s="99"/>
      <c r="C116" s="100"/>
      <c r="D116" s="97"/>
      <c r="E116" s="99"/>
    </row>
    <row r="117" spans="1:5" x14ac:dyDescent="0.3">
      <c r="A117" s="98"/>
      <c r="B117" s="99"/>
      <c r="C117" s="100"/>
      <c r="D117" s="97"/>
      <c r="E117" s="99"/>
    </row>
    <row r="118" spans="1:5" hidden="1" x14ac:dyDescent="0.3">
      <c r="E118" s="43"/>
    </row>
    <row r="119" spans="1:5" hidden="1" x14ac:dyDescent="0.3">
      <c r="E119" s="43"/>
    </row>
    <row r="120" spans="1:5" hidden="1" x14ac:dyDescent="0.3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120"/>
  <sheetViews>
    <sheetView zoomScaleNormal="100" workbookViewId="0">
      <selection activeCell="E40" sqref="E40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199</v>
      </c>
      <c r="B1" t="s">
        <v>200</v>
      </c>
      <c r="C1" t="s">
        <v>201</v>
      </c>
      <c r="D1" t="s">
        <v>202</v>
      </c>
      <c r="E1" s="43" t="s">
        <v>109</v>
      </c>
    </row>
    <row r="2" spans="1:5" hidden="1" x14ac:dyDescent="0.3">
      <c r="A2" s="98" t="s">
        <v>236</v>
      </c>
      <c r="B2" s="99" t="s">
        <v>253</v>
      </c>
      <c r="C2" s="100">
        <v>577</v>
      </c>
      <c r="D2" s="97">
        <v>1</v>
      </c>
      <c r="E2" s="99" t="s">
        <v>385</v>
      </c>
    </row>
    <row r="3" spans="1:5" x14ac:dyDescent="0.3">
      <c r="A3" s="98" t="s">
        <v>236</v>
      </c>
      <c r="B3" s="99" t="s">
        <v>253</v>
      </c>
      <c r="C3" s="100">
        <v>582</v>
      </c>
      <c r="D3" s="97"/>
      <c r="E3" s="99" t="s">
        <v>252</v>
      </c>
    </row>
    <row r="4" spans="1:5" hidden="1" x14ac:dyDescent="0.3">
      <c r="A4" s="98" t="s">
        <v>236</v>
      </c>
      <c r="B4" s="99" t="s">
        <v>253</v>
      </c>
      <c r="C4" s="100">
        <v>628</v>
      </c>
      <c r="D4" s="97">
        <v>1</v>
      </c>
      <c r="E4" s="99" t="s">
        <v>386</v>
      </c>
    </row>
    <row r="5" spans="1:5" x14ac:dyDescent="0.3">
      <c r="A5" s="98" t="s">
        <v>236</v>
      </c>
      <c r="B5" s="99" t="s">
        <v>253</v>
      </c>
      <c r="C5" s="100">
        <v>705</v>
      </c>
      <c r="D5" s="97"/>
      <c r="E5" s="99" t="s">
        <v>387</v>
      </c>
    </row>
    <row r="6" spans="1:5" x14ac:dyDescent="0.3">
      <c r="A6" s="98" t="s">
        <v>236</v>
      </c>
      <c r="B6" s="99" t="s">
        <v>253</v>
      </c>
      <c r="C6" s="100">
        <v>770</v>
      </c>
      <c r="D6" s="98">
        <v>1</v>
      </c>
      <c r="E6" s="99" t="s">
        <v>388</v>
      </c>
    </row>
    <row r="7" spans="1:5" x14ac:dyDescent="0.3">
      <c r="A7" s="98" t="s">
        <v>236</v>
      </c>
      <c r="B7" s="99" t="s">
        <v>253</v>
      </c>
      <c r="C7" s="100">
        <v>771</v>
      </c>
      <c r="D7" s="98">
        <v>1</v>
      </c>
      <c r="E7" s="99" t="s">
        <v>389</v>
      </c>
    </row>
    <row r="8" spans="1:5" x14ac:dyDescent="0.3">
      <c r="A8" s="98" t="s">
        <v>236</v>
      </c>
      <c r="B8" s="99" t="s">
        <v>253</v>
      </c>
      <c r="C8" s="100">
        <v>772</v>
      </c>
      <c r="D8" s="98">
        <v>1</v>
      </c>
      <c r="E8" s="99" t="s">
        <v>390</v>
      </c>
    </row>
    <row r="9" spans="1:5" hidden="1" x14ac:dyDescent="0.3">
      <c r="A9" s="98" t="s">
        <v>236</v>
      </c>
      <c r="B9" s="99" t="s">
        <v>253</v>
      </c>
      <c r="C9" s="100">
        <v>773</v>
      </c>
      <c r="D9" s="98">
        <v>0</v>
      </c>
      <c r="E9" s="99" t="s">
        <v>391</v>
      </c>
    </row>
    <row r="10" spans="1:5" hidden="1" x14ac:dyDescent="0.3">
      <c r="A10" s="98" t="s">
        <v>236</v>
      </c>
      <c r="B10" s="99" t="s">
        <v>253</v>
      </c>
      <c r="C10" s="100">
        <v>863</v>
      </c>
      <c r="D10" s="98">
        <v>1</v>
      </c>
      <c r="E10" s="99" t="s">
        <v>392</v>
      </c>
    </row>
    <row r="11" spans="1:5" hidden="1" x14ac:dyDescent="0.3">
      <c r="A11" s="98" t="s">
        <v>236</v>
      </c>
      <c r="B11" s="99" t="s">
        <v>258</v>
      </c>
      <c r="C11" s="100">
        <v>897</v>
      </c>
      <c r="D11" s="97">
        <v>1</v>
      </c>
      <c r="E11" s="99" t="s">
        <v>393</v>
      </c>
    </row>
    <row r="12" spans="1:5" hidden="1" x14ac:dyDescent="0.3">
      <c r="A12" s="98" t="s">
        <v>236</v>
      </c>
      <c r="B12" s="99" t="s">
        <v>258</v>
      </c>
      <c r="C12" s="100">
        <v>906</v>
      </c>
      <c r="D12" s="97">
        <v>1</v>
      </c>
      <c r="E12" s="99" t="s">
        <v>394</v>
      </c>
    </row>
    <row r="13" spans="1:5" hidden="1" x14ac:dyDescent="0.3">
      <c r="A13" s="98" t="s">
        <v>236</v>
      </c>
      <c r="B13" s="99" t="s">
        <v>237</v>
      </c>
      <c r="C13" s="100">
        <v>13</v>
      </c>
      <c r="D13" s="97">
        <v>1</v>
      </c>
      <c r="E13" s="99" t="s">
        <v>370</v>
      </c>
    </row>
    <row r="14" spans="1:5" hidden="1" x14ac:dyDescent="0.3">
      <c r="A14" s="98" t="s">
        <v>236</v>
      </c>
      <c r="B14" s="99" t="s">
        <v>237</v>
      </c>
      <c r="C14" s="100">
        <v>14</v>
      </c>
      <c r="D14" s="97">
        <v>1</v>
      </c>
      <c r="E14" s="106" t="s">
        <v>371</v>
      </c>
    </row>
    <row r="15" spans="1:5" hidden="1" x14ac:dyDescent="0.3">
      <c r="A15" s="98" t="s">
        <v>236</v>
      </c>
      <c r="B15" s="99" t="s">
        <v>237</v>
      </c>
      <c r="C15" s="100">
        <v>15</v>
      </c>
      <c r="D15" s="97">
        <v>1</v>
      </c>
      <c r="E15" s="106" t="s">
        <v>372</v>
      </c>
    </row>
    <row r="16" spans="1:5" hidden="1" x14ac:dyDescent="0.3">
      <c r="A16" s="98" t="s">
        <v>236</v>
      </c>
      <c r="B16" s="99" t="s">
        <v>237</v>
      </c>
      <c r="C16" s="100">
        <v>16</v>
      </c>
      <c r="D16" s="97">
        <v>1</v>
      </c>
      <c r="E16" s="106" t="s">
        <v>373</v>
      </c>
    </row>
    <row r="17" spans="1:5" hidden="1" x14ac:dyDescent="0.3">
      <c r="A17" s="98" t="s">
        <v>236</v>
      </c>
      <c r="B17" s="99" t="s">
        <v>237</v>
      </c>
      <c r="C17" s="100">
        <v>17</v>
      </c>
      <c r="D17" s="97">
        <v>1</v>
      </c>
      <c r="E17" s="106" t="s">
        <v>374</v>
      </c>
    </row>
    <row r="18" spans="1:5" hidden="1" x14ac:dyDescent="0.3">
      <c r="A18" s="98" t="s">
        <v>236</v>
      </c>
      <c r="B18" s="99" t="s">
        <v>237</v>
      </c>
      <c r="C18" s="100">
        <v>18</v>
      </c>
      <c r="D18" s="97">
        <v>1</v>
      </c>
      <c r="E18" s="106" t="s">
        <v>375</v>
      </c>
    </row>
    <row r="19" spans="1:5" hidden="1" x14ac:dyDescent="0.3">
      <c r="A19" s="98" t="s">
        <v>236</v>
      </c>
      <c r="B19" s="99" t="s">
        <v>237</v>
      </c>
      <c r="C19" s="100">
        <v>19</v>
      </c>
      <c r="D19" s="97">
        <v>1</v>
      </c>
      <c r="E19" s="106" t="s">
        <v>376</v>
      </c>
    </row>
    <row r="20" spans="1:5" hidden="1" x14ac:dyDescent="0.3">
      <c r="A20" s="98" t="s">
        <v>236</v>
      </c>
      <c r="B20" s="99" t="s">
        <v>237</v>
      </c>
      <c r="C20" s="100">
        <v>20</v>
      </c>
      <c r="D20" s="97">
        <v>1</v>
      </c>
      <c r="E20" s="106" t="s">
        <v>377</v>
      </c>
    </row>
    <row r="21" spans="1:5" hidden="1" x14ac:dyDescent="0.3">
      <c r="A21" s="98" t="s">
        <v>236</v>
      </c>
      <c r="B21" s="99" t="s">
        <v>237</v>
      </c>
      <c r="C21" s="100">
        <v>21</v>
      </c>
      <c r="D21" s="97">
        <v>1</v>
      </c>
      <c r="E21" s="106" t="s">
        <v>378</v>
      </c>
    </row>
    <row r="22" spans="1:5" hidden="1" x14ac:dyDescent="0.3">
      <c r="A22" s="98" t="s">
        <v>236</v>
      </c>
      <c r="B22" s="99" t="s">
        <v>237</v>
      </c>
      <c r="C22" s="100">
        <v>22</v>
      </c>
      <c r="D22" s="97">
        <v>1</v>
      </c>
      <c r="E22" s="106" t="s">
        <v>379</v>
      </c>
    </row>
    <row r="23" spans="1:5" hidden="1" x14ac:dyDescent="0.3">
      <c r="A23" s="98" t="s">
        <v>236</v>
      </c>
      <c r="B23" s="99" t="s">
        <v>237</v>
      </c>
      <c r="C23" s="100">
        <v>23</v>
      </c>
      <c r="D23" s="97">
        <v>1</v>
      </c>
      <c r="E23" s="106" t="s">
        <v>380</v>
      </c>
    </row>
    <row r="24" spans="1:5" hidden="1" x14ac:dyDescent="0.3">
      <c r="A24" s="98" t="s">
        <v>236</v>
      </c>
      <c r="B24" s="99" t="s">
        <v>237</v>
      </c>
      <c r="C24" s="100">
        <v>24</v>
      </c>
      <c r="D24" s="97">
        <v>1</v>
      </c>
      <c r="E24" s="106" t="s">
        <v>381</v>
      </c>
    </row>
    <row r="25" spans="1:5" x14ac:dyDescent="0.3">
      <c r="A25" s="98" t="s">
        <v>236</v>
      </c>
      <c r="B25" s="99" t="s">
        <v>237</v>
      </c>
      <c r="C25" s="100">
        <v>25</v>
      </c>
      <c r="D25" s="97">
        <v>1</v>
      </c>
      <c r="E25" s="106" t="s">
        <v>424</v>
      </c>
    </row>
    <row r="26" spans="1:5" hidden="1" x14ac:dyDescent="0.3">
      <c r="A26" s="98" t="s">
        <v>236</v>
      </c>
      <c r="B26" s="99" t="s">
        <v>237</v>
      </c>
      <c r="C26" s="100">
        <v>37</v>
      </c>
      <c r="D26" s="97">
        <v>1</v>
      </c>
      <c r="E26" s="106" t="s">
        <v>382</v>
      </c>
    </row>
    <row r="27" spans="1:5" hidden="1" x14ac:dyDescent="0.3">
      <c r="A27" s="98" t="s">
        <v>236</v>
      </c>
      <c r="B27" s="99" t="s">
        <v>237</v>
      </c>
      <c r="C27" s="100">
        <v>69</v>
      </c>
      <c r="D27" s="97">
        <v>1</v>
      </c>
      <c r="E27" s="99" t="s">
        <v>383</v>
      </c>
    </row>
    <row r="28" spans="1:5" x14ac:dyDescent="0.3">
      <c r="A28" s="98" t="s">
        <v>236</v>
      </c>
      <c r="B28" s="99" t="s">
        <v>237</v>
      </c>
      <c r="C28" s="100">
        <v>71</v>
      </c>
      <c r="D28" s="97"/>
      <c r="E28" s="99" t="s">
        <v>384</v>
      </c>
    </row>
    <row r="29" spans="1:5" x14ac:dyDescent="0.3">
      <c r="A29" s="98" t="s">
        <v>203</v>
      </c>
      <c r="B29" s="99" t="s">
        <v>203</v>
      </c>
      <c r="C29" s="100">
        <v>122</v>
      </c>
      <c r="D29" s="97"/>
      <c r="E29" s="99" t="s">
        <v>395</v>
      </c>
    </row>
    <row r="30" spans="1:5" x14ac:dyDescent="0.3">
      <c r="A30" s="98" t="s">
        <v>203</v>
      </c>
      <c r="B30" s="99" t="s">
        <v>203</v>
      </c>
      <c r="C30" s="100">
        <v>151</v>
      </c>
      <c r="D30" s="97"/>
      <c r="E30" s="99" t="s">
        <v>396</v>
      </c>
    </row>
    <row r="31" spans="1:5" x14ac:dyDescent="0.3">
      <c r="A31" s="98" t="s">
        <v>203</v>
      </c>
      <c r="B31" s="99" t="s">
        <v>222</v>
      </c>
      <c r="C31" s="100">
        <v>578</v>
      </c>
      <c r="D31" s="97"/>
      <c r="E31" s="99" t="s">
        <v>397</v>
      </c>
    </row>
    <row r="32" spans="1:5" x14ac:dyDescent="0.3">
      <c r="A32" s="98" t="s">
        <v>203</v>
      </c>
      <c r="B32" s="99" t="s">
        <v>222</v>
      </c>
      <c r="C32" s="100">
        <v>579</v>
      </c>
      <c r="D32" s="97"/>
      <c r="E32" s="99" t="s">
        <v>398</v>
      </c>
    </row>
    <row r="33" spans="1:5" x14ac:dyDescent="0.3">
      <c r="A33" s="98" t="s">
        <v>203</v>
      </c>
      <c r="B33" s="99" t="s">
        <v>222</v>
      </c>
      <c r="C33" s="100">
        <v>586</v>
      </c>
      <c r="D33" s="97"/>
      <c r="E33" s="99" t="s">
        <v>399</v>
      </c>
    </row>
    <row r="34" spans="1:5" x14ac:dyDescent="0.3">
      <c r="A34" s="98" t="s">
        <v>203</v>
      </c>
      <c r="B34" s="99" t="s">
        <v>222</v>
      </c>
      <c r="C34" s="100">
        <v>599</v>
      </c>
      <c r="D34" s="97"/>
      <c r="E34" s="99" t="s">
        <v>400</v>
      </c>
    </row>
    <row r="35" spans="1:5" x14ac:dyDescent="0.3">
      <c r="A35" s="98" t="s">
        <v>203</v>
      </c>
      <c r="B35" s="99" t="s">
        <v>222</v>
      </c>
      <c r="C35" s="100">
        <v>600</v>
      </c>
      <c r="D35" s="97"/>
      <c r="E35" s="99" t="s">
        <v>401</v>
      </c>
    </row>
    <row r="36" spans="1:5" x14ac:dyDescent="0.3">
      <c r="A36" s="98" t="s">
        <v>203</v>
      </c>
      <c r="B36" s="99" t="s">
        <v>222</v>
      </c>
      <c r="C36" s="100">
        <v>608</v>
      </c>
      <c r="D36" s="97"/>
      <c r="E36" s="99" t="s">
        <v>402</v>
      </c>
    </row>
    <row r="37" spans="1:5" x14ac:dyDescent="0.3">
      <c r="A37" s="98" t="s">
        <v>203</v>
      </c>
      <c r="B37" s="99" t="s">
        <v>226</v>
      </c>
      <c r="C37" s="100">
        <v>718</v>
      </c>
      <c r="D37" s="97"/>
      <c r="E37" s="99" t="s">
        <v>403</v>
      </c>
    </row>
    <row r="38" spans="1:5" x14ac:dyDescent="0.3">
      <c r="A38" s="98"/>
      <c r="B38" s="99"/>
      <c r="C38" s="100"/>
      <c r="D38" s="97"/>
      <c r="E38" s="99"/>
    </row>
    <row r="39" spans="1:5" x14ac:dyDescent="0.3">
      <c r="A39" s="98"/>
      <c r="B39" s="99"/>
      <c r="C39" s="100"/>
      <c r="D39" s="97"/>
      <c r="E39" s="99"/>
    </row>
    <row r="40" spans="1:5" x14ac:dyDescent="0.3">
      <c r="A40" s="98"/>
      <c r="B40" s="99"/>
      <c r="C40" s="100"/>
      <c r="D40" s="97"/>
      <c r="E40" s="99"/>
    </row>
    <row r="41" spans="1:5" x14ac:dyDescent="0.3">
      <c r="A41" s="98"/>
      <c r="B41" s="99"/>
      <c r="C41" s="100"/>
      <c r="D41" s="97"/>
      <c r="E41" s="99"/>
    </row>
    <row r="42" spans="1:5" x14ac:dyDescent="0.3">
      <c r="A42" s="98"/>
      <c r="B42" s="99"/>
      <c r="C42" s="100"/>
      <c r="D42" s="97"/>
      <c r="E42" s="99"/>
    </row>
    <row r="43" spans="1:5" x14ac:dyDescent="0.3">
      <c r="A43" s="98"/>
      <c r="B43" s="99"/>
      <c r="C43" s="100"/>
      <c r="D43" s="97"/>
      <c r="E43" s="99"/>
    </row>
    <row r="44" spans="1:5" x14ac:dyDescent="0.3">
      <c r="A44" s="98"/>
      <c r="B44" s="99"/>
      <c r="C44" s="100"/>
      <c r="D44" s="97"/>
      <c r="E44" s="99"/>
    </row>
    <row r="45" spans="1:5" x14ac:dyDescent="0.3">
      <c r="A45" s="98"/>
      <c r="B45" s="99"/>
      <c r="C45" s="100"/>
      <c r="D45" s="97"/>
      <c r="E45" s="99"/>
    </row>
    <row r="46" spans="1:5" x14ac:dyDescent="0.3">
      <c r="A46" s="98"/>
      <c r="B46" s="99"/>
      <c r="C46" s="100"/>
      <c r="D46" s="97"/>
      <c r="E46" s="99"/>
    </row>
    <row r="47" spans="1:5" x14ac:dyDescent="0.3">
      <c r="A47" s="98"/>
      <c r="B47" s="99"/>
      <c r="C47" s="100"/>
      <c r="D47" s="97"/>
      <c r="E47" s="99"/>
    </row>
    <row r="48" spans="1:5" x14ac:dyDescent="0.3">
      <c r="A48" s="98"/>
      <c r="B48" s="99"/>
      <c r="C48" s="100"/>
      <c r="D48" s="97"/>
      <c r="E48" s="99"/>
    </row>
    <row r="49" spans="1:5" x14ac:dyDescent="0.3">
      <c r="A49" s="98"/>
      <c r="B49" s="99"/>
      <c r="C49" s="100"/>
      <c r="D49" s="97"/>
      <c r="E49" s="99"/>
    </row>
    <row r="50" spans="1:5" x14ac:dyDescent="0.3">
      <c r="A50" s="98"/>
      <c r="B50" s="99"/>
      <c r="C50" s="100"/>
      <c r="D50" s="97"/>
      <c r="E50" s="99"/>
    </row>
    <row r="51" spans="1:5" x14ac:dyDescent="0.3">
      <c r="A51" s="98"/>
      <c r="B51" s="99"/>
      <c r="C51" s="100"/>
      <c r="D51" s="97"/>
      <c r="E51" s="99"/>
    </row>
    <row r="52" spans="1:5" x14ac:dyDescent="0.3">
      <c r="A52" s="98"/>
      <c r="B52" s="99"/>
      <c r="C52" s="100"/>
      <c r="D52" s="97"/>
      <c r="E52" s="99"/>
    </row>
    <row r="53" spans="1:5" x14ac:dyDescent="0.3">
      <c r="A53" s="98"/>
      <c r="B53" s="99"/>
      <c r="C53" s="100"/>
      <c r="D53" s="97"/>
      <c r="E53" s="99"/>
    </row>
    <row r="54" spans="1:5" x14ac:dyDescent="0.3">
      <c r="A54" s="98"/>
      <c r="B54" s="99"/>
      <c r="C54" s="98"/>
      <c r="D54" s="97"/>
      <c r="E54" s="99"/>
    </row>
    <row r="55" spans="1:5" x14ac:dyDescent="0.3">
      <c r="A55" s="98"/>
      <c r="B55" s="99"/>
      <c r="C55" s="98"/>
      <c r="D55" s="97"/>
      <c r="E55" s="99"/>
    </row>
    <row r="56" spans="1:5" x14ac:dyDescent="0.3">
      <c r="A56" s="98"/>
      <c r="B56" s="99"/>
      <c r="C56" s="98"/>
      <c r="D56" s="97"/>
      <c r="E56" s="99"/>
    </row>
    <row r="57" spans="1:5" x14ac:dyDescent="0.3">
      <c r="A57" s="98"/>
      <c r="B57" s="99"/>
      <c r="C57" s="98"/>
      <c r="D57" s="97"/>
      <c r="E57" s="99"/>
    </row>
    <row r="58" spans="1:5" x14ac:dyDescent="0.3">
      <c r="A58" s="98"/>
      <c r="B58" s="99"/>
      <c r="C58" s="98"/>
      <c r="D58" s="97"/>
      <c r="E58" s="99"/>
    </row>
    <row r="59" spans="1:5" x14ac:dyDescent="0.3">
      <c r="A59" s="98"/>
      <c r="B59" s="99"/>
      <c r="C59" s="98"/>
      <c r="D59" s="97"/>
      <c r="E59" s="99"/>
    </row>
    <row r="60" spans="1:5" x14ac:dyDescent="0.3">
      <c r="A60" s="98"/>
      <c r="B60" s="99"/>
      <c r="C60" s="98"/>
      <c r="D60" s="97"/>
      <c r="E60" s="99"/>
    </row>
    <row r="61" spans="1:5" x14ac:dyDescent="0.3">
      <c r="A61" s="98"/>
      <c r="B61" s="99"/>
      <c r="C61" s="98"/>
      <c r="D61" s="97"/>
      <c r="E61" s="99"/>
    </row>
    <row r="62" spans="1:5" x14ac:dyDescent="0.3">
      <c r="A62" s="98"/>
      <c r="B62" s="99"/>
      <c r="C62" s="98"/>
      <c r="D62" s="97"/>
      <c r="E62" s="99"/>
    </row>
    <row r="63" spans="1:5" x14ac:dyDescent="0.3">
      <c r="A63" s="98"/>
      <c r="B63" s="99"/>
      <c r="C63" s="98"/>
      <c r="D63" s="97"/>
      <c r="E63" s="99"/>
    </row>
    <row r="64" spans="1:5" x14ac:dyDescent="0.3">
      <c r="A64" s="98"/>
      <c r="B64" s="99"/>
      <c r="C64" s="98"/>
      <c r="D64" s="97"/>
      <c r="E64" s="99"/>
    </row>
    <row r="65" spans="1:5" x14ac:dyDescent="0.3">
      <c r="A65" s="98"/>
      <c r="B65" s="99"/>
      <c r="C65" s="98"/>
      <c r="D65" s="97"/>
      <c r="E65" s="99"/>
    </row>
    <row r="66" spans="1:5" x14ac:dyDescent="0.3">
      <c r="A66" s="98"/>
      <c r="B66" s="99"/>
      <c r="C66" s="98"/>
      <c r="D66" s="97"/>
      <c r="E66" s="99"/>
    </row>
    <row r="67" spans="1:5" x14ac:dyDescent="0.3">
      <c r="A67" s="98"/>
      <c r="B67" s="99"/>
      <c r="C67" s="98"/>
      <c r="D67" s="97"/>
      <c r="E67" s="99"/>
    </row>
    <row r="68" spans="1:5" x14ac:dyDescent="0.3">
      <c r="A68" s="98"/>
      <c r="B68" s="99"/>
      <c r="C68" s="98"/>
      <c r="D68" s="97"/>
      <c r="E68" s="99"/>
    </row>
    <row r="69" spans="1:5" x14ac:dyDescent="0.3">
      <c r="A69" s="98"/>
      <c r="B69" s="99"/>
      <c r="C69" s="98"/>
      <c r="D69" s="97"/>
      <c r="E69" s="99"/>
    </row>
    <row r="70" spans="1:5" x14ac:dyDescent="0.3">
      <c r="A70" s="98"/>
      <c r="B70" s="99"/>
      <c r="C70" s="98"/>
      <c r="D70" s="97"/>
      <c r="E70" s="99"/>
    </row>
    <row r="71" spans="1:5" x14ac:dyDescent="0.3">
      <c r="A71" s="98"/>
      <c r="B71" s="99"/>
      <c r="C71" s="98"/>
      <c r="D71" s="97"/>
      <c r="E71" s="99"/>
    </row>
    <row r="72" spans="1:5" x14ac:dyDescent="0.3">
      <c r="A72" s="98"/>
      <c r="B72" s="99"/>
      <c r="C72" s="98"/>
      <c r="D72" s="97"/>
      <c r="E72" s="99"/>
    </row>
    <row r="73" spans="1:5" x14ac:dyDescent="0.3">
      <c r="A73" s="98"/>
      <c r="B73" s="99"/>
      <c r="C73" s="98"/>
      <c r="D73" s="97"/>
      <c r="E73" s="99"/>
    </row>
    <row r="74" spans="1:5" x14ac:dyDescent="0.3">
      <c r="A74" s="98"/>
      <c r="B74" s="99"/>
      <c r="C74" s="98"/>
      <c r="D74" s="97"/>
      <c r="E74" s="99"/>
    </row>
    <row r="75" spans="1:5" x14ac:dyDescent="0.3">
      <c r="A75" s="98"/>
      <c r="B75" s="99"/>
      <c r="C75" s="98"/>
      <c r="D75" s="97"/>
      <c r="E75" s="99"/>
    </row>
    <row r="76" spans="1:5" x14ac:dyDescent="0.3">
      <c r="A76" s="98"/>
      <c r="B76" s="99"/>
      <c r="C76" s="98"/>
      <c r="D76" s="97"/>
      <c r="E76" s="99"/>
    </row>
    <row r="77" spans="1:5" x14ac:dyDescent="0.3">
      <c r="A77" s="98"/>
      <c r="B77" s="99"/>
      <c r="C77" s="98"/>
      <c r="D77" s="97"/>
      <c r="E77" s="99"/>
    </row>
    <row r="78" spans="1:5" x14ac:dyDescent="0.3">
      <c r="A78" s="98"/>
      <c r="B78" s="99"/>
      <c r="C78" s="98"/>
      <c r="D78" s="97"/>
      <c r="E78" s="99"/>
    </row>
    <row r="79" spans="1:5" x14ac:dyDescent="0.3">
      <c r="A79" s="98"/>
      <c r="B79" s="99"/>
      <c r="C79" s="98"/>
      <c r="D79" s="97"/>
      <c r="E79" s="99"/>
    </row>
    <row r="80" spans="1:5" x14ac:dyDescent="0.3">
      <c r="A80" s="98"/>
      <c r="B80" s="99"/>
      <c r="C80" s="98"/>
      <c r="D80" s="97"/>
      <c r="E80" s="99"/>
    </row>
    <row r="81" spans="1:5" x14ac:dyDescent="0.3">
      <c r="A81" s="98"/>
      <c r="B81" s="99"/>
      <c r="C81" s="100"/>
      <c r="D81" s="97"/>
      <c r="E81" s="99"/>
    </row>
    <row r="82" spans="1:5" x14ac:dyDescent="0.3">
      <c r="A82" s="98"/>
      <c r="B82" s="99"/>
      <c r="C82" s="100"/>
      <c r="D82" s="97"/>
      <c r="E82" s="99"/>
    </row>
    <row r="83" spans="1:5" x14ac:dyDescent="0.3">
      <c r="A83" s="98"/>
      <c r="B83" s="99"/>
      <c r="C83" s="100"/>
      <c r="D83" s="97"/>
      <c r="E83" s="99"/>
    </row>
    <row r="84" spans="1:5" x14ac:dyDescent="0.3">
      <c r="A84" s="98"/>
      <c r="B84" s="99"/>
      <c r="C84" s="100"/>
      <c r="D84" s="97"/>
      <c r="E84" s="99"/>
    </row>
    <row r="85" spans="1:5" x14ac:dyDescent="0.3">
      <c r="A85" s="98"/>
      <c r="B85" s="99"/>
      <c r="C85" s="100"/>
      <c r="D85" s="97"/>
      <c r="E85" s="99"/>
    </row>
    <row r="86" spans="1:5" x14ac:dyDescent="0.3">
      <c r="A86" s="98"/>
      <c r="B86" s="99"/>
      <c r="C86" s="100"/>
      <c r="D86" s="97"/>
      <c r="E86" s="99"/>
    </row>
    <row r="87" spans="1:5" x14ac:dyDescent="0.3">
      <c r="A87" s="98"/>
      <c r="B87" s="99"/>
      <c r="C87" s="100"/>
      <c r="D87" s="97"/>
      <c r="E87" s="99"/>
    </row>
    <row r="88" spans="1:5" x14ac:dyDescent="0.3">
      <c r="A88" s="98"/>
      <c r="B88" s="99"/>
      <c r="C88" s="98"/>
      <c r="D88" s="97"/>
      <c r="E88" s="99"/>
    </row>
    <row r="89" spans="1:5" x14ac:dyDescent="0.3">
      <c r="A89" s="98"/>
      <c r="B89" s="99"/>
      <c r="C89" s="98"/>
      <c r="D89" s="97"/>
      <c r="E89" s="99"/>
    </row>
    <row r="90" spans="1:5" x14ac:dyDescent="0.3">
      <c r="A90" s="98"/>
      <c r="B90" s="99"/>
      <c r="C90" s="98"/>
      <c r="D90" s="97"/>
      <c r="E90" s="99"/>
    </row>
    <row r="91" spans="1:5" x14ac:dyDescent="0.3">
      <c r="A91" s="98"/>
      <c r="B91" s="99"/>
      <c r="C91" s="98"/>
      <c r="D91" s="97"/>
      <c r="E91" s="99"/>
    </row>
    <row r="92" spans="1:5" x14ac:dyDescent="0.3">
      <c r="A92" s="98"/>
      <c r="B92" s="99"/>
      <c r="C92" s="100"/>
      <c r="D92" s="97"/>
      <c r="E92" s="99"/>
    </row>
    <row r="93" spans="1:5" x14ac:dyDescent="0.3">
      <c r="A93" s="98"/>
      <c r="B93" s="99"/>
      <c r="C93" s="100"/>
      <c r="D93" s="97"/>
      <c r="E93" s="99"/>
    </row>
    <row r="94" spans="1:5" x14ac:dyDescent="0.3">
      <c r="A94" s="98"/>
      <c r="B94" s="99"/>
      <c r="C94" s="100"/>
      <c r="D94" s="97"/>
      <c r="E94" s="99"/>
    </row>
    <row r="95" spans="1:5" x14ac:dyDescent="0.3">
      <c r="A95" s="98"/>
      <c r="B95" s="99"/>
      <c r="C95" s="100"/>
      <c r="D95" s="97"/>
      <c r="E95" s="99"/>
    </row>
    <row r="96" spans="1:5" x14ac:dyDescent="0.3">
      <c r="A96" s="98"/>
      <c r="B96" s="99"/>
      <c r="C96" s="100"/>
      <c r="D96" s="97"/>
      <c r="E96" s="99"/>
    </row>
    <row r="97" spans="1:5" x14ac:dyDescent="0.3">
      <c r="A97" s="98"/>
      <c r="B97" s="99"/>
      <c r="C97" s="100"/>
      <c r="D97" s="97"/>
      <c r="E97" s="99"/>
    </row>
    <row r="98" spans="1:5" x14ac:dyDescent="0.3">
      <c r="A98" s="98"/>
      <c r="B98" s="99"/>
      <c r="C98" s="100"/>
      <c r="D98" s="97"/>
      <c r="E98" s="99"/>
    </row>
    <row r="99" spans="1:5" x14ac:dyDescent="0.3">
      <c r="A99" s="98"/>
      <c r="B99" s="99"/>
      <c r="C99" s="100"/>
      <c r="D99" s="97"/>
      <c r="E99" s="99"/>
    </row>
    <row r="100" spans="1:5" x14ac:dyDescent="0.3">
      <c r="A100" s="98"/>
      <c r="B100" s="99"/>
      <c r="C100" s="100"/>
      <c r="D100" s="97"/>
      <c r="E100" s="99"/>
    </row>
    <row r="101" spans="1:5" x14ac:dyDescent="0.3">
      <c r="A101" s="98"/>
      <c r="B101" s="99"/>
      <c r="C101" s="100"/>
      <c r="D101" s="97"/>
      <c r="E101" s="99"/>
    </row>
    <row r="102" spans="1:5" x14ac:dyDescent="0.3">
      <c r="A102" s="98"/>
      <c r="B102" s="99"/>
      <c r="C102" s="100"/>
      <c r="D102" s="97"/>
      <c r="E102" s="99"/>
    </row>
    <row r="103" spans="1:5" x14ac:dyDescent="0.3">
      <c r="A103" s="98"/>
      <c r="B103" s="99"/>
      <c r="C103" s="100"/>
      <c r="D103" s="97"/>
      <c r="E103" s="99"/>
    </row>
    <row r="104" spans="1:5" x14ac:dyDescent="0.3">
      <c r="A104" s="98"/>
      <c r="B104" s="99"/>
      <c r="C104" s="100"/>
      <c r="D104" s="97"/>
      <c r="E104" s="99"/>
    </row>
    <row r="105" spans="1:5" x14ac:dyDescent="0.3">
      <c r="A105" s="98"/>
      <c r="B105" s="99"/>
      <c r="C105" s="100"/>
      <c r="D105" s="97"/>
      <c r="E105" s="99"/>
    </row>
    <row r="106" spans="1:5" x14ac:dyDescent="0.3">
      <c r="A106" s="98"/>
      <c r="B106" s="99"/>
      <c r="C106" s="100"/>
      <c r="D106" s="97"/>
      <c r="E106" s="99"/>
    </row>
    <row r="107" spans="1:5" x14ac:dyDescent="0.3">
      <c r="A107" s="98"/>
      <c r="B107" s="99"/>
      <c r="C107" s="100"/>
      <c r="D107" s="97"/>
      <c r="E107" s="99"/>
    </row>
    <row r="108" spans="1:5" x14ac:dyDescent="0.3">
      <c r="A108" s="98"/>
      <c r="B108" s="99"/>
      <c r="C108" s="100"/>
      <c r="D108" s="97"/>
      <c r="E108" s="99"/>
    </row>
    <row r="109" spans="1:5" x14ac:dyDescent="0.3">
      <c r="A109" s="98"/>
      <c r="B109" s="99"/>
      <c r="C109" s="100"/>
      <c r="D109" s="97"/>
      <c r="E109" s="99"/>
    </row>
    <row r="110" spans="1:5" x14ac:dyDescent="0.3">
      <c r="A110" s="98"/>
      <c r="B110" s="99"/>
      <c r="C110" s="100"/>
      <c r="D110" s="97"/>
      <c r="E110" s="99"/>
    </row>
    <row r="111" spans="1:5" x14ac:dyDescent="0.3">
      <c r="A111" s="98"/>
      <c r="B111" s="99"/>
      <c r="C111" s="100"/>
      <c r="D111" s="97"/>
      <c r="E111" s="99"/>
    </row>
    <row r="112" spans="1:5" x14ac:dyDescent="0.3">
      <c r="A112" s="98"/>
      <c r="B112" s="99"/>
      <c r="C112" s="100"/>
      <c r="D112" s="97"/>
      <c r="E112" s="99"/>
    </row>
    <row r="113" spans="1:5" x14ac:dyDescent="0.3">
      <c r="A113" s="98"/>
      <c r="B113" s="99"/>
      <c r="C113" s="100"/>
      <c r="D113" s="97"/>
      <c r="E113" s="99"/>
    </row>
    <row r="114" spans="1:5" x14ac:dyDescent="0.3">
      <c r="A114" s="98"/>
      <c r="B114" s="99"/>
      <c r="C114" s="100"/>
      <c r="D114" s="97"/>
      <c r="E114" s="99"/>
    </row>
    <row r="115" spans="1:5" x14ac:dyDescent="0.3">
      <c r="A115" s="98"/>
      <c r="B115" s="99"/>
      <c r="C115" s="100"/>
      <c r="D115" s="97"/>
      <c r="E115" s="99"/>
    </row>
    <row r="116" spans="1:5" x14ac:dyDescent="0.3">
      <c r="A116" s="98"/>
      <c r="B116" s="99"/>
      <c r="C116" s="100"/>
      <c r="D116" s="97"/>
      <c r="E116" s="99"/>
    </row>
    <row r="117" spans="1:5" x14ac:dyDescent="0.3">
      <c r="A117" s="98"/>
      <c r="B117" s="99"/>
      <c r="C117" s="100"/>
      <c r="D117" s="97"/>
      <c r="E117" s="99"/>
    </row>
    <row r="118" spans="1:5" hidden="1" x14ac:dyDescent="0.3">
      <c r="E118" s="43"/>
    </row>
    <row r="119" spans="1:5" hidden="1" x14ac:dyDescent="0.3">
      <c r="E119" s="43"/>
    </row>
    <row r="120" spans="1:5" hidden="1" x14ac:dyDescent="0.3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8"/>
  <sheetViews>
    <sheetView workbookViewId="0">
      <selection activeCell="B7" sqref="B7"/>
    </sheetView>
  </sheetViews>
  <sheetFormatPr defaultColWidth="0" defaultRowHeight="14.4" zeroHeight="1" x14ac:dyDescent="0.3"/>
  <cols>
    <col min="1" max="1" width="8.77734375" style="97" customWidth="1"/>
    <col min="2" max="2" width="63.5546875" customWidth="1"/>
    <col min="3" max="3" width="24.6640625" customWidth="1"/>
    <col min="4" max="16384" width="8.88671875" hidden="1"/>
  </cols>
  <sheetData>
    <row r="1" spans="1:3" x14ac:dyDescent="0.3">
      <c r="A1" t="s">
        <v>554</v>
      </c>
      <c r="B1" t="s">
        <v>109</v>
      </c>
      <c r="C1" t="s">
        <v>562</v>
      </c>
    </row>
    <row r="2" spans="1:3" ht="43.2" x14ac:dyDescent="0.3">
      <c r="A2" s="133" t="s">
        <v>563</v>
      </c>
      <c r="B2" s="134" t="s">
        <v>556</v>
      </c>
      <c r="C2" s="133" t="s">
        <v>555</v>
      </c>
    </row>
    <row r="3" spans="1:3" x14ac:dyDescent="0.3">
      <c r="A3" s="133" t="s">
        <v>557</v>
      </c>
      <c r="B3" s="134" t="s">
        <v>558</v>
      </c>
      <c r="C3" s="133" t="s">
        <v>559</v>
      </c>
    </row>
    <row r="4" spans="1:3" x14ac:dyDescent="0.3">
      <c r="A4" s="133" t="s">
        <v>560</v>
      </c>
      <c r="B4" s="134" t="s">
        <v>561</v>
      </c>
      <c r="C4" s="133" t="s">
        <v>559</v>
      </c>
    </row>
    <row r="5" spans="1:3" x14ac:dyDescent="0.3">
      <c r="A5" s="133" t="s">
        <v>564</v>
      </c>
      <c r="B5" s="134"/>
      <c r="C5" s="133"/>
    </row>
    <row r="6" spans="1:3" x14ac:dyDescent="0.3">
      <c r="A6" s="133"/>
      <c r="B6" s="134"/>
      <c r="C6" s="133"/>
    </row>
    <row r="7" spans="1:3" x14ac:dyDescent="0.3">
      <c r="A7" s="133"/>
      <c r="B7" s="134"/>
      <c r="C7" s="133"/>
    </row>
    <row r="8" spans="1:3" x14ac:dyDescent="0.3">
      <c r="A8" s="133"/>
      <c r="B8" s="134"/>
      <c r="C8" s="133"/>
    </row>
    <row r="9" spans="1:3" x14ac:dyDescent="0.3">
      <c r="A9" s="133"/>
      <c r="B9" s="134"/>
      <c r="C9" s="133"/>
    </row>
    <row r="10" spans="1:3" x14ac:dyDescent="0.3">
      <c r="A10" s="133"/>
      <c r="B10" s="134"/>
      <c r="C10" s="133"/>
    </row>
    <row r="11" spans="1:3" x14ac:dyDescent="0.3">
      <c r="A11" s="133"/>
      <c r="B11" s="134"/>
      <c r="C11" s="133"/>
    </row>
    <row r="12" spans="1:3" x14ac:dyDescent="0.3">
      <c r="A12" s="133"/>
      <c r="B12" s="134"/>
      <c r="C12" s="133"/>
    </row>
    <row r="13" spans="1:3" x14ac:dyDescent="0.3">
      <c r="A13" s="133"/>
      <c r="B13" s="134"/>
      <c r="C13" s="133"/>
    </row>
    <row r="14" spans="1:3" x14ac:dyDescent="0.3">
      <c r="A14" s="133"/>
      <c r="B14" s="134"/>
      <c r="C14" s="133"/>
    </row>
    <row r="15" spans="1:3" x14ac:dyDescent="0.3">
      <c r="A15" s="133"/>
      <c r="B15" s="134"/>
      <c r="C15" s="133"/>
    </row>
    <row r="16" spans="1:3" x14ac:dyDescent="0.3">
      <c r="A16" s="133"/>
      <c r="B16" s="134"/>
      <c r="C16" s="133"/>
    </row>
    <row r="17" spans="1:3" x14ac:dyDescent="0.3">
      <c r="A17" s="133"/>
      <c r="B17" s="134"/>
      <c r="C17" s="133"/>
    </row>
    <row r="18" spans="1:3" x14ac:dyDescent="0.3">
      <c r="A18" s="133"/>
      <c r="B18" s="134"/>
      <c r="C18" s="133"/>
    </row>
    <row r="19" spans="1:3" x14ac:dyDescent="0.3">
      <c r="A19" s="133"/>
      <c r="B19" s="134"/>
      <c r="C19" s="133"/>
    </row>
    <row r="20" spans="1:3" x14ac:dyDescent="0.3">
      <c r="A20" s="133"/>
      <c r="B20" s="134"/>
      <c r="C20" s="133"/>
    </row>
    <row r="21" spans="1:3" x14ac:dyDescent="0.3">
      <c r="A21" s="133"/>
      <c r="B21" s="134"/>
      <c r="C21" s="133"/>
    </row>
    <row r="22" spans="1:3" x14ac:dyDescent="0.3">
      <c r="A22" s="133"/>
      <c r="B22" s="134"/>
      <c r="C22" s="133"/>
    </row>
    <row r="23" spans="1:3" x14ac:dyDescent="0.3">
      <c r="A23" s="133"/>
      <c r="B23" s="134"/>
      <c r="C23" s="133"/>
    </row>
    <row r="24" spans="1:3" x14ac:dyDescent="0.3">
      <c r="A24" s="133"/>
      <c r="B24" s="134"/>
      <c r="C24" s="133"/>
    </row>
    <row r="25" spans="1:3" x14ac:dyDescent="0.3">
      <c r="A25" s="133"/>
      <c r="B25" s="134"/>
      <c r="C25" s="133"/>
    </row>
    <row r="26" spans="1:3" x14ac:dyDescent="0.3">
      <c r="A26" s="133"/>
      <c r="B26" s="134"/>
      <c r="C26" s="133"/>
    </row>
    <row r="27" spans="1:3" x14ac:dyDescent="0.3">
      <c r="A27" s="133"/>
      <c r="B27" s="134"/>
      <c r="C27" s="133"/>
    </row>
    <row r="28" spans="1:3" x14ac:dyDescent="0.3">
      <c r="A28" s="133"/>
      <c r="B28" s="134"/>
      <c r="C28" s="133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Project Planner</vt:lpstr>
      <vt:lpstr>Task List</vt:lpstr>
      <vt:lpstr>Run Schedule</vt:lpstr>
      <vt:lpstr>IO Units</vt:lpstr>
      <vt:lpstr>Units Check</vt:lpstr>
      <vt:lpstr>Hardcoded Values</vt:lpstr>
      <vt:lpstr>Plot Names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2018-05-28T19:34:38Z</dcterms:modified>
</cp:coreProperties>
</file>