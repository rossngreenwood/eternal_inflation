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xr:revisionPtr revIDLastSave="0" documentId="10_ncr:100000_{CAEAFB1D-B2E7-4B2B-9198-D91671E5A06A}" xr6:coauthVersionLast="31" xr6:coauthVersionMax="31" xr10:uidLastSave="{00000000-0000-0000-0000-000000000000}"/>
  <bookViews>
    <workbookView xWindow="0" yWindow="0" windowWidth="8652" windowHeight="7644" activeTab="1" xr2:uid="{00000000-000D-0000-FFFF-FFFF00000000}"/>
  </bookViews>
  <sheets>
    <sheet name="Project Planner" sheetId="1" r:id="rId1"/>
    <sheet name="Task List" sheetId="3" r:id="rId2"/>
    <sheet name="Writing Tasks" sheetId="10" r:id="rId3"/>
    <sheet name="Batch Schedule" sheetId="9" r:id="rId4"/>
    <sheet name="Run Schedule" sheetId="11" r:id="rId5"/>
    <sheet name="Initial Runs" sheetId="4" r:id="rId6"/>
    <sheet name="IO Units" sheetId="5" r:id="rId7"/>
    <sheet name="Units Check" sheetId="6" r:id="rId8"/>
    <sheet name="Hardcoded Values" sheetId="7" r:id="rId9"/>
    <sheet name="Plot Names" sheetId="8" r:id="rId10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9017"/>
</workbook>
</file>

<file path=xl/calcChain.xml><?xml version="1.0" encoding="utf-8"?>
<calcChain xmlns="http://schemas.openxmlformats.org/spreadsheetml/2006/main">
  <c r="J1078" i="11" l="1"/>
  <c r="J1079" i="11"/>
  <c r="J1080" i="11"/>
  <c r="J1081" i="11"/>
  <c r="J1082" i="11"/>
  <c r="J1083" i="11"/>
  <c r="J1084" i="11"/>
  <c r="J1085" i="11"/>
  <c r="J1086" i="11"/>
  <c r="J1087" i="11"/>
  <c r="J1088" i="11"/>
  <c r="J1089" i="11"/>
  <c r="J1090" i="11"/>
  <c r="J1091" i="11"/>
  <c r="J1092" i="11"/>
  <c r="J1093" i="11"/>
  <c r="J1094" i="11"/>
  <c r="J1095" i="11"/>
  <c r="J1096" i="11"/>
  <c r="J1097" i="11"/>
  <c r="J1098" i="11"/>
  <c r="J1099" i="11"/>
  <c r="J1100" i="11"/>
  <c r="J1101" i="11"/>
  <c r="J1102" i="11"/>
  <c r="J1103" i="11"/>
  <c r="J1104" i="11"/>
  <c r="J1105" i="11"/>
  <c r="J1106" i="11"/>
  <c r="J1107" i="11"/>
  <c r="J1108" i="11"/>
  <c r="J1109" i="11"/>
  <c r="J1110" i="11"/>
  <c r="J1111" i="11"/>
  <c r="J1112" i="11"/>
  <c r="J1113" i="11"/>
  <c r="J1114" i="11"/>
  <c r="J1115" i="11"/>
  <c r="J1116" i="11"/>
  <c r="J1117" i="11"/>
  <c r="J1118" i="11"/>
  <c r="J1119" i="11"/>
  <c r="J1120" i="11"/>
  <c r="J1121" i="11"/>
  <c r="J1122" i="11"/>
  <c r="J1123" i="11"/>
  <c r="J1124" i="11"/>
  <c r="J1125" i="11"/>
  <c r="J1126" i="11"/>
  <c r="J1127" i="11"/>
  <c r="J1128" i="11"/>
  <c r="J1129" i="11"/>
  <c r="J1130" i="11"/>
  <c r="J1131" i="11"/>
  <c r="J1132" i="11"/>
  <c r="J1133" i="11"/>
  <c r="J1134" i="11"/>
  <c r="J1135" i="11"/>
  <c r="J1136" i="11"/>
  <c r="J1137" i="11"/>
  <c r="J1138" i="11"/>
  <c r="J1139" i="11"/>
  <c r="J1140" i="11"/>
  <c r="J1141" i="11"/>
  <c r="J1142" i="11"/>
  <c r="J1143" i="11"/>
  <c r="J1144" i="11"/>
  <c r="J1145" i="11"/>
  <c r="J1146" i="11"/>
  <c r="J1147" i="11"/>
  <c r="J1148" i="11"/>
  <c r="J1149" i="11"/>
  <c r="J1150" i="11"/>
  <c r="J1151" i="11"/>
  <c r="J1152" i="11"/>
  <c r="J1153" i="11"/>
  <c r="J1154" i="11"/>
  <c r="J1155" i="11"/>
  <c r="J1156" i="11"/>
  <c r="J1157" i="11"/>
  <c r="J1158" i="11"/>
  <c r="J1159" i="11"/>
  <c r="J1160" i="11"/>
  <c r="J1161" i="11"/>
  <c r="J1162" i="11"/>
  <c r="J1163" i="11"/>
  <c r="J1164" i="11"/>
  <c r="J1165" i="11"/>
  <c r="J1166" i="11"/>
  <c r="J1167" i="11"/>
  <c r="J1168" i="11"/>
  <c r="J1169" i="11"/>
  <c r="J1170" i="11"/>
  <c r="J1171" i="11"/>
  <c r="J1172" i="11"/>
  <c r="J1173" i="11"/>
  <c r="J1174" i="11"/>
  <c r="J1175" i="11"/>
  <c r="J1176" i="11"/>
  <c r="J1177" i="11"/>
  <c r="J1178" i="11"/>
  <c r="J1179" i="11"/>
  <c r="J1180" i="11"/>
  <c r="J1181" i="11"/>
  <c r="J1182" i="11"/>
  <c r="J1183" i="11"/>
  <c r="J1184" i="11"/>
  <c r="J1185" i="11"/>
  <c r="J1186" i="11"/>
  <c r="J1187" i="11"/>
  <c r="J1188" i="11"/>
  <c r="J1189" i="11"/>
  <c r="J1190" i="11"/>
  <c r="J1191" i="11"/>
  <c r="J1192" i="11"/>
  <c r="J1193" i="11"/>
  <c r="J1194" i="11"/>
  <c r="J1195" i="11"/>
  <c r="J1196" i="11"/>
  <c r="J1197" i="11"/>
  <c r="J1198" i="11"/>
  <c r="J1199" i="11"/>
  <c r="J1200" i="11"/>
  <c r="J1201" i="11"/>
  <c r="J1202" i="11"/>
  <c r="J1203" i="11"/>
  <c r="J1204" i="11"/>
  <c r="J1205" i="11"/>
  <c r="J1206" i="11"/>
  <c r="J1207" i="11"/>
  <c r="J1208" i="11"/>
  <c r="J1209" i="11"/>
  <c r="J1210" i="11"/>
  <c r="J1211" i="11"/>
  <c r="J1212" i="11"/>
  <c r="J1213" i="11"/>
  <c r="J1214" i="11"/>
  <c r="J1215" i="11"/>
  <c r="J1216" i="11"/>
  <c r="J1217" i="11"/>
  <c r="J1218" i="11"/>
  <c r="J1219" i="11"/>
  <c r="J1220" i="11"/>
  <c r="J1221" i="11"/>
  <c r="J1222" i="11"/>
  <c r="J1223" i="11"/>
  <c r="J1224" i="11"/>
  <c r="J1225" i="11"/>
  <c r="J1226" i="11"/>
  <c r="J1227" i="11"/>
  <c r="J1228" i="11"/>
  <c r="J1229" i="11"/>
  <c r="J1230" i="11"/>
  <c r="J1231" i="11"/>
  <c r="J1232" i="11"/>
  <c r="J1233" i="11"/>
  <c r="J1234" i="11"/>
  <c r="J1235" i="11"/>
  <c r="J1236" i="11"/>
  <c r="J1237" i="11"/>
  <c r="J1238" i="11"/>
  <c r="J1239" i="11"/>
  <c r="J1240" i="11"/>
  <c r="J1241" i="11"/>
  <c r="J1242" i="11"/>
  <c r="J1243" i="11"/>
  <c r="J1244" i="11"/>
  <c r="J1245" i="11"/>
  <c r="J1246" i="11"/>
  <c r="J1247" i="11"/>
  <c r="J1248" i="11"/>
  <c r="J1249" i="11"/>
  <c r="J1250" i="11"/>
  <c r="J1251" i="11"/>
  <c r="J1252" i="11"/>
  <c r="J1253" i="11"/>
  <c r="J1254" i="11"/>
  <c r="J1255" i="11"/>
  <c r="J1077" i="11"/>
  <c r="J1065" i="11" l="1"/>
  <c r="J1066" i="11"/>
  <c r="J1067" i="11"/>
  <c r="J1068" i="11"/>
  <c r="J1069" i="11"/>
  <c r="J1064" i="11"/>
  <c r="J181" i="11" l="1"/>
  <c r="J93" i="11" l="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92" i="11"/>
  <c r="J1242" i="4" l="1"/>
  <c r="J1241" i="4"/>
  <c r="J1240" i="4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 l="1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<sst xmlns="http://schemas.openxmlformats.org/spreadsheetml/2006/main" count="7351" uniqueCount="3366">
  <si>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</si>
  <si>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</si>
  <si>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</si>
  <si>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</si>
  <si>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</si>
  <si>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</si>
  <si>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</si>
  <si>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</si>
  <si>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</si>
  <si>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</si>
  <si>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</si>
  <si>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</si>
  <si>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</si>
  <si>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</si>
  <si>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</si>
  <si>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</si>
  <si>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</si>
  <si>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</si>
  <si>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</si>
  <si>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</si>
  <si>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</si>
  <si>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</si>
  <si>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</si>
  <si>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</si>
  <si>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</si>
  <si>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</si>
  <si>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</si>
  <si>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</si>
  <si>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</si>
  <si>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</si>
  <si>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</si>
  <si>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</si>
  <si>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</si>
  <si>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</si>
  <si>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</si>
  <si>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</si>
  <si>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</si>
  <si>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</si>
  <si>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</si>
  <si>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</si>
  <si>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</si>
  <si>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</si>
  <si>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</si>
  <si>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</si>
  <si>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</si>
  <si>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</si>
  <si>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</si>
  <si>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</si>
  <si>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</si>
  <si>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</si>
  <si>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</si>
  <si>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</si>
  <si>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</si>
  <si>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</si>
  <si>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</si>
  <si>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</si>
  <si>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</si>
  <si>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</si>
  <si>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</si>
  <si>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</si>
  <si>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</si>
  <si>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</si>
  <si>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</si>
  <si>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</si>
  <si>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</si>
  <si>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</si>
  <si>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</si>
  <si>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</si>
  <si>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</si>
  <si>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</si>
  <si>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</si>
  <si>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</si>
  <si>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</si>
  <si>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</si>
  <si>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</si>
  <si>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</si>
  <si>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</si>
  <si>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</si>
  <si>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</si>
  <si>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</si>
  <si>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</si>
  <si>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</si>
  <si>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</si>
  <si>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</si>
  <si>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</si>
  <si>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</si>
  <si>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</si>
  <si>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</si>
  <si>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</si>
  <si>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</si>
  <si>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</si>
  <si>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</si>
  <si>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</si>
  <si>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</si>
  <si>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</si>
  <si>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</si>
  <si>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</si>
  <si>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</si>
  <si>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</si>
  <si>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</si>
  <si>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</si>
  <si>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</si>
  <si>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</si>
  <si>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</si>
  <si>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</si>
  <si>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</si>
  <si>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</si>
  <si>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</si>
  <si>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</si>
  <si>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</si>
  <si>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</si>
  <si>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</si>
  <si>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</si>
  <si>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</si>
  <si>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</si>
  <si>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</si>
  <si>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</si>
  <si>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</si>
  <si>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</si>
  <si>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</si>
  <si>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</si>
  <si>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</si>
  <si>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</si>
  <si>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</si>
  <si>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</si>
  <si>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</si>
  <si>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</si>
  <si>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</si>
  <si>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</si>
  <si>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</si>
  <si>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</si>
  <si>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</si>
  <si>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</si>
  <si>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</si>
  <si>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</si>
  <si>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</si>
  <si>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</si>
  <si>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</si>
  <si>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</si>
  <si>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</si>
  <si>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</si>
  <si>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</si>
  <si>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</si>
  <si>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</si>
  <si>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</si>
  <si>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</si>
  <si>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</si>
  <si>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</si>
  <si>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</si>
  <si>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</si>
  <si>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</si>
  <si>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</si>
  <si>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</si>
  <si>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</si>
  <si>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</si>
  <si>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</si>
  <si>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</si>
  <si>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</si>
  <si>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</si>
  <si>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</si>
  <si>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</si>
  <si>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</si>
  <si>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</si>
  <si>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</si>
  <si>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</si>
  <si>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</si>
  <si>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</si>
  <si>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</si>
  <si>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</si>
  <si>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</si>
  <si>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</si>
  <si>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</si>
  <si>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</si>
  <si>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</si>
  <si>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</si>
  <si>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</si>
  <si>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</si>
  <si>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</si>
  <si>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</si>
  <si>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</si>
  <si>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</si>
  <si>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</si>
  <si>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</si>
  <si>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</si>
  <si>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</si>
  <si>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</si>
  <si>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</si>
  <si>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</si>
  <si>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</si>
  <si>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</si>
  <si>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</si>
  <si>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</si>
  <si>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</si>
  <si>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</si>
  <si>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</si>
  <si>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</si>
  <si>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</si>
  <si>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</si>
  <si>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</si>
  <si>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</si>
  <si>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</si>
  <si>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</si>
  <si>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</si>
  <si>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</si>
  <si>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</si>
  <si>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</si>
  <si>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</si>
  <si>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</si>
  <si>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</si>
  <si>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</si>
  <si>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</si>
  <si>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</si>
  <si>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</si>
  <si>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</si>
  <si>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</si>
  <si>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</si>
  <si>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</si>
  <si>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</si>
  <si>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</si>
  <si>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</si>
  <si>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</si>
  <si>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</si>
  <si>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</si>
  <si>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</si>
  <si>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</si>
  <si>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</si>
  <si>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</si>
  <si>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</si>
  <si>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</si>
  <si>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</si>
  <si>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</si>
  <si>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</si>
  <si>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</si>
  <si>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</si>
  <si>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</si>
  <si>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</si>
  <si>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</si>
  <si>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</si>
  <si>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</si>
  <si>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</si>
  <si>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</si>
  <si>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</si>
  <si>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</si>
  <si>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</si>
  <si>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</si>
  <si>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</si>
  <si>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</si>
  <si>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</si>
  <si>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</si>
  <si>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</si>
  <si>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</si>
  <si>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</si>
  <si>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</si>
  <si>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</si>
  <si>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</si>
  <si>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</si>
  <si>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</si>
  <si>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</si>
  <si>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</si>
  <si>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</si>
  <si>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</si>
  <si>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</si>
  <si>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</si>
  <si>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</si>
  <si>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</si>
  <si>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</si>
  <si>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</si>
  <si>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</si>
  <si>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</si>
  <si>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</si>
  <si>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</si>
  <si>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</si>
  <si>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</si>
  <si>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</si>
  <si>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</si>
  <si>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</si>
  <si>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</si>
  <si>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</si>
  <si>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</si>
  <si>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</si>
  <si>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</si>
  <si>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</si>
  <si>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</si>
  <si>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</si>
  <si>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</si>
  <si>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</si>
  <si>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</si>
  <si>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</si>
  <si>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</si>
  <si>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</si>
  <si>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</si>
  <si>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</si>
  <si>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</si>
  <si>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</si>
  <si>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</si>
  <si>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</si>
  <si>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</si>
  <si>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</si>
  <si>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</si>
  <si>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</si>
  <si>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</si>
  <si>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</si>
  <si>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</si>
  <si>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</si>
  <si>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</si>
  <si>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</si>
  <si>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</si>
  <si>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</si>
  <si>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</si>
  <si>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</si>
  <si>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</si>
  <si>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</si>
  <si>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</si>
  <si>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</si>
  <si>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</si>
  <si>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</si>
  <si>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</si>
  <si>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</si>
  <si>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</si>
  <si>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</si>
  <si>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</si>
  <si>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</si>
  <si>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</si>
  <si>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</si>
  <si>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</si>
  <si>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</si>
  <si>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</si>
  <si>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</si>
  <si>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</si>
  <si>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</si>
  <si>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</si>
  <si>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</si>
  <si>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</si>
  <si>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</si>
  <si>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</si>
  <si>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</si>
  <si>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</si>
  <si>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</si>
  <si>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</si>
  <si>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</si>
  <si>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</si>
  <si>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</si>
  <si>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</si>
  <si>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</si>
  <si>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</si>
  <si>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</si>
  <si>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</si>
  <si>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</si>
  <si>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</si>
  <si>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</si>
  <si>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</si>
  <si>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</si>
  <si>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</si>
  <si>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</si>
  <si>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</si>
  <si>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</si>
  <si>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</si>
  <si>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</si>
  <si>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</si>
  <si>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</si>
  <si>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</si>
  <si>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</si>
  <si>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</si>
  <si>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</si>
  <si>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</si>
  <si>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</si>
  <si>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</si>
  <si>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</si>
  <si>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</si>
  <si>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</si>
  <si>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</si>
  <si>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</si>
  <si>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</si>
  <si>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</si>
  <si>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</si>
  <si>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</si>
  <si>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</si>
  <si>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</si>
  <si>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</si>
  <si>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</si>
  <si>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</si>
  <si>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</si>
  <si>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</si>
  <si>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</si>
  <si>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</si>
  <si>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</si>
  <si>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</si>
  <si>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</si>
  <si>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</si>
  <si>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</si>
  <si>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</si>
  <si>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</si>
  <si>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</si>
  <si>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</si>
  <si>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</si>
  <si>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</si>
  <si>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</si>
  <si>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</si>
  <si>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</si>
  <si>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</si>
  <si>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</si>
  <si>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</si>
  <si>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</si>
  <si>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</si>
  <si>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</si>
  <si>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</si>
  <si>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</si>
  <si>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</si>
  <si>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</si>
  <si>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</si>
  <si>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</si>
  <si>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</si>
  <si>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</si>
  <si>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</si>
  <si>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</si>
  <si>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</si>
  <si>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</si>
  <si>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</si>
  <si>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</si>
  <si>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</si>
  <si>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</si>
  <si>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</si>
  <si>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</si>
  <si>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</si>
  <si>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</si>
  <si>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</si>
  <si>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</si>
  <si>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</si>
  <si>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</si>
  <si>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</si>
  <si>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</si>
  <si>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</si>
  <si>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</si>
  <si>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</si>
  <si>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</si>
  <si>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</si>
  <si>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</si>
  <si>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</si>
  <si>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</si>
  <si>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</si>
  <si>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</si>
  <si>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</si>
  <si>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</si>
  <si>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</si>
  <si>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</si>
  <si>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</si>
  <si>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</si>
  <si>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</si>
  <si>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</si>
  <si>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</si>
  <si>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</si>
  <si>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</si>
  <si>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</si>
  <si>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</si>
  <si>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</si>
  <si>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</si>
  <si>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</si>
  <si>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</si>
  <si>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</si>
  <si>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</si>
  <si>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</si>
  <si>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</si>
  <si>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</si>
  <si>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</si>
  <si>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</si>
  <si>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</si>
  <si>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</si>
  <si>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</si>
  <si>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</si>
  <si>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</si>
  <si>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</si>
  <si>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</si>
  <si>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</si>
  <si>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</si>
  <si>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</si>
  <si>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</si>
  <si>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</si>
  <si>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</si>
  <si>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</si>
  <si>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</si>
  <si>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</si>
  <si>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</si>
  <si>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</si>
  <si>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</si>
  <si>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</si>
  <si>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</si>
  <si>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</si>
  <si>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</si>
  <si>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</si>
  <si>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</si>
  <si>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</si>
  <si>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</si>
  <si>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</si>
  <si>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</si>
  <si>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</si>
  <si>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</si>
  <si>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</si>
  <si>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</si>
  <si>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</si>
  <si>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</si>
  <si>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</si>
  <si>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</si>
  <si>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</si>
  <si>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</si>
  <si>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</si>
  <si>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</si>
  <si>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</si>
  <si>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</si>
  <si>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</si>
  <si>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</si>
  <si>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</si>
  <si>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</si>
  <si>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</si>
  <si>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</si>
  <si>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</si>
  <si>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</si>
  <si>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</si>
  <si>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</si>
  <si>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</si>
  <si>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</si>
  <si>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</si>
  <si>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</si>
  <si>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</si>
  <si>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</si>
  <si>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</si>
  <si>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</si>
  <si>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</si>
  <si>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</si>
  <si>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</si>
  <si>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</si>
  <si>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</si>
  <si>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</si>
  <si>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</si>
  <si>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</si>
  <si>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</si>
  <si>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</si>
  <si>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</si>
  <si>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</si>
  <si>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</si>
  <si>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</si>
  <si>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</si>
  <si>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</si>
  <si>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</si>
  <si>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</si>
  <si>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</si>
  <si>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</si>
  <si>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</si>
  <si>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</si>
  <si>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</si>
  <si>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</si>
  <si>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</si>
  <si>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</si>
  <si>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</si>
  <si>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</si>
  <si>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</si>
  <si>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</si>
  <si>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</si>
  <si>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</si>
  <si>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</si>
  <si>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</si>
  <si>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</si>
  <si>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</si>
  <si>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</si>
  <si>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</si>
  <si>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</si>
  <si>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</si>
  <si>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</si>
  <si>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</si>
  <si>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</si>
  <si>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</si>
  <si>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</si>
  <si>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</si>
  <si>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</si>
  <si>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</si>
  <si>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</si>
  <si>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</si>
  <si>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</si>
  <si>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</si>
  <si>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</si>
  <si>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</si>
  <si>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</si>
  <si>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</si>
  <si>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</si>
  <si>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</si>
  <si>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</si>
  <si>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</si>
  <si>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</si>
  <si>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</si>
  <si>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</si>
  <si>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</si>
  <si>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</si>
  <si>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</si>
  <si>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</si>
  <si>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</si>
  <si>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</si>
  <si>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</si>
  <si>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</si>
  <si>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</si>
  <si>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</si>
  <si>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</si>
  <si>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</si>
  <si>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</si>
  <si>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</si>
  <si>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</si>
  <si>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</si>
  <si>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</si>
  <si>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</si>
  <si>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</si>
  <si>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</si>
  <si>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</si>
  <si>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</si>
  <si>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</si>
  <si>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</si>
  <si>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</si>
  <si>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</si>
  <si>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</si>
  <si>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</si>
  <si>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</si>
  <si>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</si>
  <si>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</si>
  <si>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</si>
  <si>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</si>
  <si>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</si>
  <si>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</si>
  <si>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</si>
  <si>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</si>
  <si>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</si>
  <si>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</si>
  <si>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</si>
  <si>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</si>
  <si>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</si>
  <si>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</si>
  <si>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</si>
  <si>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</si>
  <si>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</si>
  <si>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</si>
  <si>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</si>
  <si>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</si>
  <si>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</si>
  <si>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</si>
  <si>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</si>
  <si>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</si>
  <si>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</si>
  <si>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</si>
  <si>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</si>
  <si>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</si>
  <si>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</si>
  <si>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</si>
  <si>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</si>
  <si>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</si>
  <si>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</si>
  <si>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</si>
  <si>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</si>
  <si>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</si>
  <si>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</si>
  <si>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</si>
  <si>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</si>
  <si>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</si>
  <si>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</si>
  <si>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</si>
  <si>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</si>
  <si>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</si>
  <si>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</si>
  <si>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</si>
  <si>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</si>
  <si>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</si>
  <si>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</si>
  <si>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</si>
  <si>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</si>
  <si>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</si>
  <si>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</si>
  <si>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</si>
  <si>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</si>
  <si>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</si>
  <si>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</si>
  <si>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</si>
  <si>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</si>
  <si>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</si>
  <si>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</si>
  <si>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</si>
  <si>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</si>
  <si>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</si>
  <si>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</si>
  <si>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</si>
  <si>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</si>
  <si>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</si>
  <si>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</si>
  <si>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</si>
  <si>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</si>
  <si>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</si>
  <si>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</si>
  <si>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</si>
  <si>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</si>
  <si>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</si>
  <si>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</si>
  <si>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</si>
  <si>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</si>
  <si>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</si>
  <si>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</si>
  <si>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</si>
  <si>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</si>
  <si>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</si>
  <si>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</si>
  <si>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</si>
  <si>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</si>
  <si>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</si>
  <si>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</si>
  <si>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</si>
  <si>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</si>
  <si>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</si>
  <si>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</si>
  <si>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</si>
  <si>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</si>
  <si>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</si>
  <si>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</si>
  <si>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</si>
  <si>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</si>
  <si>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</si>
  <si>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</si>
  <si>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</si>
  <si>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</si>
  <si>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</si>
  <si>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</si>
  <si>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</si>
  <si>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</si>
  <si>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</si>
  <si>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</si>
  <si>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</si>
  <si>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</si>
  <si>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</si>
  <si>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</si>
  <si>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</si>
  <si>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</si>
  <si>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</si>
  <si>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</si>
  <si>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</si>
  <si>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</si>
  <si>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</si>
  <si>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</si>
  <si>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</si>
  <si>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</si>
  <si>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</si>
  <si>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</si>
  <si>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</si>
  <si>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</si>
  <si>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</si>
  <si>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</si>
  <si>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</si>
  <si>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</si>
  <si>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</si>
  <si>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</si>
  <si>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</si>
  <si>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</si>
  <si>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</si>
  <si>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</si>
  <si>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</si>
  <si>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</si>
  <si>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</si>
  <si>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</si>
  <si>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</si>
  <si>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</si>
  <si>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</si>
  <si>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</si>
  <si>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</si>
  <si>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</si>
  <si>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</si>
  <si>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</si>
  <si>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</si>
  <si>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</si>
  <si>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</si>
  <si>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</si>
  <si>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</si>
  <si>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</si>
  <si>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</si>
  <si>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</si>
  <si>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</si>
  <si>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</si>
  <si>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</si>
  <si>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</si>
  <si>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</si>
  <si>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</si>
  <si>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</si>
  <si>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</si>
  <si>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</si>
  <si>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</si>
  <si>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</si>
  <si>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</si>
  <si>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</si>
  <si>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</si>
  <si>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</si>
  <si>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</si>
  <si>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</si>
  <si>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</si>
  <si>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</si>
  <si>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</si>
  <si>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</si>
  <si>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</si>
  <si>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</si>
  <si>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</si>
  <si>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</si>
  <si>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</si>
  <si>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</si>
  <si>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</si>
  <si>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</si>
  <si>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</si>
  <si>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</si>
  <si>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</si>
  <si>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</si>
  <si>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</si>
  <si>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</si>
  <si>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</si>
  <si>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</si>
  <si>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</si>
  <si>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</si>
  <si>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</si>
  <si>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</si>
  <si>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</si>
  <si>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</si>
  <si>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</si>
  <si>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</si>
  <si>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</si>
  <si>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</si>
  <si>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</si>
  <si>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</si>
  <si>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</si>
  <si>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</si>
  <si>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</si>
  <si>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</si>
  <si>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</si>
  <si>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</si>
  <si>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</si>
  <si>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</si>
  <si>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</si>
  <si>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</si>
  <si>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</si>
  <si>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</si>
  <si>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</si>
  <si>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</si>
  <si>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</si>
  <si>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</si>
  <si>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</si>
  <si>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</si>
  <si>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</si>
  <si>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</si>
  <si>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</si>
  <si>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</si>
  <si>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</si>
  <si>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</si>
  <si>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</si>
  <si>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</si>
  <si>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</si>
  <si>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</si>
  <si>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</si>
  <si>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</si>
  <si>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</si>
  <si>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</si>
  <si>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</si>
  <si>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</si>
  <si>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</si>
  <si>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</si>
  <si>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</si>
  <si>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</si>
  <si>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</si>
  <si>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</si>
  <si>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</si>
  <si>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</si>
  <si>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</si>
  <si>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</si>
  <si>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</si>
  <si>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</si>
  <si>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</si>
  <si>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</si>
  <si>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</si>
  <si>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</si>
  <si>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</si>
  <si>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</si>
  <si>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</si>
  <si>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</si>
  <si>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</si>
  <si>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</si>
  <si>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</si>
  <si>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</si>
  <si>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</si>
  <si>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</si>
  <si>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</si>
  <si>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</si>
  <si>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</si>
  <si>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</si>
  <si>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</si>
  <si>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</si>
  <si>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</si>
  <si>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</si>
  <si>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</si>
  <si>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</si>
  <si>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</si>
  <si>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</si>
  <si>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</si>
  <si>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</si>
  <si>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</si>
  <si>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</si>
  <si>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</si>
  <si>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</si>
  <si>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</si>
  <si>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</si>
  <si>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</si>
  <si>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</si>
  <si>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</si>
  <si>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</si>
  <si>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</si>
  <si>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</si>
  <si>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</si>
  <si>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</si>
  <si>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</si>
  <si>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</si>
  <si>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</si>
  <si>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</si>
  <si>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</si>
  <si>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</si>
  <si>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</si>
  <si>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</si>
  <si>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</si>
  <si>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</si>
  <si>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</si>
  <si>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</si>
  <si>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</si>
  <si>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</si>
  <si>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</si>
  <si>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</si>
  <si>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</si>
  <si>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</si>
  <si>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</si>
  <si>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</si>
  <si>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</si>
  <si>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</si>
  <si>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</si>
  <si>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</si>
  <si>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</si>
  <si>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</si>
  <si>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</si>
  <si>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</si>
  <si>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</si>
  <si>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</si>
  <si>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</si>
  <si>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</si>
  <si>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</si>
  <si>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</si>
  <si>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</si>
  <si>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</si>
  <si>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</si>
  <si>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</si>
  <si>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</si>
  <si>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</si>
  <si>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</si>
  <si>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</si>
  <si>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</si>
  <si>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</si>
  <si>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</si>
  <si>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</si>
  <si>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</si>
  <si>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</si>
  <si>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</si>
  <si>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</si>
  <si>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</si>
  <si>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</si>
  <si>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</si>
  <si>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</si>
  <si>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</si>
  <si>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</si>
  <si>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</si>
  <si>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</si>
  <si>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</si>
  <si>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</si>
  <si>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</si>
  <si>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</si>
  <si>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</si>
  <si>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</si>
  <si>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</si>
  <si>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</si>
  <si>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</si>
  <si>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</si>
  <si>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</si>
  <si>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</si>
  <si>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</si>
  <si>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</si>
  <si>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</si>
  <si>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</si>
  <si>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</si>
  <si>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</si>
  <si>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</si>
  <si>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</si>
  <si>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</si>
  <si>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</si>
  <si>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</si>
  <si>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</si>
  <si>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</si>
  <si>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</si>
  <si>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</si>
  <si>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</si>
  <si>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</si>
  <si>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</si>
  <si>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</si>
  <si>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</si>
  <si>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</si>
  <si>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</si>
  <si>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</si>
  <si>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</si>
  <si>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</si>
  <si>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</si>
  <si>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</si>
  <si>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</si>
  <si>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</si>
  <si>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</si>
  <si>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</si>
  <si>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</si>
  <si>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</si>
  <si>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</si>
  <si>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</si>
  <si>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</si>
  <si>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</si>
  <si>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</si>
  <si>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</si>
  <si>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</si>
  <si>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</si>
  <si>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</si>
  <si>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</si>
  <si>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</si>
  <si>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</si>
  <si>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</si>
  <si>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</si>
  <si>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</si>
  <si>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</si>
  <si>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</si>
  <si>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</si>
  <si>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</si>
  <si>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</si>
  <si>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</si>
  <si>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</si>
  <si>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</si>
  <si>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</si>
  <si>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</si>
  <si>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</si>
  <si>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</si>
  <si>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</si>
  <si>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</si>
  <si>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</si>
  <si>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</si>
  <si>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</si>
  <si>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</si>
  <si>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</si>
  <si>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</si>
  <si>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</si>
  <si>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</si>
  <si>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</si>
  <si>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</si>
  <si>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</si>
  <si>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</si>
  <si>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</si>
  <si>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</si>
  <si>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</si>
  <si>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</si>
  <si>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</si>
  <si>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</si>
  <si>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</si>
  <si>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</si>
  <si>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</si>
  <si>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</si>
  <si>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</si>
  <si>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</si>
  <si>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</si>
  <si>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</si>
  <si>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</si>
  <si>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</si>
  <si>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</si>
  <si>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</si>
  <si>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</si>
  <si>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</si>
  <si>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</si>
  <si>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</si>
  <si>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</si>
  <si>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</si>
  <si>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</si>
  <si>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</si>
  <si>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</si>
  <si>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</si>
  <si>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</si>
  <si>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</si>
  <si>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</si>
  <si>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</si>
  <si>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</si>
  <si>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</si>
  <si>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</si>
  <si>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</si>
  <si>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</si>
  <si>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</si>
  <si>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</si>
  <si>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</si>
  <si>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</si>
  <si>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</si>
  <si>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</si>
  <si>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</si>
  <si>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</si>
  <si>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</si>
  <si>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</si>
  <si>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</si>
  <si>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</si>
  <si>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</si>
  <si>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</si>
  <si>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</si>
  <si>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</si>
  <si>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</si>
  <si>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</si>
  <si>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</si>
  <si>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</si>
  <si>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</si>
  <si>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</si>
  <si>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</si>
  <si>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</si>
  <si>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</si>
  <si>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</si>
  <si>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</si>
  <si>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</si>
  <si>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</si>
  <si>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</si>
  <si>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</si>
  <si>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</si>
  <si>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</si>
  <si>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</si>
  <si>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</si>
  <si>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</si>
  <si>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</si>
  <si>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</si>
  <si>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</si>
  <si>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</si>
  <si>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</si>
  <si>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</si>
  <si>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</si>
  <si>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</si>
  <si>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</si>
  <si>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</si>
  <si>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</si>
  <si>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</si>
  <si>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</si>
  <si>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</si>
  <si>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</si>
  <si>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</si>
  <si>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</si>
  <si>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</si>
  <si>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</si>
  <si>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</si>
  <si>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</si>
  <si>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</si>
  <si>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</si>
  <si>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</si>
  <si>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</si>
  <si>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</si>
  <si>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</si>
  <si>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</si>
  <si>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</si>
  <si>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</si>
  <si>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</si>
  <si>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</si>
  <si>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</si>
  <si>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</si>
  <si>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</si>
  <si>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</si>
  <si>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</si>
  <si>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</si>
  <si>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</si>
  <si>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</si>
  <si>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</si>
  <si>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</si>
  <si>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</si>
  <si>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</si>
  <si>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</si>
  <si>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</si>
  <si>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</si>
  <si>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</si>
  <si>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</si>
  <si>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</si>
  <si>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</si>
  <si>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</si>
  <si>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</si>
  <si>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</si>
  <si>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</si>
  <si>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</si>
  <si>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</si>
  <si>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</si>
  <si>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</si>
  <si>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</si>
  <si>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</si>
  <si>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</si>
  <si>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</si>
  <si>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</si>
  <si>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</si>
  <si>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</si>
  <si>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</si>
  <si>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</si>
  <si>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</si>
  <si>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</si>
  <si>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</si>
  <si>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</si>
  <si>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</si>
  <si>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</si>
  <si>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</si>
  <si>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</si>
  <si>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</si>
  <si>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</si>
  <si>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</si>
  <si>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</si>
  <si>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</si>
  <si>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</si>
  <si>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</si>
  <si>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</si>
  <si>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</si>
  <si>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</si>
  <si>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</si>
  <si>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</si>
  <si>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</si>
  <si>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</si>
  <si>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</si>
  <si>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</si>
  <si>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</si>
  <si>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</si>
  <si>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</si>
  <si>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</si>
  <si>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</si>
  <si>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</si>
  <si>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</si>
  <si>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</si>
  <si>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</si>
  <si>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</si>
  <si>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</si>
  <si>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</si>
  <si>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</si>
  <si>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</si>
  <si>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</si>
  <si>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</si>
  <si>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</si>
  <si>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</si>
  <si>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</si>
  <si>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</si>
  <si>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</si>
  <si>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</si>
  <si>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</si>
  <si>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</si>
  <si>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</si>
  <si>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</si>
  <si>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</si>
  <si>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</si>
  <si>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</si>
  <si>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</si>
  <si>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</si>
  <si>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</si>
  <si>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</si>
  <si>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</si>
  <si>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</si>
  <si>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</si>
  <si>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</si>
  <si>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</si>
  <si>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</si>
  <si>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</si>
  <si>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</si>
  <si>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</si>
  <si>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</si>
  <si>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</si>
  <si>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</si>
  <si>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</si>
  <si>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</si>
  <si>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</si>
  <si>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</si>
  <si>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</si>
  <si>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</si>
  <si>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</si>
  <si>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</si>
  <si>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</si>
  <si>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</si>
  <si>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</si>
  <si>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</si>
  <si>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</si>
  <si>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</si>
  <si>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</si>
  <si>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</si>
  <si>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</si>
  <si>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</si>
  <si>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</si>
  <si>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</si>
  <si>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</si>
  <si>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</si>
  <si>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</si>
  <si>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</si>
  <si>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</si>
  <si>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</si>
  <si>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</si>
  <si>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</si>
  <si>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</si>
  <si>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</si>
  <si>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</si>
  <si>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</si>
  <si>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</si>
  <si>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</si>
  <si>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</si>
  <si>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</si>
  <si>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</si>
  <si>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</si>
  <si>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</si>
  <si>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</si>
  <si>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</si>
  <si>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</si>
  <si>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</si>
  <si>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</si>
  <si>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</si>
  <si>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</si>
  <si>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</si>
  <si>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</si>
  <si>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</si>
  <si>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</si>
  <si>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</si>
  <si>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</si>
  <si>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</si>
  <si>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</si>
  <si>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</si>
  <si>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</si>
  <si>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</si>
  <si>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</si>
  <si>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</si>
  <si>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</si>
  <si>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</si>
  <si>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</si>
  <si>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</si>
  <si>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</si>
  <si>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</si>
  <si>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</si>
  <si>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</si>
  <si>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</si>
  <si>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</si>
  <si>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</si>
  <si>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</si>
  <si>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</si>
  <si>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</si>
  <si>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</si>
  <si>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</si>
  <si>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</si>
  <si>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</si>
  <si>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</si>
  <si>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</si>
  <si>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</si>
  <si>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</si>
  <si>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</si>
  <si>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</si>
  <si>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</si>
  <si>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</si>
  <si>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</si>
  <si>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</si>
  <si>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</si>
  <si>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</si>
  <si>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</si>
  <si>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</si>
  <si>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</si>
  <si>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</si>
  <si>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</si>
  <si>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</si>
  <si>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</si>
  <si>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</si>
  <si>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</si>
  <si>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</si>
  <si>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</si>
  <si>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</si>
  <si>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</si>
  <si>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</si>
  <si>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</si>
  <si>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</si>
  <si>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</si>
  <si>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</si>
  <si>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</si>
  <si>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</si>
  <si>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</si>
  <si>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</si>
  <si>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</si>
  <si>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</si>
  <si>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</si>
  <si>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</si>
  <si>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</si>
  <si>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</si>
  <si>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</si>
  <si>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</si>
  <si>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</si>
  <si>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</si>
  <si>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</si>
  <si>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</si>
  <si>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</si>
  <si>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</si>
  <si>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</si>
  <si>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</si>
  <si>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</si>
  <si>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</si>
  <si>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</si>
  <si>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</si>
  <si>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</si>
  <si>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</si>
  <si>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</si>
  <si>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</si>
  <si>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</si>
  <si>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</si>
  <si>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</si>
  <si>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</si>
  <si>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</si>
  <si>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</si>
  <si>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</si>
  <si>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</si>
  <si>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</si>
  <si>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</si>
  <si>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</si>
  <si>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</si>
  <si>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</si>
  <si>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</si>
  <si>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</si>
  <si>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</si>
  <si>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</si>
  <si>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</si>
  <si>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</si>
  <si>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</si>
  <si>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</si>
  <si>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</si>
  <si>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</si>
  <si>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</si>
  <si>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</si>
  <si>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</si>
  <si>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</si>
  <si>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</si>
  <si>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</si>
  <si>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</si>
  <si>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</si>
  <si>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</si>
  <si>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</si>
  <si>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</si>
  <si>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</si>
  <si>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</si>
  <si>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</si>
  <si>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</si>
  <si>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</si>
  <si>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</si>
  <si>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</si>
  <si>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</si>
  <si>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</si>
  <si>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</si>
  <si>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</si>
  <si>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</si>
  <si>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</si>
  <si>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</si>
  <si>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</si>
  <si>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</si>
  <si>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</si>
  <si>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</si>
  <si>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</si>
  <si>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</si>
  <si>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</si>
  <si>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</si>
  <si>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</si>
  <si>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</si>
  <si>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</si>
  <si>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</si>
  <si>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</si>
  <si>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</si>
  <si>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</si>
  <si>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</si>
  <si>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</si>
  <si>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</si>
  <si>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</si>
  <si>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</si>
  <si>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</si>
  <si>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</si>
  <si>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</si>
  <si>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</si>
  <si>
    <t>Remove mv, add flag_hawking_moss, V(false vacuum)</t>
  </si>
  <si>
    <t>Error: Placing top of potential barrier outside</t>
  </si>
  <si>
    <t>\data\input\infile_0958.txt</t>
  </si>
  <si>
    <t>\data\input\infile_0959.txt</t>
  </si>
  <si>
    <t>\data\input\infile_0960.txt</t>
  </si>
  <si>
    <t>\data\input\infile_0961.txt</t>
  </si>
  <si>
    <t>\data\input\infile_0962.txt</t>
  </si>
  <si>
    <t>\data\input\infile_0963.txt</t>
  </si>
  <si>
    <t>\data\input\infile_0964.txt</t>
  </si>
  <si>
    <t>\data\input\infile_0965.txt</t>
  </si>
  <si>
    <t>\data\input\infile_0966.txt</t>
  </si>
  <si>
    <t>\data\input\infile_0967.txt</t>
  </si>
  <si>
    <t>\data\input\infile_0968.txt</t>
  </si>
  <si>
    <t>\data\input\infile_0969.txt</t>
  </si>
  <si>
    <t>\data\input\infile_0970.txt</t>
  </si>
  <si>
    <t>\data\input\infile_0971.txt</t>
  </si>
  <si>
    <t>\data\input\infile_0972.txt</t>
  </si>
  <si>
    <t>\data\input\infile_0973.txt</t>
  </si>
  <si>
    <t>\data\input\infile_0974.txt</t>
  </si>
  <si>
    <t>\data\input\infile_0975.txt</t>
  </si>
  <si>
    <t>\data\input\infile_0976.txt</t>
  </si>
  <si>
    <t>\data\input\infile_0977.txt</t>
  </si>
  <si>
    <t>\data\input\infile_0978.txt</t>
  </si>
  <si>
    <t>\data\input\infile_0979.txt</t>
  </si>
  <si>
    <t>\data\input\infile_0980.txt</t>
  </si>
  <si>
    <t>\data\input\infile_0981.txt</t>
  </si>
  <si>
    <t>\data\input\infile_0982.txt</t>
  </si>
  <si>
    <t>\data\input\infile_0983.txt</t>
  </si>
  <si>
    <t>\data\input\infile_0984.txt</t>
  </si>
  <si>
    <t>\data\input\infile_0985.txt</t>
  </si>
  <si>
    <t>\data\input\infile_0986.txt</t>
  </si>
  <si>
    <t>\data\input\infile_0987.txt</t>
  </si>
  <si>
    <t>\data\input\infile_0988.txt</t>
  </si>
  <si>
    <t>\data\input\infile_0989.txt</t>
  </si>
  <si>
    <t>\data\input\infile_0990.txt</t>
  </si>
  <si>
    <t>\data\input\infile_0991.txt</t>
  </si>
  <si>
    <t>\data\input\infile_0992.txt</t>
  </si>
  <si>
    <t>\data\input\infile_0993.txt</t>
  </si>
  <si>
    <t>\data\input\infile_0994.txt</t>
  </si>
  <si>
    <t>\data\input\infile_0995.txt</t>
  </si>
  <si>
    <t>\data\input\infile_0996.txt</t>
  </si>
  <si>
    <t>\data\input\infile_0997.txt</t>
  </si>
  <si>
    <t>\data\input\infile_0998.txt</t>
  </si>
  <si>
    <t>\data\input\infile_0999.txt</t>
  </si>
  <si>
    <t>\data\input\infile_1000.txt</t>
  </si>
  <si>
    <t>\data\input\infile_1001.txt</t>
  </si>
  <si>
    <t>\data\input\infile_1002.txt</t>
  </si>
  <si>
    <t>\data\input\infile_1003.txt</t>
  </si>
  <si>
    <t>\data\input\infile_1004.txt</t>
  </si>
  <si>
    <t>\data\input\infile_1005.txt</t>
  </si>
  <si>
    <t>\data\input\infile_1006.txt</t>
  </si>
  <si>
    <t>\data\input\infile_1007.txt</t>
  </si>
  <si>
    <t>\data\input\infile_1008.txt</t>
  </si>
  <si>
    <t>\data\input\infile_1009.txt</t>
  </si>
  <si>
    <t>\data\input\infile_1010.txt</t>
  </si>
  <si>
    <t>\data\input\infile_1011.txt</t>
  </si>
  <si>
    <t>\data\input\infile_1012.txt</t>
  </si>
  <si>
    <t>\data\input\infile_1013.txt</t>
  </si>
  <si>
    <t>\data\input\infile_1014.txt</t>
  </si>
  <si>
    <t>\data\input\infile_1015.txt</t>
  </si>
  <si>
    <t>\data\input\infile_1016.txt</t>
  </si>
  <si>
    <t>\data\input\infile_1017.txt</t>
  </si>
  <si>
    <t>\data\input\infile_1018.txt</t>
  </si>
  <si>
    <t>\data\input\infile_1019.txt</t>
  </si>
  <si>
    <t>\data\input\infile_1020.txt</t>
  </si>
  <si>
    <t>\data\input\infile_1021.txt</t>
  </si>
  <si>
    <t>\data\input\infile_1022.txt</t>
  </si>
  <si>
    <t>\data\input\infile_1023.txt</t>
  </si>
  <si>
    <t>\data\input\infile_1024.txt</t>
  </si>
  <si>
    <t>\data\input\infile_1025.txt</t>
  </si>
  <si>
    <t>\data\input\infile_1026.txt</t>
  </si>
  <si>
    <t>\data\input\infile_1027.txt</t>
  </si>
  <si>
    <t>\data\input\infile_1028.txt</t>
  </si>
  <si>
    <t>\data\input\infile_1029.txt</t>
  </si>
  <si>
    <t>\data\input\infile_1030.txt</t>
  </si>
  <si>
    <t>\data\input\infile_1031.txt</t>
  </si>
  <si>
    <t>\data\input\infile_1032.txt</t>
  </si>
  <si>
    <t>\data\input\infile_1033.txt</t>
  </si>
  <si>
    <t>\data\input\infile_1034.txt</t>
  </si>
  <si>
    <t>\data\input\infile_1035.txt</t>
  </si>
  <si>
    <t>\data\input\infile_1036.txt</t>
  </si>
  <si>
    <t>\data\input\infile_1037.txt</t>
  </si>
  <si>
    <t>\data\input\infile_1038.txt</t>
  </si>
  <si>
    <t>\data\input\infile_1039.txt</t>
  </si>
  <si>
    <t>\data\input\infile_1040.txt</t>
  </si>
  <si>
    <t>\data\input\infile_1041.txt</t>
  </si>
  <si>
    <t>\data\input\infile_1042.txt</t>
  </si>
  <si>
    <t>\data\input\infile_1043.txt</t>
  </si>
  <si>
    <t>\data\input\infile_1044.txt</t>
  </si>
  <si>
    <t>\data\input\infile_1045.txt</t>
  </si>
  <si>
    <t>\data\input\infile_1046.txt</t>
  </si>
  <si>
    <t>\data\input\infile_1047.txt</t>
  </si>
  <si>
    <t>\data\input\infile_1048.txt</t>
  </si>
  <si>
    <t>\data\input\infile_1049.txt</t>
  </si>
  <si>
    <t>\data\input\infile_1050.txt</t>
  </si>
  <si>
    <t>\data\input\infile_1051.txt</t>
  </si>
  <si>
    <t>\data\input\infile_1052.txt</t>
  </si>
  <si>
    <t>\data\input\infile_1053.txt</t>
  </si>
  <si>
    <t>\data\input\infile_1054.txt</t>
  </si>
  <si>
    <t>\data\input\infile_1055.txt</t>
  </si>
  <si>
    <t>\data\input\infile_1056.txt</t>
  </si>
  <si>
    <t>\data\input\infile_1057.txt</t>
  </si>
  <si>
    <t>\data\input\infile_1058.txt</t>
  </si>
  <si>
    <t>\data\input\infile_1059.txt</t>
  </si>
  <si>
    <t>\data\input\infile_1060.txt</t>
  </si>
  <si>
    <t>\data\input\infile_1061.txt</t>
  </si>
  <si>
    <t>\data\input\infile_1062.txt</t>
  </si>
  <si>
    <t>\data\input\infile_1063.txt</t>
  </si>
  <si>
    <t>\data\input\infile_1064.txt</t>
  </si>
  <si>
    <t>\data\input\infile_1065.txt</t>
  </si>
  <si>
    <t>\data\input\infile_1066.txt</t>
  </si>
  <si>
    <t>\data\input\infile_1067.txt</t>
  </si>
  <si>
    <t>\data\input\infile_1068.txt</t>
  </si>
  <si>
    <t>\data\input\infile_1069.txt</t>
  </si>
  <si>
    <t>\data\input\infile_1070.txt</t>
  </si>
  <si>
    <t>\data\input\infile_1071.txt</t>
  </si>
  <si>
    <t>\data\input\infile_1072.txt</t>
  </si>
  <si>
    <t>\data\input\infile_1073.txt</t>
  </si>
  <si>
    <t>\data\input\infile_1074.txt</t>
  </si>
  <si>
    <t>\data\input\infile_1075.txt</t>
  </si>
  <si>
    <t>\data\input\infile_1076.txt</t>
  </si>
  <si>
    <t>\data\input\infile_1077.txt</t>
  </si>
  <si>
    <t>\data\input\infile_1078.txt</t>
  </si>
  <si>
    <t>\data\input\infile_1079.txt</t>
  </si>
  <si>
    <t>\data\input\infile_1080.txt</t>
  </si>
  <si>
    <t>\data\input\infile_1081.txt</t>
  </si>
  <si>
    <t>\data\input\infile_1082.txt</t>
  </si>
  <si>
    <t>\data\input\infile_1083.txt</t>
  </si>
  <si>
    <t>\data\input\infile_1084.txt</t>
  </si>
  <si>
    <t>\data\input\infile_1085.txt</t>
  </si>
  <si>
    <t>\data\input\infile_1086.txt</t>
  </si>
  <si>
    <t>\data\input\infile_1087.txt</t>
  </si>
  <si>
    <t>\data\input\infile_1088.txt</t>
  </si>
  <si>
    <t>\data\input\infile_1089.txt</t>
  </si>
  <si>
    <t>\data\input\infile_1090.txt</t>
  </si>
  <si>
    <t>\data\input\infile_1091.txt</t>
  </si>
  <si>
    <t>\data\input\infile_1092.txt</t>
  </si>
  <si>
    <t>\data\input\infile_1093.txt</t>
  </si>
  <si>
    <t>\data\input\infile_1094.txt</t>
  </si>
  <si>
    <t>\data\input\infile_1095.txt</t>
  </si>
  <si>
    <t>\data\input\infile_1096.txt</t>
  </si>
  <si>
    <t>\data\input\infile_1097.txt</t>
  </si>
  <si>
    <t>\data\input\infile_1098.txt</t>
  </si>
  <si>
    <t>\data\input\infile_1099.txt</t>
  </si>
  <si>
    <t>Change a_0 in potential definition, rather than pass rho_offset</t>
  </si>
  <si>
    <t>Rename misnamed output_t files</t>
  </si>
  <si>
    <t>Running slurm_select without -r results in "output_t_.txt"</t>
  </si>
  <si>
    <t>Add logging for cases where FVI throws an erro</t>
  </si>
  <si>
    <t>Verify random numbers are random</t>
  </si>
  <si>
    <t>Add test_ids to sbatch comment</t>
  </si>
  <si>
    <t>24e8f0e</t>
  </si>
  <si>
    <t>Add cores to EIS parameters</t>
  </si>
  <si>
    <t>Change next-min search from V domain to f domain</t>
  </si>
  <si>
    <t>\data\input\infile_1100.txt</t>
  </si>
  <si>
    <t>\data\input\infile_1101.txt</t>
  </si>
  <si>
    <t>\data\input\infile_1102.txt</t>
  </si>
  <si>
    <t>\data\input\infile_1103.txt</t>
  </si>
  <si>
    <t>\data\input\infile_1104.txt</t>
  </si>
  <si>
    <t>\data\input\infile_1105.txt</t>
  </si>
  <si>
    <t>\data\input\infile_1106.txt</t>
  </si>
  <si>
    <t>\data\input\infile_1107.txt</t>
  </si>
  <si>
    <t>\data\input\infile_1108.txt</t>
  </si>
  <si>
    <t>\data\input\infile_1109.txt</t>
  </si>
  <si>
    <t>\data\input\infile_1110.txt</t>
  </si>
  <si>
    <t>\data\input\infile_1111.txt</t>
  </si>
  <si>
    <t>\data\input\infile_1112.txt</t>
  </si>
  <si>
    <t>\data\input\infile_1113.txt</t>
  </si>
  <si>
    <t>\data\input\infile_1114.txt</t>
  </si>
  <si>
    <t>\data\input\infile_1115.txt</t>
  </si>
  <si>
    <t>\data\input\infile_1116.txt</t>
  </si>
  <si>
    <t>\data\input\infile_1117.txt</t>
  </si>
  <si>
    <t>\data\input\infile_1118.txt</t>
  </si>
  <si>
    <t>\data\input\infile_1119.txt</t>
  </si>
  <si>
    <t>\data\input\infile_1120.txt</t>
  </si>
  <si>
    <t>\data\input\infile_1121.txt</t>
  </si>
  <si>
    <t>\data\input\infile_1122.txt</t>
  </si>
  <si>
    <t>\data\input\infile_1123.txt</t>
  </si>
  <si>
    <t>\data\input\infile_1124.txt</t>
  </si>
  <si>
    <t>\data\input\infile_1125.txt</t>
  </si>
  <si>
    <t>\data\input\infile_1126.txt</t>
  </si>
  <si>
    <t>\data\input\infile_1127.txt</t>
  </si>
  <si>
    <t>\data\input\infile_1128.txt</t>
  </si>
  <si>
    <t>\data\input\infile_1129.txt</t>
  </si>
  <si>
    <t>\data\input\infile_1130.txt</t>
  </si>
  <si>
    <t>\data\input\infile_1131.txt</t>
  </si>
  <si>
    <t>\data\input\infile_1132.txt</t>
  </si>
  <si>
    <t>\data\input\infile_1133.txt</t>
  </si>
  <si>
    <t>\data\input\infile_1134.txt</t>
  </si>
  <si>
    <t>\data\input\infile_1135.txt</t>
  </si>
  <si>
    <t>\data\input\infile_1136.txt</t>
  </si>
  <si>
    <t>\data\input\infile_1137.txt</t>
  </si>
  <si>
    <t>\data\input\infile_1138.txt</t>
  </si>
  <si>
    <t>\data\input\infile_1139.txt</t>
  </si>
  <si>
    <t>\data\input\infile_1140.txt</t>
  </si>
  <si>
    <t>\data\input\infile_1141.txt</t>
  </si>
  <si>
    <t>\data\input\infile_1142.txt</t>
  </si>
  <si>
    <t>\data\input\infile_1143.txt</t>
  </si>
  <si>
    <t>\data\input\infile_1144.txt</t>
  </si>
  <si>
    <t>\data\input\infile_1145.txt</t>
  </si>
  <si>
    <t>\data\input\infile_1146.txt</t>
  </si>
  <si>
    <t>\data\input\infile_1147.txt</t>
  </si>
  <si>
    <t>\data\input\infile_1148.txt</t>
  </si>
  <si>
    <t>\data\input\infile_1149.txt</t>
  </si>
  <si>
    <t>\data\input\infile_1150.txt</t>
  </si>
  <si>
    <t>\data\input\infile_1151.txt</t>
  </si>
  <si>
    <t>\data\input\infile_1152.txt</t>
  </si>
  <si>
    <t>\data\input\infile_1153.txt</t>
  </si>
  <si>
    <t>\data\input\infile_1154.txt</t>
  </si>
  <si>
    <t>\data\input\infile_1155.txt</t>
  </si>
  <si>
    <t>\data\input\infile_1156.txt</t>
  </si>
  <si>
    <t>\data\input\infile_1157.txt</t>
  </si>
  <si>
    <t>\data\input\infile_1158.txt</t>
  </si>
  <si>
    <t>\data\input\infile_1159.txt</t>
  </si>
  <si>
    <t>\data\input\infile_1160.txt</t>
  </si>
  <si>
    <t>\data\input\infile_1161.txt</t>
  </si>
  <si>
    <t>\data\input\infile_1162.txt</t>
  </si>
  <si>
    <t>\data\input\infile_1163.txt</t>
  </si>
  <si>
    <t>\data\input\infile_1164.txt</t>
  </si>
  <si>
    <t>\data\input\infile_1165.txt</t>
  </si>
  <si>
    <t>\data\input\infile_1166.txt</t>
  </si>
  <si>
    <t>\data\input\infile_1167.txt</t>
  </si>
  <si>
    <t>\data\input\infile_1168.txt</t>
  </si>
  <si>
    <t>\data\input\infile_1169.txt</t>
  </si>
  <si>
    <t>\data\input\infile_1170.txt</t>
  </si>
  <si>
    <t>\data\input\infile_1171.txt</t>
  </si>
  <si>
    <t>\data\input\infile_1172.txt</t>
  </si>
  <si>
    <t>\data\input\infile_1173.txt</t>
  </si>
  <si>
    <t>\data\input\infile_1174.txt</t>
  </si>
  <si>
    <t>\data\input\infile_1175.txt</t>
  </si>
  <si>
    <t>\data\input\infile_1176.txt</t>
  </si>
  <si>
    <t>\data\input\infile_1177.txt</t>
  </si>
  <si>
    <t>\data\input\infile_1178.txt</t>
  </si>
  <si>
    <t>\data\input\infile_1179.txt</t>
  </si>
  <si>
    <t>\data\input\infile_1180.txt</t>
  </si>
  <si>
    <t>\data\input\infile_1181.txt</t>
  </si>
  <si>
    <t>\data\input\infile_1182.txt</t>
  </si>
  <si>
    <t>\data\input\infile_1183.txt</t>
  </si>
  <si>
    <t>\data\input\infile_1184.txt</t>
  </si>
  <si>
    <t>\data\input\infile_1185.txt</t>
  </si>
  <si>
    <t>\data\input\infile_1186.txt</t>
  </si>
  <si>
    <t>\data\input\infile_1187.txt</t>
  </si>
  <si>
    <t>\data\input\infile_1188.txt</t>
  </si>
  <si>
    <t>\data\input\infile_1189.txt</t>
  </si>
  <si>
    <t>\data\input\infile_1190.txt</t>
  </si>
  <si>
    <t>\data\input\infile_1191.txt</t>
  </si>
  <si>
    <t>\data\input\infile_1192.txt</t>
  </si>
  <si>
    <t>\data\input\infile_1193.txt</t>
  </si>
  <si>
    <t>\data\input\infile_1194.txt</t>
  </si>
  <si>
    <t>\data\input\infile_1195.txt</t>
  </si>
  <si>
    <t>\data\input\infile_1196.txt</t>
  </si>
  <si>
    <t>\data\input\infile_1197.txt</t>
  </si>
  <si>
    <t>\data\input\infile_1198.txt</t>
  </si>
  <si>
    <t>\data\input\infile_1199.txt</t>
  </si>
  <si>
    <t>\data\input\infile_1200.txt</t>
  </si>
  <si>
    <t>\data\input\infile_1201.txt</t>
  </si>
  <si>
    <t>\data\input\infile_1202.txt</t>
  </si>
  <si>
    <t>\data\input\infile_1203.txt</t>
  </si>
  <si>
    <t>\data\input\infile_1204.txt</t>
  </si>
  <si>
    <t>\data\input\infile_1205.txt</t>
  </si>
  <si>
    <t>\data\input\infile_1206.txt</t>
  </si>
  <si>
    <t>\data\input\infile_1207.txt</t>
  </si>
  <si>
    <t>\data\input\infile_1208.txt</t>
  </si>
  <si>
    <t>\data\input\infile_1209.txt</t>
  </si>
  <si>
    <t>\data\input\infile_1210.txt</t>
  </si>
  <si>
    <t>\data\input\infile_1211.txt</t>
  </si>
  <si>
    <t>\data\input\infile_1212.txt</t>
  </si>
  <si>
    <t>\data\input\infile_1213.txt</t>
  </si>
  <si>
    <t>\data\input\infile_1214.txt</t>
  </si>
  <si>
    <t>\data\input\infile_1215.txt</t>
  </si>
  <si>
    <t>\data\input\infile_1216.txt</t>
  </si>
  <si>
    <t>\data\input\infile_1217.txt</t>
  </si>
  <si>
    <t>\data\input\infile_1218.txt</t>
  </si>
  <si>
    <t>\data\input\infile_1219.txt</t>
  </si>
  <si>
    <t>\data\input\infile_1220.txt</t>
  </si>
  <si>
    <t>\data\input\infile_1221.txt</t>
  </si>
  <si>
    <t>\data\input\infile_1222.txt</t>
  </si>
  <si>
    <t>\data\input\infile_1223.txt</t>
  </si>
  <si>
    <t>\data\input\infile_1224.txt</t>
  </si>
  <si>
    <t>\data\input\infile_1225.txt</t>
  </si>
  <si>
    <t>\data\input\infile_1226.txt</t>
  </si>
  <si>
    <t>\data\input\infile_1227.txt</t>
  </si>
  <si>
    <t>\data\input\infile_1228.txt</t>
  </si>
  <si>
    <t>\data\input\infile_1229.txt</t>
  </si>
  <si>
    <t>\data\input\infile_1230.txt</t>
  </si>
  <si>
    <t>\data\input\infile_1231.txt</t>
  </si>
  <si>
    <t>\data\input\infile_1232.txt</t>
  </si>
  <si>
    <t>\data\input\infile_1233.txt</t>
  </si>
  <si>
    <t>\data\input\infile_1234.txt</t>
  </si>
  <si>
    <t>\data\input\infile_1235.txt</t>
  </si>
  <si>
    <t>\data\input\infile_1236.txt</t>
  </si>
  <si>
    <t>\data\input\infile_1237.txt</t>
  </si>
  <si>
    <t>\data\input\infile_1238.txt</t>
  </si>
  <si>
    <t>\data\input\infile_1239.txt</t>
  </si>
  <si>
    <t>\data\input\infile_1240.txt</t>
  </si>
  <si>
    <t>\data\input\infile_1241.txt</t>
  </si>
  <si>
    <t>Speed up Measure A</t>
  </si>
  <si>
    <t>Allow for multiple epochs of inflation</t>
  </si>
  <si>
    <t>cfb9905</t>
  </si>
  <si>
    <t>cfb9906</t>
  </si>
  <si>
    <t>cfb9907</t>
  </si>
  <si>
    <t>cfb9908</t>
  </si>
  <si>
    <t>cfb9909</t>
  </si>
  <si>
    <t>cfb9910</t>
  </si>
  <si>
    <t>cfb9911</t>
  </si>
  <si>
    <t>cfb9912</t>
  </si>
  <si>
    <t>cfb9913</t>
  </si>
  <si>
    <t>cfb9914</t>
  </si>
  <si>
    <t>cfb9915</t>
  </si>
  <si>
    <t>cfb9916</t>
  </si>
  <si>
    <t>cfb9917</t>
  </si>
  <si>
    <t>cfb9918</t>
  </si>
  <si>
    <t>cfb9919</t>
  </si>
  <si>
    <t>cfb9920</t>
  </si>
  <si>
    <t>cfb9921</t>
  </si>
  <si>
    <t>cfb9922</t>
  </si>
  <si>
    <t>cfb9923</t>
  </si>
  <si>
    <t>cfb9924</t>
  </si>
  <si>
    <t>cfb9925</t>
  </si>
  <si>
    <t>cfb9926</t>
  </si>
  <si>
    <t>cfb9927</t>
  </si>
  <si>
    <t>cfb9928</t>
  </si>
  <si>
    <t>cfb9929</t>
  </si>
  <si>
    <t>cfb9930</t>
  </si>
  <si>
    <t>cfb9931</t>
  </si>
  <si>
    <t>cfb9932</t>
  </si>
  <si>
    <t>cfb9933</t>
  </si>
  <si>
    <t>cfb9934</t>
  </si>
  <si>
    <t>cfb9935</t>
  </si>
  <si>
    <t>cfb9936</t>
  </si>
  <si>
    <t>cfb9937</t>
  </si>
  <si>
    <t>cfb9938</t>
  </si>
  <si>
    <t>cfb9939</t>
  </si>
  <si>
    <t>cfb9940</t>
  </si>
  <si>
    <t>cfb9941</t>
  </si>
  <si>
    <t>cfb9942</t>
  </si>
  <si>
    <t>cfb9943</t>
  </si>
  <si>
    <t>cfb9944</t>
  </si>
  <si>
    <t>cfb9945</t>
  </si>
  <si>
    <t>cfb9946</t>
  </si>
  <si>
    <t>cfb9947</t>
  </si>
  <si>
    <t>cfb9948</t>
  </si>
  <si>
    <t>cfb9949</t>
  </si>
  <si>
    <t>cfb9950</t>
  </si>
  <si>
    <t>cfb9951</t>
  </si>
  <si>
    <t>cfb9952</t>
  </si>
  <si>
    <t>cfb9953</t>
  </si>
  <si>
    <t>cfb9954</t>
  </si>
  <si>
    <t>cfb9955</t>
  </si>
  <si>
    <t>cfb9956</t>
  </si>
  <si>
    <t>cfb9957</t>
  </si>
  <si>
    <t>cfb9958</t>
  </si>
  <si>
    <t>cfb9959</t>
  </si>
  <si>
    <t>cfb9960</t>
  </si>
  <si>
    <t>cfb9961</t>
  </si>
  <si>
    <t>cfb9962</t>
  </si>
  <si>
    <t>cfb9963</t>
  </si>
  <si>
    <t>cfb9964</t>
  </si>
  <si>
    <t>cfb9965</t>
  </si>
  <si>
    <t>cfb9966</t>
  </si>
  <si>
    <t>cfb9967</t>
  </si>
  <si>
    <t>cfb9968</t>
  </si>
  <si>
    <t>cfb9969</t>
  </si>
  <si>
    <t>cfb9970</t>
  </si>
  <si>
    <t>cfb9971</t>
  </si>
  <si>
    <t>cfb9972</t>
  </si>
  <si>
    <t>cfb9973</t>
  </si>
  <si>
    <t>cfb9974</t>
  </si>
  <si>
    <t>cfb9975</t>
  </si>
  <si>
    <t>cfb9976</t>
  </si>
  <si>
    <t>cfb9977</t>
  </si>
  <si>
    <t>cfb9978</t>
  </si>
  <si>
    <t>cfb9979</t>
  </si>
  <si>
    <t>cfb9980</t>
  </si>
  <si>
    <t>cfb9981</t>
  </si>
  <si>
    <t>cfb9982</t>
  </si>
  <si>
    <t>cfb9983</t>
  </si>
  <si>
    <t>cfb9984</t>
  </si>
  <si>
    <t>cfb9985</t>
  </si>
  <si>
    <t>cfb9986</t>
  </si>
  <si>
    <t>cfb9987</t>
  </si>
  <si>
    <t>cfb9988</t>
  </si>
  <si>
    <t>cfb9989</t>
  </si>
  <si>
    <t>cfb9990</t>
  </si>
  <si>
    <t>cfb9991</t>
  </si>
  <si>
    <t>cfb9992</t>
  </si>
  <si>
    <t>cfb9993</t>
  </si>
  <si>
    <t>cfb9994</t>
  </si>
  <si>
    <t>cfb9995</t>
  </si>
  <si>
    <t>cfb9996</t>
  </si>
  <si>
    <t>cfb9997</t>
  </si>
  <si>
    <t>cfb9998</t>
  </si>
  <si>
    <t>cfb9999</t>
  </si>
  <si>
    <t>cfb10000</t>
  </si>
  <si>
    <t>cfb10001</t>
  </si>
  <si>
    <t>cfb10002</t>
  </si>
  <si>
    <t>cfb10003</t>
  </si>
  <si>
    <t>cfb10004</t>
  </si>
  <si>
    <t>cfb10005</t>
  </si>
  <si>
    <t>cfb10006</t>
  </si>
  <si>
    <t>cfb10007</t>
  </si>
  <si>
    <t>cfb10008</t>
  </si>
  <si>
    <t>cfb10009</t>
  </si>
  <si>
    <t>cfb10010</t>
  </si>
  <si>
    <t>cfb10011</t>
  </si>
  <si>
    <t>cfb10012</t>
  </si>
  <si>
    <t>cfb10013</t>
  </si>
  <si>
    <t>cfb10014</t>
  </si>
  <si>
    <t>cfb10015</t>
  </si>
  <si>
    <t>cfb10016</t>
  </si>
  <si>
    <t>cfb10017</t>
  </si>
  <si>
    <t>cfb10018</t>
  </si>
  <si>
    <t>cfb10019</t>
  </si>
  <si>
    <t>cfb10020</t>
  </si>
  <si>
    <t>cfb10021</t>
  </si>
  <si>
    <t>cfb10022</t>
  </si>
  <si>
    <t>cfb10023</t>
  </si>
  <si>
    <t>cfb10024</t>
  </si>
  <si>
    <t>cfb10025</t>
  </si>
  <si>
    <t>cfb10026</t>
  </si>
  <si>
    <t>cfb10027</t>
  </si>
  <si>
    <t>cfb10028</t>
  </si>
  <si>
    <t>cfb10029</t>
  </si>
  <si>
    <t>cfb10030</t>
  </si>
  <si>
    <t>cfb10031</t>
  </si>
  <si>
    <t>cfb10032</t>
  </si>
  <si>
    <t>cfb10033</t>
  </si>
  <si>
    <t>cfb10034</t>
  </si>
  <si>
    <t>cfb10035</t>
  </si>
  <si>
    <t>cfb10036</t>
  </si>
  <si>
    <t>cfb10037</t>
  </si>
  <si>
    <t>cfb10038</t>
  </si>
  <si>
    <t>cfb10039</t>
  </si>
  <si>
    <t>cfb10040</t>
  </si>
  <si>
    <t>cfb10041</t>
  </si>
  <si>
    <t>cfb10042</t>
  </si>
  <si>
    <t>cfb10043</t>
  </si>
  <si>
    <t>cfb10044</t>
  </si>
  <si>
    <t>cfb10045</t>
  </si>
  <si>
    <t>cfb10046</t>
  </si>
  <si>
    <t>Stochastic: Reset the rate of advance</t>
  </si>
  <si>
    <t>Reduce to one Matlab instance and one call to srun</t>
  </si>
  <si>
    <t>\data\input\infile_1242.txt</t>
  </si>
  <si>
    <t>\data\input\infile_1243.txt</t>
  </si>
  <si>
    <t>\data\input\infile_1244.txt</t>
  </si>
  <si>
    <t>\data\input\infile_1245.txt</t>
  </si>
  <si>
    <t>\data\input\infile_1246.txt</t>
  </si>
  <si>
    <t>\data\input\infile_1247.txt</t>
  </si>
  <si>
    <t>\data\input\infile_1248.txt</t>
  </si>
  <si>
    <t>\data\input\infile_1249.txt</t>
  </si>
  <si>
    <t>\data\input\infile_1250.txt</t>
  </si>
  <si>
    <t>\data\input\infile_1251.txt</t>
  </si>
  <si>
    <t>\data\input\infile_1252.txt</t>
  </si>
  <si>
    <t>\data\input\infile_1253.txt</t>
  </si>
  <si>
    <t>\data\input\infile_1254.txt</t>
  </si>
  <si>
    <t>\data\input\infile_1255.txt</t>
  </si>
  <si>
    <t>\data\input\infile_1256.txt</t>
  </si>
  <si>
    <t>\data\input\infile_1257.txt</t>
  </si>
  <si>
    <t>\data\input\infile_1258.txt</t>
  </si>
  <si>
    <t>\data\input\infile_1259.txt</t>
  </si>
  <si>
    <t>\data\input\infile_1260.txt</t>
  </si>
  <si>
    <t>\data\input\infile_1261.txt</t>
  </si>
  <si>
    <t>\data\input\infile_1262.txt</t>
  </si>
  <si>
    <t>\data\input\infile_1263.txt</t>
  </si>
  <si>
    <t>\data\input\infile_1264.txt</t>
  </si>
  <si>
    <t>\data\input\infile_1265.txt</t>
  </si>
  <si>
    <t>\data\input\infile_1266.txt</t>
  </si>
  <si>
    <t>\data\input\infile_1267.txt</t>
  </si>
  <si>
    <t>\data\input\infile_1268.txt</t>
  </si>
  <si>
    <t>\data\input\infile_1269.txt</t>
  </si>
  <si>
    <t>\data\input\infile_1270.txt</t>
  </si>
  <si>
    <t>\data\input\infile_1271.txt</t>
  </si>
  <si>
    <t>\data\input\infile_1272.txt</t>
  </si>
  <si>
    <t>\data\input\infile_1273.txt</t>
  </si>
  <si>
    <t>\data\input\infile_1274.txt</t>
  </si>
  <si>
    <t>\data\input\infile_1275.txt</t>
  </si>
  <si>
    <t>\data\input\infile_1276.txt</t>
  </si>
  <si>
    <t>\data\input\infile_1277.txt</t>
  </si>
  <si>
    <t>\data\input\infile_1278.txt</t>
  </si>
  <si>
    <t>\data\input\infile_1279.txt</t>
  </si>
  <si>
    <t>\data\input\infile_1280.txt</t>
  </si>
  <si>
    <t>\data\input\infile_1281.txt</t>
  </si>
  <si>
    <t>\data\input\infile_1282.txt</t>
  </si>
  <si>
    <t>\data\input\infile_1283.txt</t>
  </si>
  <si>
    <t>\data\input\infile_1284.txt</t>
  </si>
  <si>
    <t>\data\input\infile_1285.txt</t>
  </si>
  <si>
    <t>\data\input\infile_1286.txt</t>
  </si>
  <si>
    <t>\data\input\infile_1287.txt</t>
  </si>
  <si>
    <t>\data\input\infile_1288.txt</t>
  </si>
  <si>
    <t>\data\input\infile_1289.txt</t>
  </si>
  <si>
    <t>\data\input\infile_1290.txt</t>
  </si>
  <si>
    <t>\data\input\infile_1291.txt</t>
  </si>
  <si>
    <t>\data\input\infile_1292.txt</t>
  </si>
  <si>
    <t>\data\input\infile_1293.txt</t>
  </si>
  <si>
    <t>\data\input\infile_1294.txt</t>
  </si>
  <si>
    <t>\data\input\infile_1295.txt</t>
  </si>
  <si>
    <t>\data\input\infile_1296.txt</t>
  </si>
  <si>
    <t>\data\input\infile_1297.txt</t>
  </si>
  <si>
    <t>\data\input\infile_1298.txt</t>
  </si>
  <si>
    <t>\data\input\infile_1299.txt</t>
  </si>
  <si>
    <t>\data\input\infile_1300.txt</t>
  </si>
  <si>
    <t>\data\input\infile_1301.txt</t>
  </si>
  <si>
    <t>\data\input\infile_1302.txt</t>
  </si>
  <si>
    <t>\data\input\infile_1303.txt</t>
  </si>
  <si>
    <t>\data\input\infile_1304.txt</t>
  </si>
  <si>
    <t>\data\input\infile_1305.txt</t>
  </si>
  <si>
    <t>\data\input\infile_1306.txt</t>
  </si>
  <si>
    <t>\data\input\infile_1307.txt</t>
  </si>
  <si>
    <t>\data\input\infile_1308.txt</t>
  </si>
  <si>
    <t>\data\input\infile_1309.txt</t>
  </si>
  <si>
    <t>\data\input\infile_1310.txt</t>
  </si>
  <si>
    <t>\data\input\infile_1311.txt</t>
  </si>
  <si>
    <t>\data\input\infile_1312.txt</t>
  </si>
  <si>
    <t>\data\input\infile_1313.txt</t>
  </si>
  <si>
    <t>\data\input\infile_1314.txt</t>
  </si>
  <si>
    <t>\data\input\infile_1315.txt</t>
  </si>
  <si>
    <t>\data\input\infile_1316.txt</t>
  </si>
  <si>
    <t>\data\input\infile_1317.txt</t>
  </si>
  <si>
    <t>\data\input\infile_1318.txt</t>
  </si>
  <si>
    <t>\data\input\infile_1319.txt</t>
  </si>
  <si>
    <t>\data\input\infile_1320.txt</t>
  </si>
  <si>
    <t>\data\input\infile_1321.txt</t>
  </si>
  <si>
    <t>\data\input\infile_1322.txt</t>
  </si>
  <si>
    <t>\data\input\infile_1323.txt</t>
  </si>
  <si>
    <t>\data\input\infile_1324.txt</t>
  </si>
  <si>
    <t>\data\input\infile_1325.txt</t>
  </si>
  <si>
    <t>\data\input\infile_1326.txt</t>
  </si>
  <si>
    <t>\data\input\infile_1327.txt</t>
  </si>
  <si>
    <t>\data\input\infile_1328.txt</t>
  </si>
  <si>
    <t>\data\input\infile_1329.txt</t>
  </si>
  <si>
    <t>\data\input\infile_1330.txt</t>
  </si>
  <si>
    <t>\data\input\infile_1331.txt</t>
  </si>
  <si>
    <t>\data\input\infile_1332.txt</t>
  </si>
  <si>
    <t>\data\input\infile_1333.txt</t>
  </si>
  <si>
    <t>\data\input\infile_1334.txt</t>
  </si>
  <si>
    <t>\data\input\infile_1335.txt</t>
  </si>
  <si>
    <t>\data\input\infile_1336.txt</t>
  </si>
  <si>
    <t>\data\input\infile_1337.txt</t>
  </si>
  <si>
    <t>\data\input\infile_1338.txt</t>
  </si>
  <si>
    <t>\data\input\infile_1339.txt</t>
  </si>
  <si>
    <t>\data\input\infile_1340.txt</t>
  </si>
  <si>
    <t>\data\input\infile_1341.txt</t>
  </si>
  <si>
    <t>\data\input\infile_1342.txt</t>
  </si>
  <si>
    <t>\data\input\infile_1343.txt</t>
  </si>
  <si>
    <t>\data\input\infile_1344.txt</t>
  </si>
  <si>
    <t>\data\input\infile_1345.txt</t>
  </si>
  <si>
    <t>\data\input\infile_1346.txt</t>
  </si>
  <si>
    <t>\data\input\infile_1347.txt</t>
  </si>
  <si>
    <t>\data\input\infile_1348.txt</t>
  </si>
  <si>
    <t>\data\input\infile_1349.txt</t>
  </si>
  <si>
    <t>\data\input\infile_1350.txt</t>
  </si>
  <si>
    <t>\data\input\infile_1351.txt</t>
  </si>
  <si>
    <t>\data\input\infile_1352.txt</t>
  </si>
  <si>
    <t>\data\input\infile_1353.txt</t>
  </si>
  <si>
    <t>\data\input\infile_1354.txt</t>
  </si>
  <si>
    <t>\data\input\infile_1355.txt</t>
  </si>
  <si>
    <t>\data\input\infile_1356.txt</t>
  </si>
  <si>
    <t>\data\input\infile_1357.txt</t>
  </si>
  <si>
    <t>\data\input\infile_1358.txt</t>
  </si>
  <si>
    <t>\data\input\infile_1359.txt</t>
  </si>
  <si>
    <t>\data\input\infile_1360.txt</t>
  </si>
  <si>
    <t>\data\input\infile_1361.txt</t>
  </si>
  <si>
    <t>\data\input\infile_1362.txt</t>
  </si>
  <si>
    <t>\data\input\infile_1363.txt</t>
  </si>
  <si>
    <t>\data\input\infile_1364.txt</t>
  </si>
  <si>
    <t>\data\input\infile_1365.txt</t>
  </si>
  <si>
    <t>\data\input\infile_1366.txt</t>
  </si>
  <si>
    <t>\data\input\infile_1367.txt</t>
  </si>
  <si>
    <t>\data\input\infile_1368.txt</t>
  </si>
  <si>
    <t>\data\input\infile_1369.txt</t>
  </si>
  <si>
    <t>\data\input\infile_1370.txt</t>
  </si>
  <si>
    <t>\data\input\infile_1371.txt</t>
  </si>
  <si>
    <t>\data\input\infile_1372.txt</t>
  </si>
  <si>
    <t>\data\input\infile_1373.txt</t>
  </si>
  <si>
    <t>\data\input\infile_1374.txt</t>
  </si>
  <si>
    <t>\data\input\infile_1375.txt</t>
  </si>
  <si>
    <t>\data\input\infile_1376.txt</t>
  </si>
  <si>
    <t>\data\input\infile_1377.txt</t>
  </si>
  <si>
    <t>\data\input\infile_1378.txt</t>
  </si>
  <si>
    <t>\data\input\infile_1379.txt</t>
  </si>
  <si>
    <t>\data\input\infile_1380.txt</t>
  </si>
  <si>
    <t>\data\input\infile_1381.txt</t>
  </si>
  <si>
    <t>\data\input\infile_1382.txt</t>
  </si>
  <si>
    <t>\data\input\infile_1383.txt</t>
  </si>
  <si>
    <t>Start</t>
  </si>
  <si>
    <t>End</t>
  </si>
  <si>
    <t>Start Date</t>
  </si>
  <si>
    <t>End Date</t>
  </si>
  <si>
    <t>10% offset allowance, no instanton tunneling</t>
  </si>
  <si>
    <t>no offset allowance, no instanton tunneling</t>
  </si>
  <si>
    <t>no offset allowance, n_tunnel_max = 2, larger n_iter</t>
  </si>
  <si>
    <t>10% offset allowance, n_tunnel_max = 2</t>
  </si>
  <si>
    <t>Added paragraph to integrate N precisely if it hasn't already</t>
  </si>
  <si>
    <t>Import dummy figures with dummy captions</t>
  </si>
  <si>
    <t>Overhaul check_false_vacuum_instanton</t>
  </si>
  <si>
    <t>Restore EIS.find_phipeak or teach FVI to use mex version</t>
  </si>
  <si>
    <t>Changed to binary search</t>
  </si>
  <si>
    <t>Make sure Measure A ends up in original basin</t>
  </si>
  <si>
    <t>Make sure Hawking-Moss field value always on the right side</t>
  </si>
  <si>
    <t>Allow FVI to accept phi_bar_top as argument</t>
  </si>
  <si>
    <t>Decide how to handle Measure A, status = 3 at initial</t>
  </si>
  <si>
    <t>Check that vacuum is positive before calculating xpeak, phiinit in Measure A</t>
  </si>
  <si>
    <t>Test Measure C</t>
  </si>
  <si>
    <t>Update Vstart with rho_offset</t>
  </si>
  <si>
    <t>Final code review</t>
  </si>
  <si>
    <t>Figure out phiinit vs phistart post-tunneling</t>
  </si>
  <si>
    <t>Make sure find_phistart always outputs a value where SRA is valid</t>
  </si>
  <si>
    <t>Check if there's still no inflation at phi0 even after potential shift</t>
  </si>
  <si>
    <t>Base initial slow roll cut on most lenient potential value</t>
  </si>
  <si>
    <t>Check stochastic and topological checks compatible with A,C</t>
  </si>
  <si>
    <t>Handle phistart = nan</t>
  </si>
  <si>
    <t>mv_offset_max</t>
  </si>
  <si>
    <t>Check that potential offset can choose to level out adjacent basins</t>
  </si>
  <si>
    <t>\data\input\infile_1384.txt</t>
  </si>
  <si>
    <t>\data\input\infile_1385.txt</t>
  </si>
  <si>
    <t>\data\input\infile_1386.txt</t>
  </si>
  <si>
    <t>\data\input\infile_1387.txt</t>
  </si>
  <si>
    <t>\data\input\infile_1388.txt</t>
  </si>
  <si>
    <t>\data\input\infile_1389.txt</t>
  </si>
  <si>
    <t>\data\input\infile_1390.txt</t>
  </si>
  <si>
    <t>\data\input\infile_1391.txt</t>
  </si>
  <si>
    <t>\data\input\infile_1392.txt</t>
  </si>
  <si>
    <t>\data\input\infile_1393.txt</t>
  </si>
  <si>
    <t>\data\input\infile_1394.txt</t>
  </si>
  <si>
    <t>\data\input\infile_1395.txt</t>
  </si>
  <si>
    <t>\data\input\infile_1396.txt</t>
  </si>
  <si>
    <t>\data\input\infile_1397.txt</t>
  </si>
  <si>
    <t>\data\input\infile_1398.txt</t>
  </si>
  <si>
    <t>\data\input\infile_1399.txt</t>
  </si>
  <si>
    <t>\data\input\infile_1400.txt</t>
  </si>
  <si>
    <t>\data\input\infile_1401.txt</t>
  </si>
  <si>
    <t>\data\input\infile_1402.txt</t>
  </si>
  <si>
    <t>\data\input\infile_1403.txt</t>
  </si>
  <si>
    <t>\data\input\infile_1404.txt</t>
  </si>
  <si>
    <t>\data\input\infile_1405.txt</t>
  </si>
  <si>
    <t>\data\input\infile_1406.txt</t>
  </si>
  <si>
    <t>\data\input\infile_1407.txt</t>
  </si>
  <si>
    <t>\data\input\infile_1408.txt</t>
  </si>
  <si>
    <t>\data\input\infile_1409.txt</t>
  </si>
  <si>
    <t>\data\input\infile_1410.txt</t>
  </si>
  <si>
    <t>\data\input\infile_1411.txt</t>
  </si>
  <si>
    <t>\data\input\infile_1412.txt</t>
  </si>
  <si>
    <t>\data\input\infile_1413.txt</t>
  </si>
  <si>
    <t>\data\input\infile_1414.txt</t>
  </si>
  <si>
    <t>\data\input\infile_1415.txt</t>
  </si>
  <si>
    <t>\data\input\infile_1416.txt</t>
  </si>
  <si>
    <t>\data\input\infile_1417.txt</t>
  </si>
  <si>
    <t>\data\input\infile_1418.txt</t>
  </si>
  <si>
    <t>\data\input\infile_1419.txt</t>
  </si>
  <si>
    <t>\data\input\infile_1420.txt</t>
  </si>
  <si>
    <t>\data\input\infile_1421.txt</t>
  </si>
  <si>
    <t>\data\input\infile_1422.txt</t>
  </si>
  <si>
    <t>\data\input\infile_1423.txt</t>
  </si>
  <si>
    <t>\data\input\infile_1424.txt</t>
  </si>
  <si>
    <t>\data\input\infile_1425.txt</t>
  </si>
  <si>
    <t>\data\input\infile_1426.txt</t>
  </si>
  <si>
    <t>\data\input\infile_1427.txt</t>
  </si>
  <si>
    <t>\data\input\infile_1428.txt</t>
  </si>
  <si>
    <t>\data\input\infile_1429.txt</t>
  </si>
  <si>
    <t>\data\input\infile_1430.txt</t>
  </si>
  <si>
    <t>\data\input\infile_1431.txt</t>
  </si>
  <si>
    <t>\data\input\infile_1432.txt</t>
  </si>
  <si>
    <t>\data\input\infile_1433.txt</t>
  </si>
  <si>
    <t>\data\input\infile_1434.txt</t>
  </si>
  <si>
    <t>\data\input\infile_1435.txt</t>
  </si>
  <si>
    <t>\data\input\infile_1436.txt</t>
  </si>
  <si>
    <t>\data\input\infile_1437.txt</t>
  </si>
  <si>
    <t>\data\input\infile_1438.txt</t>
  </si>
  <si>
    <t>\data\input\infile_1439.txt</t>
  </si>
  <si>
    <t>\data\input\infile_1440.txt</t>
  </si>
  <si>
    <t>\data\input\infile_1441.txt</t>
  </si>
  <si>
    <t>\data\input\infile_1442.txt</t>
  </si>
  <si>
    <t>\data\input\infile_1443.txt</t>
  </si>
  <si>
    <t>\data\input\infile_1444.txt</t>
  </si>
  <si>
    <t>\data\input\infile_1445.txt</t>
  </si>
  <si>
    <t>\data\input\infile_1446.txt</t>
  </si>
  <si>
    <t>\data\input\infile_1447.txt</t>
  </si>
  <si>
    <t>\data\input\infile_1448.txt</t>
  </si>
  <si>
    <t>\data\input\infile_1449.txt</t>
  </si>
  <si>
    <t>\data\input\infile_1450.txt</t>
  </si>
  <si>
    <t>\data\input\infile_1451.txt</t>
  </si>
  <si>
    <t>\data\input\infile_1452.txt</t>
  </si>
  <si>
    <t>\data\input\infile_1453.txt</t>
  </si>
  <si>
    <t>\data\input\infile_1454.txt</t>
  </si>
  <si>
    <t>\data\input\infile_1455.txt</t>
  </si>
  <si>
    <t>\data\input\infile_1456.txt</t>
  </si>
  <si>
    <t>\data\input\infile_1457.txt</t>
  </si>
  <si>
    <t>\data\input\infile_1458.txt</t>
  </si>
  <si>
    <t>\data\input\infile_1459.txt</t>
  </si>
  <si>
    <t>\data\input\infile_1460.txt</t>
  </si>
  <si>
    <t>\data\input\infile_1461.txt</t>
  </si>
  <si>
    <t>\data\input\infile_1462.txt</t>
  </si>
  <si>
    <t>\data\input\infile_1463.txt</t>
  </si>
  <si>
    <t>\data\input\infile_1464.txt</t>
  </si>
  <si>
    <t>\data\input\infile_1465.txt</t>
  </si>
  <si>
    <t>\data\input\infile_1466.txt</t>
  </si>
  <si>
    <t>\data\input\infile_1467.txt</t>
  </si>
  <si>
    <t>\data\input\infile_1468.txt</t>
  </si>
  <si>
    <t>\data\input\infile_1469.txt</t>
  </si>
  <si>
    <t>\data\input\infile_1470.txt</t>
  </si>
  <si>
    <t>\data\input\infile_1471.txt</t>
  </si>
  <si>
    <t>\data\input\infile_1472.txt</t>
  </si>
  <si>
    <t>\data\input\infile_1473.txt</t>
  </si>
  <si>
    <t>315abf0</t>
  </si>
  <si>
    <t>Handle cases where find_phiend doesn't catch minimum</t>
  </si>
  <si>
    <t>\data\input\infile_1474.txt</t>
  </si>
  <si>
    <t>\data\input\infile_1475.txt</t>
  </si>
  <si>
    <t>\data\input\infile_1476.txt</t>
  </si>
  <si>
    <t>\data\input\infile_1477.txt</t>
  </si>
  <si>
    <t>\data\input\infile_1478.txt</t>
  </si>
  <si>
    <t>\data\input\infile_1479.txt</t>
  </si>
  <si>
    <t>\data\input\infile_1480.txt</t>
  </si>
  <si>
    <t>\data\input\infile_1481.txt</t>
  </si>
  <si>
    <t>\data\input\infile_1482.txt</t>
  </si>
  <si>
    <t>\data\input\infile_1483.txt</t>
  </si>
  <si>
    <t>\data\input\infile_1484.txt</t>
  </si>
  <si>
    <t>\data\input\infile_1485.txt</t>
  </si>
  <si>
    <t>\data\input\infile_1486.txt</t>
  </si>
  <si>
    <t>\data\input\infile_1487.txt</t>
  </si>
  <si>
    <t>\data\input\infile_1488.txt</t>
  </si>
  <si>
    <t>\data\input\infile_1489.txt</t>
  </si>
  <si>
    <t>\data\input\infile_1490.txt</t>
  </si>
  <si>
    <t>\data\input\infile_1491.txt</t>
  </si>
  <si>
    <t>\data\input\infile_1492.txt</t>
  </si>
  <si>
    <t>\data\input\infile_1493.txt</t>
  </si>
  <si>
    <t>\data\input\infile_1494.txt</t>
  </si>
  <si>
    <t>\data\input\infile_1495.txt</t>
  </si>
  <si>
    <t>\data\input\infile_1496.txt</t>
  </si>
  <si>
    <t>\data\input\infile_1497.txt</t>
  </si>
  <si>
    <t>\data\input\infile_1498.txt</t>
  </si>
  <si>
    <t>\data\input\infile_1499.txt</t>
  </si>
  <si>
    <t>\data\input\infile_1500.txt</t>
  </si>
  <si>
    <t>\data\input\infile_1501.txt</t>
  </si>
  <si>
    <t>\data\input\infile_1502.txt</t>
  </si>
  <si>
    <t>\data\input\infile_1503.txt</t>
  </si>
  <si>
    <t>\data\input\infile_1504.txt</t>
  </si>
  <si>
    <t>\data\input\infile_1505.txt</t>
  </si>
  <si>
    <t>\data\input\infile_1506.txt</t>
  </si>
  <si>
    <t>\data\input\infile_1507.txt</t>
  </si>
  <si>
    <t>\data\input\infile_1508.txt</t>
  </si>
  <si>
    <t>\data\input\infile_1509.txt</t>
  </si>
  <si>
    <t>\data\input\infile_1510.txt</t>
  </si>
  <si>
    <t>\data\input\infile_1511.txt</t>
  </si>
  <si>
    <t>\data\input\infile_1512.txt</t>
  </si>
  <si>
    <t>\data\input\infile_1513.txt</t>
  </si>
  <si>
    <t>\data\input\infile_1514.txt</t>
  </si>
  <si>
    <t>\data\input\infile_1515.txt</t>
  </si>
  <si>
    <t>\data\input\infile_1516.txt</t>
  </si>
  <si>
    <t>\data\input\infile_1517.txt</t>
  </si>
  <si>
    <t>\data\input\infile_1518.txt</t>
  </si>
  <si>
    <t>\data\input\infile_1519.txt</t>
  </si>
  <si>
    <t>\data\input\infile_1520.txt</t>
  </si>
  <si>
    <t>\data\input\infile_1521.txt</t>
  </si>
  <si>
    <t>\data\input\infile_1522.txt</t>
  </si>
  <si>
    <t>\data\input\infile_1523.txt</t>
  </si>
  <si>
    <t>\data\input\infile_1524.txt</t>
  </si>
  <si>
    <t>\data\input\infile_1525.txt</t>
  </si>
  <si>
    <t>\data\input\infile_1526.txt</t>
  </si>
  <si>
    <t>\data\input\infile_1527.txt</t>
  </si>
  <si>
    <t>\data\input\infile_1528.txt</t>
  </si>
  <si>
    <t>\data\input\infile_1529.txt</t>
  </si>
  <si>
    <t>\data\input\infile_1530.txt</t>
  </si>
  <si>
    <t>\data\input\infile_1531.txt</t>
  </si>
  <si>
    <t>\data\input\infile_1532.txt</t>
  </si>
  <si>
    <t>\data\input\infile_1533.txt</t>
  </si>
  <si>
    <t>\data\input\infile_1534.txt</t>
  </si>
  <si>
    <t>\data\input\infile_1535.txt</t>
  </si>
  <si>
    <t>\data\input\infile_1536.txt</t>
  </si>
  <si>
    <t>\data\input\infile_1537.txt</t>
  </si>
  <si>
    <t>\data\input\infile_1538.txt</t>
  </si>
  <si>
    <t>\data\input\infile_1539.txt</t>
  </si>
  <si>
    <t>\data\input\infile_1540.txt</t>
  </si>
  <si>
    <t>\data\input\infile_1541.txt</t>
  </si>
  <si>
    <t>\data\input\infile_1542.txt</t>
  </si>
  <si>
    <t>\data\input\infile_1543.txt</t>
  </si>
  <si>
    <t>\data\input\infile_1544.txt</t>
  </si>
  <si>
    <t>\data\input\infile_1545.txt</t>
  </si>
  <si>
    <t>\data\input\infile_1546.txt</t>
  </si>
  <si>
    <t>\data\input\infile_1547.txt</t>
  </si>
  <si>
    <t>\data\input\infile_1548.txt</t>
  </si>
  <si>
    <t>\data\input\infile_1549.txt</t>
  </si>
  <si>
    <t>\data\input\infile_1550.txt</t>
  </si>
  <si>
    <t>\data\input\infile_1551.txt</t>
  </si>
  <si>
    <t>\data\input\infile_1552.txt</t>
  </si>
  <si>
    <t>\data\input\infile_1553.txt</t>
  </si>
  <si>
    <t>\data\input\infile_1554.txt</t>
  </si>
  <si>
    <t>\data\input\infile_1555.txt</t>
  </si>
  <si>
    <t>\data\input\infile_1556.txt</t>
  </si>
  <si>
    <t>\data\input\infile_1557.txt</t>
  </si>
  <si>
    <t>\data\input\infile_1558.txt</t>
  </si>
  <si>
    <t>\data\input\infile_1559.txt</t>
  </si>
  <si>
    <t>\data\input\infile_1560.txt</t>
  </si>
  <si>
    <t>\data\input\infile_1561.txt</t>
  </si>
  <si>
    <t>\data\input\infile_1562.txt</t>
  </si>
  <si>
    <t>\data\input\infile_1563.txt</t>
  </si>
  <si>
    <t>0b5bbae</t>
  </si>
  <si>
    <t>\data\input\infile_1564.txt</t>
  </si>
  <si>
    <t>\data\input\infile_1565.txt</t>
  </si>
  <si>
    <t>\data\input\infile_1566.txt</t>
  </si>
  <si>
    <t>\data\input\infile_1567.txt</t>
  </si>
  <si>
    <t>\data\input\infile_1568.txt</t>
  </si>
  <si>
    <t>\data\input\infile_1569.txt</t>
  </si>
  <si>
    <t>\data\input\infile_1570.txt</t>
  </si>
  <si>
    <t>\data\input\infile_1571.txt</t>
  </si>
  <si>
    <t>\data\input\infile_1572.txt</t>
  </si>
  <si>
    <t>\data\input\infile_1573.txt</t>
  </si>
  <si>
    <t>\data\input\infile_1574.txt</t>
  </si>
  <si>
    <t>\data\input\infile_1575.txt</t>
  </si>
  <si>
    <t>\data\input\infile_1576.txt</t>
  </si>
  <si>
    <t>\data\input\infile_1577.txt</t>
  </si>
  <si>
    <t>\data\input\infile_1578.txt</t>
  </si>
  <si>
    <t>\data\input\infile_1579.txt</t>
  </si>
  <si>
    <t>\data\input\infile_1580.txt</t>
  </si>
  <si>
    <t>\data\input\infile_1581.txt</t>
  </si>
  <si>
    <t>\data\input\infile_1582.txt</t>
  </si>
  <si>
    <t>\data\input\infile_1583.txt</t>
  </si>
  <si>
    <t>\data\input\infile_1584.txt</t>
  </si>
  <si>
    <t>\data\input\infile_1585.txt</t>
  </si>
  <si>
    <t>\data\input\infile_1586.txt</t>
  </si>
  <si>
    <t>\data\input\infile_1587.txt</t>
  </si>
  <si>
    <t>\data\input\infile_1588.txt</t>
  </si>
  <si>
    <t>\data\input\infile_1589.txt</t>
  </si>
  <si>
    <t>\data\input\infile_1590.txt</t>
  </si>
  <si>
    <t>\data\input\infile_1591.txt</t>
  </si>
  <si>
    <t>\data\input\infile_1592.txt</t>
  </si>
  <si>
    <t>\data\input\infile_1593.txt</t>
  </si>
  <si>
    <t>\data\input\infile_1594.txt</t>
  </si>
  <si>
    <t>\data\input\infile_1595.txt</t>
  </si>
  <si>
    <t>\data\input\infile_1596.txt</t>
  </si>
  <si>
    <t>\data\input\infile_1597.txt</t>
  </si>
  <si>
    <t>\data\input\infile_1598.txt</t>
  </si>
  <si>
    <t>\data\input\infile_1599.txt</t>
  </si>
  <si>
    <t>\data\input\infile_1600.txt</t>
  </si>
  <si>
    <t>\data\input\infile_1601.txt</t>
  </si>
  <si>
    <t>\data\input\infile_1602.txt</t>
  </si>
  <si>
    <t>\data\input\infile_1603.txt</t>
  </si>
  <si>
    <t>\data\input\infile_1604.txt</t>
  </si>
  <si>
    <t>\data\input\infile_1605.txt</t>
  </si>
  <si>
    <t>\data\input\infile_1606.txt</t>
  </si>
  <si>
    <t>\data\input\infile_1607.txt</t>
  </si>
  <si>
    <t>\data\input\infile_1608.txt</t>
  </si>
  <si>
    <t>\data\input\infile_1609.txt</t>
  </si>
  <si>
    <t>\data\input\infile_1610.txt</t>
  </si>
  <si>
    <t>\data\input\infile_1611.txt</t>
  </si>
  <si>
    <t>\data\input\infile_1612.txt</t>
  </si>
  <si>
    <t>\data\input\infile_1613.txt</t>
  </si>
  <si>
    <t>\data\input\infile_1614.txt</t>
  </si>
  <si>
    <t>\data\input\infile_1615.txt</t>
  </si>
  <si>
    <t>\data\input\infile_1616.txt</t>
  </si>
  <si>
    <t>\data\input\infile_1617.txt</t>
  </si>
  <si>
    <t>\data\input\infile_1618.txt</t>
  </si>
  <si>
    <t>\data\input\infile_1619.txt</t>
  </si>
  <si>
    <t>\data\input\infile_1620.txt</t>
  </si>
  <si>
    <t>\data\input\infile_1621.txt</t>
  </si>
  <si>
    <t>\data\input\infile_1622.txt</t>
  </si>
  <si>
    <t>\data\input\infile_1623.txt</t>
  </si>
  <si>
    <t>\data\input\infile_1624.txt</t>
  </si>
  <si>
    <t>\data\input\infile_1625.txt</t>
  </si>
  <si>
    <t>\data\input\infile_1626.txt</t>
  </si>
  <si>
    <t>\data\input\infile_1627.txt</t>
  </si>
  <si>
    <t>\data\input\infile_1628.txt</t>
  </si>
  <si>
    <t>\data\input\infile_1629.txt</t>
  </si>
  <si>
    <t>\data\input\infile_1630.txt</t>
  </si>
  <si>
    <t>\data\input\infile_1631.txt</t>
  </si>
  <si>
    <t>\data\input\infile_1632.txt</t>
  </si>
  <si>
    <t>\data\input\infile_1633.txt</t>
  </si>
  <si>
    <t>\data\input\infile_1634.txt</t>
  </si>
  <si>
    <t>\data\input\infile_1635.txt</t>
  </si>
  <si>
    <t>\data\input\infile_1636.txt</t>
  </si>
  <si>
    <t>\data\input\infile_1637.txt</t>
  </si>
  <si>
    <t>\data\input\infile_1638.txt</t>
  </si>
  <si>
    <t>\data\input\infile_1639.txt</t>
  </si>
  <si>
    <t>\data\input\infile_1640.txt</t>
  </si>
  <si>
    <t>\data\input\infile_1641.txt</t>
  </si>
  <si>
    <t>\data\input\infile_1642.txt</t>
  </si>
  <si>
    <t>\data\input\infile_1643.txt</t>
  </si>
  <si>
    <t>\data\input\infile_1644.txt</t>
  </si>
  <si>
    <t>\data\input\infile_1645.txt</t>
  </si>
  <si>
    <t>\data\input\infile_1646.txt</t>
  </si>
  <si>
    <t>\data\input\infile_1647.txt</t>
  </si>
  <si>
    <t>\data\input\infile_1648.txt</t>
  </si>
  <si>
    <t>\data\input\infile_1649.txt</t>
  </si>
  <si>
    <t>\data\input\infile_1650.txt</t>
  </si>
  <si>
    <t>\data\input\infile_1651.txt</t>
  </si>
  <si>
    <t>\data\input\infile_1652.txt</t>
  </si>
  <si>
    <t>\data\input\infile_1653.txt</t>
  </si>
  <si>
    <t>\data\input\infile_1654.txt</t>
  </si>
  <si>
    <t>\data\input\infile_1655.txt</t>
  </si>
  <si>
    <t>\data\input\infile_1656.txt</t>
  </si>
  <si>
    <t>\data\input\infile_1657.txt</t>
  </si>
  <si>
    <t>\data\input\infile_1658.txt</t>
  </si>
  <si>
    <t>\data\input\infile_1659.txt</t>
  </si>
  <si>
    <t>\data\input\infile_1660.txt</t>
  </si>
  <si>
    <t>\data\input\infile_1661.txt</t>
  </si>
  <si>
    <t>\data\input\infile_1662.txt</t>
  </si>
  <si>
    <t>\data\input\infile_1663.txt</t>
  </si>
  <si>
    <t>\data\input\infile_1664.txt</t>
  </si>
  <si>
    <t>\data\input\infile_1665.txt</t>
  </si>
  <si>
    <t>\data\input\infile_1666.txt</t>
  </si>
  <si>
    <t>\data\input\infile_1667.txt</t>
  </si>
  <si>
    <t>\data\input\infile_1668.txt</t>
  </si>
  <si>
    <t>\data\input\infile_1669.txt</t>
  </si>
  <si>
    <t>\data\input\infile_1670.txt</t>
  </si>
  <si>
    <t>\data\input\infile_1671.txt</t>
  </si>
  <si>
    <t>\data\input\infile_1672.txt</t>
  </si>
  <si>
    <t>\data\input\infile_1673.txt</t>
  </si>
  <si>
    <t>\data\input\infile_1674.txt</t>
  </si>
  <si>
    <t>\data\input\infile_1675.txt</t>
  </si>
  <si>
    <t>\data\input\infile_1676.txt</t>
  </si>
  <si>
    <t>\data\input\infile_1677.txt</t>
  </si>
  <si>
    <t>\data\input\infile_1678.txt</t>
  </si>
  <si>
    <t>\data\input\infile_1679.txt</t>
  </si>
  <si>
    <t>\data\input\infile_1680.txt</t>
  </si>
  <si>
    <t>\data\input\infile_1681.txt</t>
  </si>
  <si>
    <t>\data\input\infile_1682.txt</t>
  </si>
  <si>
    <t>\data\input\infile_1683.txt</t>
  </si>
  <si>
    <t>\data\input\infile_1684.txt</t>
  </si>
  <si>
    <t>\data\input\infile_1685.txt</t>
  </si>
  <si>
    <t>\data\input\infile_1686.txt</t>
  </si>
  <si>
    <t>\data\input\infile_1687.txt</t>
  </si>
  <si>
    <t>\data\input\infile_1688.txt</t>
  </si>
  <si>
    <t>\data\input\infile_1689.txt</t>
  </si>
  <si>
    <t>\data\input\infile_1690.txt</t>
  </si>
  <si>
    <t>\data\input\infile_1691.txt</t>
  </si>
  <si>
    <t>\data\input\infile_1692.txt</t>
  </si>
  <si>
    <t>\data\input\infile_1693.txt</t>
  </si>
  <si>
    <t>\data\input\infile_1694.txt</t>
  </si>
  <si>
    <t>\data\input\infile_1695.txt</t>
  </si>
  <si>
    <t>\data\input\infile_1696.txt</t>
  </si>
  <si>
    <t>\data\input\infile_1697.txt</t>
  </si>
  <si>
    <t>\data\input\infile_1698.txt</t>
  </si>
  <si>
    <t>\data\input\infile_1699.txt</t>
  </si>
  <si>
    <t>\data\input\infile_1700.txt</t>
  </si>
  <si>
    <t>\data\input\infile_1701.txt</t>
  </si>
  <si>
    <t>\data\input\infile_1702.txt</t>
  </si>
  <si>
    <t>\data\input\infile_1703.txt</t>
  </si>
  <si>
    <t>\data\input\infile_1704.txt</t>
  </si>
  <si>
    <t>\data\input\infile_1705.txt</t>
  </si>
  <si>
    <t>\data\input\infile_1706.txt</t>
  </si>
  <si>
    <t>\data\input\infile_1707.txt</t>
  </si>
  <si>
    <t>\data\input\infile_1708.txt</t>
  </si>
  <si>
    <t>\data\input\infile_1709.txt</t>
  </si>
  <si>
    <t>\data\input\infile_1710.txt</t>
  </si>
  <si>
    <t>\data\input\infile_1711.txt</t>
  </si>
  <si>
    <t>\data\input\infile_1712.txt</t>
  </si>
  <si>
    <t>\data\input\infile_1713.txt</t>
  </si>
  <si>
    <t>\data\input\infile_1714.txt</t>
  </si>
  <si>
    <t>\data\input\infile_1715.txt</t>
  </si>
  <si>
    <t>\data\input\infile_1716.txt</t>
  </si>
  <si>
    <t>\data\input\infile_1717.txt</t>
  </si>
  <si>
    <t>\data\input\infile_1718.txt</t>
  </si>
  <si>
    <t>\data\input\infile_1719.txt</t>
  </si>
  <si>
    <t>\data\input\infile_1720.txt</t>
  </si>
  <si>
    <t>\data\input\infile_1721.txt</t>
  </si>
  <si>
    <t>\data\input\infile_1722.txt</t>
  </si>
  <si>
    <t>\data\input\infile_1723.txt</t>
  </si>
  <si>
    <t>\data\input\infile_1724.txt</t>
  </si>
  <si>
    <t>\data\input\infile_1725.txt</t>
  </si>
  <si>
    <t>\data\input\infile_1726.txt</t>
  </si>
  <si>
    <t>\data\input\infile_1727.txt</t>
  </si>
  <si>
    <t>\data\input\infile_1728.txt</t>
  </si>
  <si>
    <t>\data\input\infile_1729.txt</t>
  </si>
  <si>
    <t>\data\input\infile_1730.txt</t>
  </si>
  <si>
    <t>\data\input\infile_1731.txt</t>
  </si>
  <si>
    <t>\data\input\infile_1732.txt</t>
  </si>
  <si>
    <t>\data\input\infile_1733.txt</t>
  </si>
  <si>
    <t>\data\input\infile_1734.txt</t>
  </si>
  <si>
    <t>\data\input\infile_1735.txt</t>
  </si>
  <si>
    <t>\data\input\infile_1736.txt</t>
  </si>
  <si>
    <t>\data\input\infile_1737.txt</t>
  </si>
  <si>
    <t>\data\input\infile_1738.txt</t>
  </si>
  <si>
    <t>\data\input\infile_1739.txt</t>
  </si>
  <si>
    <t>\data\input\infile_1740.txt</t>
  </si>
  <si>
    <t>\data\input\infile_1741.txt</t>
  </si>
  <si>
    <t>\data\input\infile_1742.txt</t>
  </si>
  <si>
    <t>\data\input\infile_1743.txt</t>
  </si>
  <si>
    <t>C</t>
  </si>
  <si>
    <t>\data\input\infile_1744.txt</t>
  </si>
  <si>
    <t>\data\input\infile_1745.txt</t>
  </si>
  <si>
    <t>\data\input\infile_1746.txt</t>
  </si>
  <si>
    <t>\data\input\infile_1747.txt</t>
  </si>
  <si>
    <t>\data\input\infile_1748.txt</t>
  </si>
  <si>
    <t>\data\input\infile_1749.txt</t>
  </si>
  <si>
    <t>\data\input\infile_1750.txt</t>
  </si>
  <si>
    <t>\data\input\infile_1751.txt</t>
  </si>
  <si>
    <t>\data\input\infile_1752.txt</t>
  </si>
  <si>
    <t>\data\input\infile_1753.txt</t>
  </si>
  <si>
    <t>\data\input\infile_1754.txt</t>
  </si>
  <si>
    <t>\data\input\infile_1755.txt</t>
  </si>
  <si>
    <t>\data\input\infile_1756.txt</t>
  </si>
  <si>
    <t>\data\input\infile_1757.txt</t>
  </si>
  <si>
    <t>\data\input\infile_1758.txt</t>
  </si>
  <si>
    <t>\data\input\infile_1759.txt</t>
  </si>
  <si>
    <t>\data\input\infile_1760.txt</t>
  </si>
  <si>
    <t>\data\input\infile_1761.txt</t>
  </si>
  <si>
    <t>\data\input\infile_1762.txt</t>
  </si>
  <si>
    <t>\data\input\infile_1763.txt</t>
  </si>
  <si>
    <t>\data\input\infile_1764.txt</t>
  </si>
  <si>
    <t>\data\input\infile_1765.txt</t>
  </si>
  <si>
    <t>\data\input\infile_1766.txt</t>
  </si>
  <si>
    <t>\data\input\infile_1767.txt</t>
  </si>
  <si>
    <t>\data\input\infile_1768.txt</t>
  </si>
  <si>
    <t>\data\input\infile_1769.txt</t>
  </si>
  <si>
    <t>\data\input\infile_1770.txt</t>
  </si>
  <si>
    <t>\data\input\infile_1771.txt</t>
  </si>
  <si>
    <t>\data\input\infile_1772.txt</t>
  </si>
  <si>
    <t>\data\input\infile_1773.txt</t>
  </si>
  <si>
    <t>\data\input\infile_1774.txt</t>
  </si>
  <si>
    <t>\data\input\infile_1775.txt</t>
  </si>
  <si>
    <t>\data\input\infile_1776.txt</t>
  </si>
  <si>
    <t>\data\input\infile_1777.txt</t>
  </si>
  <si>
    <t>\data\input\infile_1778.txt</t>
  </si>
  <si>
    <t>\data\input\infile_1779.txt</t>
  </si>
  <si>
    <t>\data\input\infile_1780.txt</t>
  </si>
  <si>
    <t>\data\input\infile_1781.txt</t>
  </si>
  <si>
    <t>\data\input\infile_1782.txt</t>
  </si>
  <si>
    <t>\data\input\infile_1783.txt</t>
  </si>
  <si>
    <t>\data\input\infile_1784.txt</t>
  </si>
  <si>
    <t>\data\input\infile_1785.txt</t>
  </si>
  <si>
    <t>\data\input\infile_1786.txt</t>
  </si>
  <si>
    <t>\data\input\infile_1787.txt</t>
  </si>
  <si>
    <t>\data\input\infile_1788.txt</t>
  </si>
  <si>
    <t>\data\input\infile_1789.txt</t>
  </si>
  <si>
    <t>\data\input\infile_1790.txt</t>
  </si>
  <si>
    <t>\data\input\infile_1791.txt</t>
  </si>
  <si>
    <t>\data\input\infile_1792.txt</t>
  </si>
  <si>
    <t>\data\input\infile_1793.txt</t>
  </si>
  <si>
    <t>\data\input\infile_1794.txt</t>
  </si>
  <si>
    <t>\data\input\infile_1795.txt</t>
  </si>
  <si>
    <t>\data\input\infile_1796.txt</t>
  </si>
  <si>
    <t>\data\input\infile_1797.txt</t>
  </si>
  <si>
    <t>\data\input\infile_1798.txt</t>
  </si>
  <si>
    <t>\data\input\infile_1799.txt</t>
  </si>
  <si>
    <t>\data\input\infile_1800.txt</t>
  </si>
  <si>
    <t>\data\input\infile_1801.txt</t>
  </si>
  <si>
    <t>\data\input\infile_1802.txt</t>
  </si>
  <si>
    <t>\data\input\infile_1803.txt</t>
  </si>
  <si>
    <t>\data\input\infile_1804.txt</t>
  </si>
  <si>
    <t>\data\input\infile_1805.txt</t>
  </si>
  <si>
    <t>\data\input\infile_1806.txt</t>
  </si>
  <si>
    <t>\data\input\infile_1807.txt</t>
  </si>
  <si>
    <t>\data\input\infile_1808.txt</t>
  </si>
  <si>
    <t>\data\input\infile_1809.txt</t>
  </si>
  <si>
    <t>\data\input\infile_1810.txt</t>
  </si>
  <si>
    <t>\data\input\infile_1811.txt</t>
  </si>
  <si>
    <t>\data\input\infile_1812.txt</t>
  </si>
  <si>
    <t>\data\input\infile_1813.txt</t>
  </si>
  <si>
    <t>\data\input\infile_1814.txt</t>
  </si>
  <si>
    <t>\data\input\infile_1815.txt</t>
  </si>
  <si>
    <t>\data\input\infile_1816.txt</t>
  </si>
  <si>
    <t>\data\input\infile_1817.txt</t>
  </si>
  <si>
    <t>\data\input\infile_1818.txt</t>
  </si>
  <si>
    <t>\data\input\infile_1819.txt</t>
  </si>
  <si>
    <t>\data\input\infile_1820.txt</t>
  </si>
  <si>
    <t>\data\input\infile_1821.txt</t>
  </si>
  <si>
    <t>\data\input\infile_1822.txt</t>
  </si>
  <si>
    <t>\data\input\infile_1823.txt</t>
  </si>
  <si>
    <t>\data\input\infile_1824.txt</t>
  </si>
  <si>
    <t>\data\input\infile_1825.txt</t>
  </si>
  <si>
    <t>\data\input\infile_1826.txt</t>
  </si>
  <si>
    <t>\data\input\infile_1827.txt</t>
  </si>
  <si>
    <t>\data\input\infile_1828.txt</t>
  </si>
  <si>
    <t>\data\input\infile_1829.txt</t>
  </si>
  <si>
    <t>\data\input\infile_1830.txt</t>
  </si>
  <si>
    <t>\data\input\infile_1831.txt</t>
  </si>
  <si>
    <t>\data\input\infile_1832.txt</t>
  </si>
  <si>
    <t>\data\input\infile_1833.txt</t>
  </si>
  <si>
    <t>\data\input\infile_1834.txt</t>
  </si>
  <si>
    <t>\data\input\infile_1835.txt</t>
  </si>
  <si>
    <t>\data\input\infile_1836.txt</t>
  </si>
  <si>
    <t>\data\input\infile_1837.txt</t>
  </si>
  <si>
    <t>\data\input\infile_1838.txt</t>
  </si>
  <si>
    <t>\data\input\infile_1839.txt</t>
  </si>
  <si>
    <t>\data\input\infile_1840.txt</t>
  </si>
  <si>
    <t>\data\input\infile_1841.txt</t>
  </si>
  <si>
    <t>\data\input\infile_1842.txt</t>
  </si>
  <si>
    <t>\data\input\infile_1843.txt</t>
  </si>
  <si>
    <t>\data\input\infile_1844.txt</t>
  </si>
  <si>
    <t>\data\input\infile_1845.txt</t>
  </si>
  <si>
    <t>\data\input\infile_1846.txt</t>
  </si>
  <si>
    <t>\data\input\infile_1847.txt</t>
  </si>
  <si>
    <t>\data\input\infile_1848.txt</t>
  </si>
  <si>
    <t>\data\input\infile_1849.txt</t>
  </si>
  <si>
    <t>\data\input\infile_1850.txt</t>
  </si>
  <si>
    <t>\data\input\infile_1851.txt</t>
  </si>
  <si>
    <t>\data\input\infile_1852.txt</t>
  </si>
  <si>
    <t>\data\input\infile_1853.txt</t>
  </si>
  <si>
    <t>\data\input\infile_1854.txt</t>
  </si>
  <si>
    <t>\data\input\infile_1855.txt</t>
  </si>
  <si>
    <t>\data\input\infile_1856.txt</t>
  </si>
  <si>
    <t>\data\input\infile_1857.txt</t>
  </si>
  <si>
    <t>\data\input\infile_1858.txt</t>
  </si>
  <si>
    <t>\data\input\infile_1859.txt</t>
  </si>
  <si>
    <t>\data\input\infile_1860.txt</t>
  </si>
  <si>
    <t>\data\input\infile_1861.txt</t>
  </si>
  <si>
    <t>\data\input\infile_1862.txt</t>
  </si>
  <si>
    <t>\data\input\infile_1863.txt</t>
  </si>
  <si>
    <t>\data\input\infile_1864.txt</t>
  </si>
  <si>
    <t>\data\input\infile_1865.txt</t>
  </si>
  <si>
    <t>\data\input\infile_1866.txt</t>
  </si>
  <si>
    <t>\data\input\infile_1867.txt</t>
  </si>
  <si>
    <t>\data\input\infile_1868.txt</t>
  </si>
  <si>
    <t>\data\input\infile_1869.txt</t>
  </si>
  <si>
    <t>\data\input\infile_1870.txt</t>
  </si>
  <si>
    <t>\data\input\infile_1871.txt</t>
  </si>
  <si>
    <t>\data\input\infile_1872.txt</t>
  </si>
  <si>
    <t>\data\input\infile_1873.txt</t>
  </si>
  <si>
    <t>\data\input\infile_1874.txt</t>
  </si>
  <si>
    <t>\data\input\infile_1875.txt</t>
  </si>
  <si>
    <t>\data\input\infile_1876.txt</t>
  </si>
  <si>
    <t>\data\input\infile_1877.txt</t>
  </si>
  <si>
    <t>\data\input\infile_1878.txt</t>
  </si>
  <si>
    <t>\data\input\infile_1879.txt</t>
  </si>
  <si>
    <t>\data\input\infile_1880.txt</t>
  </si>
  <si>
    <t>\data\input\infile_1881.txt</t>
  </si>
  <si>
    <t>\data\input\infile_1882.txt</t>
  </si>
  <si>
    <t>\data\input\infile_1883.txt</t>
  </si>
  <si>
    <t>\data\input\infile_1884.txt</t>
  </si>
  <si>
    <t>\data\input\infile_1885.txt</t>
  </si>
  <si>
    <t>\data\input\infile_1886.txt</t>
  </si>
  <si>
    <t>\data\input\infile_1887.txt</t>
  </si>
  <si>
    <t>\data\input\infile_1888.txt</t>
  </si>
  <si>
    <t>\data\input\infile_1889.txt</t>
  </si>
  <si>
    <t>\data\input\infile_1890.txt</t>
  </si>
  <si>
    <t>\data\input\infile_1891.txt</t>
  </si>
  <si>
    <t>\data\input\infile_1892.txt</t>
  </si>
  <si>
    <t>\data\input\infile_1893.txt</t>
  </si>
  <si>
    <t>\data\input\infile_1894.txt</t>
  </si>
  <si>
    <t>\data\input\infile_1895.txt</t>
  </si>
  <si>
    <t>\data\input\infile_1896.txt</t>
  </si>
  <si>
    <t>\data\input\infile_1897.txt</t>
  </si>
  <si>
    <t>\data\input\infile_1898.txt</t>
  </si>
  <si>
    <t>\data\input\infile_1899.txt</t>
  </si>
  <si>
    <t>\data\input\infile_1900.txt</t>
  </si>
  <si>
    <t>\data\input\infile_1901.txt</t>
  </si>
  <si>
    <t>\data\input\infile_1902.txt</t>
  </si>
  <si>
    <t>\data\input\infile_1903.txt</t>
  </si>
  <si>
    <t>\data\input\infile_1904.txt</t>
  </si>
  <si>
    <t>\data\input\infile_1905.txt</t>
  </si>
  <si>
    <t>\data\input\infile_1906.txt</t>
  </si>
  <si>
    <t>\data\input\infile_1907.txt</t>
  </si>
  <si>
    <t>\data\input\infile_1908.txt</t>
  </si>
  <si>
    <t>\data\input\infile_1909.txt</t>
  </si>
  <si>
    <t>\data\input\infile_1910.txt</t>
  </si>
  <si>
    <t>\data\input\infile_1911.txt</t>
  </si>
  <si>
    <t>\data\input\infile_1912.txt</t>
  </si>
  <si>
    <t>\data\input\infile_1913.txt</t>
  </si>
  <si>
    <t>\data\input\infile_1914.txt</t>
  </si>
  <si>
    <t>\data\input\infile_1915.txt</t>
  </si>
  <si>
    <t>\data\input\infile_1916.txt</t>
  </si>
  <si>
    <t>\data\input\infile_1917.txt</t>
  </si>
  <si>
    <t>\data\input\infile_1918.txt</t>
  </si>
  <si>
    <t>\data\input\infile_1919.txt</t>
  </si>
  <si>
    <t>\data\input\infile_1920.txt</t>
  </si>
  <si>
    <t>\data\input\infile_1921.txt</t>
  </si>
  <si>
    <t>\data\input\infile_1922.txt</t>
  </si>
  <si>
    <t>\data\input\infile_1923.txt</t>
  </si>
  <si>
    <t>\data\input\infile_1924.txt</t>
  </si>
  <si>
    <t>\data\input\infile_1925.txt</t>
  </si>
  <si>
    <t>\data\input\infile_1926.txt</t>
  </si>
  <si>
    <t>\data\input\infile_1927.txt</t>
  </si>
  <si>
    <t>\data\input\infile_1928.txt</t>
  </si>
  <si>
    <t>\data\input\infile_1929.txt</t>
  </si>
  <si>
    <t>\data\input\infile_1930.txt</t>
  </si>
  <si>
    <t>\data\input\infile_1931.txt</t>
  </si>
  <si>
    <t>\data\input\infile_1932.txt</t>
  </si>
  <si>
    <t>\data\input\infile_1933.txt</t>
  </si>
  <si>
    <t>\data\input\infile_1934.txt</t>
  </si>
  <si>
    <t>\data\input\infile_1935.txt</t>
  </si>
  <si>
    <t>\data\input\infile_1936.txt</t>
  </si>
  <si>
    <t>\data\input\infile_1937.txt</t>
  </si>
  <si>
    <t>\data\input\infile_1938.txt</t>
  </si>
  <si>
    <t>\data\input\infile_1939.txt</t>
  </si>
  <si>
    <t>\data\input\infile_1940.txt</t>
  </si>
  <si>
    <t>\data\input\infile_1941.txt</t>
  </si>
  <si>
    <t>\data\input\infile_1942.txt</t>
  </si>
  <si>
    <t>\data\input\infile_1943.txt</t>
  </si>
  <si>
    <t>\data\input\infile_1944.txt</t>
  </si>
  <si>
    <t>\data\input\infile_1945.txt</t>
  </si>
  <si>
    <t>\data\input\infile_1946.txt</t>
  </si>
  <si>
    <t>\data\input\infile_1947.txt</t>
  </si>
  <si>
    <t>\data\input\infile_1948.txt</t>
  </si>
  <si>
    <t>\data\input\infile_1949.txt</t>
  </si>
  <si>
    <t>\data\input\infile_1950.txt</t>
  </si>
  <si>
    <t>\data\input\infile_1951.txt</t>
  </si>
  <si>
    <t>\data\input\infile_1952.txt</t>
  </si>
  <si>
    <t>\data\input\infile_1953.txt</t>
  </si>
  <si>
    <t>\data\input\infile_1954.txt</t>
  </si>
  <si>
    <t>\data\input\infile_1955.txt</t>
  </si>
  <si>
    <t>\data\input\infile_1956.txt</t>
  </si>
  <si>
    <t>\data\input\infile_1957.txt</t>
  </si>
  <si>
    <t>\data\input\infile_1958.txt</t>
  </si>
  <si>
    <t>\data\input\infile_1959.txt</t>
  </si>
  <si>
    <t>\data\input\infile_1960.txt</t>
  </si>
  <si>
    <t>\data\input\infile_1961.txt</t>
  </si>
  <si>
    <t>\data\input\infile_1962.txt</t>
  </si>
  <si>
    <t>\data\input\infile_1963.txt</t>
  </si>
  <si>
    <t>\data\input\infile_1964.txt</t>
  </si>
  <si>
    <t>\data\input\infile_1965.txt</t>
  </si>
  <si>
    <t>\data\input\infile_1966.txt</t>
  </si>
  <si>
    <t>\data\input\infile_1967.txt</t>
  </si>
  <si>
    <t>\data\input\infile_1968.txt</t>
  </si>
  <si>
    <t>\data\input\infile_1969.txt</t>
  </si>
  <si>
    <t>\data\input\infile_1970.txt</t>
  </si>
  <si>
    <t>\data\input\infile_1971.txt</t>
  </si>
  <si>
    <t>\data\input\infile_1972.txt</t>
  </si>
  <si>
    <t>\data\input\infile_1973.txt</t>
  </si>
  <si>
    <t>\data\input\infile_1974.txt</t>
  </si>
  <si>
    <t>\data\input\infile_1975.txt</t>
  </si>
  <si>
    <t>\data\input\infile_1976.txt</t>
  </si>
  <si>
    <t>\data\input\infile_1977.txt</t>
  </si>
  <si>
    <t>\data\input\infile_1978.txt</t>
  </si>
  <si>
    <t>\data\input\infile_1979.txt</t>
  </si>
  <si>
    <t>\data\input\infile_1980.txt</t>
  </si>
  <si>
    <t>\data\input\infile_1981.txt</t>
  </si>
  <si>
    <t>\data\input\infile_1982.txt</t>
  </si>
  <si>
    <t>\data\input\infile_1983.txt</t>
  </si>
  <si>
    <t>\data\input\infile_1984.txt</t>
  </si>
  <si>
    <t>\data\input\infile_1985.txt</t>
  </si>
  <si>
    <t>\data\input\infile_1986.txt</t>
  </si>
  <si>
    <t>\data\input\infile_1987.txt</t>
  </si>
  <si>
    <t>\data\input\infile_1988.txt</t>
  </si>
  <si>
    <t>\data\input\infile_1989.txt</t>
  </si>
  <si>
    <t>\data\input\infile_1990.txt</t>
  </si>
  <si>
    <t>\data\input\infile_1991.txt</t>
  </si>
  <si>
    <t>\data\input\infile_1992.txt</t>
  </si>
  <si>
    <t>\data\input\infile_1993.txt</t>
  </si>
  <si>
    <t>\data\input\infile_1994.txt</t>
  </si>
  <si>
    <t>\data\input\infile_1995.txt</t>
  </si>
  <si>
    <t>\data\input\infile_1996.txt</t>
  </si>
  <si>
    <t>\data\input\infile_1997.txt</t>
  </si>
  <si>
    <t>\data\input\infile_1998.txt</t>
  </si>
  <si>
    <t>\data\input\infile_1999.txt</t>
  </si>
  <si>
    <t>\data\input\infile_2000.txt</t>
  </si>
  <si>
    <t>\data\input\infile_2001.txt</t>
  </si>
  <si>
    <t>\data\input\infile_2002.txt</t>
  </si>
  <si>
    <t>\data\input\infile_2003.txt</t>
  </si>
  <si>
    <t>\data\input\infile_2004.txt</t>
  </si>
  <si>
    <t>\data\input\infile_2005.txt</t>
  </si>
  <si>
    <t>\data\input\infile_2006.txt</t>
  </si>
  <si>
    <t>\data\input\infile_2007.txt</t>
  </si>
  <si>
    <t>\data\input\infile_2008.txt</t>
  </si>
  <si>
    <t>\data\input\infile_2009.txt</t>
  </si>
  <si>
    <t>\data\input\infile_2010.txt</t>
  </si>
  <si>
    <t>\data\input\infile_2011.txt</t>
  </si>
  <si>
    <t>\data\input\infile_2012.txt</t>
  </si>
  <si>
    <t>\data\input\infile_2013.txt</t>
  </si>
  <si>
    <t>\data\input\infile_2014.txt</t>
  </si>
  <si>
    <t>\data\input\infile_2015.txt</t>
  </si>
  <si>
    <t>\data\input\infile_2016.txt</t>
  </si>
  <si>
    <t>\data\input\infile_2017.txt</t>
  </si>
  <si>
    <t>\data\input\infile_2018.txt</t>
  </si>
  <si>
    <t>\data\input\infile_2019.txt</t>
  </si>
  <si>
    <t>\data\input\infile_2020.txt</t>
  </si>
  <si>
    <t>\data\input\infile_2021.txt</t>
  </si>
  <si>
    <t>\data\input\infile_2022.txt</t>
  </si>
  <si>
    <t>\data\input\infile_2023.txt</t>
  </si>
  <si>
    <t>\data\input\infile_2024.txt</t>
  </si>
  <si>
    <t>\data\input\infile_2025.txt</t>
  </si>
  <si>
    <t>\data\input\infile_2026.txt</t>
  </si>
  <si>
    <t>\data\input\infile_2027.txt</t>
  </si>
  <si>
    <t>\data\input\infile_2028.txt</t>
  </si>
  <si>
    <t>\data\input\infile_2029.txt</t>
  </si>
  <si>
    <t>\data\input\infile_2030.txt</t>
  </si>
  <si>
    <t>\data\input\infile_2031.txt</t>
  </si>
  <si>
    <t>\data\input\infile_2032.txt</t>
  </si>
  <si>
    <t>\data\input\infile_2033.txt</t>
  </si>
  <si>
    <t>\data\input\infile_2034.txt</t>
  </si>
  <si>
    <t>\data\input\infile_2035.txt</t>
  </si>
  <si>
    <t>\data\input\infile_2036.txt</t>
  </si>
  <si>
    <t>\data\input\infile_2037.txt</t>
  </si>
  <si>
    <t>\data\input\infile_2038.txt</t>
  </si>
  <si>
    <t>\data\input\infile_2039.txt</t>
  </si>
  <si>
    <t>\data\input\infile_2040.txt</t>
  </si>
  <si>
    <t>\data\input\infile_2041.txt</t>
  </si>
  <si>
    <t>\data\input\infile_2042.txt</t>
  </si>
  <si>
    <t>\data\input\infile_2043.txt</t>
  </si>
  <si>
    <t>\data\input\infile_2044.txt</t>
  </si>
  <si>
    <t>\data\input\infile_2045.txt</t>
  </si>
  <si>
    <t>\data\input\infile_2046.txt</t>
  </si>
  <si>
    <t>\data\input\infile_2047.txt</t>
  </si>
  <si>
    <t>\data\input\infile_2048.txt</t>
  </si>
  <si>
    <t>\data\input\infile_2049.txt</t>
  </si>
  <si>
    <t>\data\input\infile_2050.txt</t>
  </si>
  <si>
    <t>\data\input\infile_2051.txt</t>
  </si>
  <si>
    <t>\data\input\infile_2052.txt</t>
  </si>
  <si>
    <t>\data\input\infile_2053.txt</t>
  </si>
  <si>
    <t>\data\input\infile_2054.txt</t>
  </si>
  <si>
    <t>\data\input\infile_2055.txt</t>
  </si>
  <si>
    <t>\data\input\infile_2056.txt</t>
  </si>
  <si>
    <t>\data\input\infile_2057.txt</t>
  </si>
  <si>
    <t>\data\input\infile_2058.txt</t>
  </si>
  <si>
    <t>\data\input\infile_2059.txt</t>
  </si>
  <si>
    <t>\data\input\infile_2060.txt</t>
  </si>
  <si>
    <t>\data\input\infile_2061.txt</t>
  </si>
  <si>
    <t>\data\input\infile_2062.txt</t>
  </si>
  <si>
    <t>\data\input\infile_2063.txt</t>
  </si>
  <si>
    <t>\data\input\infile_2064.txt</t>
  </si>
  <si>
    <t>\data\input\infile_2065.txt</t>
  </si>
  <si>
    <t>\data\input\infile_2066.txt</t>
  </si>
  <si>
    <t>\data\input\infile_2067.txt</t>
  </si>
  <si>
    <t>\data\input\infile_2068.txt</t>
  </si>
  <si>
    <t>\data\input\infile_2069.txt</t>
  </si>
  <si>
    <t>\data\input\infile_2070.txt</t>
  </si>
  <si>
    <t>\data\input\infile_2071.txt</t>
  </si>
  <si>
    <t>\data\input\infile_2072.txt</t>
  </si>
  <si>
    <t>\data\input\infile_2073.txt</t>
  </si>
  <si>
    <t>\data\input\infile_2074.txt</t>
  </si>
  <si>
    <t>\data\input\infile_2075.txt</t>
  </si>
  <si>
    <t>\data\input\infile_2076.txt</t>
  </si>
  <si>
    <t>\data\input\infile_2077.txt</t>
  </si>
  <si>
    <t>\data\input\infile_2078.txt</t>
  </si>
  <si>
    <t>\data\input\infile_2079.txt</t>
  </si>
  <si>
    <t>\data\input\infile_2080.txt</t>
  </si>
  <si>
    <t>\data\input\infile_2081.txt</t>
  </si>
  <si>
    <t>\data\input\infile_2082.txt</t>
  </si>
  <si>
    <t>\data\input\infile_2083.txt</t>
  </si>
  <si>
    <t>\data\input\infile_2084.txt</t>
  </si>
  <si>
    <t>\data\input\infile_2085.txt</t>
  </si>
  <si>
    <t>\data\input\infile_2086.txt</t>
  </si>
  <si>
    <t>\data\input\infile_2087.txt</t>
  </si>
  <si>
    <t>\data\input\infile_2088.txt</t>
  </si>
  <si>
    <t>\data\input\infile_2089.txt</t>
  </si>
  <si>
    <t>\data\input\infile_2090.txt</t>
  </si>
  <si>
    <t>\data\input\infile_2091.txt</t>
  </si>
  <si>
    <t>\data\input\infile_2092.txt</t>
  </si>
  <si>
    <t>\data\input\infile_2093.txt</t>
  </si>
  <si>
    <t>\data\input\infile_2094.txt</t>
  </si>
  <si>
    <t>\data\input\infile_2095.txt</t>
  </si>
  <si>
    <t>\data\input\infile_2096.txt</t>
  </si>
  <si>
    <t>\data\input\infile_2097.txt</t>
  </si>
  <si>
    <t>\data\input\infile_2098.txt</t>
  </si>
  <si>
    <t>\data\input\infile_2099.txt</t>
  </si>
  <si>
    <t>\data\input\infile_2100.txt</t>
  </si>
  <si>
    <t>\data\input\infile_2101.txt</t>
  </si>
  <si>
    <t>\data\input\infile_2102.txt</t>
  </si>
  <si>
    <t>\data\input\infile_2103.txt</t>
  </si>
  <si>
    <t>Do Q,n_s,r screening in truncation step</t>
  </si>
  <si>
    <t>\data\input\infile_2104.txt</t>
  </si>
  <si>
    <t>\data\input\infile_2105.txt</t>
  </si>
  <si>
    <t>\data\input\infile_2106.txt</t>
  </si>
  <si>
    <t>\data\input\infile_2107.txt</t>
  </si>
  <si>
    <t>\data\input\infile_2108.txt</t>
  </si>
  <si>
    <t>\data\input\infile_2109.txt</t>
  </si>
  <si>
    <t>\data\input\infile_2110.txt</t>
  </si>
  <si>
    <t>\data\input\infile_2111.txt</t>
  </si>
  <si>
    <t>\data\input\infile_2112.txt</t>
  </si>
  <si>
    <t>\data\input\infile_2113.txt</t>
  </si>
  <si>
    <t>\data\input\infile_2114.txt</t>
  </si>
  <si>
    <t>\data\input\infile_2115.txt</t>
  </si>
  <si>
    <t>\data\input\infile_2116.txt</t>
  </si>
  <si>
    <t>\data\input\infile_2117.txt</t>
  </si>
  <si>
    <t>\data\input\infile_2118.txt</t>
  </si>
  <si>
    <t>\data\input\infile_2119.txt</t>
  </si>
  <si>
    <t>\data\input\infile_2120.txt</t>
  </si>
  <si>
    <t>\data\input\infile_2121.txt</t>
  </si>
  <si>
    <t>\data\input\infile_2122.txt</t>
  </si>
  <si>
    <t>\data\input\infile_2123.txt</t>
  </si>
  <si>
    <t>\data\input\infile_2124.txt</t>
  </si>
  <si>
    <t>\data\input\infile_2125.txt</t>
  </si>
  <si>
    <t>\data\input\infile_2126.txt</t>
  </si>
  <si>
    <t>\data\input\infile_2127.txt</t>
  </si>
  <si>
    <t>\data\input\infile_2128.txt</t>
  </si>
  <si>
    <t>\data\input\infile_2129.txt</t>
  </si>
  <si>
    <t>\data\input\infile_2130.txt</t>
  </si>
  <si>
    <t>\data\input\infile_2131.txt</t>
  </si>
  <si>
    <t>\data\input\infile_2132.txt</t>
  </si>
  <si>
    <t>\data\input\infile_2133.txt</t>
  </si>
  <si>
    <t>\data\input\infile_2134.txt</t>
  </si>
  <si>
    <t>\data\input\infile_2135.txt</t>
  </si>
  <si>
    <t>\data\input\infile_2136.txt</t>
  </si>
  <si>
    <t>\data\input\infile_2137.txt</t>
  </si>
  <si>
    <t>\data\input\infile_2138.txt</t>
  </si>
  <si>
    <t>\data\input\infile_2139.txt</t>
  </si>
  <si>
    <t>\data\input\infile_2140.txt</t>
  </si>
  <si>
    <t>\data\input\infile_2141.txt</t>
  </si>
  <si>
    <t>\data\input\infile_2142.txt</t>
  </si>
  <si>
    <t>\data\input\infile_2143.txt</t>
  </si>
  <si>
    <t>\data\input\infile_2144.txt</t>
  </si>
  <si>
    <t>\data\input\infile_2145.txt</t>
  </si>
  <si>
    <t>\data\input\infile_2146.txt</t>
  </si>
  <si>
    <t>\data\input\infile_2147.txt</t>
  </si>
  <si>
    <t>\data\input\infile_2148.txt</t>
  </si>
  <si>
    <t>\data\input\infile_2149.txt</t>
  </si>
  <si>
    <t>\data\input\infile_2150.txt</t>
  </si>
  <si>
    <t>\data\input\infile_2151.txt</t>
  </si>
  <si>
    <t>\data\input\infile_2152.txt</t>
  </si>
  <si>
    <t>\data\input\infile_2153.txt</t>
  </si>
  <si>
    <t>\data\input\infile_2154.txt</t>
  </si>
  <si>
    <t>\data\input\infile_2155.txt</t>
  </si>
  <si>
    <t>\data\input\infile_2156.txt</t>
  </si>
  <si>
    <t>\data\input\infile_2157.txt</t>
  </si>
  <si>
    <t>\data\input\infile_2158.txt</t>
  </si>
  <si>
    <t>\data\input\infile_2159.txt</t>
  </si>
  <si>
    <t>\data\input\infile_2160.txt</t>
  </si>
  <si>
    <t>\data\input\infile_2161.txt</t>
  </si>
  <si>
    <t>\data\input\infile_2162.txt</t>
  </si>
  <si>
    <t>\data\input\infile_2163.txt</t>
  </si>
  <si>
    <t>\data\input\infile_2164.txt</t>
  </si>
  <si>
    <t>\data\input\infile_2165.txt</t>
  </si>
  <si>
    <t>\data\input\infile_2166.txt</t>
  </si>
  <si>
    <t>\data\input\infile_2167.txt</t>
  </si>
  <si>
    <t>\data\input\infile_2168.txt</t>
  </si>
  <si>
    <t>\data\input\infile_2169.txt</t>
  </si>
  <si>
    <t>\data\input\infile_2170.txt</t>
  </si>
  <si>
    <t>\data\input\infile_2171.txt</t>
  </si>
  <si>
    <t>\data\input\infile_2172.txt</t>
  </si>
  <si>
    <t>\data\input\infile_2173.txt</t>
  </si>
  <si>
    <t>\data\input\infile_2174.txt</t>
  </si>
  <si>
    <t>\data\input\infile_2175.txt</t>
  </si>
  <si>
    <t>\data\input\infile_2176.txt</t>
  </si>
  <si>
    <t>\data\input\infile_2177.txt</t>
  </si>
  <si>
    <t>\data\input\infile_2178.txt</t>
  </si>
  <si>
    <t>\data\input\infile_2179.txt</t>
  </si>
  <si>
    <t>\data\input\infile_2180.txt</t>
  </si>
  <si>
    <t>\data\input\infile_2181.txt</t>
  </si>
  <si>
    <t>\data\input\infile_2182.txt</t>
  </si>
  <si>
    <t>\data\input\infile_2183.txt</t>
  </si>
  <si>
    <t>\data\input\infile_2184.txt</t>
  </si>
  <si>
    <t>Start simulations to fill out eternal inflation plot for MB</t>
  </si>
  <si>
    <t>Change fractions code to combine multiple output files with same mass scales</t>
  </si>
  <si>
    <t>Write up explanation of topological criterion</t>
  </si>
  <si>
    <t>Create stand-in figures explaning behavior of different measures</t>
  </si>
  <si>
    <t>Meas B with more samples in mass region with eternal inflation</t>
  </si>
  <si>
    <t>Meas A</t>
  </si>
  <si>
    <t>Meas C</t>
  </si>
  <si>
    <t>Meas B</t>
  </si>
  <si>
    <t>\data\input\infile_2185.txt</t>
  </si>
  <si>
    <t>\data\input\infile_2186.txt</t>
  </si>
  <si>
    <t>\data\input\infile_2187.txt</t>
  </si>
  <si>
    <t>\data\input\infile_2188.txt</t>
  </si>
  <si>
    <t>\data\input\infile_2189.txt</t>
  </si>
  <si>
    <t>\data\input\infile_2190.txt</t>
  </si>
  <si>
    <t>\data\input\infile_2191.txt</t>
  </si>
  <si>
    <t>\data\input\infile_2192.txt</t>
  </si>
  <si>
    <t>\data\input\infile_2193.txt</t>
  </si>
  <si>
    <t>\data\input\infile_2194.txt</t>
  </si>
  <si>
    <t>\data\input\infile_2195.txt</t>
  </si>
  <si>
    <t>\data\input\infile_2196.txt</t>
  </si>
  <si>
    <t>\data\input\infile_2197.txt</t>
  </si>
  <si>
    <t>\data\input\infile_2198.txt</t>
  </si>
  <si>
    <t>\data\input\infile_2199.txt</t>
  </si>
  <si>
    <t>\data\input\infile_2200.txt</t>
  </si>
  <si>
    <t>\data\input\infile_2201.txt</t>
  </si>
  <si>
    <t>\data\input\infile_2202.txt</t>
  </si>
  <si>
    <t>\data\input\infile_2203.txt</t>
  </si>
  <si>
    <t>\data\input\infile_2204.txt</t>
  </si>
  <si>
    <t>\data\input\infile_2205.txt</t>
  </si>
  <si>
    <t>\data\input\infile_2206.txt</t>
  </si>
  <si>
    <t>\data\input\infile_2207.txt</t>
  </si>
  <si>
    <t>\data\input\infile_2208.txt</t>
  </si>
  <si>
    <t>\data\input\infile_2209.txt</t>
  </si>
  <si>
    <t>\data\input\infile_2210.txt</t>
  </si>
  <si>
    <t>\data\input\infile_2211.txt</t>
  </si>
  <si>
    <t>\data\input\infile_2212.txt</t>
  </si>
  <si>
    <t>\data\input\infile_2213.txt</t>
  </si>
  <si>
    <t>\data\input\infile_2214.txt</t>
  </si>
  <si>
    <t>\data\input\infile_2215.txt</t>
  </si>
  <si>
    <t>\data\input\infile_2216.txt</t>
  </si>
  <si>
    <t>\data\input\infile_2217.txt</t>
  </si>
  <si>
    <t>\data\input\infile_2218.txt</t>
  </si>
  <si>
    <t>\data\input\infile_2219.txt</t>
  </si>
  <si>
    <t>\data\input\infile_2220.txt</t>
  </si>
  <si>
    <t>\data\input\infile_2221.txt</t>
  </si>
  <si>
    <t>\data\input\infile_2222.txt</t>
  </si>
  <si>
    <t>\data\input\infile_2223.txt</t>
  </si>
  <si>
    <t>\data\input\infile_2224.txt</t>
  </si>
  <si>
    <t>\data\input\infile_2225.txt</t>
  </si>
  <si>
    <t>\data\input\infile_2226.txt</t>
  </si>
  <si>
    <t>\data\input\infile_2227.txt</t>
  </si>
  <si>
    <t>\data\input\infile_2228.txt</t>
  </si>
  <si>
    <t>\data\input\infile_2229.txt</t>
  </si>
  <si>
    <t>\data\input\infile_2230.txt</t>
  </si>
  <si>
    <t>\data\input\infile_2231.txt</t>
  </si>
  <si>
    <t>\data\input\infile_2232.txt</t>
  </si>
  <si>
    <t>\data\input\infile_2233.txt</t>
  </si>
  <si>
    <t>\data\input\infile_2234.txt</t>
  </si>
  <si>
    <t>\data\input\infile_2235.txt</t>
  </si>
  <si>
    <t>\data\input\infile_2236.txt</t>
  </si>
  <si>
    <t>\data\input\infile_2237.txt</t>
  </si>
  <si>
    <t>\data\input\infile_2238.txt</t>
  </si>
  <si>
    <t>\data\input\infile_2239.txt</t>
  </si>
  <si>
    <t>\data\input\infile_2240.txt</t>
  </si>
  <si>
    <t>\data\input\infile_2241.txt</t>
  </si>
  <si>
    <t>\data\input\infile_2242.txt</t>
  </si>
  <si>
    <t>\data\input\infile_2243.txt</t>
  </si>
  <si>
    <t>\data\input\infile_2244.txt</t>
  </si>
  <si>
    <t>\data\input\infile_2245.txt</t>
  </si>
  <si>
    <t>\data\input\infile_2246.txt</t>
  </si>
  <si>
    <t>\data\input\infile_2247.txt</t>
  </si>
  <si>
    <t>\data\input\infile_2248.txt</t>
  </si>
  <si>
    <t>\data\input\infile_2249.txt</t>
  </si>
  <si>
    <t>\data\input\infile_2250.txt</t>
  </si>
  <si>
    <t>\data\input\infile_2251.txt</t>
  </si>
  <si>
    <t>\data\input\infile_2252.txt</t>
  </si>
  <si>
    <t>\data\input\infile_2253.txt</t>
  </si>
  <si>
    <t>\data\input\infile_2254.txt</t>
  </si>
  <si>
    <t>\data\input\infile_2255.txt</t>
  </si>
  <si>
    <t>\data\input\infile_2256.txt</t>
  </si>
  <si>
    <t>\data\input\infile_2257.txt</t>
  </si>
  <si>
    <t>\data\input\infile_2258.txt</t>
  </si>
  <si>
    <t>\data\input\infile_2259.txt</t>
  </si>
  <si>
    <t>\data\input\infile_2260.txt</t>
  </si>
  <si>
    <t>\data\input\infile_2261.txt</t>
  </si>
  <si>
    <t>\data\input\infile_2262.txt</t>
  </si>
  <si>
    <t>\data\input\infile_2263.txt</t>
  </si>
  <si>
    <t>\data\input\infile_2264.txt</t>
  </si>
  <si>
    <t>\data\input\infile_2265.txt</t>
  </si>
  <si>
    <t>Write about Measure B with and without tunneling</t>
  </si>
  <si>
    <t>Formalize data truncation from full output to downloadable chunks</t>
  </si>
  <si>
    <t>\data\input\infile_2266.txt</t>
  </si>
  <si>
    <t>\data\input\infile_2267.txt</t>
  </si>
  <si>
    <t>\data\input\infile_2268.txt</t>
  </si>
  <si>
    <t>\data\input\infile_2269.txt</t>
  </si>
  <si>
    <t>\data\input\infile_2270.txt</t>
  </si>
  <si>
    <t>\data\input\infile_2271.txt</t>
  </si>
  <si>
    <t>\data\input\infile_2272.txt</t>
  </si>
  <si>
    <t>\data\input\infile_2273.txt</t>
  </si>
  <si>
    <t>\data\input\infile_2274.txt</t>
  </si>
  <si>
    <t>\data\input\infile_2275.txt</t>
  </si>
  <si>
    <t>\data\input\infile_2276.txt</t>
  </si>
  <si>
    <t>\data\input\infile_2277.txt</t>
  </si>
  <si>
    <t>\data\input\infile_2278.txt</t>
  </si>
  <si>
    <t>\data\input\infile_2279.txt</t>
  </si>
  <si>
    <t>\data\input\infile_2280.txt</t>
  </si>
  <si>
    <t>\data\input\infile_2281.txt</t>
  </si>
  <si>
    <t>\data\input\infile_2282.txt</t>
  </si>
  <si>
    <t>\data\input\infile_2283.txt</t>
  </si>
  <si>
    <t>\data\input\infile_2284.txt</t>
  </si>
  <si>
    <t>\data\input\infile_2285.txt</t>
  </si>
  <si>
    <t>\data\input\infile_2286.txt</t>
  </si>
  <si>
    <t>\data\input\infile_2287.txt</t>
  </si>
  <si>
    <t>\data\input\infile_2288.txt</t>
  </si>
  <si>
    <t>\data\input\infile_2289.txt</t>
  </si>
  <si>
    <t>\data\input\infile_2290.txt</t>
  </si>
  <si>
    <t>\data\input\infile_2291.txt</t>
  </si>
  <si>
    <t>\data\input\infile_2292.txt</t>
  </si>
  <si>
    <t>\data\input\infile_2293.txt</t>
  </si>
  <si>
    <t>\data\input\infile_2294.txt</t>
  </si>
  <si>
    <t>\data\input\infile_2295.txt</t>
  </si>
  <si>
    <t>\data\input\infile_2296.txt</t>
  </si>
  <si>
    <t>\data\input\infile_2297.txt</t>
  </si>
  <si>
    <t>\data\input\infile_2298.txt</t>
  </si>
  <si>
    <t>\data\input\infile_2299.txt</t>
  </si>
  <si>
    <t>\data\input\infile_2300.txt</t>
  </si>
  <si>
    <t>\data\input\infile_2301.txt</t>
  </si>
  <si>
    <t>\data\input\infile_2302.txt</t>
  </si>
  <si>
    <t>\data\input\infile_2303.txt</t>
  </si>
  <si>
    <t>\data\input\infile_2304.txt</t>
  </si>
  <si>
    <t>\data\input\infile_2305.txt</t>
  </si>
  <si>
    <t>\data\input\infile_2306.txt</t>
  </si>
  <si>
    <t>\data\input\infile_2307.txt</t>
  </si>
  <si>
    <t>\data\input\infile_2308.txt</t>
  </si>
  <si>
    <t>\data\input\infile_2309.txt</t>
  </si>
  <si>
    <t>\data\input\infile_2310.txt</t>
  </si>
  <si>
    <t>\data\input\infile_2311.txt</t>
  </si>
  <si>
    <t>\data\input\infile_2312.txt</t>
  </si>
  <si>
    <t>\data\input\infile_2313.txt</t>
  </si>
  <si>
    <t>\data\input\infile_2314.txt</t>
  </si>
  <si>
    <t>\data\input\infile_2315.txt</t>
  </si>
  <si>
    <t>\data\input\infile_2316.txt</t>
  </si>
  <si>
    <t>\data\input\infile_2317.txt</t>
  </si>
  <si>
    <t>\data\input\infile_2318.txt</t>
  </si>
  <si>
    <t>\data\input\infile_2319.txt</t>
  </si>
  <si>
    <t>\data\input\infile_2320.txt</t>
  </si>
  <si>
    <t>\data\input\infile_2321.txt</t>
  </si>
  <si>
    <t>\data\input\infile_2322.txt</t>
  </si>
  <si>
    <t>\data\input\infile_2323.txt</t>
  </si>
  <si>
    <t>\data\input\infile_2324.txt</t>
  </si>
  <si>
    <t>\data\input\infile_2325.txt</t>
  </si>
  <si>
    <t>\data\input\infile_2326.txt</t>
  </si>
  <si>
    <t>\data\input\infile_2327.txt</t>
  </si>
  <si>
    <t>\data\input\infile_2328.txt</t>
  </si>
  <si>
    <t>\data\input\infile_2329.txt</t>
  </si>
  <si>
    <t>\data\input\infile_2330.txt</t>
  </si>
  <si>
    <t>\data\input\infile_2331.txt</t>
  </si>
  <si>
    <t>\data\input\infile_2332.txt</t>
  </si>
  <si>
    <t>\data\input\infile_2333.txt</t>
  </si>
  <si>
    <t>\data\input\infile_2334.txt</t>
  </si>
  <si>
    <t>\data\input\infile_2335.txt</t>
  </si>
  <si>
    <t>\data\input\infile_2336.txt</t>
  </si>
  <si>
    <t>\data\input\infile_2337.txt</t>
  </si>
  <si>
    <t>\data\input\infile_2338.txt</t>
  </si>
  <si>
    <t>\data\input\infile_2339.txt</t>
  </si>
  <si>
    <t>\data\input\infile_2340.txt</t>
  </si>
  <si>
    <t>\data\input\infile_2341.txt</t>
  </si>
  <si>
    <t>\data\input\infile_2342.txt</t>
  </si>
  <si>
    <t>\data\input\infile_2343.txt</t>
  </si>
  <si>
    <t>\data\input\infile_2344.txt</t>
  </si>
  <si>
    <t>\data\input\infile_2345.txt</t>
  </si>
  <si>
    <t>\data\input\infile_2346.txt</t>
  </si>
  <si>
    <t>\data\input\infile_2347.txt</t>
  </si>
  <si>
    <t>\data\input\infile_2348.txt</t>
  </si>
  <si>
    <t>\data\input\infile_2349.txt</t>
  </si>
  <si>
    <t>\data\input\infile_2350.txt</t>
  </si>
  <si>
    <t>\data\input\infile_2351.txt</t>
  </si>
  <si>
    <t>\data\input\infile_2352.txt</t>
  </si>
  <si>
    <t>\data\input\infile_2353.txt</t>
  </si>
  <si>
    <t>\data\input\infile_2354.txt</t>
  </si>
  <si>
    <t>\data\input\infile_2355.txt</t>
  </si>
  <si>
    <t>\data\input\infile_2356.txt</t>
  </si>
  <si>
    <t>\data\input\infile_2357.txt</t>
  </si>
  <si>
    <t>\data\input\infile_2358.txt</t>
  </si>
  <si>
    <t>\data\input\infile_2359.txt</t>
  </si>
  <si>
    <t>\data\input\infile_2360.txt</t>
  </si>
  <si>
    <t>\data\input\infile_2361.txt</t>
  </si>
  <si>
    <t>\data\input\infile_2362.txt</t>
  </si>
  <si>
    <t>\data\input\infile_2363.txt</t>
  </si>
  <si>
    <t>\data\input\infile_2364.txt</t>
  </si>
  <si>
    <t>\data\input\infile_2365.txt</t>
  </si>
  <si>
    <t>\data\input\infile_2366.txt</t>
  </si>
  <si>
    <t>\data\input\infile_2367.txt</t>
  </si>
  <si>
    <t>\data\input\infile_2368.txt</t>
  </si>
  <si>
    <t>\data\input\infile_2369.txt</t>
  </si>
  <si>
    <t>\data\input\infile_2370.txt</t>
  </si>
  <si>
    <t>\data\input\infile_2371.txt</t>
  </si>
  <si>
    <t>\data\input\infile_2372.txt</t>
  </si>
  <si>
    <t>\data\input\infile_2373.txt</t>
  </si>
  <si>
    <t>\data\input\infile_2374.txt</t>
  </si>
  <si>
    <t>\data\input\infile_2375.txt</t>
  </si>
  <si>
    <t>\data\input\infile_2376.txt</t>
  </si>
  <si>
    <t>\data\input\infile_2377.txt</t>
  </si>
  <si>
    <t>\data\input\infile_2378.txt</t>
  </si>
  <si>
    <t>\data\input\infile_2379.txt</t>
  </si>
  <si>
    <t>\data\input\infile_2380.txt</t>
  </si>
  <si>
    <t>\data\input\infile_2381.txt</t>
  </si>
  <si>
    <t>\data\input\infile_2382.txt</t>
  </si>
  <si>
    <t>\data\input\infile_2383.txt</t>
  </si>
  <si>
    <t>\data\input\infile_2384.txt</t>
  </si>
  <si>
    <t>\data\input\infile_2385.txt</t>
  </si>
  <si>
    <t>\data\input\infile_2386.txt</t>
  </si>
  <si>
    <t>\data\input\infile_2387.txt</t>
  </si>
  <si>
    <t>\data\input\infile_2388.txt</t>
  </si>
  <si>
    <t>\data\input\infile_2389.txt</t>
  </si>
  <si>
    <t>\data\input\infile_2390.txt</t>
  </si>
  <si>
    <t>\data\input\infile_2391.txt</t>
  </si>
  <si>
    <t>\data\input\infile_2392.txt</t>
  </si>
  <si>
    <t>\data\input\infile_2393.txt</t>
  </si>
  <si>
    <t>\data\input\infile_2394.txt</t>
  </si>
  <si>
    <t>\data\input\infile_2395.txt</t>
  </si>
  <si>
    <t>\data\input\infile_2396.txt</t>
  </si>
  <si>
    <t>\data\input\infile_2397.txt</t>
  </si>
  <si>
    <t>\data\input\infile_2398.txt</t>
  </si>
  <si>
    <t>\data\input\infile_2399.txt</t>
  </si>
  <si>
    <t>\data\input\infile_2400.txt</t>
  </si>
  <si>
    <t>\data\input\infile_2401.txt</t>
  </si>
  <si>
    <t>\data\input\infile_2402.txt</t>
  </si>
  <si>
    <t>\data\input\infile_2403.txt</t>
  </si>
  <si>
    <t>\data\input\infile_2404.txt</t>
  </si>
  <si>
    <t>\data\input\infile_2405.txt</t>
  </si>
  <si>
    <t>\data\input\infile_2406.txt</t>
  </si>
  <si>
    <t>\data\input\infile_2407.txt</t>
  </si>
  <si>
    <t>\data\input\infile_2408.txt</t>
  </si>
  <si>
    <t>\data\input\infile_2409.txt</t>
  </si>
  <si>
    <t>\data\input\infile_2410.txt</t>
  </si>
  <si>
    <t>\data\input\infile_2411.txt</t>
  </si>
  <si>
    <t>\data\input\infile_2412.txt</t>
  </si>
  <si>
    <t>\data\input\infile_2413.txt</t>
  </si>
  <si>
    <t>\data\input\infile_2414.txt</t>
  </si>
  <si>
    <t>\data\input\infile_2415.txt</t>
  </si>
  <si>
    <t>\data\input\infile_2416.txt</t>
  </si>
  <si>
    <t>\data\input\infile_2417.txt</t>
  </si>
  <si>
    <t>\data\input\infile_2418.txt</t>
  </si>
  <si>
    <t>\data\input\infile_2419.txt</t>
  </si>
  <si>
    <t>\data\input\infile_2420.txt</t>
  </si>
  <si>
    <t>\data\input\infile_2421.txt</t>
  </si>
  <si>
    <t>\data\input\infile_2422.txt</t>
  </si>
  <si>
    <t>\data\input\infile_2423.txt</t>
  </si>
  <si>
    <t>\data\input\infile_2424.txt</t>
  </si>
  <si>
    <t>\data\input\infile_2425.txt</t>
  </si>
  <si>
    <t>\data\input\infile_2426.txt</t>
  </si>
  <si>
    <t>\data\input\infile_2427.txt</t>
  </si>
  <si>
    <t>\data\input\infile_2428.txt</t>
  </si>
  <si>
    <t>\data\input\infile_2429.txt</t>
  </si>
  <si>
    <t>\data\input\infile_2430.txt</t>
  </si>
  <si>
    <t>\data\input\infile_2431.txt</t>
  </si>
  <si>
    <t>\data\input\infile_2432.txt</t>
  </si>
  <si>
    <t>\data\input\infile_2433.txt</t>
  </si>
  <si>
    <t>\data\input\infile_2434.txt</t>
  </si>
  <si>
    <t>\data\input\infile_2435.txt</t>
  </si>
  <si>
    <t>\data\input\infile_2436.txt</t>
  </si>
  <si>
    <t>\data\input\infile_2437.txt</t>
  </si>
  <si>
    <t>\data\input\infile_2438.txt</t>
  </si>
  <si>
    <t>\data\input\infile_2439.txt</t>
  </si>
  <si>
    <t>\data\input\infile_2440.txt</t>
  </si>
  <si>
    <t>\data\input\infile_2441.txt</t>
  </si>
  <si>
    <t>\data\input\infile_2442.txt</t>
  </si>
  <si>
    <t>\data\input\infile_2443.txt</t>
  </si>
  <si>
    <t>\data\input\infile_2444.txt</t>
  </si>
  <si>
    <t>\data\input\infile_2445.txt</t>
  </si>
  <si>
    <t>2ac84a3</t>
  </si>
  <si>
    <t>Meas A with mods to topological code</t>
  </si>
  <si>
    <t>Does mv with potential shift of 0.1 have same stats as 0.9*mv without shifting?</t>
  </si>
  <si>
    <t>\data\input\infile_2446.txt</t>
  </si>
  <si>
    <t>\data\input\infile_2447.txt</t>
  </si>
  <si>
    <t>\data\input\infile_2448.txt</t>
  </si>
  <si>
    <t>\data\input\infile_2449.txt</t>
  </si>
  <si>
    <t>\data\input\infile_2450.txt</t>
  </si>
  <si>
    <t>\data\input\infile_2451.txt</t>
  </si>
  <si>
    <t>\data\input\infile_2452.txt</t>
  </si>
  <si>
    <t>\data\input\infile_2453.txt</t>
  </si>
  <si>
    <t>\data\input\infile_2454.txt</t>
  </si>
  <si>
    <t>\data\input\infile_2455.txt</t>
  </si>
  <si>
    <t>\data\input\infile_2456.txt</t>
  </si>
  <si>
    <t>\data\input\infile_2457.txt</t>
  </si>
  <si>
    <t>\data\input\infile_2458.txt</t>
  </si>
  <si>
    <t>\data\input\infile_2459.txt</t>
  </si>
  <si>
    <t>\data\input\infile_2460.txt</t>
  </si>
  <si>
    <t>\data\input\infile_2461.txt</t>
  </si>
  <si>
    <t>\data\input\infile_2462.txt</t>
  </si>
  <si>
    <t>\data\input\infile_2463.txt</t>
  </si>
  <si>
    <t>\data\input\infile_2464.txt</t>
  </si>
  <si>
    <t>\data\input\infile_2465.txt</t>
  </si>
  <si>
    <t>\data\input\infile_2466.txt</t>
  </si>
  <si>
    <t>\data\input\infile_2467.txt</t>
  </si>
  <si>
    <t>\data\input\infile_2468.txt</t>
  </si>
  <si>
    <t>\data\input\infile_2469.txt</t>
  </si>
  <si>
    <t>\data\input\infile_2470.txt</t>
  </si>
  <si>
    <t>\data\input\infile_2471.txt</t>
  </si>
  <si>
    <t>\data\input\infile_2472.txt</t>
  </si>
  <si>
    <t>\data\input\infile_2473.txt</t>
  </si>
  <si>
    <t>\data\input\infile_2474.txt</t>
  </si>
  <si>
    <t>\data\input\infile_2475.txt</t>
  </si>
  <si>
    <t>\data\input\infile_2476.txt</t>
  </si>
  <si>
    <t>\data\input\infile_2477.txt</t>
  </si>
  <si>
    <t>\data\input\infile_2478.txt</t>
  </si>
  <si>
    <t>\data\input\infile_2479.txt</t>
  </si>
  <si>
    <t>\data\input\infile_2480.txt</t>
  </si>
  <si>
    <t>\data\input\infile_2481.txt</t>
  </si>
  <si>
    <t>\data\input\infile_2482.txt</t>
  </si>
  <si>
    <t>\data\input\infile_2483.txt</t>
  </si>
  <si>
    <t>\data\input\infile_2484.txt</t>
  </si>
  <si>
    <t>\data\input\infile_2485.txt</t>
  </si>
  <si>
    <t>\data\input\infile_2486.txt</t>
  </si>
  <si>
    <t>\data\input\infile_2487.txt</t>
  </si>
  <si>
    <t>\data\input\infile_2488.txt</t>
  </si>
  <si>
    <t>\data\input\infile_2489.txt</t>
  </si>
  <si>
    <t>\data\input\infile_2490.txt</t>
  </si>
  <si>
    <t>\data\input\infile_2491.txt</t>
  </si>
  <si>
    <t>\data\input\infile_2492.txt</t>
  </si>
  <si>
    <t>\data\input\infile_2493.txt</t>
  </si>
  <si>
    <t>\data\input\infile_2494.txt</t>
  </si>
  <si>
    <t>\data\input\infile_2495.txt</t>
  </si>
  <si>
    <t>\data\input\infile_2496.txt</t>
  </si>
  <si>
    <t>\data\input\infile_2497.txt</t>
  </si>
  <si>
    <t>\data\input\infile_2498.txt</t>
  </si>
  <si>
    <t>\data\input\infile_2499.txt</t>
  </si>
  <si>
    <t>\data\input\infile_2500.txt</t>
  </si>
  <si>
    <t>\data\input\infile_2501.txt</t>
  </si>
  <si>
    <t>\data\input\infile_2502.txt</t>
  </si>
  <si>
    <t>\data\input\infile_2503.txt</t>
  </si>
  <si>
    <t>\data\input\infile_2504.txt</t>
  </si>
  <si>
    <t>\data\input\infile_2505.txt</t>
  </si>
  <si>
    <t>\data\input\infile_2506.txt</t>
  </si>
  <si>
    <t>\data\input\infile_2507.txt</t>
  </si>
  <si>
    <t>\data\input\infile_2508.txt</t>
  </si>
  <si>
    <t>\data\input\infile_2509.txt</t>
  </si>
  <si>
    <t>\data\input\infile_2510.txt</t>
  </si>
  <si>
    <t>\data\input\infile_2511.txt</t>
  </si>
  <si>
    <t>\data\input\infile_2512.txt</t>
  </si>
  <si>
    <t>\data\input\infile_2513.txt</t>
  </si>
  <si>
    <t>\data\input\infile_2514.txt</t>
  </si>
  <si>
    <t>\data\input\infile_2515.txt</t>
  </si>
  <si>
    <t>\data\input\infile_2516.txt</t>
  </si>
  <si>
    <t>\data\input\infile_2517.txt</t>
  </si>
  <si>
    <t>\data\input\infile_2518.txt</t>
  </si>
  <si>
    <t>\data\input\infile_2519.txt</t>
  </si>
  <si>
    <t>\data\input\infile_2520.txt</t>
  </si>
  <si>
    <t>\data\input\infile_2521.txt</t>
  </si>
  <si>
    <t>\data\input\infile_2522.txt</t>
  </si>
  <si>
    <t>\data\input\infile_2523.txt</t>
  </si>
  <si>
    <t>\data\input\infile_2524.txt</t>
  </si>
  <si>
    <t>\data\input\infile_2525.txt</t>
  </si>
  <si>
    <t>\data\input\infile_2526.txt</t>
  </si>
  <si>
    <t>\data\input\infile_2527.txt</t>
  </si>
  <si>
    <t>\data\input\infile_2528.txt</t>
  </si>
  <si>
    <t>\data\input\infile_2529.txt</t>
  </si>
  <si>
    <t>\data\input\infile_2530.txt</t>
  </si>
  <si>
    <t>\data\input\infile_2531.txt</t>
  </si>
  <si>
    <t>\data\input\infile_2532.txt</t>
  </si>
  <si>
    <t>\data\input\infile_2533.txt</t>
  </si>
  <si>
    <t>\data\input\infile_2534.txt</t>
  </si>
  <si>
    <t>\data\input\infile_2535.txt</t>
  </si>
  <si>
    <t>\data\input\infile_2536.txt</t>
  </si>
  <si>
    <t>\data\input\infile_2537.txt</t>
  </si>
  <si>
    <t>\data\input\infile_2538.txt</t>
  </si>
  <si>
    <t>\data\input\infile_2539.txt</t>
  </si>
  <si>
    <t>\data\input\infile_2540.txt</t>
  </si>
  <si>
    <t>\data\input\infile_2541.txt</t>
  </si>
  <si>
    <t>\data\input\infile_2542.txt</t>
  </si>
  <si>
    <t>\data\input\infile_2543.txt</t>
  </si>
  <si>
    <t>\data\input\infile_2544.txt</t>
  </si>
  <si>
    <t>\data\input\infile_2545.txt</t>
  </si>
  <si>
    <t>\data\input\infile_2546.txt</t>
  </si>
  <si>
    <t>\data\input\infile_2547.txt</t>
  </si>
  <si>
    <t>\data\input\infile_2548.txt</t>
  </si>
  <si>
    <t>\data\input\infile_2549.txt</t>
  </si>
  <si>
    <t>\data\input\infile_2550.txt</t>
  </si>
  <si>
    <t>\data\input\infile_2551.txt</t>
  </si>
  <si>
    <t>\data\input\infile_2552.txt</t>
  </si>
  <si>
    <t>\data\input\infile_2553.txt</t>
  </si>
  <si>
    <t>\data\input\infile_2554.txt</t>
  </si>
  <si>
    <t>\data\input\infile_2555.txt</t>
  </si>
  <si>
    <t>\data\input\infile_2556.txt</t>
  </si>
  <si>
    <t>\data\input\infile_2557.txt</t>
  </si>
  <si>
    <t>\data\input\infile_2558.txt</t>
  </si>
  <si>
    <t>\data\input\infile_2559.txt</t>
  </si>
  <si>
    <t>\data\input\infile_2560.txt</t>
  </si>
  <si>
    <t>\data\input\infile_2561.txt</t>
  </si>
  <si>
    <t>\data\input\infile_2562.txt</t>
  </si>
  <si>
    <t>\data\input\infile_2563.txt</t>
  </si>
  <si>
    <t>\data\input\infile_2564.txt</t>
  </si>
  <si>
    <t>\data\input\infile_2565.txt</t>
  </si>
  <si>
    <t>\data\input\infile_2566.txt</t>
  </si>
  <si>
    <t>\data\input\infile_2567.txt</t>
  </si>
  <si>
    <t>\data\input\infile_2568.txt</t>
  </si>
  <si>
    <t>\data\input\infile_2569.txt</t>
  </si>
  <si>
    <t>\data\input\infile_2570.txt</t>
  </si>
  <si>
    <t>\data\input\infile_2571.txt</t>
  </si>
  <si>
    <t>\data\input\infile_2572.txt</t>
  </si>
  <si>
    <t>\data\input\infile_2573.txt</t>
  </si>
  <si>
    <t>\data\input\infile_2574.txt</t>
  </si>
  <si>
    <t>\data\input\infile_2575.txt</t>
  </si>
  <si>
    <t>\data\input\infile_2576.txt</t>
  </si>
  <si>
    <t>\data\input\infile_2577.txt</t>
  </si>
  <si>
    <t>\data\input\infile_2578.txt</t>
  </si>
  <si>
    <t>\data\input\infile_2579.txt</t>
  </si>
  <si>
    <t>\data\input\infile_2580.txt</t>
  </si>
  <si>
    <t>\data\input\infile_2581.txt</t>
  </si>
  <si>
    <t>\data\input\infile_2582.txt</t>
  </si>
  <si>
    <t>\data\input\infile_2583.txt</t>
  </si>
  <si>
    <t>\data\input\infile_2584.txt</t>
  </si>
  <si>
    <t>\data\input\infile_2585.txt</t>
  </si>
  <si>
    <t>\data\input\infile_2586.txt</t>
  </si>
  <si>
    <t>\data\input\infile_2587.txt</t>
  </si>
  <si>
    <t>\data\input\infile_2588.txt</t>
  </si>
  <si>
    <t>\data\input\infile_2589.txt</t>
  </si>
  <si>
    <t>\data\input\infile_2590.txt</t>
  </si>
  <si>
    <t>\data\input\infile_2591.txt</t>
  </si>
  <si>
    <t>\data\input\infile_2592.txt</t>
  </si>
  <si>
    <t>\data\input\infile_2593.txt</t>
  </si>
  <si>
    <t>\data\input\infile_2594.txt</t>
  </si>
  <si>
    <t>\data\input\infile_2595.txt</t>
  </si>
  <si>
    <t>\data\input\infile_2596.txt</t>
  </si>
  <si>
    <t>\data\input\infile_2597.txt</t>
  </si>
  <si>
    <t>\data\input\infile_2598.txt</t>
  </si>
  <si>
    <t>\data\input\infile_2599.txt</t>
  </si>
  <si>
    <t>\data\input\infile_2600.txt</t>
  </si>
  <si>
    <t>\data\input\infile_2601.txt</t>
  </si>
  <si>
    <t>\data\input\infile_2602.txt</t>
  </si>
  <si>
    <t>\data\input\infile_2603.txt</t>
  </si>
  <si>
    <t>\data\input\infile_2604.txt</t>
  </si>
  <si>
    <t>\data\input\infile_2605.txt</t>
  </si>
  <si>
    <t>\data\input\infile_2606.txt</t>
  </si>
  <si>
    <t>\data\input\infile_2607.txt</t>
  </si>
  <si>
    <t>\data\input\infile_2608.txt</t>
  </si>
  <si>
    <t>\data\input\infile_2609.txt</t>
  </si>
  <si>
    <t>\data\input\infile_2610.txt</t>
  </si>
  <si>
    <t>\data\input\infile_2611.txt</t>
  </si>
  <si>
    <t>\data\input\infile_2612.txt</t>
  </si>
  <si>
    <t>\data\input\infile_2613.txt</t>
  </si>
  <si>
    <t>\data\input\infile_2614.txt</t>
  </si>
  <si>
    <t>\data\input\infile_2615.txt</t>
  </si>
  <si>
    <t>\data\input\infile_2616.txt</t>
  </si>
  <si>
    <t>\data\input\infile_2617.txt</t>
  </si>
  <si>
    <t>\data\input\infile_2618.txt</t>
  </si>
  <si>
    <t>\data\input\infile_2619.txt</t>
  </si>
  <si>
    <t>\data\input\infile_2620.txt</t>
  </si>
  <si>
    <t>\data\input\infile_2621.txt</t>
  </si>
  <si>
    <t>\data\input\infile_2622.txt</t>
  </si>
  <si>
    <t>\data\input\infile_2623.txt</t>
  </si>
  <si>
    <t>\data\input\infile_2624.txt</t>
  </si>
  <si>
    <t>\data\input\infile_2625.txt</t>
  </si>
  <si>
    <t>\data\input\infile_2626.txt</t>
  </si>
  <si>
    <t>\data\input\infile_2627.txt</t>
  </si>
  <si>
    <t>\data\input\infile_2628.txt</t>
  </si>
  <si>
    <t>\data\input\infile_2629.txt</t>
  </si>
  <si>
    <t>\data\input\infile_2630.txt</t>
  </si>
  <si>
    <t>\data\input\infile_2631.txt</t>
  </si>
  <si>
    <t>\data\input\infile_2632.txt</t>
  </si>
  <si>
    <t>\data\input\infile_2633.txt</t>
  </si>
  <si>
    <t>\data\input\infile_2634.txt</t>
  </si>
  <si>
    <t>\data\input\infile_2635.txt</t>
  </si>
  <si>
    <t>\data\input\infile_2636.txt</t>
  </si>
  <si>
    <t>\data\input\infile_2637.txt</t>
  </si>
  <si>
    <t>Check reference for claim about \dot\phi attractor behavior</t>
  </si>
  <si>
    <t>Cite Max Wainwright's paper on CosmoTransitions</t>
  </si>
  <si>
    <t>Finish false vacuum appendix</t>
  </si>
  <si>
    <t>Finish topological appendix</t>
  </si>
  <si>
    <t>Finish instanton pre-selection appendix</t>
  </si>
  <si>
    <t>Finish vacuum energy shift appendix</t>
  </si>
  <si>
    <t>7e2c8bc</t>
  </si>
  <si>
    <t>9d4487d</t>
  </si>
  <si>
    <t>Handle cases where inflation isn't confined to maximum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</si>
</sst>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\-mmm;@"/>
    <numFmt numFmtId="165" formatCode="ddd\ m/d"/>
    <numFmt numFmtId="166" formatCode="0000"/>
    <numFmt numFmtId="167" formatCode="0.000000"/>
    <numFmt numFmtId="168" formatCode="h:mm:ss;@"/>
    <numFmt numFmtId="169" formatCode="000#"/>
  </numFmts>
  <fonts count="113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  <font>
      <sz val="11"/>
      <color theme="1" tint="0.24994659260841701"/>
      <name val="Calibiri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100" fillId="0" borderId="0" applyNumberFormat="0" applyFill="0" applyBorder="0" applyAlignment="0" applyProtection="0"/>
    <xf numFmtId="0" fontId="94" fillId="0" borderId="0" applyFill="0" applyBorder="0" applyProtection="0">
      <alignment horizontal="left" wrapText="1"/>
    </xf>
    <xf numFmtId="3" fontId="102" fillId="0" borderId="2" applyFill="0" applyProtection="0">
      <alignment horizontal="center"/>
    </xf>
    <xf numFmtId="0" fontId="102" fillId="0" borderId="0" applyFill="0" applyBorder="0" applyProtection="0">
      <alignment horizontal="center" wrapText="1"/>
    </xf>
    <xf numFmtId="0" fontId="93" fillId="0" borderId="0" applyNumberFormat="0" applyFill="0" applyBorder="0" applyProtection="0">
      <alignment horizontal="left" vertical="center"/>
    </xf>
    <xf numFmtId="9" fontId="95" fillId="0" borderId="0" applyFill="0" applyBorder="0" applyProtection="0">
      <alignment horizontal="center" vertical="center"/>
    </xf>
    <xf numFmtId="0" fontId="101" fillId="6" borderId="1" applyNumberFormat="0" applyProtection="0">
      <alignment horizontal="left" vertical="center"/>
    </xf>
    <xf numFmtId="0" fontId="100" fillId="0" borderId="0" applyNumberFormat="0" applyFill="0" applyBorder="0" applyProtection="0">
      <alignment vertical="center"/>
    </xf>
    <xf numFmtId="0" fontId="102" fillId="0" borderId="0" applyFill="0" applyProtection="0">
      <alignment vertical="center"/>
    </xf>
    <xf numFmtId="0" fontId="102" fillId="0" borderId="0" applyFill="0" applyProtection="0">
      <alignment horizontal="center" vertical="center" wrapText="1"/>
    </xf>
    <xf numFmtId="0" fontId="102" fillId="0" borderId="0" applyFill="0" applyProtection="0">
      <alignment horizontal="left"/>
    </xf>
    <xf numFmtId="0" fontId="104" fillId="0" borderId="0" applyNumberFormat="0" applyFill="0" applyBorder="0" applyProtection="0">
      <alignment vertical="center"/>
    </xf>
    <xf numFmtId="1" fontId="105" fillId="6" borderId="1">
      <alignment horizontal="center" vertical="center"/>
    </xf>
    <xf numFmtId="0" fontId="103" fillId="2" borderId="4" applyNumberFormat="0" applyFont="0" applyAlignment="0">
      <alignment horizontal="center"/>
    </xf>
    <xf numFmtId="0" fontId="103" fillId="3" borderId="3" applyNumberFormat="0" applyFont="0" applyAlignment="0">
      <alignment horizontal="center"/>
    </xf>
    <xf numFmtId="0" fontId="103" fillId="4" borderId="3" applyNumberFormat="0" applyFont="0" applyAlignment="0">
      <alignment horizontal="center"/>
    </xf>
    <xf numFmtId="0" fontId="103" fillId="5" borderId="3" applyNumberFormat="0" applyFont="0" applyAlignment="0">
      <alignment horizontal="center"/>
    </xf>
    <xf numFmtId="0" fontId="103" fillId="7" borderId="3" applyNumberFormat="0" applyFont="0" applyAlignment="0">
      <alignment horizontal="center"/>
    </xf>
    <xf numFmtId="0" fontId="92" fillId="0" borderId="0"/>
  </cellStyleXfs>
  <cellXfs count="18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94" fillId="0" borderId="0" xfId="2">
      <alignment horizontal="left" wrapText="1"/>
    </xf>
    <xf numFmtId="3" fontId="102" fillId="0" borderId="2" xfId="3">
      <alignment horizontal="center"/>
    </xf>
    <xf numFmtId="9" fontId="95" fillId="0" borderId="0" xfId="6">
      <alignment horizontal="center" vertical="center"/>
    </xf>
    <xf numFmtId="0" fontId="101" fillId="6" borderId="1" xfId="7">
      <alignment horizontal="left" vertical="center"/>
    </xf>
    <xf numFmtId="0" fontId="96" fillId="0" borderId="0" xfId="2" applyFont="1">
      <alignment horizontal="left" wrapText="1"/>
    </xf>
    <xf numFmtId="0" fontId="97" fillId="0" borderId="0" xfId="0" applyFont="1" applyAlignment="1">
      <alignment horizontal="center"/>
    </xf>
    <xf numFmtId="9" fontId="98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100" fillId="0" borderId="0" xfId="1" applyAlignment="1">
      <alignment horizontal="center"/>
    </xf>
    <xf numFmtId="0" fontId="100" fillId="0" borderId="0" xfId="8">
      <alignment vertical="center"/>
    </xf>
    <xf numFmtId="1" fontId="105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102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92" fillId="0" borderId="0" xfId="19"/>
    <xf numFmtId="0" fontId="92" fillId="0" borderId="0" xfId="19" applyAlignment="1">
      <alignment horizontal="center"/>
    </xf>
    <xf numFmtId="165" fontId="92" fillId="0" borderId="0" xfId="19" applyNumberFormat="1" applyAlignment="1">
      <alignment horizontal="center"/>
    </xf>
    <xf numFmtId="0" fontId="92" fillId="0" borderId="0" xfId="19" applyNumberFormat="1" applyAlignment="1">
      <alignment horizontal="center"/>
    </xf>
    <xf numFmtId="0" fontId="91" fillId="0" borderId="0" xfId="19" applyFont="1"/>
    <xf numFmtId="0" fontId="90" fillId="0" borderId="0" xfId="19" applyFont="1"/>
    <xf numFmtId="0" fontId="89" fillId="0" borderId="0" xfId="19" applyFont="1"/>
    <xf numFmtId="0" fontId="88" fillId="0" borderId="0" xfId="19" applyFont="1"/>
    <xf numFmtId="0" fontId="87" fillId="0" borderId="0" xfId="19" applyFont="1"/>
    <xf numFmtId="0" fontId="86" fillId="0" borderId="0" xfId="19" applyFont="1"/>
    <xf numFmtId="0" fontId="85" fillId="0" borderId="0" xfId="19" applyFont="1"/>
    <xf numFmtId="0" fontId="84" fillId="0" borderId="0" xfId="19" applyFont="1"/>
    <xf numFmtId="0" fontId="83" fillId="0" borderId="0" xfId="19" applyFont="1"/>
    <xf numFmtId="0" fontId="82" fillId="0" borderId="0" xfId="19" applyFont="1"/>
    <xf numFmtId="0" fontId="81" fillId="0" borderId="0" xfId="19" applyFont="1"/>
    <xf numFmtId="0" fontId="80" fillId="0" borderId="0" xfId="19" applyFont="1"/>
    <xf numFmtId="0" fontId="79" fillId="0" borderId="0" xfId="19" applyFont="1"/>
    <xf numFmtId="0" fontId="78" fillId="0" borderId="0" xfId="19" applyFont="1"/>
    <xf numFmtId="0" fontId="77" fillId="0" borderId="0" xfId="19" applyFont="1"/>
    <xf numFmtId="0" fontId="76" fillId="0" borderId="0" xfId="19" applyFont="1"/>
    <xf numFmtId="0" fontId="106" fillId="0" borderId="0" xfId="0" applyFont="1" applyAlignment="1">
      <alignment horizontal="center" vertical="center" textRotation="90"/>
    </xf>
    <xf numFmtId="0" fontId="106" fillId="0" borderId="0" xfId="0" applyFont="1">
      <alignment horizontal="center" vertical="center"/>
    </xf>
    <xf numFmtId="0" fontId="106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75" fillId="0" borderId="0" xfId="19" applyFont="1"/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74" fillId="0" borderId="0" xfId="19" applyFont="1" applyAlignment="1">
      <alignment horizontal="left"/>
    </xf>
    <xf numFmtId="0" fontId="75" fillId="0" borderId="0" xfId="19" applyFont="1" applyAlignment="1">
      <alignment horizontal="left"/>
    </xf>
    <xf numFmtId="0" fontId="87" fillId="0" borderId="0" xfId="19" applyFont="1" applyAlignment="1">
      <alignment horizontal="left"/>
    </xf>
    <xf numFmtId="0" fontId="92" fillId="0" borderId="0" xfId="19" applyAlignment="1">
      <alignment horizontal="left"/>
    </xf>
    <xf numFmtId="0" fontId="90" fillId="0" borderId="0" xfId="19" applyFont="1" applyAlignment="1">
      <alignment horizontal="left"/>
    </xf>
    <xf numFmtId="0" fontId="83" fillId="0" borderId="0" xfId="19" applyFont="1" applyAlignment="1">
      <alignment horizontal="left"/>
    </xf>
    <xf numFmtId="0" fontId="71" fillId="0" borderId="0" xfId="19" applyFont="1" applyAlignment="1">
      <alignment horizontal="left"/>
    </xf>
    <xf numFmtId="18" fontId="83" fillId="0" borderId="0" xfId="19" applyNumberFormat="1" applyFont="1" applyAlignment="1">
      <alignment horizontal="left"/>
    </xf>
    <xf numFmtId="0" fontId="65" fillId="0" borderId="0" xfId="19" applyFont="1" applyAlignment="1">
      <alignment horizontal="left"/>
    </xf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2" fillId="0" borderId="0" xfId="19" applyFont="1" applyAlignment="1">
      <alignment horizontal="left"/>
    </xf>
    <xf numFmtId="0" fontId="61" fillId="0" borderId="0" xfId="19" applyFont="1"/>
    <xf numFmtId="0" fontId="60" fillId="0" borderId="0" xfId="19" applyFont="1"/>
    <xf numFmtId="0" fontId="60" fillId="0" borderId="0" xfId="19" applyFont="1" applyAlignment="1">
      <alignment horizontal="left"/>
    </xf>
    <xf numFmtId="0" fontId="59" fillId="0" borderId="0" xfId="19" applyNumberFormat="1" applyFont="1" applyAlignment="1">
      <alignment horizontal="center"/>
    </xf>
    <xf numFmtId="0" fontId="59" fillId="0" borderId="0" xfId="19" applyFont="1"/>
    <xf numFmtId="0" fontId="59" fillId="0" borderId="0" xfId="19" applyFont="1" applyAlignment="1">
      <alignment horizontal="left"/>
    </xf>
    <xf numFmtId="0" fontId="58" fillId="0" borderId="0" xfId="19" applyFont="1"/>
    <xf numFmtId="0" fontId="58" fillId="0" borderId="0" xfId="19" applyFont="1" applyAlignment="1">
      <alignment horizontal="left"/>
    </xf>
    <xf numFmtId="0" fontId="57" fillId="0" borderId="0" xfId="19" applyFont="1"/>
    <xf numFmtId="0" fontId="56" fillId="0" borderId="0" xfId="19" applyFont="1"/>
    <xf numFmtId="0" fontId="55" fillId="0" borderId="0" xfId="19" applyFont="1"/>
    <xf numFmtId="0" fontId="54" fillId="0" borderId="0" xfId="19" applyFont="1"/>
    <xf numFmtId="0" fontId="53" fillId="0" borderId="0" xfId="19" applyFont="1"/>
    <xf numFmtId="165" fontId="53" fillId="0" borderId="0" xfId="19" applyNumberFormat="1" applyFont="1" applyAlignment="1">
      <alignment horizontal="center"/>
    </xf>
    <xf numFmtId="0" fontId="53" fillId="0" borderId="0" xfId="19" applyFont="1" applyAlignment="1">
      <alignment horizontal="left"/>
    </xf>
    <xf numFmtId="0" fontId="52" fillId="0" borderId="0" xfId="19" applyFont="1"/>
    <xf numFmtId="0" fontId="52" fillId="0" borderId="0" xfId="19" applyFont="1" applyAlignment="1">
      <alignment horizontal="left"/>
    </xf>
    <xf numFmtId="0" fontId="51" fillId="0" borderId="0" xfId="19" applyFont="1"/>
    <xf numFmtId="0" fontId="50" fillId="0" borderId="0" xfId="19" applyFont="1"/>
    <xf numFmtId="0" fontId="50" fillId="0" borderId="0" xfId="19" applyFont="1" applyAlignment="1">
      <alignment horizontal="left"/>
    </xf>
    <xf numFmtId="0" fontId="49" fillId="0" borderId="0" xfId="19" applyFont="1"/>
    <xf numFmtId="0" fontId="49" fillId="0" borderId="0" xfId="19" applyFont="1" applyAlignment="1">
      <alignment horizontal="left"/>
    </xf>
    <xf numFmtId="0" fontId="48" fillId="0" borderId="0" xfId="19" applyFont="1"/>
    <xf numFmtId="165" fontId="48" fillId="0" borderId="0" xfId="19" applyNumberFormat="1" applyFont="1" applyAlignment="1">
      <alignment horizontal="center"/>
    </xf>
    <xf numFmtId="0" fontId="47" fillId="0" borderId="0" xfId="19" applyFont="1"/>
    <xf numFmtId="0" fontId="46" fillId="0" borderId="0" xfId="19" applyFont="1"/>
    <xf numFmtId="0" fontId="46" fillId="0" borderId="0" xfId="19" applyFont="1" applyAlignment="1">
      <alignment horizontal="left"/>
    </xf>
    <xf numFmtId="0" fontId="45" fillId="0" borderId="0" xfId="19" applyFont="1"/>
    <xf numFmtId="0" fontId="44" fillId="0" borderId="0" xfId="19" applyFont="1" applyAlignment="1">
      <alignment horizontal="left"/>
    </xf>
    <xf numFmtId="0" fontId="44" fillId="0" borderId="0" xfId="19" applyFont="1"/>
    <xf numFmtId="0" fontId="107" fillId="0" borderId="0" xfId="0" applyFont="1">
      <alignment horizontal="center" vertical="center"/>
    </xf>
    <xf numFmtId="0" fontId="108" fillId="0" borderId="0" xfId="0" applyFont="1">
      <alignment horizontal="center" vertical="center"/>
    </xf>
    <xf numFmtId="0" fontId="108" fillId="0" borderId="0" xfId="0" applyFont="1" applyAlignment="1">
      <alignment horizontal="left" vertical="center"/>
    </xf>
    <xf numFmtId="1" fontId="108" fillId="0" borderId="0" xfId="0" applyNumberFormat="1" applyFont="1">
      <alignment horizontal="center" vertical="center"/>
    </xf>
    <xf numFmtId="0" fontId="43" fillId="0" borderId="0" xfId="19" applyFont="1"/>
    <xf numFmtId="0" fontId="111" fillId="0" borderId="0" xfId="0" applyFont="1">
      <alignment horizontal="center" vertical="center"/>
    </xf>
    <xf numFmtId="0" fontId="111" fillId="0" borderId="0" xfId="0" applyFont="1" applyAlignment="1">
      <alignment horizontal="left" vertical="center"/>
    </xf>
    <xf numFmtId="0" fontId="111" fillId="0" borderId="0" xfId="0" quotePrefix="1" applyFont="1" applyAlignment="1">
      <alignment horizontal="left" vertical="center"/>
    </xf>
    <xf numFmtId="166" fontId="101" fillId="0" borderId="0" xfId="0" applyNumberFormat="1" applyFont="1">
      <alignment horizontal="center" vertical="center"/>
    </xf>
    <xf numFmtId="0" fontId="108" fillId="0" borderId="0" xfId="0" quotePrefix="1" applyFont="1" applyAlignment="1">
      <alignment horizontal="left" vertical="center"/>
    </xf>
    <xf numFmtId="16" fontId="106" fillId="0" borderId="0" xfId="0" applyNumberFormat="1" applyFont="1">
      <alignment horizontal="center" vertical="center"/>
    </xf>
    <xf numFmtId="167" fontId="106" fillId="0" borderId="0" xfId="0" applyNumberFormat="1" applyFont="1">
      <alignment horizontal="center" vertical="center"/>
    </xf>
    <xf numFmtId="1" fontId="106" fillId="0" borderId="0" xfId="0" applyNumberFormat="1" applyFont="1">
      <alignment horizontal="center" vertical="center"/>
    </xf>
    <xf numFmtId="0" fontId="106" fillId="0" borderId="0" xfId="0" applyFont="1" applyAlignment="1">
      <alignment horizontal="center" vertical="center"/>
    </xf>
    <xf numFmtId="168" fontId="106" fillId="0" borderId="0" xfId="0" applyNumberFormat="1" applyFont="1">
      <alignment horizontal="center" vertical="center"/>
    </xf>
    <xf numFmtId="0" fontId="42" fillId="0" borderId="0" xfId="19" applyFont="1"/>
    <xf numFmtId="0" fontId="41" fillId="0" borderId="0" xfId="19" applyFont="1"/>
    <xf numFmtId="165" fontId="41" fillId="0" borderId="0" xfId="19" applyNumberFormat="1" applyFont="1" applyAlignment="1">
      <alignment horizontal="center"/>
    </xf>
    <xf numFmtId="0" fontId="41" fillId="0" borderId="0" xfId="19" applyFont="1" applyAlignment="1">
      <alignment horizontal="left"/>
    </xf>
    <xf numFmtId="0" fontId="96" fillId="0" borderId="0" xfId="2" applyFont="1" applyAlignment="1">
      <alignment horizontal="left" vertical="center" wrapText="1"/>
    </xf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34" fillId="0" borderId="0" xfId="19" applyFont="1" applyAlignment="1">
      <alignment horizontal="left"/>
    </xf>
    <xf numFmtId="0" fontId="33" fillId="0" borderId="0" xfId="19" applyFont="1" applyAlignment="1">
      <alignment horizontal="left"/>
    </xf>
    <xf numFmtId="0" fontId="32" fillId="0" borderId="0" xfId="19" applyFont="1"/>
    <xf numFmtId="165" fontId="32" fillId="0" borderId="0" xfId="19" applyNumberFormat="1" applyFont="1" applyAlignment="1">
      <alignment horizontal="center"/>
    </xf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49" fontId="107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22" fillId="0" borderId="0" xfId="19" applyFont="1"/>
    <xf numFmtId="0" fontId="22" fillId="0" borderId="0" xfId="19" applyFont="1" applyAlignment="1">
      <alignment horizontal="left"/>
    </xf>
    <xf numFmtId="0" fontId="108" fillId="0" borderId="0" xfId="0" applyFont="1" applyAlignment="1">
      <alignment horizontal="right" vertical="center"/>
    </xf>
    <xf numFmtId="0" fontId="21" fillId="0" borderId="0" xfId="19" applyFont="1"/>
    <xf numFmtId="2" fontId="0" fillId="0" borderId="0" xfId="0" applyNumberFormat="1">
      <alignment horizontal="center" vertical="center"/>
    </xf>
    <xf numFmtId="2" fontId="111" fillId="0" borderId="0" xfId="0" applyNumberFormat="1" applyFont="1">
      <alignment horizontal="center" vertical="center"/>
    </xf>
    <xf numFmtId="1" fontId="111" fillId="0" borderId="0" xfId="0" applyNumberFormat="1" applyFont="1" applyAlignment="1">
      <alignment horizontal="center" vertical="center"/>
    </xf>
    <xf numFmtId="0" fontId="20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8" fillId="0" borderId="0" xfId="19" applyFont="1"/>
    <xf numFmtId="0" fontId="17" fillId="0" borderId="0" xfId="19" applyFont="1"/>
    <xf numFmtId="0" fontId="112" fillId="0" borderId="0" xfId="0" applyFont="1" applyAlignment="1">
      <alignment horizontal="left" vertical="center"/>
    </xf>
    <xf numFmtId="164" fontId="112" fillId="0" borderId="0" xfId="0" applyNumberFormat="1" applyFont="1">
      <alignment horizontal="center" vertical="center"/>
    </xf>
    <xf numFmtId="169" fontId="101" fillId="0" borderId="0" xfId="0" applyNumberFormat="1" applyFont="1">
      <alignment horizontal="center" vertical="center"/>
    </xf>
    <xf numFmtId="0" fontId="16" fillId="0" borderId="0" xfId="19" applyFont="1" applyAlignment="1">
      <alignment horizontal="left"/>
    </xf>
    <xf numFmtId="0" fontId="16" fillId="0" borderId="0" xfId="19" applyFont="1"/>
    <xf numFmtId="0" fontId="15" fillId="0" borderId="0" xfId="19" applyFont="1"/>
    <xf numFmtId="0" fontId="14" fillId="0" borderId="0" xfId="19" applyFont="1"/>
    <xf numFmtId="0" fontId="13" fillId="0" borderId="0" xfId="19" applyFont="1" applyAlignment="1">
      <alignment horizontal="left"/>
    </xf>
    <xf numFmtId="0" fontId="12" fillId="0" borderId="0" xfId="19" applyFont="1"/>
    <xf numFmtId="0" fontId="11" fillId="0" borderId="0" xfId="19" applyFont="1"/>
    <xf numFmtId="0" fontId="10" fillId="0" borderId="0" xfId="19" applyFont="1"/>
    <xf numFmtId="0" fontId="9" fillId="0" borderId="0" xfId="19" applyFont="1"/>
    <xf numFmtId="0" fontId="8" fillId="0" borderId="0" xfId="19" applyFont="1"/>
    <xf numFmtId="0" fontId="7" fillId="0" borderId="0" xfId="19" applyFont="1"/>
    <xf numFmtId="165" fontId="7" fillId="0" borderId="0" xfId="19" applyNumberFormat="1" applyFont="1" applyAlignment="1">
      <alignment horizontal="center"/>
    </xf>
    <xf numFmtId="0" fontId="6" fillId="0" borderId="0" xfId="19" applyFont="1"/>
    <xf numFmtId="165" fontId="5" fillId="0" borderId="0" xfId="19" applyNumberFormat="1" applyFont="1" applyAlignment="1">
      <alignment horizontal="center"/>
    </xf>
    <xf numFmtId="0" fontId="4" fillId="0" borderId="0" xfId="19" applyFont="1"/>
    <xf numFmtId="0" fontId="3" fillId="0" borderId="0" xfId="19" applyFont="1"/>
    <xf numFmtId="0" fontId="2" fillId="0" borderId="0" xfId="19" applyFont="1"/>
    <xf numFmtId="0" fontId="1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4" fillId="0" borderId="0" xfId="12">
      <alignment vertical="center"/>
    </xf>
    <xf numFmtId="0" fontId="102" fillId="0" borderId="0" xfId="9">
      <alignment vertical="center"/>
    </xf>
    <xf numFmtId="0" fontId="102" fillId="0" borderId="2" xfId="9" applyBorder="1">
      <alignment vertical="center"/>
    </xf>
    <xf numFmtId="0" fontId="102" fillId="0" borderId="0" xfId="10">
      <alignment horizontal="center" vertical="center" wrapText="1"/>
    </xf>
    <xf numFmtId="0" fontId="102" fillId="0" borderId="2" xfId="10" applyBorder="1">
      <alignment horizontal="center" vertical="center" wrapText="1"/>
    </xf>
    <xf numFmtId="0" fontId="102" fillId="0" borderId="5" xfId="10" applyBorder="1">
      <alignment horizontal="center" vertical="center" wrapText="1"/>
    </xf>
    <xf numFmtId="0" fontId="99" fillId="0" borderId="6" xfId="5" applyFont="1" applyBorder="1">
      <alignment horizontal="left" vertical="center"/>
    </xf>
    <xf numFmtId="0" fontId="99" fillId="0" borderId="0" xfId="5" applyFont="1">
      <alignment horizontal="left" vertical="center"/>
    </xf>
    <xf numFmtId="0" fontId="99" fillId="0" borderId="7" xfId="5" applyFont="1" applyBorder="1">
      <alignment horizontal="left" vertical="center"/>
    </xf>
    <xf numFmtId="0" fontId="99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Normal 2" xfId="19" xr:uid="{00000000-0005-0000-0000-00000C000000}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80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0404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numFmt numFmtId="164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alibiri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font>
        <b/>
        <strike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00#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98" totalsRowShown="0">
  <autoFilter ref="A1:F198" xr:uid="{00000000-0009-0000-0100-000001000000}">
    <filterColumn colId="3">
      <filters blank="1">
        <filter val="0.75"/>
      </filters>
    </filterColumn>
    <filterColumn colId="4">
      <filters blank="1">
        <dateGroupItem year="2018" month="6" day="5" dateTimeGrouping="day"/>
      </filters>
    </filterColumn>
  </autoFilter>
  <sortState ref="A30:F198">
    <sortCondition descending="1" ref="C1:C198"/>
  </sortState>
  <tableColumns count="6">
    <tableColumn id="1" xr3:uid="{00000000-0010-0000-0000-000001000000}" name="Task"/>
    <tableColumn id="2" xr3:uid="{00000000-0010-0000-0000-000002000000}" name="Assigned"/>
    <tableColumn id="3" xr3:uid="{00000000-0010-0000-0000-000003000000}" name="Due"/>
    <tableColumn id="6" xr3:uid="{00000000-0010-0000-0000-000006000000}" name=" " dataDxfId="69"/>
    <tableColumn id="4" xr3:uid="{00000000-0010-0000-0000-000004000000}" name="Review"/>
    <tableColumn id="5" xr3:uid="{00000000-0010-0000-0000-000005000000}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19" displayName="Table19" ref="A1:F34" totalsRowShown="0">
  <autoFilter ref="A1:F34" xr:uid="{00000000-0009-0000-0100-000008000000}"/>
  <sortState ref="A2:F33">
    <sortCondition descending="1" ref="C1:C34"/>
  </sortState>
  <tableColumns count="6">
    <tableColumn id="1" xr3:uid="{00000000-0010-0000-0100-000001000000}" name="Task"/>
    <tableColumn id="2" xr3:uid="{00000000-0010-0000-0100-000002000000}" name="Assigned"/>
    <tableColumn id="3" xr3:uid="{00000000-0010-0000-0100-000003000000}" name="Due"/>
    <tableColumn id="6" xr3:uid="{00000000-0010-0000-0100-000006000000}" name=" " dataDxfId="68"/>
    <tableColumn id="4" xr3:uid="{00000000-0010-0000-0100-000004000000}" name="Review"/>
    <tableColumn id="5" xr3:uid="{00000000-0010-0000-0100-000005000000}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A1:F26" totalsRowShown="0">
  <autoFilter ref="A1:F26" xr:uid="{00000000-0009-0000-0100-000007000000}"/>
  <tableColumns count="6">
    <tableColumn id="1" xr3:uid="{00000000-0010-0000-0200-000001000000}" name="Start" dataDxfId="67"/>
    <tableColumn id="2" xr3:uid="{00000000-0010-0000-0200-000002000000}" name="End" dataDxfId="66"/>
    <tableColumn id="3" xr3:uid="{00000000-0010-0000-0200-000003000000}" name="Description" dataDxfId="65"/>
    <tableColumn id="6" xr3:uid="{00000000-0010-0000-0200-000006000000}" name="Git Hash" dataDxfId="64"/>
    <tableColumn id="4" xr3:uid="{00000000-0010-0000-0200-000004000000}" name="Start Date" dataDxfId="63"/>
    <tableColumn id="5" xr3:uid="{00000000-0010-0000-0200-000005000000}" name="End Date" dataDxfId="62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e210" displayName="Table210" ref="A1:S1384" totalsRowShown="0" headerRowDxfId="61" dataDxfId="60">
  <autoFilter ref="A1:S1384" xr:uid="{00000000-0009-0000-0100-000009000000}"/>
  <sortState ref="A2:S771">
    <sortCondition ref="A1:A771"/>
  </sortState>
  <tableColumns count="19">
    <tableColumn id="1" xr3:uid="{00000000-0010-0000-0300-000001000000}" name="Run ID" dataDxfId="59"/>
    <tableColumn id="18" xr3:uid="{00000000-0010-0000-0300-000012000000}" name="n_iter" dataDxfId="58"/>
    <tableColumn id="2" xr3:uid="{00000000-0010-0000-0300-000002000000}" name="mv" dataDxfId="57"/>
    <tableColumn id="3" xr3:uid="{00000000-0010-0000-0300-000003000000}" name="mh" dataDxfId="56"/>
    <tableColumn id="4" xr3:uid="{00000000-0010-0000-0300-000004000000}" name="kmax" dataDxfId="55"/>
    <tableColumn id="19" xr3:uid="{00000000-0010-0000-0300-000013000000}" name="gamma" dataDxfId="54"/>
    <tableColumn id="8" xr3:uid="{00000000-0010-0000-0300-000008000000}" name="measure" dataDxfId="53"/>
    <tableColumn id="9" xr3:uid="{00000000-0010-0000-0300-000009000000}" name="n_tunnel_max" dataDxfId="52"/>
    <tableColumn id="5" xr3:uid="{00000000-0010-0000-0300-000005000000}" name="lambda_screen" dataDxfId="51"/>
    <tableColumn id="6" xr3:uid="{00000000-0010-0000-0300-000006000000}" name="mv_offset_max" dataDxfId="50"/>
    <tableColumn id="20" xr3:uid="{00000000-0010-0000-0300-000014000000}" name="fixQ" dataDxfId="49"/>
    <tableColumn id="21" xr3:uid="{00000000-0010-0000-0300-000015000000}" name="Nafter" dataDxfId="48"/>
    <tableColumn id="22" xr3:uid="{00000000-0010-0000-0300-000016000000}" name="seed" dataDxfId="47"/>
    <tableColumn id="7" xr3:uid="{00000000-0010-0000-0300-000007000000}" name="n_recycle" dataDxfId="46"/>
    <tableColumn id="14" xr3:uid="{00000000-0010-0000-0300-00000E000000}" name="Input File Path" dataDxfId="45"/>
    <tableColumn id="10" xr3:uid="{00000000-0010-0000-0300-00000A000000}" name="Job ID" dataDxfId="44"/>
    <tableColumn id="24" xr3:uid="{00000000-0010-0000-0300-000018000000}" name="End Date2" dataDxfId="43"/>
    <tableColumn id="11" xr3:uid="{00000000-0010-0000-0300-00000B000000}" name="Runtime" dataDxfId="42"/>
    <tableColumn id="12" xr3:uid="{00000000-0010-0000-0300-00000C000000}" name="Git Hash" dataDxfId="41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S1384" totalsRowShown="0" headerRowDxfId="40" dataDxfId="39">
  <autoFilter ref="A1:S1384" xr:uid="{00000000-0009-0000-0100-000002000000}"/>
  <sortState ref="A2:S771">
    <sortCondition ref="A1:A771"/>
  </sortState>
  <tableColumns count="19">
    <tableColumn id="1" xr3:uid="{00000000-0010-0000-0400-000001000000}" name="Run ID" dataDxfId="38"/>
    <tableColumn id="18" xr3:uid="{00000000-0010-0000-0400-000012000000}" name="n_iter" dataDxfId="37"/>
    <tableColumn id="2" xr3:uid="{00000000-0010-0000-0400-000002000000}" name="mv" dataDxfId="36"/>
    <tableColumn id="3" xr3:uid="{00000000-0010-0000-0400-000003000000}" name="mh" dataDxfId="35"/>
    <tableColumn id="4" xr3:uid="{00000000-0010-0000-0400-000004000000}" name="kmax" dataDxfId="34"/>
    <tableColumn id="19" xr3:uid="{00000000-0010-0000-0400-000013000000}" name="gamma" dataDxfId="33"/>
    <tableColumn id="8" xr3:uid="{00000000-0010-0000-0400-000008000000}" name="measure" dataDxfId="32"/>
    <tableColumn id="9" xr3:uid="{00000000-0010-0000-0400-000009000000}" name="n_tunnel_max" dataDxfId="31"/>
    <tableColumn id="5" xr3:uid="{00000000-0010-0000-0400-000005000000}" name="lambda_screen" dataDxfId="30"/>
    <tableColumn id="6" xr3:uid="{00000000-0010-0000-0400-000006000000}" name="rho_Lambda_thres" dataDxfId="29"/>
    <tableColumn id="20" xr3:uid="{00000000-0010-0000-0400-000014000000}" name="fixQ" dataDxfId="28"/>
    <tableColumn id="21" xr3:uid="{00000000-0010-0000-0400-000015000000}" name="Nafter" dataDxfId="27"/>
    <tableColumn id="22" xr3:uid="{00000000-0010-0000-0400-000016000000}" name="seed" dataDxfId="26"/>
    <tableColumn id="7" xr3:uid="{00000000-0010-0000-0400-000007000000}" name="n_recycle" dataDxfId="25"/>
    <tableColumn id="14" xr3:uid="{00000000-0010-0000-0400-00000E000000}" name="Input File Path" dataDxfId="24"/>
    <tableColumn id="10" xr3:uid="{00000000-0010-0000-0400-00000A000000}" name="Job ID" dataDxfId="23"/>
    <tableColumn id="24" xr3:uid="{00000000-0010-0000-0400-000018000000}" name="End Date2" dataDxfId="22"/>
    <tableColumn id="11" xr3:uid="{00000000-0010-0000-0400-00000B000000}" name="Runtime" dataDxfId="21"/>
    <tableColumn id="12" xr3:uid="{00000000-0010-0000-0400-00000C000000}" name="Git Hash" dataDxfId="2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A1:G48" totalsRowShown="0">
  <autoFilter ref="A1:G48" xr:uid="{00000000-0009-0000-0100-000004000000}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xr3:uid="{00000000-0010-0000-0500-000001000000}" name="I/O"/>
    <tableColumn id="6" xr3:uid="{00000000-0010-0000-0500-000006000000}" name="Quantity" dataDxfId="19"/>
    <tableColumn id="5" xr3:uid="{00000000-0010-0000-0500-000005000000}" name="Position History" dataDxfId="18"/>
    <tableColumn id="7" xr3:uid="{00000000-0010-0000-0500-000007000000}" name="Position2" dataDxfId="17">
      <calculatedColumnFormula>VALUE(LEFT(RIGHT(Table4[[#This Row],[Position History]],5),FIND(CHAR(34),RIGHT(Table4[[#This Row],[Position History]],5))-1))</calculatedColumnFormula>
    </tableColumn>
    <tableColumn id="2" xr3:uid="{00000000-0010-0000-0500-000002000000}" name="Dimensions"/>
    <tableColumn id="3" xr3:uid="{00000000-0010-0000-0500-000003000000}" name="Units"/>
    <tableColumn id="4" xr3:uid="{00000000-0010-0000-0500-000004000000}" name="Description" dataDxfId="16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able44" displayName="Table44" ref="A1:E117" totalsRowShown="0" dataDxfId="15">
  <autoFilter ref="A1:E117" xr:uid="{00000000-0009-0000-0100-000003000000}"/>
  <sortState ref="A2:E117">
    <sortCondition ref="A1:A117"/>
  </sortState>
  <tableColumns count="5">
    <tableColumn id="1" xr3:uid="{00000000-0010-0000-0600-000001000000}" name="Class" dataDxfId="14"/>
    <tableColumn id="2" xr3:uid="{00000000-0010-0000-0600-000002000000}" name="Function" dataDxfId="13"/>
    <tableColumn id="3" xr3:uid="{00000000-0010-0000-0600-000003000000}" name="Line" dataDxfId="12"/>
    <tableColumn id="5" xr3:uid="{00000000-0010-0000-0600-000005000000}" name="Checked" dataDxfId="11"/>
    <tableColumn id="4" xr3:uid="{00000000-0010-0000-0600-000004000000}" name="Description" dataDxfId="10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e446" displayName="Table446" ref="A1:E117" totalsRowShown="0" dataDxfId="9">
  <autoFilter ref="A1:E117" xr:uid="{00000000-0009-0000-0100-000005000000}">
    <filterColumn colId="3">
      <filters blank="1"/>
    </filterColumn>
  </autoFilter>
  <sortState ref="A2:E117">
    <sortCondition ref="A1:A117"/>
  </sortState>
  <tableColumns count="5">
    <tableColumn id="1" xr3:uid="{00000000-0010-0000-0700-000001000000}" name="Class" dataDxfId="8"/>
    <tableColumn id="2" xr3:uid="{00000000-0010-0000-0700-000002000000}" name="Function" dataDxfId="7"/>
    <tableColumn id="3" xr3:uid="{00000000-0010-0000-0700-000003000000}" name="Line" dataDxfId="6"/>
    <tableColumn id="5" xr3:uid="{00000000-0010-0000-0700-000005000000}" name="Checked" dataDxfId="5"/>
    <tableColumn id="4" xr3:uid="{00000000-0010-0000-0700-000004000000}" name="Description" dataDxfId="4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C28" totalsRowShown="0" dataDxfId="3">
  <autoFilter ref="A1:C28" xr:uid="{00000000-0009-0000-0100-000006000000}"/>
  <tableColumns count="3">
    <tableColumn id="1" xr3:uid="{00000000-0010-0000-0800-000001000000}" name="Code" dataDxfId="2"/>
    <tableColumn id="2" xr3:uid="{00000000-0010-0000-0800-000002000000}" name="Description" dataDxfId="1"/>
    <tableColumn id="3" xr3:uid="{00000000-0010-0000-0800-000003000000}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FD32"/>
  <sheetViews>
    <sheetView showGridLines="0" zoomScale="85" zoomScaleNormal="85" zoomScaleSheetLayoutView="80" workbookViewId="0">
      <selection activeCell="D14" sqref="D14"/>
    </sheetView>
  </sheetViews>
  <sheetFormatPr defaultColWidth="0" defaultRowHeight="30" customHeight="1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>
      <c r="B1" s="11" t="s">
        <v>34</v>
      </c>
      <c r="C1" s="10"/>
      <c r="D1" s="10"/>
      <c r="E1" s="10"/>
      <c r="F1" s="10"/>
      <c r="G1" s="10"/>
    </row>
    <row r="2" spans="2:16384" ht="21" customHeight="1" thickTop="1" thickBot="1">
      <c r="B2" s="174" t="s">
        <v>28</v>
      </c>
      <c r="C2" s="174"/>
      <c r="D2" s="174"/>
      <c r="E2" s="174"/>
      <c r="F2" s="174"/>
      <c r="G2" s="5" t="s">
        <v>20</v>
      </c>
      <c r="H2" s="12">
        <v>9</v>
      </c>
      <c r="J2" s="13"/>
      <c r="K2" s="180" t="s">
        <v>27</v>
      </c>
      <c r="L2" s="181"/>
      <c r="M2" s="181"/>
      <c r="N2" s="181"/>
      <c r="O2" s="182"/>
      <c r="P2" s="14"/>
      <c r="Q2" s="180" t="s">
        <v>26</v>
      </c>
      <c r="R2" s="183"/>
      <c r="S2" s="183"/>
      <c r="T2" s="182"/>
      <c r="U2" s="15"/>
      <c r="V2" s="172" t="s">
        <v>17</v>
      </c>
      <c r="W2" s="173"/>
      <c r="X2" s="173"/>
      <c r="Y2" s="184"/>
      <c r="Z2" s="16"/>
      <c r="AA2" s="185" t="s">
        <v>18</v>
      </c>
      <c r="AB2" s="186"/>
      <c r="AC2" s="186"/>
      <c r="AD2" s="186"/>
      <c r="AE2" s="186"/>
      <c r="AF2" s="186"/>
      <c r="AG2" s="187"/>
      <c r="AH2" s="17"/>
      <c r="AI2" s="172" t="s">
        <v>19</v>
      </c>
      <c r="AJ2" s="173"/>
      <c r="AK2" s="173"/>
      <c r="AL2" s="173"/>
      <c r="AM2" s="173"/>
      <c r="AN2" s="173"/>
      <c r="AO2" s="173"/>
      <c r="AP2" s="173"/>
    </row>
    <row r="3" spans="2:16384" s="9" customFormat="1" ht="39.9" customHeight="1" thickTop="1">
      <c r="B3" s="175" t="s">
        <v>0</v>
      </c>
      <c r="C3" s="177" t="s">
        <v>21</v>
      </c>
      <c r="D3" s="177" t="s">
        <v>22</v>
      </c>
      <c r="E3" s="177" t="s">
        <v>23</v>
      </c>
      <c r="F3" s="177" t="s">
        <v>24</v>
      </c>
      <c r="G3" s="179" t="s">
        <v>25</v>
      </c>
      <c r="H3" s="18">
        <v>43213</v>
      </c>
      <c r="I3" s="18">
        <v>43220</v>
      </c>
      <c r="J3" s="18">
        <v>43227</v>
      </c>
      <c r="K3" s="18">
        <v>43234</v>
      </c>
      <c r="L3" s="18">
        <v>43241</v>
      </c>
      <c r="M3" s="18">
        <v>43248</v>
      </c>
      <c r="N3" s="18">
        <v>43255</v>
      </c>
      <c r="O3" s="18">
        <v>43262</v>
      </c>
      <c r="P3" s="18">
        <v>43269</v>
      </c>
      <c r="Q3" s="18">
        <v>43276</v>
      </c>
      <c r="R3" s="18">
        <v>43283</v>
      </c>
      <c r="S3" s="18">
        <v>43290</v>
      </c>
      <c r="T3" s="18">
        <v>43297</v>
      </c>
      <c r="U3" s="18">
        <v>43304</v>
      </c>
      <c r="V3" s="18">
        <v>43311</v>
      </c>
      <c r="W3" s="18">
        <v>43318</v>
      </c>
      <c r="X3" s="18">
        <v>43325</v>
      </c>
      <c r="Y3" s="18">
        <v>43332</v>
      </c>
      <c r="Z3" s="18">
        <v>43339</v>
      </c>
      <c r="AA3" s="18">
        <v>43346</v>
      </c>
      <c r="AB3" s="18">
        <v>43353</v>
      </c>
      <c r="AC3" s="18">
        <v>43360</v>
      </c>
      <c r="AD3" s="18">
        <v>43367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>
      <c r="B4" s="176"/>
      <c r="C4" s="178"/>
      <c r="D4" s="178"/>
      <c r="E4" s="178"/>
      <c r="F4" s="178"/>
      <c r="G4" s="17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>
      <c r="B5" s="116" t="s">
        <v>433</v>
      </c>
      <c r="C5" s="7">
        <v>1</v>
      </c>
      <c r="D5" s="7">
        <v>3</v>
      </c>
      <c r="E5" s="7">
        <v>1</v>
      </c>
      <c r="F5" s="7">
        <v>7</v>
      </c>
      <c r="G5" s="8">
        <v>1</v>
      </c>
      <c r="W5" s="19"/>
      <c r="X5" s="19"/>
      <c r="Y5" s="19"/>
    </row>
    <row r="6" spans="2:16384" ht="30" customHeight="1">
      <c r="B6" s="116" t="s">
        <v>436</v>
      </c>
      <c r="C6" s="7">
        <v>1</v>
      </c>
      <c r="D6" s="7">
        <v>4</v>
      </c>
      <c r="E6" s="7">
        <v>1</v>
      </c>
      <c r="F6" s="7">
        <v>4</v>
      </c>
      <c r="G6" s="8">
        <v>0.9</v>
      </c>
      <c r="W6" s="19"/>
      <c r="X6" s="19"/>
      <c r="Y6" s="19"/>
    </row>
    <row r="7" spans="2:16384" ht="30" customHeight="1">
      <c r="B7" s="116" t="s">
        <v>435</v>
      </c>
      <c r="C7" s="7">
        <v>2</v>
      </c>
      <c r="D7" s="7">
        <v>3</v>
      </c>
      <c r="E7" s="7">
        <v>2</v>
      </c>
      <c r="F7" s="7">
        <v>3</v>
      </c>
      <c r="G7" s="8">
        <v>0.1</v>
      </c>
      <c r="W7" s="19"/>
      <c r="X7" s="19"/>
      <c r="Y7" s="19"/>
    </row>
    <row r="8" spans="2:16384" ht="30" customHeight="1">
      <c r="B8" s="116" t="s">
        <v>434</v>
      </c>
      <c r="C8" s="7">
        <v>4</v>
      </c>
      <c r="D8" s="7">
        <v>3</v>
      </c>
      <c r="E8" s="7">
        <v>6</v>
      </c>
      <c r="F8" s="7">
        <v>2</v>
      </c>
      <c r="G8" s="8"/>
      <c r="W8" s="19"/>
      <c r="X8" s="19"/>
      <c r="Y8" s="19"/>
    </row>
    <row r="9" spans="2:16384" ht="30" customHeight="1">
      <c r="B9" s="116" t="s">
        <v>437</v>
      </c>
      <c r="C9" s="7">
        <v>4</v>
      </c>
      <c r="D9" s="7">
        <v>4</v>
      </c>
      <c r="E9" s="7">
        <v>6</v>
      </c>
      <c r="F9" s="7">
        <v>3</v>
      </c>
      <c r="G9" s="8"/>
      <c r="W9" s="19"/>
      <c r="X9" s="19"/>
      <c r="Y9" s="19"/>
    </row>
    <row r="10" spans="2:16384" ht="30" customHeight="1">
      <c r="B10" s="116" t="s">
        <v>31</v>
      </c>
      <c r="C10" s="7">
        <v>7</v>
      </c>
      <c r="D10" s="7">
        <v>7</v>
      </c>
      <c r="E10" s="7">
        <v>7</v>
      </c>
      <c r="F10" s="7">
        <v>3</v>
      </c>
      <c r="G10" s="8"/>
      <c r="W10" s="19"/>
      <c r="X10" s="19"/>
      <c r="Y10" s="19"/>
    </row>
    <row r="11" spans="2:16384" ht="30" customHeight="1">
      <c r="B11" s="116" t="s">
        <v>438</v>
      </c>
      <c r="C11" s="7">
        <v>7</v>
      </c>
      <c r="D11" s="7">
        <v>9</v>
      </c>
      <c r="E11" s="7">
        <v>7</v>
      </c>
      <c r="F11" s="7">
        <v>3</v>
      </c>
      <c r="G11" s="8"/>
      <c r="W11" s="19"/>
      <c r="X11" s="19"/>
      <c r="Y11" s="19"/>
    </row>
    <row r="12" spans="2:16384" ht="30" customHeight="1">
      <c r="B12" s="116" t="s">
        <v>2076</v>
      </c>
      <c r="C12" s="7">
        <v>7</v>
      </c>
      <c r="D12" s="7">
        <v>1</v>
      </c>
      <c r="E12" s="7">
        <v>7</v>
      </c>
      <c r="F12" s="7">
        <v>1</v>
      </c>
      <c r="G12" s="8"/>
      <c r="W12" s="19"/>
      <c r="X12" s="19"/>
      <c r="Y12" s="19"/>
    </row>
    <row r="13" spans="2:16384" ht="30" customHeight="1">
      <c r="B13" s="116" t="s">
        <v>29</v>
      </c>
      <c r="C13" s="7">
        <v>1</v>
      </c>
      <c r="D13" s="7">
        <v>14</v>
      </c>
      <c r="E13" s="7">
        <v>1</v>
      </c>
      <c r="F13" s="7">
        <v>9</v>
      </c>
      <c r="G13" s="8">
        <v>0.2</v>
      </c>
      <c r="W13" s="19"/>
      <c r="X13" s="19"/>
      <c r="Y13" s="19"/>
    </row>
    <row r="14" spans="2:16384" ht="30" customHeight="1">
      <c r="B14" s="116" t="s">
        <v>30</v>
      </c>
      <c r="C14" s="7">
        <v>6</v>
      </c>
      <c r="D14" s="7">
        <v>10</v>
      </c>
      <c r="E14" s="7">
        <v>8</v>
      </c>
      <c r="F14" s="7">
        <v>2</v>
      </c>
      <c r="G14" s="8"/>
      <c r="W14" s="19"/>
      <c r="X14" s="19"/>
      <c r="Y14" s="19"/>
    </row>
    <row r="15" spans="2:16384" ht="30" customHeight="1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79" priority="1">
      <formula>PercentComplete</formula>
    </cfRule>
    <cfRule type="expression" dxfId="78" priority="3">
      <formula>PercentCompleteBeyond</formula>
    </cfRule>
    <cfRule type="expression" dxfId="77" priority="4">
      <formula>Actual</formula>
    </cfRule>
    <cfRule type="expression" dxfId="76" priority="5">
      <formula>ActualBeyond</formula>
    </cfRule>
    <cfRule type="expression" dxfId="75" priority="6">
      <formula>Plan</formula>
    </cfRule>
    <cfRule type="expression" dxfId="74" priority="7">
      <formula>H$4=period_selected</formula>
    </cfRule>
    <cfRule type="expression" dxfId="73" priority="11">
      <formula>MOD(COLUMN(),2)</formula>
    </cfRule>
    <cfRule type="expression" dxfId="72" priority="12">
      <formula>MOD(COLUMN(),2)=0</formula>
    </cfRule>
  </conditionalFormatting>
  <conditionalFormatting sqref="B33:BO33">
    <cfRule type="expression" dxfId="71" priority="2">
      <formula>TRUE</formula>
    </cfRule>
  </conditionalFormatting>
  <conditionalFormatting sqref="H4:BO4">
    <cfRule type="expression" dxfId="7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:XFD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02"/>
  <sheetViews>
    <sheetView tabSelected="1" zoomScaleNormal="100" workbookViewId="0">
      <selection activeCell="A187" sqref="A187"/>
    </sheetView>
  </sheetViews>
  <sheetFormatPr defaultColWidth="0" defaultRowHeight="14.4" customHeight="1" zeroHeight="1"/>
  <cols>
    <col min="1" max="1" width="55.664062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 hidden="1">
      <c r="A2" s="28" t="s">
        <v>73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78</v>
      </c>
    </row>
    <row r="3" spans="1:6" hidden="1">
      <c r="A3" s="25" t="s">
        <v>59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80</v>
      </c>
    </row>
    <row r="4" spans="1:6" hidden="1">
      <c r="A4" s="20" t="s">
        <v>41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>
      <c r="A5" s="20" t="s">
        <v>42</v>
      </c>
      <c r="B5" s="22">
        <v>42983</v>
      </c>
      <c r="C5" s="22">
        <v>42983</v>
      </c>
      <c r="D5" s="23">
        <v>1</v>
      </c>
      <c r="E5" s="22">
        <v>42992</v>
      </c>
      <c r="F5" s="20" t="s">
        <v>43</v>
      </c>
    </row>
    <row r="6" spans="1:6" hidden="1">
      <c r="A6" s="20" t="s">
        <v>44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>
      <c r="A7" s="20" t="s">
        <v>46</v>
      </c>
      <c r="B7" s="22">
        <v>42983</v>
      </c>
      <c r="C7" s="22">
        <v>42984</v>
      </c>
      <c r="D7" s="23">
        <v>1</v>
      </c>
      <c r="E7" s="22">
        <v>42986</v>
      </c>
      <c r="F7" s="24" t="s">
        <v>58</v>
      </c>
    </row>
    <row r="8" spans="1:6" hidden="1">
      <c r="A8" s="20" t="s">
        <v>45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>
      <c r="A9" s="20" t="s">
        <v>49</v>
      </c>
      <c r="B9" s="22">
        <v>42983</v>
      </c>
      <c r="C9" s="22">
        <v>42990</v>
      </c>
      <c r="D9" s="23">
        <v>1</v>
      </c>
      <c r="E9" s="22">
        <v>42991</v>
      </c>
      <c r="F9" s="26" t="s">
        <v>65</v>
      </c>
    </row>
    <row r="10" spans="1:6" hidden="1">
      <c r="A10" s="29" t="s">
        <v>74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76</v>
      </c>
    </row>
    <row r="11" spans="1:6" hidden="1">
      <c r="A11" s="20" t="s">
        <v>53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63</v>
      </c>
    </row>
    <row r="12" spans="1:6" hidden="1">
      <c r="A12" s="20" t="s">
        <v>50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51</v>
      </c>
    </row>
    <row r="13" spans="1:6" hidden="1">
      <c r="A13" s="26" t="s">
        <v>66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67</v>
      </c>
    </row>
    <row r="14" spans="1:6" hidden="1">
      <c r="A14" s="30" t="s">
        <v>75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>
      <c r="A15" s="20" t="s">
        <v>47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69</v>
      </c>
    </row>
    <row r="16" spans="1:6" hidden="1">
      <c r="A16" s="20" t="s">
        <v>48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72</v>
      </c>
    </row>
    <row r="17" spans="1:6" hidden="1">
      <c r="A17" s="32" t="s">
        <v>77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>
      <c r="A18" s="32" t="s">
        <v>82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>
      <c r="A19" s="32" t="s">
        <v>83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84</v>
      </c>
    </row>
    <row r="20" spans="1:6" hidden="1">
      <c r="A20" s="34" t="s">
        <v>88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>
      <c r="A21" s="34" t="s">
        <v>87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>
      <c r="A22" s="33" t="s">
        <v>85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86</v>
      </c>
    </row>
    <row r="23" spans="1:6" hidden="1">
      <c r="A23" s="35" t="s">
        <v>91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92</v>
      </c>
    </row>
    <row r="24" spans="1:6" hidden="1">
      <c r="A24" s="37" t="s">
        <v>93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94</v>
      </c>
    </row>
    <row r="25" spans="1:6" hidden="1">
      <c r="A25" s="35" t="s">
        <v>90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>
      <c r="A26" s="34" t="s">
        <v>89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>
      <c r="A27" s="44" t="s">
        <v>115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>
      <c r="A28" s="38" t="s">
        <v>95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>
      <c r="A29" s="27" t="s">
        <v>68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>
      <c r="A30" s="94" t="s">
        <v>194</v>
      </c>
      <c r="B30" s="22">
        <v>43140</v>
      </c>
      <c r="C30" s="80">
        <v>43159</v>
      </c>
      <c r="D30" s="23">
        <v>1</v>
      </c>
      <c r="E30" s="22">
        <v>43228</v>
      </c>
      <c r="F30" s="88"/>
    </row>
    <row r="31" spans="1:6" hidden="1">
      <c r="A31" s="25" t="s">
        <v>60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61</v>
      </c>
    </row>
    <row r="32" spans="1:6" hidden="1">
      <c r="A32" s="28" t="s">
        <v>70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71</v>
      </c>
    </row>
    <row r="33" spans="1:6" hidden="1">
      <c r="A33" s="68" t="s">
        <v>146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145</v>
      </c>
    </row>
    <row r="34" spans="1:6" hidden="1">
      <c r="A34" s="68" t="s">
        <v>144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>
      <c r="A35" s="67" t="s">
        <v>143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>
      <c r="A36" s="48" t="s">
        <v>122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>
      <c r="A37" s="53" t="s">
        <v>131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>
      <c r="A38" s="39" t="s">
        <v>96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121</v>
      </c>
    </row>
    <row r="39" spans="1:6" hidden="1">
      <c r="A39" s="65" t="s">
        <v>136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>
      <c r="A40" s="45" t="s">
        <v>116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>
      <c r="A41" s="66" t="s">
        <v>138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>
      <c r="A42" s="46" t="s">
        <v>117</v>
      </c>
      <c r="B42" s="22">
        <f ca="1">TODAY()</f>
        <v>43355</v>
      </c>
      <c r="C42" s="22">
        <v>43118</v>
      </c>
      <c r="D42" s="23">
        <v>1</v>
      </c>
      <c r="E42" s="22">
        <v>43118</v>
      </c>
      <c r="F42" s="32"/>
    </row>
    <row r="43" spans="1:6" hidden="1">
      <c r="A43" s="65" t="s">
        <v>139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140</v>
      </c>
    </row>
    <row r="44" spans="1:6" hidden="1">
      <c r="A44" s="47" t="s">
        <v>119</v>
      </c>
      <c r="B44" s="22">
        <f ca="1">TODAY()</f>
        <v>43355</v>
      </c>
      <c r="C44" s="22">
        <v>43118</v>
      </c>
      <c r="D44" s="23">
        <v>1</v>
      </c>
      <c r="E44" s="22">
        <v>43118</v>
      </c>
      <c r="F44" s="32"/>
    </row>
    <row r="45" spans="1:6" hidden="1">
      <c r="A45" s="47" t="s">
        <v>120</v>
      </c>
      <c r="B45" s="22">
        <f ca="1">TODAY()</f>
        <v>43355</v>
      </c>
      <c r="C45" s="22">
        <v>43118</v>
      </c>
      <c r="D45" s="23">
        <v>1</v>
      </c>
      <c r="E45" s="22">
        <v>43118</v>
      </c>
      <c r="F45" s="32"/>
    </row>
    <row r="46" spans="1:6" hidden="1">
      <c r="A46" s="67" t="s">
        <v>141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>
      <c r="A47" s="48" t="s">
        <v>123</v>
      </c>
      <c r="B47" s="22">
        <f ca="1">TODAY()</f>
        <v>43355</v>
      </c>
      <c r="C47" s="22"/>
      <c r="D47" s="23">
        <v>1</v>
      </c>
      <c r="E47" s="22">
        <v>43118</v>
      </c>
      <c r="F47" s="32"/>
    </row>
    <row r="48" spans="1:6" hidden="1">
      <c r="A48" s="48" t="s">
        <v>124</v>
      </c>
      <c r="B48" s="22"/>
      <c r="C48" s="22"/>
      <c r="D48" s="23">
        <v>1</v>
      </c>
      <c r="E48" s="22">
        <v>43118</v>
      </c>
      <c r="F48" s="32"/>
    </row>
    <row r="49" spans="1:6" hidden="1">
      <c r="A49" s="49" t="s">
        <v>125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>
      <c r="A50" s="50" t="s">
        <v>126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>
      <c r="A51" s="51" t="s">
        <v>127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>
      <c r="A52" s="51" t="s">
        <v>128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>
      <c r="A53" s="52" t="s">
        <v>129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>
      <c r="A54" s="52" t="s">
        <v>130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>
      <c r="A55" s="47" t="s">
        <v>118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133</v>
      </c>
    </row>
    <row r="56" spans="1:6" hidden="1">
      <c r="A56" s="53" t="s">
        <v>132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>
      <c r="A57" s="63" t="s">
        <v>134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>
      <c r="A58" s="64" t="s">
        <v>135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>
      <c r="A59" s="68" t="s">
        <v>151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>
      <c r="A60" s="20" t="s">
        <v>52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62</v>
      </c>
    </row>
    <row r="61" spans="1:6" hidden="1">
      <c r="A61" s="68" t="s">
        <v>148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79</v>
      </c>
    </row>
    <row r="62" spans="1:6" hidden="1">
      <c r="A62" s="68" t="s">
        <v>149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>
      <c r="A63" s="67" t="s">
        <v>142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>
      <c r="A64" s="20" t="s">
        <v>57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64</v>
      </c>
    </row>
    <row r="65" spans="1:6" hidden="1">
      <c r="A65" s="68" t="s">
        <v>150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>
      <c r="A66" s="20" t="s">
        <v>54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81</v>
      </c>
    </row>
    <row r="67" spans="1:6" hidden="1">
      <c r="A67" s="160" t="s">
        <v>2081</v>
      </c>
      <c r="B67" s="22">
        <v>43124</v>
      </c>
      <c r="C67" s="22">
        <v>43255</v>
      </c>
      <c r="D67" s="23">
        <v>1</v>
      </c>
      <c r="E67" s="22">
        <v>43256</v>
      </c>
      <c r="F67" s="59"/>
    </row>
    <row r="68" spans="1:6" hidden="1">
      <c r="A68" s="71" t="s">
        <v>152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153</v>
      </c>
    </row>
    <row r="69" spans="1:6" hidden="1">
      <c r="A69" s="39" t="s">
        <v>97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147</v>
      </c>
    </row>
    <row r="70" spans="1:6" hidden="1">
      <c r="A70" s="65" t="s">
        <v>137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>
      <c r="A71" s="20" t="s">
        <v>55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56</v>
      </c>
    </row>
    <row r="72" spans="1:6" hidden="1">
      <c r="A72" s="71" t="s">
        <v>154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>
      <c r="A73" s="73" t="s">
        <v>155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156</v>
      </c>
    </row>
    <row r="74" spans="1:6" hidden="1">
      <c r="A74" s="75" t="s">
        <v>157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>
      <c r="A75" s="75" t="s">
        <v>158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>
      <c r="A76" s="75" t="s">
        <v>159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>
      <c r="A77" s="76" t="s">
        <v>89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>
      <c r="A78" s="76" t="s">
        <v>160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>
      <c r="A79" s="76" t="s">
        <v>161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>
      <c r="A80" s="77" t="s">
        <v>162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>
      <c r="A81" s="77" t="s">
        <v>163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>
      <c r="A82" s="78" t="s">
        <v>164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168</v>
      </c>
    </row>
    <row r="83" spans="1:6" hidden="1">
      <c r="A83" s="79" t="s">
        <v>165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>
      <c r="A84" s="79" t="s">
        <v>166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>
      <c r="A85" s="79" t="s">
        <v>167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185</v>
      </c>
    </row>
    <row r="86" spans="1:6" hidden="1">
      <c r="A86" s="82" t="s">
        <v>169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170</v>
      </c>
    </row>
    <row r="87" spans="1:6" hidden="1">
      <c r="A87" s="82" t="s">
        <v>171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>
      <c r="A88" s="84" t="s">
        <v>172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>
      <c r="A89" s="84" t="s">
        <v>173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>
      <c r="A90" s="84" t="s">
        <v>174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183</v>
      </c>
    </row>
    <row r="91" spans="1:6" hidden="1">
      <c r="A91" s="84" t="s">
        <v>175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184</v>
      </c>
    </row>
    <row r="92" spans="1:6" hidden="1">
      <c r="A92" s="85" t="s">
        <v>176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177</v>
      </c>
    </row>
    <row r="93" spans="1:6" hidden="1">
      <c r="A93" s="85" t="s">
        <v>178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>
      <c r="A94" s="87" t="s">
        <v>179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186</v>
      </c>
    </row>
    <row r="95" spans="1:6" hidden="1">
      <c r="A95" s="87" t="s">
        <v>180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>
      <c r="A96" s="87" t="s">
        <v>181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182</v>
      </c>
    </row>
    <row r="97" spans="1:6" hidden="1">
      <c r="A97" s="89" t="s">
        <v>187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>
      <c r="A98" s="89" t="s">
        <v>188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>
      <c r="A99" s="91" t="s">
        <v>190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>
      <c r="A100" s="91" t="s">
        <v>189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>
      <c r="A101" s="92" t="s">
        <v>191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192</v>
      </c>
    </row>
    <row r="102" spans="1:6" hidden="1">
      <c r="A102" s="92" t="s">
        <v>193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195</v>
      </c>
    </row>
    <row r="103" spans="1:6" hidden="1">
      <c r="A103" s="117" t="s">
        <v>439</v>
      </c>
      <c r="B103" s="22">
        <v>43140</v>
      </c>
      <c r="C103" s="80">
        <v>43145</v>
      </c>
      <c r="D103" s="23">
        <v>1.5</v>
      </c>
      <c r="E103" s="22">
        <v>43256</v>
      </c>
      <c r="F103" s="154" t="s">
        <v>2064</v>
      </c>
    </row>
    <row r="104" spans="1:6" hidden="1">
      <c r="A104" s="101" t="s">
        <v>313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114</v>
      </c>
    </row>
    <row r="105" spans="1:6" hidden="1">
      <c r="A105" s="96" t="s">
        <v>196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>
      <c r="A106" s="101" t="s">
        <v>314</v>
      </c>
      <c r="B106" s="22">
        <v>43144</v>
      </c>
      <c r="C106" s="80">
        <v>43255</v>
      </c>
      <c r="D106" s="23">
        <v>0.75</v>
      </c>
      <c r="E106" s="22">
        <v>43256</v>
      </c>
      <c r="F106" s="95"/>
    </row>
    <row r="107" spans="1:6" hidden="1">
      <c r="A107" s="96" t="s">
        <v>248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299</v>
      </c>
    </row>
    <row r="108" spans="1:6" hidden="1">
      <c r="A108" s="96" t="s">
        <v>308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>
      <c r="A109" s="101" t="s">
        <v>312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>
      <c r="A110" s="101" t="s">
        <v>315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>
      <c r="A111" s="101" t="s">
        <v>367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>
      <c r="A112" s="112" t="s">
        <v>421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475</v>
      </c>
    </row>
    <row r="113" spans="1:6" hidden="1">
      <c r="A113" s="117" t="s">
        <v>440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idden="1">
      <c r="A114" s="113" t="s">
        <v>431</v>
      </c>
      <c r="B114" s="22">
        <v>43160</v>
      </c>
      <c r="C114" s="114">
        <v>43160</v>
      </c>
      <c r="D114" s="23">
        <v>1</v>
      </c>
      <c r="E114" s="22">
        <v>43256</v>
      </c>
      <c r="F114" s="115" t="s">
        <v>432</v>
      </c>
    </row>
    <row r="115" spans="1:6" hidden="1">
      <c r="A115" s="117" t="s">
        <v>441</v>
      </c>
      <c r="B115" s="22">
        <v>43169</v>
      </c>
      <c r="C115" s="80">
        <v>43171</v>
      </c>
      <c r="D115" s="23">
        <v>-1</v>
      </c>
      <c r="E115" s="22">
        <v>43174</v>
      </c>
      <c r="F115" s="95"/>
    </row>
    <row r="116" spans="1:6" hidden="1">
      <c r="A116" s="117" t="s">
        <v>442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>
      <c r="A117" s="118" t="s">
        <v>443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>
      <c r="A118" s="119" t="s">
        <v>444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>
      <c r="A119" s="120" t="s">
        <v>445</v>
      </c>
      <c r="B119" s="22">
        <v>43215</v>
      </c>
      <c r="C119" s="80">
        <v>43215</v>
      </c>
      <c r="D119" s="23">
        <v>1.5</v>
      </c>
      <c r="E119" s="22">
        <v>43256</v>
      </c>
      <c r="F119" s="95"/>
    </row>
    <row r="120" spans="1:6" hidden="1">
      <c r="A120" s="120" t="s">
        <v>446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hidden="1">
      <c r="A121" s="121" t="s">
        <v>447</v>
      </c>
      <c r="B121" s="22">
        <v>43221</v>
      </c>
      <c r="C121" s="80">
        <v>43223</v>
      </c>
      <c r="D121" s="23">
        <v>1</v>
      </c>
      <c r="E121" s="22">
        <v>43242</v>
      </c>
      <c r="F121" s="95"/>
    </row>
    <row r="122" spans="1:6" hidden="1">
      <c r="A122" s="122" t="s">
        <v>448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467</v>
      </c>
    </row>
    <row r="123" spans="1:6" hidden="1">
      <c r="A123" s="123" t="s">
        <v>449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>
      <c r="A124" s="123" t="s">
        <v>450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>
      <c r="A125" s="126" t="s">
        <v>497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>
      <c r="A126" s="126" t="s">
        <v>498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>
      <c r="A127" s="126" t="s">
        <v>499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>
      <c r="A128" s="128" t="s">
        <v>500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>
      <c r="A129" s="129" t="s">
        <v>503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>
      <c r="A130" s="129" t="s">
        <v>504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>
      <c r="A131" s="130" t="s">
        <v>521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hidden="1">
      <c r="A132" s="149" t="s">
        <v>522</v>
      </c>
      <c r="B132" s="22">
        <v>43228</v>
      </c>
      <c r="C132" s="80">
        <v>43230</v>
      </c>
      <c r="D132" s="23">
        <v>1.5</v>
      </c>
      <c r="E132" s="22">
        <v>43242</v>
      </c>
      <c r="F132" s="59"/>
    </row>
    <row r="133" spans="1:6" hidden="1">
      <c r="A133" s="131" t="s">
        <v>551</v>
      </c>
      <c r="B133" s="22">
        <v>43229</v>
      </c>
      <c r="C133" s="80">
        <v>43231</v>
      </c>
      <c r="D133" s="23">
        <v>1.5</v>
      </c>
      <c r="E133" s="22">
        <v>43231</v>
      </c>
      <c r="F133" s="59"/>
    </row>
    <row r="134" spans="1:6" hidden="1">
      <c r="A134" s="134" t="s">
        <v>705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>
      <c r="A135" s="135" t="s">
        <v>848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>
      <c r="A136" s="135" t="s">
        <v>849</v>
      </c>
      <c r="B136" s="22">
        <v>43236</v>
      </c>
      <c r="C136" s="80">
        <v>43238</v>
      </c>
      <c r="D136" s="23">
        <v>1</v>
      </c>
      <c r="E136" s="22">
        <v>43242</v>
      </c>
      <c r="F136" s="59"/>
    </row>
    <row r="137" spans="1:6" hidden="1">
      <c r="A137" s="136" t="s">
        <v>850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>
      <c r="A138" s="137" t="s">
        <v>851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>
      <c r="A139" s="137" t="s">
        <v>993</v>
      </c>
      <c r="B139" s="22">
        <f ca="1">IF(COUNTA($A139)=1,TODAY(),"")</f>
        <v>43355</v>
      </c>
      <c r="C139" s="80">
        <v>43242</v>
      </c>
      <c r="D139" s="23">
        <v>0.5</v>
      </c>
      <c r="E139" s="22">
        <v>43263</v>
      </c>
      <c r="F139" s="59"/>
    </row>
    <row r="140" spans="1:6" hidden="1">
      <c r="A140" s="138" t="s">
        <v>994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>
      <c r="A141" s="139" t="s">
        <v>1136</v>
      </c>
      <c r="B141" s="22">
        <v>43241</v>
      </c>
      <c r="C141" s="80">
        <v>43241</v>
      </c>
      <c r="D141" s="23">
        <v>1</v>
      </c>
      <c r="E141" s="22">
        <v>43242</v>
      </c>
      <c r="F141" s="140" t="s">
        <v>1138</v>
      </c>
    </row>
    <row r="142" spans="1:6" hidden="1">
      <c r="A142" s="139" t="s">
        <v>1137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>
      <c r="A143" s="142" t="s">
        <v>1144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>
      <c r="A144" s="142" t="s">
        <v>1179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>
      <c r="A145" s="142" t="s">
        <v>1181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hidden="1">
      <c r="A146" s="142" t="s">
        <v>1182</v>
      </c>
      <c r="B146" s="22">
        <v>43242</v>
      </c>
      <c r="C146" s="80">
        <v>43242</v>
      </c>
      <c r="D146" s="23">
        <v>1</v>
      </c>
      <c r="E146" s="22">
        <v>43249</v>
      </c>
      <c r="F146" s="147" t="s">
        <v>1473</v>
      </c>
    </row>
    <row r="147" spans="1:6" hidden="1">
      <c r="A147" s="142" t="s">
        <v>1183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hidden="1">
      <c r="A148" s="142" t="s">
        <v>1184</v>
      </c>
      <c r="B148" s="22">
        <v>43242</v>
      </c>
      <c r="C148" s="80">
        <v>43242</v>
      </c>
      <c r="D148" s="23">
        <v>1</v>
      </c>
      <c r="E148" s="22">
        <v>43249</v>
      </c>
      <c r="F148" s="59"/>
    </row>
    <row r="149" spans="1:6" hidden="1">
      <c r="A149" s="146" t="s">
        <v>1472</v>
      </c>
      <c r="B149" s="22">
        <v>43245</v>
      </c>
      <c r="C149" s="80">
        <v>43245</v>
      </c>
      <c r="D149" s="23">
        <v>1</v>
      </c>
      <c r="E149" s="22">
        <v>43249</v>
      </c>
      <c r="F149" s="59"/>
    </row>
    <row r="150" spans="1:6" hidden="1">
      <c r="A150" s="146" t="s">
        <v>1474</v>
      </c>
      <c r="B150" s="22">
        <v>43245</v>
      </c>
      <c r="C150" s="80">
        <v>43248</v>
      </c>
      <c r="D150" s="23">
        <v>0.5</v>
      </c>
      <c r="E150" s="22">
        <v>43263</v>
      </c>
      <c r="F150" s="59"/>
    </row>
    <row r="151" spans="1:6" hidden="1">
      <c r="A151" s="148" t="s">
        <v>1617</v>
      </c>
      <c r="B151" s="22">
        <v>43246</v>
      </c>
      <c r="C151" s="80">
        <v>43248</v>
      </c>
      <c r="D151" s="23">
        <v>1.5</v>
      </c>
      <c r="E151" s="22">
        <v>43249</v>
      </c>
      <c r="F151" s="59"/>
    </row>
    <row r="152" spans="1:6" hidden="1">
      <c r="A152" s="148" t="s">
        <v>1618</v>
      </c>
      <c r="B152" s="22">
        <v>43246</v>
      </c>
      <c r="C152" s="80">
        <v>43246</v>
      </c>
      <c r="D152" s="23">
        <v>1</v>
      </c>
      <c r="E152" s="22">
        <v>43249</v>
      </c>
      <c r="F152" s="59"/>
    </row>
    <row r="153" spans="1:6" hidden="1">
      <c r="A153" s="148" t="s">
        <v>1619</v>
      </c>
      <c r="B153" s="22">
        <v>43246</v>
      </c>
      <c r="C153" s="80">
        <v>43246</v>
      </c>
      <c r="D153" s="23">
        <v>1</v>
      </c>
      <c r="E153" s="22">
        <v>43256</v>
      </c>
      <c r="F153" s="59"/>
    </row>
    <row r="154" spans="1:6" hidden="1">
      <c r="A154" s="149" t="s">
        <v>1620</v>
      </c>
      <c r="B154" s="22">
        <v>43248</v>
      </c>
      <c r="C154" s="80">
        <v>43248</v>
      </c>
      <c r="D154" s="23">
        <v>1</v>
      </c>
      <c r="E154" s="22">
        <v>43249</v>
      </c>
      <c r="F154" s="59"/>
    </row>
    <row r="155" spans="1:6" hidden="1">
      <c r="A155" s="149" t="s">
        <v>1621</v>
      </c>
      <c r="B155" s="22">
        <v>43248</v>
      </c>
      <c r="C155" s="80">
        <v>43248</v>
      </c>
      <c r="D155" s="23">
        <v>1</v>
      </c>
      <c r="E155" s="22">
        <v>43249</v>
      </c>
      <c r="F155" s="59"/>
    </row>
    <row r="156" spans="1:6" hidden="1">
      <c r="A156" s="149" t="s">
        <v>1622</v>
      </c>
      <c r="B156" s="22">
        <v>43248</v>
      </c>
      <c r="C156" s="80">
        <v>43248</v>
      </c>
      <c r="D156" s="23">
        <v>1.5</v>
      </c>
      <c r="E156" s="22">
        <v>43256</v>
      </c>
      <c r="F156" s="59"/>
    </row>
    <row r="157" spans="1:6" hidden="1">
      <c r="A157" s="149" t="s">
        <v>1624</v>
      </c>
      <c r="B157" s="22">
        <v>43248</v>
      </c>
      <c r="C157" s="80">
        <v>43248</v>
      </c>
      <c r="D157" s="23">
        <v>1</v>
      </c>
      <c r="E157" s="22">
        <v>43249</v>
      </c>
      <c r="F157" s="59"/>
    </row>
    <row r="158" spans="1:6" hidden="1">
      <c r="A158" s="149" t="s">
        <v>1625</v>
      </c>
      <c r="B158" s="22">
        <v>43248</v>
      </c>
      <c r="C158" s="80">
        <v>43248</v>
      </c>
      <c r="D158" s="23">
        <v>1</v>
      </c>
      <c r="E158" s="22">
        <v>43249</v>
      </c>
      <c r="F158" s="59"/>
    </row>
    <row r="159" spans="1:6" hidden="1">
      <c r="A159" s="149" t="s">
        <v>1768</v>
      </c>
      <c r="B159" s="22">
        <v>43248</v>
      </c>
      <c r="C159" s="80">
        <v>43251</v>
      </c>
      <c r="D159" s="23">
        <v>1.5</v>
      </c>
      <c r="E159" s="22">
        <v>43256</v>
      </c>
      <c r="F159" s="59"/>
    </row>
    <row r="160" spans="1:6" hidden="1">
      <c r="A160" s="149" t="s">
        <v>1769</v>
      </c>
      <c r="B160" s="22">
        <v>43248</v>
      </c>
      <c r="C160" s="80">
        <v>43251</v>
      </c>
      <c r="D160" s="23">
        <v>1.5</v>
      </c>
      <c r="E160" s="22">
        <v>43249</v>
      </c>
      <c r="F160" s="59"/>
    </row>
    <row r="161" spans="1:6" hidden="1">
      <c r="A161" s="150" t="s">
        <v>1912</v>
      </c>
      <c r="B161" s="22">
        <v>43249</v>
      </c>
      <c r="C161" s="80">
        <v>43249</v>
      </c>
      <c r="D161" s="23">
        <v>1</v>
      </c>
      <c r="E161" s="22">
        <v>43256</v>
      </c>
      <c r="F161" s="59"/>
    </row>
    <row r="162" spans="1:6" hidden="1">
      <c r="A162" s="150" t="s">
        <v>1913</v>
      </c>
      <c r="B162" s="22">
        <v>43249</v>
      </c>
      <c r="C162" s="80">
        <v>43249</v>
      </c>
      <c r="D162" s="23">
        <v>1</v>
      </c>
      <c r="E162" s="22">
        <v>43256</v>
      </c>
      <c r="F162" s="59"/>
    </row>
    <row r="163" spans="1:6" hidden="1">
      <c r="A163" s="156" t="s">
        <v>2066</v>
      </c>
      <c r="B163" s="22">
        <v>43252</v>
      </c>
      <c r="C163" s="80">
        <v>43252</v>
      </c>
      <c r="D163" s="23">
        <v>1</v>
      </c>
      <c r="E163" s="22">
        <v>43256</v>
      </c>
      <c r="F163" s="59"/>
    </row>
    <row r="164" spans="1:6" hidden="1">
      <c r="A164" s="157" t="s">
        <v>2067</v>
      </c>
      <c r="B164" s="22">
        <v>43252</v>
      </c>
      <c r="C164" s="80">
        <v>43254</v>
      </c>
      <c r="D164" s="23">
        <v>1</v>
      </c>
      <c r="E164" s="22">
        <v>43256</v>
      </c>
      <c r="F164" s="158" t="s">
        <v>2068</v>
      </c>
    </row>
    <row r="165" spans="1:6" hidden="1">
      <c r="A165" s="159" t="s">
        <v>2069</v>
      </c>
      <c r="B165" s="22">
        <v>43254</v>
      </c>
      <c r="C165" s="80">
        <v>43254</v>
      </c>
      <c r="D165" s="23">
        <v>1</v>
      </c>
      <c r="E165" s="22">
        <v>43256</v>
      </c>
      <c r="F165" s="59"/>
    </row>
    <row r="166" spans="1:6" hidden="1">
      <c r="A166" s="159" t="s">
        <v>2070</v>
      </c>
      <c r="B166" s="22">
        <v>43254</v>
      </c>
      <c r="C166" s="80">
        <v>43254</v>
      </c>
      <c r="D166" s="23">
        <v>1</v>
      </c>
      <c r="E166" s="22">
        <v>43256</v>
      </c>
      <c r="F166" s="59"/>
    </row>
    <row r="167" spans="1:6" hidden="1">
      <c r="A167" s="159" t="s">
        <v>2071</v>
      </c>
      <c r="B167" s="22">
        <v>43254</v>
      </c>
      <c r="C167" s="80">
        <v>43254</v>
      </c>
      <c r="D167" s="23">
        <v>1</v>
      </c>
      <c r="E167" s="22">
        <v>43256</v>
      </c>
      <c r="F167" s="59"/>
    </row>
    <row r="168" spans="1:6" hidden="1">
      <c r="A168" s="159" t="s">
        <v>2072</v>
      </c>
      <c r="B168" s="22">
        <v>43254</v>
      </c>
      <c r="C168" s="80">
        <v>43255</v>
      </c>
      <c r="D168" s="23">
        <v>1</v>
      </c>
      <c r="E168" s="22">
        <v>43256</v>
      </c>
      <c r="F168" s="59"/>
    </row>
    <row r="169" spans="1:6" hidden="1">
      <c r="A169" s="160" t="s">
        <v>2073</v>
      </c>
      <c r="B169" s="22">
        <v>43254</v>
      </c>
      <c r="C169" s="80">
        <v>43255</v>
      </c>
      <c r="D169" s="23">
        <v>1</v>
      </c>
      <c r="E169" s="22">
        <v>43256</v>
      </c>
      <c r="F169" s="59"/>
    </row>
    <row r="170" spans="1:6" hidden="1">
      <c r="A170" s="160" t="s">
        <v>2080</v>
      </c>
      <c r="B170" s="22">
        <v>43254</v>
      </c>
      <c r="C170" s="80">
        <v>43255</v>
      </c>
      <c r="D170" s="23">
        <v>1</v>
      </c>
      <c r="E170" s="22">
        <v>43256</v>
      </c>
      <c r="F170" s="59"/>
    </row>
    <row r="171" spans="1:6">
      <c r="A171" s="159" t="s">
        <v>2074</v>
      </c>
      <c r="B171" s="22">
        <v>43254</v>
      </c>
      <c r="C171" s="80">
        <v>43255</v>
      </c>
      <c r="D171" s="23">
        <v>0.75</v>
      </c>
      <c r="E171" s="22">
        <v>43256</v>
      </c>
      <c r="F171" s="59"/>
    </row>
    <row r="172" spans="1:6" hidden="1">
      <c r="A172" s="159" t="s">
        <v>2075</v>
      </c>
      <c r="B172" s="22">
        <v>43254</v>
      </c>
      <c r="C172" s="80">
        <v>43255</v>
      </c>
      <c r="D172" s="23">
        <v>1</v>
      </c>
      <c r="E172" s="22">
        <v>43256</v>
      </c>
      <c r="F172" s="59"/>
    </row>
    <row r="173" spans="1:6" hidden="1">
      <c r="A173" s="160" t="s">
        <v>2077</v>
      </c>
      <c r="B173" s="22">
        <v>43255</v>
      </c>
      <c r="C173" s="80">
        <v>43255</v>
      </c>
      <c r="D173" s="23">
        <v>1</v>
      </c>
      <c r="E173" s="22">
        <v>43256</v>
      </c>
      <c r="F173" s="59"/>
    </row>
    <row r="174" spans="1:6" hidden="1">
      <c r="A174" s="160" t="s">
        <v>2078</v>
      </c>
      <c r="B174" s="22">
        <v>43255</v>
      </c>
      <c r="C174" s="80">
        <v>43255</v>
      </c>
      <c r="D174" s="23">
        <v>1</v>
      </c>
      <c r="E174" s="22">
        <v>43256</v>
      </c>
      <c r="F174" s="59"/>
    </row>
    <row r="175" spans="1:6" hidden="1">
      <c r="A175" s="160" t="s">
        <v>2079</v>
      </c>
      <c r="B175" s="22">
        <v>43255</v>
      </c>
      <c r="C175" s="80">
        <v>43255</v>
      </c>
      <c r="D175" s="23">
        <v>1</v>
      </c>
      <c r="E175" s="22">
        <v>43256</v>
      </c>
      <c r="F175" s="59"/>
    </row>
    <row r="176" spans="1:6" hidden="1">
      <c r="A176" s="160" t="s">
        <v>2082</v>
      </c>
      <c r="B176" s="22">
        <v>43255</v>
      </c>
      <c r="C176" s="80">
        <v>43255</v>
      </c>
      <c r="D176" s="23">
        <v>1</v>
      </c>
      <c r="E176" s="22">
        <v>43256</v>
      </c>
      <c r="F176" s="59"/>
    </row>
    <row r="177" spans="1:6" hidden="1">
      <c r="A177" s="161" t="s">
        <v>2084</v>
      </c>
      <c r="B177" s="22">
        <v>43255</v>
      </c>
      <c r="C177" s="80">
        <v>43255</v>
      </c>
      <c r="D177" s="23">
        <v>1</v>
      </c>
      <c r="E177" s="22">
        <v>43256</v>
      </c>
      <c r="F177" s="59"/>
    </row>
    <row r="178" spans="1:6" hidden="1">
      <c r="A178" s="162" t="s">
        <v>2176</v>
      </c>
      <c r="B178" s="22">
        <v>43256</v>
      </c>
      <c r="C178" s="80">
        <v>43256</v>
      </c>
      <c r="D178" s="23">
        <v>1</v>
      </c>
      <c r="E178" s="22">
        <v>43256</v>
      </c>
      <c r="F178" s="59"/>
    </row>
    <row r="179" spans="1:6">
      <c r="A179" s="163" t="s">
        <v>2809</v>
      </c>
      <c r="B179" s="22">
        <v>43265</v>
      </c>
      <c r="C179" s="80">
        <v>43267</v>
      </c>
      <c r="D179" s="23">
        <v>1</v>
      </c>
      <c r="E179" s="22">
        <v>43271</v>
      </c>
      <c r="F179" s="59"/>
    </row>
    <row r="180" spans="1:6">
      <c r="A180" s="164" t="s">
        <v>2891</v>
      </c>
      <c r="B180" s="22">
        <v>43271</v>
      </c>
      <c r="C180" s="80">
        <v>43271</v>
      </c>
      <c r="D180" s="23">
        <v>1</v>
      </c>
      <c r="E180" s="22">
        <v>43278</v>
      </c>
      <c r="F180" s="59"/>
    </row>
    <row r="181" spans="1:6">
      <c r="A181" s="164" t="s">
        <v>2892</v>
      </c>
      <c r="B181" s="165">
        <v>43271</v>
      </c>
      <c r="C181" s="80">
        <v>43276</v>
      </c>
      <c r="D181" s="23">
        <v>1</v>
      </c>
      <c r="E181" s="22"/>
      <c r="F181" s="59"/>
    </row>
    <row r="182" spans="1:6">
      <c r="A182" s="168" t="s">
        <v>2981</v>
      </c>
      <c r="B182" s="165">
        <v>43338</v>
      </c>
      <c r="C182" s="80">
        <v>43342</v>
      </c>
      <c r="D182" s="23">
        <v>0</v>
      </c>
      <c r="E182" s="22"/>
      <c r="F182" s="59"/>
    </row>
    <row r="183" spans="1:6">
      <c r="A183" s="169" t="s">
        <v>3164</v>
      </c>
      <c r="B183" s="165"/>
      <c r="C183" s="80"/>
      <c r="D183" s="23"/>
      <c r="E183" s="22"/>
      <c r="F183" s="59"/>
    </row>
    <row r="184" spans="1:6">
      <c r="A184" s="171" t="s">
        <v>3365</v>
      </c>
      <c r="B184" s="165"/>
      <c r="C184" s="80"/>
      <c r="D184" s="23"/>
      <c r="E184" s="22"/>
      <c r="F184" s="59"/>
    </row>
    <row r="185" spans="1:6">
      <c r="A185" s="164"/>
      <c r="B185" s="165"/>
      <c r="C185" s="80"/>
      <c r="D185" s="23"/>
      <c r="E185" s="22"/>
      <c r="F185" s="59"/>
    </row>
    <row r="186" spans="1:6">
      <c r="A186" s="164"/>
      <c r="B186" s="165"/>
      <c r="C186" s="80"/>
      <c r="D186" s="23"/>
      <c r="E186" s="22"/>
      <c r="F186" s="59"/>
    </row>
    <row r="187" spans="1:6">
      <c r="A187" s="164"/>
      <c r="B187" s="165"/>
      <c r="C187" s="80"/>
      <c r="D187" s="23"/>
      <c r="E187" s="22"/>
      <c r="F187" s="59"/>
    </row>
    <row r="188" spans="1:6">
      <c r="A188" s="164"/>
      <c r="B188" s="165"/>
      <c r="C188" s="80"/>
      <c r="D188" s="23"/>
      <c r="E188" s="22"/>
      <c r="F188" s="59"/>
    </row>
    <row r="189" spans="1:6">
      <c r="A189" s="164"/>
      <c r="B189" s="165"/>
      <c r="C189" s="80"/>
      <c r="D189" s="23"/>
      <c r="E189" s="22"/>
      <c r="F189" s="59"/>
    </row>
    <row r="190" spans="1:6">
      <c r="A190" s="164"/>
      <c r="B190" s="165"/>
      <c r="C190" s="80"/>
      <c r="D190" s="23"/>
      <c r="E190" s="22"/>
      <c r="F190" s="59"/>
    </row>
    <row r="191" spans="1:6">
      <c r="A191" s="164"/>
      <c r="B191" s="165"/>
      <c r="C191" s="80"/>
      <c r="D191" s="23"/>
      <c r="E191" s="22"/>
      <c r="F191" s="59"/>
    </row>
    <row r="192" spans="1:6">
      <c r="A192" s="164"/>
      <c r="B192" s="165"/>
      <c r="C192" s="80"/>
      <c r="D192" s="23"/>
      <c r="E192" s="22"/>
      <c r="F192" s="59"/>
    </row>
    <row r="193" spans="1:6">
      <c r="A193" s="164"/>
      <c r="B193" s="165"/>
      <c r="C193" s="80"/>
      <c r="D193" s="23"/>
      <c r="E193" s="22"/>
      <c r="F193" s="59"/>
    </row>
    <row r="194" spans="1:6">
      <c r="A194" s="164"/>
      <c r="B194" s="165"/>
      <c r="C194" s="80"/>
      <c r="D194" s="23"/>
      <c r="E194" s="22"/>
      <c r="F194" s="59"/>
    </row>
    <row r="195" spans="1:6">
      <c r="A195" s="164"/>
      <c r="B195" s="165"/>
      <c r="C195" s="80"/>
      <c r="D195" s="23"/>
      <c r="E195" s="22"/>
      <c r="F195" s="59"/>
    </row>
    <row r="196" spans="1:6">
      <c r="A196" s="163"/>
      <c r="B196" s="22"/>
      <c r="C196" s="80"/>
      <c r="D196" s="23"/>
      <c r="E196" s="22"/>
      <c r="F196" s="59"/>
    </row>
    <row r="197" spans="1:6">
      <c r="A197" s="123"/>
      <c r="B197" s="22"/>
      <c r="C197" s="80"/>
      <c r="D197" s="23"/>
      <c r="E197" s="22"/>
      <c r="F197" s="59"/>
    </row>
    <row r="198" spans="1:6">
      <c r="B198" s="22"/>
      <c r="C198" s="22"/>
      <c r="D198" s="23"/>
      <c r="E198" s="22"/>
      <c r="F198" s="57"/>
    </row>
    <row r="199" spans="1:6" hidden="1"/>
    <row r="200" spans="1:6" ht="14.4" hidden="1" customHeight="1"/>
    <row r="201" spans="1:6" ht="14.4" hidden="1" customHeight="1"/>
    <row r="202" spans="1:6" ht="14.4" hidden="1" customHeight="1"/>
  </sheetData>
  <conditionalFormatting sqref="D2:D198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179"/>
  <sheetViews>
    <sheetView zoomScaleNormal="100" workbookViewId="0">
      <selection activeCell="A13" sqref="A13"/>
    </sheetView>
  </sheetViews>
  <sheetFormatPr defaultColWidth="0" defaultRowHeight="14.4" customHeight="1" zeroHeight="1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>
      <c r="A1" s="20" t="s">
        <v>35</v>
      </c>
      <c r="B1" s="21" t="s">
        <v>36</v>
      </c>
      <c r="C1" s="21" t="s">
        <v>37</v>
      </c>
      <c r="D1" s="21" t="s">
        <v>38</v>
      </c>
      <c r="E1" s="21" t="s">
        <v>39</v>
      </c>
      <c r="F1" s="20" t="s">
        <v>40</v>
      </c>
    </row>
    <row r="2" spans="1:6">
      <c r="A2" s="155" t="s">
        <v>445</v>
      </c>
      <c r="B2" s="22">
        <v>43215</v>
      </c>
      <c r="C2" s="22">
        <v>43266</v>
      </c>
      <c r="D2" s="23">
        <v>0.5</v>
      </c>
      <c r="E2" s="22">
        <v>43272</v>
      </c>
      <c r="F2" s="32"/>
    </row>
    <row r="3" spans="1:6">
      <c r="A3" s="155" t="s">
        <v>2065</v>
      </c>
      <c r="B3" s="22">
        <v>43251</v>
      </c>
      <c r="C3" s="22">
        <v>43256</v>
      </c>
      <c r="D3" s="23">
        <v>0.5</v>
      </c>
      <c r="E3" s="22">
        <v>43256</v>
      </c>
      <c r="F3" s="32"/>
    </row>
    <row r="4" spans="1:6">
      <c r="A4" s="164" t="s">
        <v>2893</v>
      </c>
      <c r="B4" s="22">
        <v>43271</v>
      </c>
      <c r="C4" s="22">
        <v>43273</v>
      </c>
      <c r="D4" s="23">
        <v>0</v>
      </c>
      <c r="E4" s="22">
        <v>43278</v>
      </c>
    </row>
    <row r="5" spans="1:6">
      <c r="A5" s="164" t="s">
        <v>2894</v>
      </c>
      <c r="B5" s="22">
        <v>43271</v>
      </c>
      <c r="C5" s="22">
        <v>43280</v>
      </c>
      <c r="D5" s="23">
        <v>0</v>
      </c>
      <c r="E5" s="22">
        <v>43284</v>
      </c>
    </row>
    <row r="6" spans="1:6">
      <c r="A6" s="166" t="s">
        <v>2980</v>
      </c>
      <c r="B6" s="22">
        <v>43273</v>
      </c>
      <c r="C6" s="22">
        <v>43276</v>
      </c>
      <c r="D6" s="23">
        <v>0.25</v>
      </c>
      <c r="E6" s="167">
        <v>43284</v>
      </c>
    </row>
    <row r="7" spans="1:6">
      <c r="A7" s="170" t="s">
        <v>3357</v>
      </c>
      <c r="B7" s="22"/>
      <c r="C7" s="22"/>
      <c r="D7" s="23"/>
      <c r="E7" s="22"/>
      <c r="F7" s="24"/>
    </row>
    <row r="8" spans="1:6">
      <c r="A8" s="170" t="s">
        <v>3358</v>
      </c>
      <c r="B8" s="22"/>
      <c r="C8" s="22"/>
      <c r="D8" s="23"/>
      <c r="E8" s="22"/>
    </row>
    <row r="9" spans="1:6">
      <c r="A9" s="170" t="s">
        <v>3359</v>
      </c>
      <c r="B9" s="22"/>
      <c r="C9" s="22"/>
      <c r="D9" s="23"/>
      <c r="E9" s="22"/>
      <c r="F9" s="26"/>
    </row>
    <row r="10" spans="1:6">
      <c r="A10" s="170" t="s">
        <v>3360</v>
      </c>
      <c r="B10" s="22"/>
      <c r="C10" s="22"/>
      <c r="D10" s="23"/>
      <c r="E10" s="22"/>
      <c r="F10" s="31"/>
    </row>
    <row r="11" spans="1:6">
      <c r="A11" s="170" t="s">
        <v>3361</v>
      </c>
      <c r="B11" s="22"/>
      <c r="C11" s="22"/>
      <c r="D11" s="23"/>
      <c r="E11" s="22"/>
      <c r="F11" s="25"/>
    </row>
    <row r="12" spans="1:6">
      <c r="A12" s="170" t="s">
        <v>3362</v>
      </c>
      <c r="B12" s="22"/>
      <c r="C12" s="22"/>
      <c r="D12" s="23"/>
      <c r="E12" s="22"/>
    </row>
    <row r="13" spans="1:6">
      <c r="A13" s="26"/>
      <c r="B13" s="22"/>
      <c r="C13" s="22"/>
      <c r="D13" s="23"/>
      <c r="E13" s="22"/>
      <c r="F13" s="26"/>
    </row>
    <row r="14" spans="1:6">
      <c r="A14" s="30"/>
      <c r="B14" s="22"/>
      <c r="C14" s="22"/>
      <c r="D14" s="23"/>
      <c r="E14" s="22"/>
    </row>
    <row r="15" spans="1:6">
      <c r="B15" s="22"/>
      <c r="C15" s="22"/>
      <c r="D15" s="23"/>
      <c r="E15" s="22"/>
      <c r="F15" s="28"/>
    </row>
    <row r="16" spans="1:6">
      <c r="B16" s="22"/>
      <c r="C16" s="22"/>
      <c r="D16" s="23"/>
      <c r="E16" s="22"/>
      <c r="F16" s="28"/>
    </row>
    <row r="17" spans="1:6">
      <c r="A17" s="32"/>
      <c r="B17" s="22"/>
      <c r="C17" s="22"/>
      <c r="D17" s="23"/>
      <c r="E17" s="22"/>
    </row>
    <row r="18" spans="1:6">
      <c r="A18" s="32"/>
      <c r="B18" s="22"/>
      <c r="C18" s="22"/>
      <c r="D18" s="23"/>
      <c r="E18" s="22"/>
      <c r="F18" s="32"/>
    </row>
    <row r="19" spans="1:6">
      <c r="A19" s="32"/>
      <c r="B19" s="22"/>
      <c r="C19" s="22"/>
      <c r="D19" s="23"/>
      <c r="E19" s="22"/>
      <c r="F19" s="32"/>
    </row>
    <row r="20" spans="1:6">
      <c r="A20" s="34"/>
      <c r="B20" s="22"/>
      <c r="C20" s="22"/>
      <c r="D20" s="23"/>
      <c r="E20" s="22"/>
      <c r="F20" s="32"/>
    </row>
    <row r="21" spans="1:6">
      <c r="A21" s="34"/>
      <c r="B21" s="22"/>
      <c r="C21" s="22"/>
      <c r="D21" s="23"/>
      <c r="E21" s="22"/>
      <c r="F21" s="32"/>
    </row>
    <row r="22" spans="1:6">
      <c r="A22" s="33"/>
      <c r="B22" s="22"/>
      <c r="C22" s="22"/>
      <c r="D22" s="23"/>
      <c r="E22" s="22"/>
      <c r="F22" s="33"/>
    </row>
    <row r="23" spans="1:6">
      <c r="A23" s="35"/>
      <c r="B23" s="22"/>
      <c r="C23" s="22"/>
      <c r="D23" s="23"/>
      <c r="E23" s="22"/>
      <c r="F23" s="36"/>
    </row>
    <row r="24" spans="1:6">
      <c r="A24" s="37"/>
      <c r="B24" s="22"/>
      <c r="C24" s="22"/>
      <c r="D24" s="23"/>
      <c r="E24" s="22"/>
      <c r="F24" s="38"/>
    </row>
    <row r="25" spans="1:6">
      <c r="A25" s="35"/>
      <c r="B25" s="22"/>
      <c r="C25" s="22"/>
      <c r="D25" s="23"/>
      <c r="E25" s="22"/>
      <c r="F25" s="32"/>
    </row>
    <row r="26" spans="1:6">
      <c r="A26" s="34"/>
      <c r="B26" s="22"/>
      <c r="C26" s="22"/>
      <c r="D26" s="23"/>
      <c r="E26" s="22"/>
      <c r="F26" s="32"/>
    </row>
    <row r="27" spans="1:6">
      <c r="A27" s="44"/>
      <c r="B27" s="22"/>
      <c r="C27" s="22"/>
      <c r="D27" s="23"/>
      <c r="E27" s="22"/>
      <c r="F27" s="32"/>
    </row>
    <row r="28" spans="1:6">
      <c r="A28" s="38"/>
      <c r="B28" s="22"/>
      <c r="C28" s="22"/>
      <c r="D28" s="23"/>
      <c r="E28" s="22"/>
      <c r="F28" s="32"/>
    </row>
    <row r="29" spans="1:6">
      <c r="A29" s="27"/>
      <c r="B29" s="22"/>
      <c r="C29" s="22"/>
      <c r="D29" s="23"/>
      <c r="E29" s="22"/>
      <c r="F29" s="54"/>
    </row>
    <row r="30" spans="1:6">
      <c r="A30" s="94"/>
      <c r="B30" s="22"/>
      <c r="C30" s="80"/>
      <c r="D30" s="23"/>
      <c r="E30" s="22"/>
      <c r="F30" s="88"/>
    </row>
    <row r="31" spans="1:6">
      <c r="A31" s="25"/>
      <c r="B31" s="22"/>
      <c r="C31" s="22"/>
      <c r="D31" s="23"/>
      <c r="E31" s="22"/>
      <c r="F31" s="25"/>
    </row>
    <row r="32" spans="1:6">
      <c r="A32" s="28"/>
      <c r="B32" s="22"/>
      <c r="C32" s="22"/>
      <c r="D32" s="23"/>
      <c r="E32" s="22"/>
      <c r="F32" s="56"/>
    </row>
    <row r="33" spans="1:6">
      <c r="A33" s="68"/>
      <c r="B33" s="22"/>
      <c r="C33" s="22"/>
      <c r="D33" s="23"/>
      <c r="E33" s="22"/>
      <c r="F33" s="69"/>
    </row>
    <row r="34" spans="1:6">
      <c r="B34" s="22"/>
      <c r="C34" s="22"/>
      <c r="D34" s="23"/>
      <c r="E34" s="22"/>
      <c r="F34" s="57"/>
    </row>
    <row r="35" spans="1:6" hidden="1"/>
    <row r="36" spans="1:6" ht="14.4" hidden="1" customHeight="1"/>
    <row r="37" spans="1:6" ht="14.4" hidden="1" customHeight="1"/>
    <row r="38" spans="1:6" ht="14.4" hidden="1" customHeight="1"/>
    <row r="39" spans="1:6" ht="14.4" hidden="1" customHeight="1"/>
    <row r="40" spans="1:6" ht="14.4" hidden="1" customHeight="1"/>
    <row r="41" spans="1:6" ht="14.4" hidden="1" customHeight="1"/>
    <row r="42" spans="1:6" ht="14.4" hidden="1" customHeight="1"/>
    <row r="43" spans="1:6" ht="14.4" hidden="1" customHeight="1"/>
    <row r="44" spans="1:6" ht="14.4" hidden="1" customHeight="1"/>
    <row r="45" spans="1:6" ht="14.4" hidden="1" customHeight="1"/>
    <row r="46" spans="1:6" ht="14.4" hidden="1" customHeight="1"/>
    <row r="47" spans="1:6" ht="14.4" hidden="1" customHeight="1"/>
    <row r="48" spans="1:6" ht="14.4" hidden="1" customHeight="1"/>
    <row r="49" ht="14.4" hidden="1" customHeight="1"/>
    <row r="50" ht="14.4" hidden="1" customHeight="1"/>
    <row r="51" ht="14.4" hidden="1" customHeight="1"/>
    <row r="52" ht="14.4" hidden="1" customHeight="1"/>
    <row r="53" ht="14.4" hidden="1" customHeight="1"/>
    <row r="54" ht="14.4" hidden="1" customHeight="1"/>
    <row r="55" ht="14.4" hidden="1" customHeight="1"/>
    <row r="56" ht="14.4" hidden="1" customHeight="1"/>
    <row r="57" ht="14.4" hidden="1" customHeight="1"/>
    <row r="58" ht="14.4" hidden="1" customHeight="1"/>
    <row r="59" ht="14.4" hidden="1" customHeight="1"/>
    <row r="60" ht="14.4" hidden="1" customHeight="1"/>
    <row r="61" ht="14.4" hidden="1" customHeight="1"/>
    <row r="62" ht="14.4" hidden="1" customHeight="1"/>
    <row r="63" ht="14.4" hidden="1" customHeight="1"/>
    <row r="64" ht="14.4" hidden="1" customHeight="1"/>
    <row r="65" ht="14.4" hidden="1" customHeight="1"/>
    <row r="66" ht="14.4" hidden="1" customHeight="1"/>
    <row r="67" ht="14.4" hidden="1" customHeight="1"/>
    <row r="68" ht="14.4" hidden="1" customHeight="1"/>
    <row r="69" ht="14.4" hidden="1" customHeight="1"/>
    <row r="70" ht="14.4" hidden="1" customHeight="1"/>
    <row r="71" ht="14.4" hidden="1" customHeight="1"/>
    <row r="72" ht="14.4" hidden="1" customHeight="1"/>
    <row r="73" ht="14.4" hidden="1" customHeight="1"/>
    <row r="74" ht="14.4" hidden="1" customHeight="1"/>
    <row r="75" ht="14.4" hidden="1" customHeight="1"/>
    <row r="76" ht="14.4" hidden="1" customHeight="1"/>
    <row r="77" ht="14.4" hidden="1" customHeight="1"/>
    <row r="78" ht="14.4" hidden="1" customHeight="1"/>
    <row r="79" ht="14.4" hidden="1" customHeight="1"/>
    <row r="80" ht="14.4" hidden="1" customHeight="1"/>
    <row r="81" ht="14.4" hidden="1" customHeight="1"/>
    <row r="82" ht="14.4" hidden="1" customHeight="1"/>
    <row r="83" ht="14.4" hidden="1" customHeight="1"/>
    <row r="84" ht="14.4" hidden="1" customHeight="1"/>
    <row r="85" ht="14.4" hidden="1" customHeight="1"/>
    <row r="86" ht="14.4" hidden="1" customHeight="1"/>
    <row r="87" ht="14.4" hidden="1" customHeight="1"/>
    <row r="88" ht="14.4" hidden="1" customHeight="1"/>
    <row r="89" ht="14.4" hidden="1" customHeight="1"/>
    <row r="90" ht="14.4" hidden="1" customHeight="1"/>
    <row r="91" ht="14.4" hidden="1" customHeight="1"/>
    <row r="92" ht="14.4" hidden="1" customHeight="1"/>
    <row r="93" ht="14.4" hidden="1" customHeight="1"/>
    <row r="94" ht="14.4" hidden="1" customHeight="1"/>
    <row r="95" ht="14.4" hidden="1" customHeight="1"/>
    <row r="96" ht="14.4" hidden="1" customHeight="1"/>
    <row r="97" ht="14.4" hidden="1" customHeight="1"/>
    <row r="98" ht="14.4" hidden="1" customHeight="1"/>
    <row r="99" ht="14.4" hidden="1" customHeight="1"/>
    <row r="100" ht="14.4" hidden="1" customHeight="1"/>
    <row r="101" ht="14.4" hidden="1" customHeight="1"/>
    <row r="102" ht="14.4" hidden="1" customHeight="1"/>
    <row r="103" ht="14.4" hidden="1" customHeight="1"/>
    <row r="104" ht="14.4" hidden="1" customHeight="1"/>
    <row r="105" ht="14.4" hidden="1" customHeight="1"/>
    <row r="106" ht="14.4" hidden="1" customHeight="1"/>
    <row r="107" ht="14.4" hidden="1" customHeight="1"/>
    <row r="108" ht="14.4" hidden="1" customHeight="1"/>
    <row r="109" ht="14.4" hidden="1" customHeight="1"/>
    <row r="110" ht="14.4" hidden="1" customHeight="1"/>
    <row r="111" ht="14.4" hidden="1" customHeight="1"/>
    <row r="112" ht="14.4" hidden="1" customHeight="1"/>
    <row r="113" ht="14.4" hidden="1" customHeight="1"/>
    <row r="114" ht="14.4" hidden="1" customHeight="1"/>
    <row r="115" ht="14.4" hidden="1" customHeight="1"/>
    <row r="116" ht="14.4" hidden="1" customHeight="1"/>
    <row r="117" ht="14.4" hidden="1" customHeight="1"/>
    <row r="118" ht="14.4" hidden="1" customHeight="1"/>
    <row r="119" ht="14.4" hidden="1" customHeight="1"/>
    <row r="120" ht="14.4" hidden="1" customHeight="1"/>
    <row r="121" ht="14.4" hidden="1" customHeight="1"/>
    <row r="122" ht="14.4" hidden="1" customHeight="1"/>
    <row r="123" ht="14.4" hidden="1" customHeight="1"/>
    <row r="124" ht="14.4" hidden="1" customHeight="1"/>
    <row r="125" ht="14.4" hidden="1" customHeight="1"/>
    <row r="126" ht="14.4" hidden="1" customHeight="1"/>
    <row r="127" ht="14.4" hidden="1" customHeight="1"/>
    <row r="128" ht="14.4" hidden="1" customHeight="1"/>
    <row r="129" ht="14.4" hidden="1" customHeight="1"/>
    <row r="130" ht="14.4" hidden="1" customHeight="1"/>
    <row r="131" ht="14.4" hidden="1" customHeight="1"/>
    <row r="132" ht="14.4" hidden="1" customHeight="1"/>
    <row r="133" ht="14.4" hidden="1" customHeight="1"/>
    <row r="134" ht="14.4" hidden="1" customHeight="1"/>
    <row r="135" ht="14.4" hidden="1" customHeight="1"/>
    <row r="136" ht="14.4" hidden="1" customHeight="1"/>
    <row r="137" ht="14.4" hidden="1" customHeight="1"/>
    <row r="138" ht="14.4" hidden="1" customHeight="1"/>
    <row r="139" ht="14.4" hidden="1" customHeight="1"/>
    <row r="140" ht="14.4" hidden="1" customHeight="1"/>
    <row r="141" ht="14.4" hidden="1" customHeight="1"/>
    <row r="142" ht="14.4" hidden="1" customHeight="1"/>
    <row r="143" ht="14.4" hidden="1" customHeight="1"/>
    <row r="144" ht="14.4" hidden="1" customHeight="1"/>
    <row r="145" ht="14.4" hidden="1" customHeight="1"/>
    <row r="146" ht="14.4" hidden="1" customHeight="1"/>
    <row r="147" ht="14.4" hidden="1" customHeight="1"/>
    <row r="148" ht="14.4" hidden="1" customHeight="1"/>
    <row r="149" ht="14.4" hidden="1" customHeight="1"/>
    <row r="150" ht="14.4" hidden="1" customHeight="1"/>
    <row r="151" ht="14.4" hidden="1" customHeight="1"/>
    <row r="152" ht="14.4" hidden="1" customHeight="1"/>
    <row r="153" ht="14.4" hidden="1" customHeight="1"/>
    <row r="154" ht="14.4" hidden="1" customHeight="1"/>
    <row r="155" ht="14.4" hidden="1" customHeight="1"/>
    <row r="156" ht="14.4" hidden="1" customHeight="1"/>
    <row r="157" ht="14.4" hidden="1" customHeight="1"/>
    <row r="158" ht="14.4" hidden="1" customHeight="1"/>
    <row r="159" ht="14.4" hidden="1" customHeight="1"/>
    <row r="160" ht="14.4" hidden="1" customHeight="1"/>
    <row r="161" ht="14.4" hidden="1" customHeight="1"/>
    <row r="162" ht="14.4" hidden="1" customHeight="1"/>
    <row r="163" ht="14.4" hidden="1" customHeight="1"/>
    <row r="164" ht="14.4" hidden="1" customHeight="1"/>
    <row r="165" ht="14.4" hidden="1" customHeight="1"/>
    <row r="166" ht="14.4" hidden="1" customHeight="1"/>
    <row r="167" ht="14.4" hidden="1" customHeight="1"/>
    <row r="168" ht="14.4" hidden="1" customHeight="1"/>
    <row r="169" ht="14.4" hidden="1" customHeight="1"/>
    <row r="170" ht="14.4" hidden="1" customHeight="1"/>
    <row r="171" ht="14.4" hidden="1" customHeight="1"/>
    <row r="172" ht="14.4" hidden="1" customHeight="1"/>
    <row r="173" ht="14.4" hidden="1" customHeight="1"/>
    <row r="174" ht="14.4" hidden="1" customHeight="1"/>
    <row r="175" ht="14.4" hidden="1" customHeight="1"/>
    <row r="176" ht="14.4" hidden="1" customHeight="1"/>
    <row r="177" ht="14.4" hidden="1" customHeight="1"/>
    <row r="178" ht="14.4" hidden="1" customHeight="1"/>
    <row r="179" ht="14.4" hidden="1" customHeight="1"/>
  </sheetData>
  <conditionalFormatting sqref="D2:D34">
    <cfRule type="iconSet" priority="17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6"/>
  <sheetViews>
    <sheetView workbookViewId="0">
      <selection activeCell="D23" sqref="D23"/>
    </sheetView>
  </sheetViews>
  <sheetFormatPr defaultRowHeight="14.4"/>
  <cols>
    <col min="1" max="1" width="6.77734375" customWidth="1"/>
    <col min="2" max="2" width="6.88671875" customWidth="1"/>
    <col min="3" max="3" width="54.5546875" customWidth="1"/>
    <col min="4" max="4" width="10.77734375" customWidth="1"/>
    <col min="5" max="5" width="11.44140625" customWidth="1"/>
    <col min="6" max="6" width="10.6640625" customWidth="1"/>
  </cols>
  <sheetData>
    <row r="1" spans="1:6">
      <c r="A1" t="s">
        <v>2056</v>
      </c>
      <c r="B1" t="s">
        <v>2057</v>
      </c>
      <c r="C1" t="s">
        <v>108</v>
      </c>
      <c r="D1" t="s">
        <v>420</v>
      </c>
      <c r="E1" t="s">
        <v>2058</v>
      </c>
      <c r="F1" t="s">
        <v>2059</v>
      </c>
    </row>
    <row r="2" spans="1:6">
      <c r="A2" s="153">
        <v>816</v>
      </c>
      <c r="B2" s="153">
        <v>957</v>
      </c>
      <c r="C2" s="151" t="s">
        <v>2061</v>
      </c>
      <c r="D2" s="151"/>
      <c r="E2" s="152"/>
      <c r="F2" s="152"/>
    </row>
    <row r="3" spans="1:6">
      <c r="A3" s="153">
        <v>958</v>
      </c>
      <c r="B3" s="153">
        <v>1099</v>
      </c>
      <c r="C3" s="151" t="s">
        <v>2060</v>
      </c>
      <c r="D3" s="151"/>
      <c r="E3" s="152"/>
      <c r="F3" s="152"/>
    </row>
    <row r="4" spans="1:6">
      <c r="A4" s="153">
        <v>1100</v>
      </c>
      <c r="B4" s="153">
        <v>1241</v>
      </c>
      <c r="C4" s="151" t="s">
        <v>2063</v>
      </c>
      <c r="D4" s="151"/>
      <c r="E4" s="152">
        <v>43248</v>
      </c>
      <c r="F4" s="152">
        <v>43249</v>
      </c>
    </row>
    <row r="5" spans="1:6">
      <c r="A5" s="153">
        <v>1242</v>
      </c>
      <c r="B5" s="153">
        <v>1383</v>
      </c>
      <c r="C5" s="151" t="s">
        <v>2062</v>
      </c>
      <c r="D5" s="151"/>
      <c r="E5" s="152">
        <v>43251</v>
      </c>
      <c r="F5" s="152"/>
    </row>
    <row r="6" spans="1:6">
      <c r="A6" s="153">
        <v>1384</v>
      </c>
      <c r="B6" s="153">
        <v>1473</v>
      </c>
      <c r="C6" s="151"/>
      <c r="D6" s="110" t="s">
        <v>2175</v>
      </c>
      <c r="E6" s="152">
        <v>43255</v>
      </c>
      <c r="F6" s="152">
        <v>43256</v>
      </c>
    </row>
    <row r="7" spans="1:6">
      <c r="A7" s="153">
        <v>1474</v>
      </c>
      <c r="B7" s="153">
        <v>1563</v>
      </c>
      <c r="C7" s="151"/>
      <c r="D7" s="110" t="s">
        <v>2267</v>
      </c>
      <c r="E7" s="152">
        <v>43256</v>
      </c>
      <c r="F7" s="152">
        <v>43256</v>
      </c>
    </row>
    <row r="8" spans="1:6">
      <c r="A8" s="153">
        <v>1564</v>
      </c>
      <c r="B8" s="153">
        <v>1743</v>
      </c>
      <c r="C8" s="151" t="s">
        <v>2898</v>
      </c>
      <c r="D8" s="110" t="s">
        <v>2267</v>
      </c>
      <c r="E8" s="152"/>
      <c r="F8" s="152"/>
    </row>
    <row r="9" spans="1:6">
      <c r="A9" s="153">
        <v>1744</v>
      </c>
      <c r="B9" s="153">
        <v>1923</v>
      </c>
      <c r="C9" s="151" t="s">
        <v>2897</v>
      </c>
      <c r="D9" s="110" t="s">
        <v>2267</v>
      </c>
      <c r="E9" s="152"/>
      <c r="F9" s="152"/>
    </row>
    <row r="10" spans="1:6">
      <c r="A10" s="153">
        <v>1924</v>
      </c>
      <c r="B10" s="153">
        <v>2103</v>
      </c>
      <c r="C10" s="151" t="s">
        <v>2896</v>
      </c>
      <c r="D10" s="110" t="s">
        <v>2267</v>
      </c>
      <c r="E10" s="152"/>
      <c r="F10" s="152"/>
    </row>
    <row r="11" spans="1:6">
      <c r="A11" s="153">
        <v>2104</v>
      </c>
      <c r="B11" s="153">
        <v>2184</v>
      </c>
      <c r="C11" s="151" t="s">
        <v>2895</v>
      </c>
      <c r="D11" s="110" t="s">
        <v>2267</v>
      </c>
      <c r="E11" s="152"/>
      <c r="F11" s="152"/>
    </row>
    <row r="12" spans="1:6">
      <c r="A12" s="153">
        <v>2266</v>
      </c>
      <c r="B12" s="153">
        <v>2445</v>
      </c>
      <c r="C12" s="151" t="s">
        <v>3163</v>
      </c>
      <c r="D12" s="110" t="s">
        <v>3162</v>
      </c>
      <c r="E12" s="152">
        <v>43340</v>
      </c>
      <c r="F12" s="152"/>
    </row>
    <row r="13" spans="1:6">
      <c r="A13" s="153"/>
      <c r="B13" s="153"/>
      <c r="C13" s="151"/>
      <c r="D13" s="151"/>
      <c r="E13" s="152"/>
      <c r="F13" s="152"/>
    </row>
    <row r="14" spans="1:6">
      <c r="A14" s="153"/>
      <c r="B14" s="153"/>
      <c r="C14" s="151"/>
      <c r="D14" s="151"/>
      <c r="E14" s="152"/>
      <c r="F14" s="152"/>
    </row>
    <row r="15" spans="1:6">
      <c r="A15" s="153"/>
      <c r="B15" s="153"/>
      <c r="C15" s="151"/>
      <c r="D15" s="151"/>
      <c r="E15" s="152"/>
      <c r="F15" s="152"/>
    </row>
    <row r="16" spans="1:6">
      <c r="A16" s="153"/>
      <c r="B16" s="153"/>
      <c r="C16" s="151"/>
      <c r="D16" s="151"/>
      <c r="E16" s="152"/>
      <c r="F16" s="152"/>
    </row>
    <row r="17" spans="1:6">
      <c r="A17" s="153"/>
      <c r="B17" s="153"/>
      <c r="C17" s="151"/>
      <c r="D17" s="151"/>
      <c r="E17" s="152"/>
      <c r="F17" s="152"/>
    </row>
    <row r="18" spans="1:6">
      <c r="A18" s="153"/>
      <c r="B18" s="153"/>
      <c r="C18" s="151"/>
      <c r="D18" s="151"/>
      <c r="E18" s="152"/>
      <c r="F18" s="152"/>
    </row>
    <row r="19" spans="1:6">
      <c r="A19" s="153"/>
      <c r="B19" s="153"/>
      <c r="C19" s="151"/>
      <c r="D19" s="151"/>
      <c r="E19" s="152"/>
      <c r="F19" s="152"/>
    </row>
    <row r="20" spans="1:6">
      <c r="A20" s="153"/>
      <c r="B20" s="153"/>
      <c r="C20" s="151"/>
      <c r="D20" s="151"/>
      <c r="E20" s="152"/>
      <c r="F20" s="152"/>
    </row>
    <row r="21" spans="1:6">
      <c r="A21" s="153"/>
      <c r="B21" s="153"/>
      <c r="C21" s="151"/>
      <c r="D21" s="151"/>
      <c r="E21" s="152"/>
      <c r="F21" s="152"/>
    </row>
    <row r="22" spans="1:6">
      <c r="A22" s="153"/>
      <c r="B22" s="153"/>
      <c r="C22" s="151"/>
      <c r="D22" s="151"/>
      <c r="E22" s="152"/>
      <c r="F22" s="152"/>
    </row>
    <row r="23" spans="1:6">
      <c r="A23" s="153"/>
      <c r="B23" s="153"/>
      <c r="C23" s="151"/>
      <c r="D23" s="151"/>
      <c r="E23" s="152"/>
      <c r="F23" s="152"/>
    </row>
    <row r="24" spans="1:6">
      <c r="A24" s="153"/>
      <c r="B24" s="153"/>
      <c r="C24" s="151"/>
      <c r="D24" s="151"/>
      <c r="E24" s="152"/>
      <c r="F24" s="152"/>
    </row>
    <row r="25" spans="1:6">
      <c r="A25" s="153"/>
      <c r="B25" s="153"/>
      <c r="C25" s="151"/>
      <c r="D25" s="151"/>
      <c r="E25" s="152"/>
      <c r="F25" s="152"/>
    </row>
    <row r="26" spans="1:6">
      <c r="A26" s="153"/>
      <c r="B26" s="153"/>
      <c r="C26" s="151"/>
      <c r="D26" s="151"/>
      <c r="E26" s="152"/>
      <c r="F26" s="15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V1384"/>
  <sheetViews>
    <sheetView topLeftCell="A1068" zoomScale="85" zoomScaleNormal="85" workbookViewId="0">
      <selection activeCell="O1093" sqref="O1093"/>
    </sheetView>
  </sheetViews>
  <sheetFormatPr defaultColWidth="0" defaultRowHeight="14.4" zeroHeight="1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75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2083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1384</v>
      </c>
      <c r="B2" s="41">
        <v>12000000</v>
      </c>
      <c r="C2" s="41">
        <v>1.1999999999999999E-3</v>
      </c>
      <c r="D2" s="41">
        <v>0.5</v>
      </c>
      <c r="E2" s="41">
        <v>30</v>
      </c>
      <c r="F2" s="41">
        <v>0</v>
      </c>
      <c r="G2" s="41" t="s">
        <v>103</v>
      </c>
      <c r="H2" s="41">
        <v>1</v>
      </c>
      <c r="I2" s="41">
        <v>1</v>
      </c>
      <c r="J2" s="108">
        <v>0</v>
      </c>
      <c r="K2" s="41">
        <v>0</v>
      </c>
      <c r="L2" s="41">
        <v>55</v>
      </c>
      <c r="M2" s="41">
        <v>-1</v>
      </c>
      <c r="N2" s="41">
        <v>4</v>
      </c>
      <c r="O2" s="110" t="s">
        <v>2085</v>
      </c>
      <c r="P2" s="109">
        <v>193276</v>
      </c>
      <c r="Q2" s="107"/>
      <c r="R2" s="111"/>
      <c r="S2" s="110" t="s">
        <v>2175</v>
      </c>
      <c r="T2"/>
      <c r="U2"/>
      <c r="V2"/>
    </row>
    <row r="3" spans="1:22">
      <c r="A3" s="105">
        <v>1385</v>
      </c>
      <c r="B3" s="41">
        <v>12000000</v>
      </c>
      <c r="C3" s="41">
        <v>1.1999999999999999E-3</v>
      </c>
      <c r="D3" s="41">
        <v>1</v>
      </c>
      <c r="E3" s="41">
        <v>30</v>
      </c>
      <c r="F3" s="41">
        <v>0</v>
      </c>
      <c r="G3" s="41" t="s">
        <v>103</v>
      </c>
      <c r="H3" s="41">
        <v>1</v>
      </c>
      <c r="I3" s="41">
        <v>1</v>
      </c>
      <c r="J3" s="108">
        <v>0</v>
      </c>
      <c r="K3" s="41">
        <v>0</v>
      </c>
      <c r="L3" s="41">
        <v>55</v>
      </c>
      <c r="M3" s="41">
        <v>-1</v>
      </c>
      <c r="N3" s="41">
        <v>4</v>
      </c>
      <c r="O3" s="110" t="s">
        <v>2086</v>
      </c>
      <c r="P3" s="109">
        <v>193276</v>
      </c>
      <c r="Q3" s="107"/>
      <c r="R3" s="111"/>
      <c r="S3" s="110"/>
      <c r="T3"/>
      <c r="U3"/>
      <c r="V3"/>
    </row>
    <row r="4" spans="1:22">
      <c r="A4" s="105">
        <v>1386</v>
      </c>
      <c r="B4" s="41">
        <v>12000000</v>
      </c>
      <c r="C4" s="41">
        <v>1.1999999999999999E-3</v>
      </c>
      <c r="D4" s="41">
        <v>2</v>
      </c>
      <c r="E4" s="41">
        <v>30</v>
      </c>
      <c r="F4" s="41">
        <v>0</v>
      </c>
      <c r="G4" s="41" t="s">
        <v>103</v>
      </c>
      <c r="H4" s="41">
        <v>1</v>
      </c>
      <c r="I4" s="41">
        <v>1</v>
      </c>
      <c r="J4" s="108">
        <v>0</v>
      </c>
      <c r="K4" s="41">
        <v>0</v>
      </c>
      <c r="L4" s="41">
        <v>55</v>
      </c>
      <c r="M4" s="41">
        <v>-1</v>
      </c>
      <c r="N4" s="41">
        <v>4</v>
      </c>
      <c r="O4" s="110" t="s">
        <v>2087</v>
      </c>
      <c r="P4" s="109">
        <v>193276</v>
      </c>
      <c r="Q4" s="107"/>
      <c r="R4" s="111"/>
      <c r="S4" s="110"/>
      <c r="T4"/>
      <c r="U4"/>
      <c r="V4"/>
    </row>
    <row r="5" spans="1:22">
      <c r="A5" s="105">
        <v>1387</v>
      </c>
      <c r="B5" s="41">
        <v>12000000</v>
      </c>
      <c r="C5" s="41">
        <v>1.1999999999999999E-3</v>
      </c>
      <c r="D5" s="41">
        <v>4</v>
      </c>
      <c r="E5" s="41">
        <v>30</v>
      </c>
      <c r="F5" s="41">
        <v>0</v>
      </c>
      <c r="G5" s="41" t="s">
        <v>103</v>
      </c>
      <c r="H5" s="41">
        <v>1</v>
      </c>
      <c r="I5" s="41">
        <v>1</v>
      </c>
      <c r="J5" s="108">
        <v>0</v>
      </c>
      <c r="K5" s="41">
        <v>0</v>
      </c>
      <c r="L5" s="41">
        <v>55</v>
      </c>
      <c r="M5" s="41">
        <v>-1</v>
      </c>
      <c r="N5" s="41">
        <v>4</v>
      </c>
      <c r="O5" s="110" t="s">
        <v>2088</v>
      </c>
      <c r="P5" s="109">
        <v>193276</v>
      </c>
      <c r="Q5" s="107"/>
      <c r="R5" s="111"/>
      <c r="S5" s="110"/>
      <c r="T5"/>
      <c r="U5"/>
      <c r="V5"/>
    </row>
    <row r="6" spans="1:22">
      <c r="A6" s="105">
        <v>1388</v>
      </c>
      <c r="B6" s="41">
        <v>12000000</v>
      </c>
      <c r="C6" s="41">
        <v>1.1999999999999999E-3</v>
      </c>
      <c r="D6" s="41">
        <v>8</v>
      </c>
      <c r="E6" s="41">
        <v>30</v>
      </c>
      <c r="F6" s="41">
        <v>0</v>
      </c>
      <c r="G6" s="41" t="s">
        <v>103</v>
      </c>
      <c r="H6" s="41">
        <v>1</v>
      </c>
      <c r="I6" s="41">
        <v>1</v>
      </c>
      <c r="J6" s="108">
        <v>0</v>
      </c>
      <c r="K6" s="41">
        <v>0</v>
      </c>
      <c r="L6" s="41">
        <v>55</v>
      </c>
      <c r="M6" s="41">
        <v>-1</v>
      </c>
      <c r="N6" s="41">
        <v>4</v>
      </c>
      <c r="O6" s="110" t="s">
        <v>2089</v>
      </c>
      <c r="P6" s="109">
        <v>193276</v>
      </c>
      <c r="Q6" s="107"/>
      <c r="R6" s="111"/>
      <c r="S6" s="110"/>
      <c r="T6"/>
      <c r="U6"/>
      <c r="V6"/>
    </row>
    <row r="7" spans="1:22">
      <c r="A7" s="105">
        <v>1389</v>
      </c>
      <c r="B7" s="41">
        <v>12000000</v>
      </c>
      <c r="C7" s="41">
        <v>1.2999999999999999E-3</v>
      </c>
      <c r="D7" s="41">
        <v>0.70709999999999995</v>
      </c>
      <c r="E7" s="41">
        <v>30</v>
      </c>
      <c r="F7" s="41">
        <v>0</v>
      </c>
      <c r="G7" s="41" t="s">
        <v>103</v>
      </c>
      <c r="H7" s="41">
        <v>1</v>
      </c>
      <c r="I7" s="41">
        <v>1</v>
      </c>
      <c r="J7" s="108">
        <v>0</v>
      </c>
      <c r="K7" s="41">
        <v>0</v>
      </c>
      <c r="L7" s="41">
        <v>55</v>
      </c>
      <c r="M7" s="41">
        <v>-1</v>
      </c>
      <c r="N7" s="41">
        <v>4</v>
      </c>
      <c r="O7" s="110" t="s">
        <v>2090</v>
      </c>
      <c r="P7" s="109">
        <v>193276</v>
      </c>
      <c r="Q7" s="107"/>
      <c r="R7" s="111"/>
      <c r="S7" s="110"/>
      <c r="T7"/>
      <c r="U7"/>
      <c r="V7"/>
    </row>
    <row r="8" spans="1:22">
      <c r="A8" s="105">
        <v>1390</v>
      </c>
      <c r="B8" s="41">
        <v>12000000</v>
      </c>
      <c r="C8" s="41">
        <v>1.2999999999999999E-3</v>
      </c>
      <c r="D8" s="41">
        <v>1.4141999999999999</v>
      </c>
      <c r="E8" s="41">
        <v>30</v>
      </c>
      <c r="F8" s="41">
        <v>0</v>
      </c>
      <c r="G8" s="41" t="s">
        <v>103</v>
      </c>
      <c r="H8" s="41">
        <v>1</v>
      </c>
      <c r="I8" s="41">
        <v>1</v>
      </c>
      <c r="J8" s="108">
        <v>0</v>
      </c>
      <c r="K8" s="41">
        <v>0</v>
      </c>
      <c r="L8" s="41">
        <v>55</v>
      </c>
      <c r="M8" s="41">
        <v>-1</v>
      </c>
      <c r="N8" s="41">
        <v>4</v>
      </c>
      <c r="O8" s="110" t="s">
        <v>2091</v>
      </c>
      <c r="P8" s="109">
        <v>193276</v>
      </c>
      <c r="Q8" s="107"/>
      <c r="R8" s="111"/>
      <c r="S8" s="110"/>
      <c r="T8"/>
      <c r="U8"/>
      <c r="V8"/>
    </row>
    <row r="9" spans="1:22">
      <c r="A9" s="105">
        <v>1391</v>
      </c>
      <c r="B9" s="41">
        <v>12000000</v>
      </c>
      <c r="C9" s="41">
        <v>1.2999999999999999E-3</v>
      </c>
      <c r="D9" s="41">
        <v>2.8283999999999998</v>
      </c>
      <c r="E9" s="41">
        <v>30</v>
      </c>
      <c r="F9" s="41">
        <v>0</v>
      </c>
      <c r="G9" s="41" t="s">
        <v>103</v>
      </c>
      <c r="H9" s="41">
        <v>1</v>
      </c>
      <c r="I9" s="41">
        <v>1</v>
      </c>
      <c r="J9" s="108">
        <v>0</v>
      </c>
      <c r="K9" s="41">
        <v>0</v>
      </c>
      <c r="L9" s="41">
        <v>55</v>
      </c>
      <c r="M9" s="41">
        <v>-1</v>
      </c>
      <c r="N9" s="41">
        <v>4</v>
      </c>
      <c r="O9" s="110" t="s">
        <v>2092</v>
      </c>
      <c r="P9" s="109">
        <v>193276</v>
      </c>
      <c r="Q9" s="107"/>
      <c r="R9" s="111"/>
      <c r="S9" s="110"/>
      <c r="T9"/>
      <c r="U9"/>
      <c r="V9"/>
    </row>
    <row r="10" spans="1:22">
      <c r="A10" s="105">
        <v>1392</v>
      </c>
      <c r="B10" s="41">
        <v>12000000</v>
      </c>
      <c r="C10" s="41">
        <v>1.2999999999999999E-3</v>
      </c>
      <c r="D10" s="41">
        <v>5.6569000000000003</v>
      </c>
      <c r="E10" s="41">
        <v>30</v>
      </c>
      <c r="F10" s="41">
        <v>0</v>
      </c>
      <c r="G10" s="41" t="s">
        <v>103</v>
      </c>
      <c r="H10" s="41">
        <v>1</v>
      </c>
      <c r="I10" s="41">
        <v>1</v>
      </c>
      <c r="J10" s="108">
        <v>0</v>
      </c>
      <c r="K10" s="41">
        <v>0</v>
      </c>
      <c r="L10" s="41">
        <v>55</v>
      </c>
      <c r="M10" s="41">
        <v>-1</v>
      </c>
      <c r="N10" s="41">
        <v>4</v>
      </c>
      <c r="O10" s="110" t="s">
        <v>2093</v>
      </c>
      <c r="P10" s="109">
        <v>193276</v>
      </c>
      <c r="Q10" s="107"/>
      <c r="R10" s="111"/>
      <c r="S10" s="110"/>
      <c r="T10"/>
      <c r="U10"/>
      <c r="V10"/>
    </row>
    <row r="11" spans="1:22">
      <c r="A11" s="105">
        <v>1393</v>
      </c>
      <c r="B11" s="41">
        <v>12000000</v>
      </c>
      <c r="C11" s="41">
        <v>1.2999999999999999E-3</v>
      </c>
      <c r="D11" s="41">
        <v>11.313700000000001</v>
      </c>
      <c r="E11" s="41">
        <v>30</v>
      </c>
      <c r="F11" s="41">
        <v>0</v>
      </c>
      <c r="G11" s="41" t="s">
        <v>103</v>
      </c>
      <c r="H11" s="41">
        <v>1</v>
      </c>
      <c r="I11" s="41">
        <v>1</v>
      </c>
      <c r="J11" s="108">
        <v>0</v>
      </c>
      <c r="K11" s="41">
        <v>0</v>
      </c>
      <c r="L11" s="41">
        <v>55</v>
      </c>
      <c r="M11" s="41">
        <v>-1</v>
      </c>
      <c r="N11" s="41">
        <v>4</v>
      </c>
      <c r="O11" s="110" t="s">
        <v>2094</v>
      </c>
      <c r="P11" s="109">
        <v>193276</v>
      </c>
      <c r="Q11" s="107"/>
      <c r="R11" s="111"/>
      <c r="S11" s="110"/>
      <c r="T11"/>
      <c r="U11"/>
      <c r="V11"/>
    </row>
    <row r="12" spans="1:22">
      <c r="A12" s="105">
        <v>1394</v>
      </c>
      <c r="B12" s="41">
        <v>12000000</v>
      </c>
      <c r="C12" s="41">
        <v>1.5E-3</v>
      </c>
      <c r="D12" s="41">
        <v>0.70709999999999995</v>
      </c>
      <c r="E12" s="41">
        <v>30</v>
      </c>
      <c r="F12" s="41">
        <v>0</v>
      </c>
      <c r="G12" s="41" t="s">
        <v>103</v>
      </c>
      <c r="H12" s="41">
        <v>1</v>
      </c>
      <c r="I12" s="41">
        <v>1</v>
      </c>
      <c r="J12" s="108">
        <v>0</v>
      </c>
      <c r="K12" s="41">
        <v>0</v>
      </c>
      <c r="L12" s="41">
        <v>55</v>
      </c>
      <c r="M12" s="41">
        <v>-1</v>
      </c>
      <c r="N12" s="41">
        <v>4</v>
      </c>
      <c r="O12" s="110" t="s">
        <v>2095</v>
      </c>
      <c r="P12" s="109">
        <v>193276</v>
      </c>
      <c r="Q12" s="107"/>
      <c r="R12" s="111"/>
      <c r="S12" s="110"/>
      <c r="T12"/>
      <c r="U12"/>
      <c r="V12"/>
    </row>
    <row r="13" spans="1:22">
      <c r="A13" s="105">
        <v>1395</v>
      </c>
      <c r="B13" s="41">
        <v>12000000</v>
      </c>
      <c r="C13" s="41">
        <v>1.5E-3</v>
      </c>
      <c r="D13" s="41">
        <v>1.4141999999999999</v>
      </c>
      <c r="E13" s="41">
        <v>30</v>
      </c>
      <c r="F13" s="41">
        <v>0</v>
      </c>
      <c r="G13" s="41" t="s">
        <v>103</v>
      </c>
      <c r="H13" s="41">
        <v>1</v>
      </c>
      <c r="I13" s="41">
        <v>1</v>
      </c>
      <c r="J13" s="108">
        <v>0</v>
      </c>
      <c r="K13" s="41">
        <v>0</v>
      </c>
      <c r="L13" s="41">
        <v>55</v>
      </c>
      <c r="M13" s="41">
        <v>-1</v>
      </c>
      <c r="N13" s="41">
        <v>4</v>
      </c>
      <c r="O13" s="110" t="s">
        <v>2096</v>
      </c>
      <c r="P13" s="109">
        <v>193276</v>
      </c>
      <c r="Q13" s="107"/>
      <c r="R13" s="111"/>
      <c r="S13" s="110"/>
      <c r="T13"/>
      <c r="U13"/>
      <c r="V13"/>
    </row>
    <row r="14" spans="1:22">
      <c r="A14" s="105">
        <v>1396</v>
      </c>
      <c r="B14" s="41">
        <v>12000000</v>
      </c>
      <c r="C14" s="41">
        <v>1.5E-3</v>
      </c>
      <c r="D14" s="41">
        <v>2.8283999999999998</v>
      </c>
      <c r="E14" s="41">
        <v>30</v>
      </c>
      <c r="F14" s="41">
        <v>0</v>
      </c>
      <c r="G14" s="41" t="s">
        <v>103</v>
      </c>
      <c r="H14" s="41">
        <v>1</v>
      </c>
      <c r="I14" s="41">
        <v>1</v>
      </c>
      <c r="J14" s="108">
        <v>0</v>
      </c>
      <c r="K14" s="41">
        <v>0</v>
      </c>
      <c r="L14" s="41">
        <v>55</v>
      </c>
      <c r="M14" s="41">
        <v>-1</v>
      </c>
      <c r="N14" s="41">
        <v>4</v>
      </c>
      <c r="O14" s="110" t="s">
        <v>2097</v>
      </c>
      <c r="P14" s="109">
        <v>193276</v>
      </c>
      <c r="Q14" s="107"/>
      <c r="R14" s="111"/>
      <c r="S14" s="110"/>
      <c r="T14"/>
      <c r="U14"/>
      <c r="V14"/>
    </row>
    <row r="15" spans="1:22">
      <c r="A15" s="105">
        <v>1397</v>
      </c>
      <c r="B15" s="41">
        <v>12000000</v>
      </c>
      <c r="C15" s="41">
        <v>1.5E-3</v>
      </c>
      <c r="D15" s="41">
        <v>5.6569000000000003</v>
      </c>
      <c r="E15" s="41">
        <v>30</v>
      </c>
      <c r="F15" s="41">
        <v>0</v>
      </c>
      <c r="G15" s="41" t="s">
        <v>103</v>
      </c>
      <c r="H15" s="41">
        <v>1</v>
      </c>
      <c r="I15" s="41">
        <v>1</v>
      </c>
      <c r="J15" s="108">
        <v>0</v>
      </c>
      <c r="K15" s="41">
        <v>0</v>
      </c>
      <c r="L15" s="41">
        <v>55</v>
      </c>
      <c r="M15" s="41">
        <v>-1</v>
      </c>
      <c r="N15" s="41">
        <v>4</v>
      </c>
      <c r="O15" s="110" t="s">
        <v>2098</v>
      </c>
      <c r="P15" s="109">
        <v>193276</v>
      </c>
      <c r="Q15" s="107"/>
      <c r="R15" s="111"/>
      <c r="S15" s="110"/>
      <c r="T15"/>
      <c r="U15"/>
      <c r="V15"/>
    </row>
    <row r="16" spans="1:22">
      <c r="A16" s="105">
        <v>1398</v>
      </c>
      <c r="B16" s="41">
        <v>12000000</v>
      </c>
      <c r="C16" s="41">
        <v>1.5E-3</v>
      </c>
      <c r="D16" s="41">
        <v>11.313700000000001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0</v>
      </c>
      <c r="K16" s="41">
        <v>0</v>
      </c>
      <c r="L16" s="41">
        <v>55</v>
      </c>
      <c r="M16" s="41">
        <v>-1</v>
      </c>
      <c r="N16" s="41">
        <v>4</v>
      </c>
      <c r="O16" s="111" t="s">
        <v>2099</v>
      </c>
      <c r="P16" s="109">
        <v>193276</v>
      </c>
      <c r="Q16" s="107"/>
      <c r="R16" s="111"/>
      <c r="S16" s="110"/>
      <c r="T16"/>
      <c r="U16"/>
      <c r="V16"/>
    </row>
    <row r="17" spans="1:22">
      <c r="A17" s="105">
        <v>1399</v>
      </c>
      <c r="B17" s="41">
        <v>12000000</v>
      </c>
      <c r="C17" s="41">
        <v>1.6000000000000001E-3</v>
      </c>
      <c r="D17" s="41">
        <v>1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0</v>
      </c>
      <c r="K17" s="41">
        <v>0</v>
      </c>
      <c r="L17" s="41">
        <v>55</v>
      </c>
      <c r="M17" s="41">
        <v>-1</v>
      </c>
      <c r="N17" s="41">
        <v>4</v>
      </c>
      <c r="O17" s="111" t="s">
        <v>2100</v>
      </c>
      <c r="P17" s="109">
        <v>193276</v>
      </c>
      <c r="Q17" s="107"/>
      <c r="R17" s="111"/>
      <c r="S17" s="110"/>
      <c r="T17"/>
      <c r="U17"/>
      <c r="V17"/>
    </row>
    <row r="18" spans="1:22">
      <c r="A18" s="105">
        <v>1400</v>
      </c>
      <c r="B18" s="41">
        <v>12000000</v>
      </c>
      <c r="C18" s="41">
        <v>1.6000000000000001E-3</v>
      </c>
      <c r="D18" s="41">
        <v>2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0</v>
      </c>
      <c r="K18" s="41">
        <v>0</v>
      </c>
      <c r="L18" s="41">
        <v>55</v>
      </c>
      <c r="M18" s="41">
        <v>-1</v>
      </c>
      <c r="N18" s="41">
        <v>4</v>
      </c>
      <c r="O18" s="111" t="s">
        <v>2101</v>
      </c>
      <c r="P18" s="109">
        <v>193276</v>
      </c>
      <c r="Q18" s="107"/>
      <c r="R18" s="111"/>
      <c r="S18" s="110"/>
      <c r="T18"/>
      <c r="U18"/>
      <c r="V18"/>
    </row>
    <row r="19" spans="1:22">
      <c r="A19" s="105">
        <v>1401</v>
      </c>
      <c r="B19" s="41">
        <v>12000000</v>
      </c>
      <c r="C19" s="41">
        <v>1.6000000000000001E-3</v>
      </c>
      <c r="D19" s="41">
        <v>4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0</v>
      </c>
      <c r="K19" s="41">
        <v>0</v>
      </c>
      <c r="L19" s="41">
        <v>55</v>
      </c>
      <c r="M19" s="41">
        <v>-1</v>
      </c>
      <c r="N19" s="41">
        <v>4</v>
      </c>
      <c r="O19" s="111" t="s">
        <v>2102</v>
      </c>
      <c r="P19" s="109">
        <v>193276</v>
      </c>
      <c r="Q19" s="107"/>
      <c r="R19" s="111"/>
      <c r="S19" s="110"/>
      <c r="T19"/>
      <c r="U19"/>
      <c r="V19"/>
    </row>
    <row r="20" spans="1:22">
      <c r="A20" s="105">
        <v>1402</v>
      </c>
      <c r="B20" s="41">
        <v>12000000</v>
      </c>
      <c r="C20" s="41">
        <v>1.6000000000000001E-3</v>
      </c>
      <c r="D20" s="41">
        <v>8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0</v>
      </c>
      <c r="K20" s="41">
        <v>0</v>
      </c>
      <c r="L20" s="41">
        <v>55</v>
      </c>
      <c r="M20" s="41">
        <v>-1</v>
      </c>
      <c r="N20" s="41">
        <v>4</v>
      </c>
      <c r="O20" s="111" t="s">
        <v>2103</v>
      </c>
      <c r="P20" s="109">
        <v>193276</v>
      </c>
      <c r="Q20" s="107"/>
      <c r="R20" s="111"/>
      <c r="S20" s="110"/>
      <c r="T20"/>
      <c r="U20"/>
      <c r="V20"/>
    </row>
    <row r="21" spans="1:22">
      <c r="A21" s="105">
        <v>1403</v>
      </c>
      <c r="B21" s="41">
        <v>12000000</v>
      </c>
      <c r="C21" s="41">
        <v>1.6000000000000001E-3</v>
      </c>
      <c r="D21" s="41">
        <v>16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0</v>
      </c>
      <c r="K21" s="41">
        <v>0</v>
      </c>
      <c r="L21" s="41">
        <v>55</v>
      </c>
      <c r="M21" s="41">
        <v>-1</v>
      </c>
      <c r="N21" s="41">
        <v>4</v>
      </c>
      <c r="O21" s="111" t="s">
        <v>2104</v>
      </c>
      <c r="P21" s="109">
        <v>193276</v>
      </c>
      <c r="Q21" s="107"/>
      <c r="R21" s="111"/>
      <c r="S21" s="110"/>
      <c r="T21"/>
      <c r="U21"/>
      <c r="V21"/>
    </row>
    <row r="22" spans="1:22">
      <c r="A22" s="105">
        <v>1404</v>
      </c>
      <c r="B22" s="41">
        <v>12000000</v>
      </c>
      <c r="C22" s="41">
        <v>1.6999999999999999E-3</v>
      </c>
      <c r="D22" s="41">
        <v>1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0</v>
      </c>
      <c r="K22" s="41">
        <v>0</v>
      </c>
      <c r="L22" s="41">
        <v>55</v>
      </c>
      <c r="M22" s="41">
        <v>-1</v>
      </c>
      <c r="N22" s="41">
        <v>4</v>
      </c>
      <c r="O22" s="111" t="s">
        <v>2105</v>
      </c>
      <c r="P22" s="109">
        <v>193276</v>
      </c>
      <c r="Q22" s="107"/>
      <c r="R22" s="111"/>
      <c r="S22" s="110"/>
      <c r="T22"/>
      <c r="U22"/>
      <c r="V22"/>
    </row>
    <row r="23" spans="1:22">
      <c r="A23" s="105">
        <v>1405</v>
      </c>
      <c r="B23" s="41">
        <v>12000000</v>
      </c>
      <c r="C23" s="41">
        <v>1.6999999999999999E-3</v>
      </c>
      <c r="D23" s="41">
        <v>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v>0</v>
      </c>
      <c r="K23" s="41">
        <v>0</v>
      </c>
      <c r="L23" s="41">
        <v>55</v>
      </c>
      <c r="M23" s="41">
        <v>-1</v>
      </c>
      <c r="N23" s="41">
        <v>4</v>
      </c>
      <c r="O23" s="110" t="s">
        <v>2106</v>
      </c>
      <c r="P23" s="109">
        <v>193276</v>
      </c>
      <c r="Q23" s="107"/>
      <c r="R23" s="111"/>
      <c r="S23" s="110"/>
      <c r="T23"/>
      <c r="U23"/>
      <c r="V23"/>
    </row>
    <row r="24" spans="1:22">
      <c r="A24" s="105">
        <v>1406</v>
      </c>
      <c r="B24" s="41">
        <v>12000000</v>
      </c>
      <c r="C24" s="41">
        <v>1.6999999999999999E-3</v>
      </c>
      <c r="D24" s="41">
        <v>4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v>0</v>
      </c>
      <c r="K24" s="41">
        <v>0</v>
      </c>
      <c r="L24" s="41">
        <v>55</v>
      </c>
      <c r="M24" s="41">
        <v>-1</v>
      </c>
      <c r="N24" s="41">
        <v>4</v>
      </c>
      <c r="O24" s="110" t="s">
        <v>2107</v>
      </c>
      <c r="P24" s="109">
        <v>193276</v>
      </c>
      <c r="Q24" s="107"/>
      <c r="R24" s="111"/>
      <c r="S24" s="110"/>
      <c r="T24"/>
      <c r="U24"/>
      <c r="V24"/>
    </row>
    <row r="25" spans="1:22">
      <c r="A25" s="105">
        <v>1407</v>
      </c>
      <c r="B25" s="41">
        <v>12000000</v>
      </c>
      <c r="C25" s="41">
        <v>1.6999999999999999E-3</v>
      </c>
      <c r="D25" s="41">
        <v>8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v>0</v>
      </c>
      <c r="K25" s="41">
        <v>0</v>
      </c>
      <c r="L25" s="41">
        <v>55</v>
      </c>
      <c r="M25" s="41">
        <v>-1</v>
      </c>
      <c r="N25" s="41">
        <v>4</v>
      </c>
      <c r="O25" s="110" t="s">
        <v>2108</v>
      </c>
      <c r="P25" s="109">
        <v>193276</v>
      </c>
      <c r="Q25" s="107"/>
      <c r="R25" s="111"/>
      <c r="S25" s="110"/>
      <c r="T25"/>
      <c r="U25"/>
      <c r="V25"/>
    </row>
    <row r="26" spans="1:22">
      <c r="A26" s="105">
        <v>1408</v>
      </c>
      <c r="B26" s="41">
        <v>12000000</v>
      </c>
      <c r="C26" s="41">
        <v>1.6999999999999999E-3</v>
      </c>
      <c r="D26" s="41">
        <v>16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v>0</v>
      </c>
      <c r="K26" s="41">
        <v>0</v>
      </c>
      <c r="L26" s="41">
        <v>55</v>
      </c>
      <c r="M26" s="41">
        <v>-1</v>
      </c>
      <c r="N26" s="41">
        <v>4</v>
      </c>
      <c r="O26" s="110" t="s">
        <v>2109</v>
      </c>
      <c r="P26" s="109">
        <v>193276</v>
      </c>
      <c r="Q26" s="107"/>
      <c r="R26" s="111"/>
      <c r="S26" s="110"/>
      <c r="T26"/>
      <c r="U26"/>
      <c r="V26"/>
    </row>
    <row r="27" spans="1:22">
      <c r="A27" s="105">
        <v>1409</v>
      </c>
      <c r="B27" s="41">
        <v>12000000</v>
      </c>
      <c r="C27" s="41">
        <v>1.9E-3</v>
      </c>
      <c r="D27" s="41">
        <v>1.4141999999999999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v>0</v>
      </c>
      <c r="K27" s="41">
        <v>0</v>
      </c>
      <c r="L27" s="41">
        <v>55</v>
      </c>
      <c r="M27" s="41">
        <v>-1</v>
      </c>
      <c r="N27" s="41">
        <v>4</v>
      </c>
      <c r="O27" s="110" t="s">
        <v>2110</v>
      </c>
      <c r="P27" s="109">
        <v>193276</v>
      </c>
      <c r="Q27" s="107"/>
      <c r="R27" s="111"/>
      <c r="S27" s="110"/>
      <c r="T27"/>
      <c r="U27"/>
      <c r="V27"/>
    </row>
    <row r="28" spans="1:22">
      <c r="A28" s="105">
        <v>1410</v>
      </c>
      <c r="B28" s="41">
        <v>12000000</v>
      </c>
      <c r="C28" s="41">
        <v>1.9E-3</v>
      </c>
      <c r="D28" s="41">
        <v>2.8283999999999998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v>0</v>
      </c>
      <c r="K28" s="41">
        <v>0</v>
      </c>
      <c r="L28" s="41">
        <v>55</v>
      </c>
      <c r="M28" s="41">
        <v>-1</v>
      </c>
      <c r="N28" s="41">
        <v>4</v>
      </c>
      <c r="O28" s="110" t="s">
        <v>2111</v>
      </c>
      <c r="P28" s="109">
        <v>193276</v>
      </c>
      <c r="Q28" s="107"/>
      <c r="R28" s="111"/>
      <c r="S28" s="110"/>
      <c r="T28"/>
      <c r="U28"/>
      <c r="V28"/>
    </row>
    <row r="29" spans="1:22">
      <c r="A29" s="105">
        <v>1411</v>
      </c>
      <c r="B29" s="41">
        <v>12000000</v>
      </c>
      <c r="C29" s="41">
        <v>1.9E-3</v>
      </c>
      <c r="D29" s="41">
        <v>5.6569000000000003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v>0</v>
      </c>
      <c r="K29" s="41">
        <v>0</v>
      </c>
      <c r="L29" s="41">
        <v>55</v>
      </c>
      <c r="M29" s="41">
        <v>-1</v>
      </c>
      <c r="N29" s="41">
        <v>4</v>
      </c>
      <c r="O29" s="110" t="s">
        <v>2112</v>
      </c>
      <c r="P29" s="109">
        <v>193276</v>
      </c>
      <c r="Q29" s="107"/>
      <c r="R29" s="111"/>
      <c r="S29" s="110"/>
      <c r="T29"/>
      <c r="U29"/>
      <c r="V29"/>
    </row>
    <row r="30" spans="1:22">
      <c r="A30" s="105">
        <v>1412</v>
      </c>
      <c r="B30" s="41">
        <v>12000000</v>
      </c>
      <c r="C30" s="41">
        <v>1.9E-3</v>
      </c>
      <c r="D30" s="41">
        <v>11.313700000000001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v>0</v>
      </c>
      <c r="K30" s="41">
        <v>0</v>
      </c>
      <c r="L30" s="41">
        <v>55</v>
      </c>
      <c r="M30" s="41">
        <v>-1</v>
      </c>
      <c r="N30" s="41">
        <v>4</v>
      </c>
      <c r="O30" s="110" t="s">
        <v>2113</v>
      </c>
      <c r="P30" s="109">
        <v>193276</v>
      </c>
      <c r="Q30" s="107"/>
      <c r="R30" s="111"/>
      <c r="S30" s="110"/>
      <c r="T30"/>
      <c r="U30"/>
      <c r="V30"/>
    </row>
    <row r="31" spans="1:22">
      <c r="A31" s="105">
        <v>1413</v>
      </c>
      <c r="B31" s="41">
        <v>12000000</v>
      </c>
      <c r="C31" s="41">
        <v>1.9E-3</v>
      </c>
      <c r="D31" s="41">
        <v>22.627400000000002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v>0</v>
      </c>
      <c r="K31" s="41">
        <v>0</v>
      </c>
      <c r="L31" s="41">
        <v>55</v>
      </c>
      <c r="M31" s="41">
        <v>-1</v>
      </c>
      <c r="N31" s="41">
        <v>4</v>
      </c>
      <c r="O31" s="110" t="s">
        <v>2114</v>
      </c>
      <c r="P31" s="109">
        <v>193276</v>
      </c>
      <c r="Q31" s="107"/>
      <c r="R31" s="111"/>
      <c r="S31" s="110"/>
      <c r="T31"/>
      <c r="U31"/>
      <c r="V31"/>
    </row>
    <row r="32" spans="1:22">
      <c r="A32" s="105">
        <v>1414</v>
      </c>
      <c r="B32" s="41">
        <v>12000000</v>
      </c>
      <c r="C32" s="41">
        <v>2.0999999999999999E-3</v>
      </c>
      <c r="D32" s="41">
        <v>1.4141999999999999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v>0</v>
      </c>
      <c r="K32" s="41">
        <v>0</v>
      </c>
      <c r="L32" s="41">
        <v>55</v>
      </c>
      <c r="M32" s="41">
        <v>-1</v>
      </c>
      <c r="N32" s="41">
        <v>4</v>
      </c>
      <c r="O32" s="110" t="s">
        <v>2115</v>
      </c>
      <c r="P32" s="109">
        <v>193277</v>
      </c>
      <c r="Q32" s="107"/>
      <c r="R32" s="111"/>
      <c r="S32" s="110" t="s">
        <v>2175</v>
      </c>
      <c r="T32"/>
      <c r="U32"/>
      <c r="V32"/>
    </row>
    <row r="33" spans="1:22">
      <c r="A33" s="105">
        <v>1415</v>
      </c>
      <c r="B33" s="41">
        <v>12000000</v>
      </c>
      <c r="C33" s="41">
        <v>2.0999999999999999E-3</v>
      </c>
      <c r="D33" s="41">
        <v>2.8283999999999998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v>0</v>
      </c>
      <c r="K33" s="41">
        <v>0</v>
      </c>
      <c r="L33" s="41">
        <v>55</v>
      </c>
      <c r="M33" s="41">
        <v>-1</v>
      </c>
      <c r="N33" s="41">
        <v>4</v>
      </c>
      <c r="O33" s="110" t="s">
        <v>2116</v>
      </c>
      <c r="P33" s="109">
        <v>193277</v>
      </c>
      <c r="Q33" s="107"/>
      <c r="R33" s="111"/>
      <c r="S33" s="110"/>
      <c r="T33"/>
      <c r="U33"/>
      <c r="V33"/>
    </row>
    <row r="34" spans="1:22">
      <c r="A34" s="105">
        <v>1416</v>
      </c>
      <c r="B34" s="41">
        <v>12000000</v>
      </c>
      <c r="C34" s="41">
        <v>2.0999999999999999E-3</v>
      </c>
      <c r="D34" s="41">
        <v>5.6569000000000003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v>0</v>
      </c>
      <c r="K34" s="41">
        <v>0</v>
      </c>
      <c r="L34" s="41">
        <v>55</v>
      </c>
      <c r="M34" s="41">
        <v>-1</v>
      </c>
      <c r="N34" s="41">
        <v>4</v>
      </c>
      <c r="O34" s="110" t="s">
        <v>2117</v>
      </c>
      <c r="P34" s="109">
        <v>193277</v>
      </c>
      <c r="Q34" s="107"/>
      <c r="R34" s="111"/>
      <c r="S34" s="110"/>
      <c r="T34"/>
      <c r="U34"/>
      <c r="V34"/>
    </row>
    <row r="35" spans="1:22">
      <c r="A35" s="105">
        <v>1417</v>
      </c>
      <c r="B35" s="41">
        <v>12000000</v>
      </c>
      <c r="C35" s="41">
        <v>2.0999999999999999E-3</v>
      </c>
      <c r="D35" s="41">
        <v>11.313700000000001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v>0</v>
      </c>
      <c r="K35" s="41">
        <v>0</v>
      </c>
      <c r="L35" s="41">
        <v>55</v>
      </c>
      <c r="M35" s="41">
        <v>-1</v>
      </c>
      <c r="N35" s="41">
        <v>4</v>
      </c>
      <c r="O35" s="110" t="s">
        <v>2118</v>
      </c>
      <c r="P35" s="109">
        <v>193277</v>
      </c>
      <c r="Q35" s="107"/>
      <c r="R35" s="111"/>
      <c r="S35" s="110"/>
      <c r="T35"/>
      <c r="U35"/>
      <c r="V35"/>
    </row>
    <row r="36" spans="1:22">
      <c r="A36" s="105">
        <v>1418</v>
      </c>
      <c r="B36" s="41">
        <v>12000000</v>
      </c>
      <c r="C36" s="41">
        <v>2.0999999999999999E-3</v>
      </c>
      <c r="D36" s="41">
        <v>22.627400000000002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v>0</v>
      </c>
      <c r="K36" s="41">
        <v>0</v>
      </c>
      <c r="L36" s="41">
        <v>55</v>
      </c>
      <c r="M36" s="41">
        <v>-1</v>
      </c>
      <c r="N36" s="41">
        <v>4</v>
      </c>
      <c r="O36" s="110" t="s">
        <v>2119</v>
      </c>
      <c r="P36" s="109">
        <v>193277</v>
      </c>
      <c r="Q36" s="107"/>
      <c r="R36" s="111"/>
      <c r="S36" s="110"/>
      <c r="T36"/>
      <c r="U36"/>
      <c r="V36"/>
    </row>
    <row r="37" spans="1:22">
      <c r="A37" s="105">
        <v>1419</v>
      </c>
      <c r="B37" s="41">
        <v>12000000</v>
      </c>
      <c r="C37" s="41">
        <v>2.3E-3</v>
      </c>
      <c r="D37" s="41">
        <v>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v>0</v>
      </c>
      <c r="K37" s="41">
        <v>0</v>
      </c>
      <c r="L37" s="41">
        <v>55</v>
      </c>
      <c r="M37" s="41">
        <v>-1</v>
      </c>
      <c r="N37" s="41">
        <v>4</v>
      </c>
      <c r="O37" s="110" t="s">
        <v>2120</v>
      </c>
      <c r="P37" s="109">
        <v>193277</v>
      </c>
      <c r="Q37" s="107"/>
      <c r="R37" s="111"/>
      <c r="S37" s="110"/>
      <c r="T37"/>
      <c r="U37"/>
      <c r="V37"/>
    </row>
    <row r="38" spans="1:22">
      <c r="A38" s="105">
        <v>1420</v>
      </c>
      <c r="B38" s="41">
        <v>12000000</v>
      </c>
      <c r="C38" s="41">
        <v>2.3E-3</v>
      </c>
      <c r="D38" s="41">
        <v>4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v>0</v>
      </c>
      <c r="K38" s="41">
        <v>0</v>
      </c>
      <c r="L38" s="41">
        <v>55</v>
      </c>
      <c r="M38" s="41">
        <v>-1</v>
      </c>
      <c r="N38" s="41">
        <v>4</v>
      </c>
      <c r="O38" s="110" t="s">
        <v>2121</v>
      </c>
      <c r="P38" s="109">
        <v>193277</v>
      </c>
      <c r="Q38" s="107"/>
      <c r="R38" s="111"/>
      <c r="S38" s="110"/>
      <c r="T38"/>
      <c r="U38"/>
      <c r="V38"/>
    </row>
    <row r="39" spans="1:22">
      <c r="A39" s="105">
        <v>1421</v>
      </c>
      <c r="B39" s="41">
        <v>12000000</v>
      </c>
      <c r="C39" s="41">
        <v>2.3E-3</v>
      </c>
      <c r="D39" s="41">
        <v>8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v>0</v>
      </c>
      <c r="K39" s="41">
        <v>0</v>
      </c>
      <c r="L39" s="41">
        <v>55</v>
      </c>
      <c r="M39" s="41">
        <v>-1</v>
      </c>
      <c r="N39" s="41">
        <v>4</v>
      </c>
      <c r="O39" s="110" t="s">
        <v>2122</v>
      </c>
      <c r="P39" s="109">
        <v>193277</v>
      </c>
      <c r="Q39" s="107"/>
      <c r="R39" s="111"/>
      <c r="S39" s="110"/>
      <c r="T39"/>
      <c r="U39"/>
      <c r="V39"/>
    </row>
    <row r="40" spans="1:22">
      <c r="A40" s="105">
        <v>1422</v>
      </c>
      <c r="B40" s="41">
        <v>12000000</v>
      </c>
      <c r="C40" s="41">
        <v>2.3E-3</v>
      </c>
      <c r="D40" s="41">
        <v>16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v>0</v>
      </c>
      <c r="K40" s="41">
        <v>0</v>
      </c>
      <c r="L40" s="41">
        <v>55</v>
      </c>
      <c r="M40" s="41">
        <v>-1</v>
      </c>
      <c r="N40" s="41">
        <v>4</v>
      </c>
      <c r="O40" s="110" t="s">
        <v>2123</v>
      </c>
      <c r="P40" s="109">
        <v>193277</v>
      </c>
      <c r="Q40" s="107"/>
      <c r="R40" s="111"/>
      <c r="S40" s="110"/>
      <c r="T40"/>
      <c r="U40"/>
      <c r="V40"/>
    </row>
    <row r="41" spans="1:22">
      <c r="A41" s="105">
        <v>1423</v>
      </c>
      <c r="B41" s="41">
        <v>12000000</v>
      </c>
      <c r="C41" s="41">
        <v>2.3E-3</v>
      </c>
      <c r="D41" s="41">
        <v>32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v>0</v>
      </c>
      <c r="K41" s="41">
        <v>0</v>
      </c>
      <c r="L41" s="41">
        <v>55</v>
      </c>
      <c r="M41" s="41">
        <v>-1</v>
      </c>
      <c r="N41" s="41">
        <v>4</v>
      </c>
      <c r="O41" s="110" t="s">
        <v>2124</v>
      </c>
      <c r="P41" s="109">
        <v>193277</v>
      </c>
      <c r="Q41" s="107"/>
      <c r="R41" s="111"/>
      <c r="S41" s="110"/>
      <c r="T41"/>
      <c r="U41"/>
      <c r="V41"/>
    </row>
    <row r="42" spans="1:22">
      <c r="A42" s="105">
        <v>1424</v>
      </c>
      <c r="B42" s="41">
        <v>12000000</v>
      </c>
      <c r="C42" s="41">
        <v>2.5000000000000001E-3</v>
      </c>
      <c r="D42" s="41">
        <v>2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v>0</v>
      </c>
      <c r="K42" s="41">
        <v>0</v>
      </c>
      <c r="L42" s="41">
        <v>55</v>
      </c>
      <c r="M42" s="41">
        <v>-1</v>
      </c>
      <c r="N42" s="41">
        <v>4</v>
      </c>
      <c r="O42" s="110" t="s">
        <v>2125</v>
      </c>
      <c r="P42" s="109">
        <v>193277</v>
      </c>
      <c r="Q42" s="107"/>
      <c r="R42" s="111"/>
      <c r="S42" s="110"/>
      <c r="T42"/>
      <c r="U42"/>
      <c r="V42"/>
    </row>
    <row r="43" spans="1:22">
      <c r="A43" s="105">
        <v>1425</v>
      </c>
      <c r="B43" s="41">
        <v>12000000</v>
      </c>
      <c r="C43" s="41">
        <v>2.5000000000000001E-3</v>
      </c>
      <c r="D43" s="41">
        <v>4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v>0</v>
      </c>
      <c r="K43" s="41">
        <v>0</v>
      </c>
      <c r="L43" s="41">
        <v>55</v>
      </c>
      <c r="M43" s="41">
        <v>-1</v>
      </c>
      <c r="N43" s="41">
        <v>4</v>
      </c>
      <c r="O43" s="110" t="s">
        <v>2126</v>
      </c>
      <c r="P43" s="109">
        <v>193277</v>
      </c>
      <c r="Q43" s="107"/>
      <c r="R43" s="111"/>
      <c r="S43" s="110"/>
      <c r="T43"/>
      <c r="U43"/>
      <c r="V43"/>
    </row>
    <row r="44" spans="1:22">
      <c r="A44" s="105">
        <v>1426</v>
      </c>
      <c r="B44" s="41">
        <v>12000000</v>
      </c>
      <c r="C44" s="41">
        <v>2.5000000000000001E-3</v>
      </c>
      <c r="D44" s="41">
        <v>8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v>0</v>
      </c>
      <c r="K44" s="41">
        <v>0</v>
      </c>
      <c r="L44" s="41">
        <v>55</v>
      </c>
      <c r="M44" s="41">
        <v>-1</v>
      </c>
      <c r="N44" s="41">
        <v>4</v>
      </c>
      <c r="O44" s="110" t="s">
        <v>2127</v>
      </c>
      <c r="P44" s="109">
        <v>193277</v>
      </c>
      <c r="Q44" s="107"/>
      <c r="R44" s="111"/>
      <c r="S44" s="110"/>
      <c r="T44"/>
      <c r="U44"/>
      <c r="V44"/>
    </row>
    <row r="45" spans="1:22">
      <c r="A45" s="105">
        <v>1427</v>
      </c>
      <c r="B45" s="41">
        <v>12000000</v>
      </c>
      <c r="C45" s="41">
        <v>2.5000000000000001E-3</v>
      </c>
      <c r="D45" s="41">
        <v>16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v>0</v>
      </c>
      <c r="K45" s="41">
        <v>0</v>
      </c>
      <c r="L45" s="41">
        <v>55</v>
      </c>
      <c r="M45" s="41">
        <v>-1</v>
      </c>
      <c r="N45" s="41">
        <v>4</v>
      </c>
      <c r="O45" s="110" t="s">
        <v>2128</v>
      </c>
      <c r="P45" s="109">
        <v>193277</v>
      </c>
      <c r="Q45" s="107"/>
      <c r="R45" s="111"/>
      <c r="S45" s="110"/>
      <c r="T45"/>
      <c r="U45"/>
      <c r="V45"/>
    </row>
    <row r="46" spans="1:22">
      <c r="A46" s="105">
        <v>1428</v>
      </c>
      <c r="B46" s="41">
        <v>12000000</v>
      </c>
      <c r="C46" s="41">
        <v>2.5000000000000001E-3</v>
      </c>
      <c r="D46" s="41">
        <v>32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v>0</v>
      </c>
      <c r="K46" s="41">
        <v>0</v>
      </c>
      <c r="L46" s="41">
        <v>55</v>
      </c>
      <c r="M46" s="41">
        <v>-1</v>
      </c>
      <c r="N46" s="41">
        <v>4</v>
      </c>
      <c r="O46" s="110" t="s">
        <v>2129</v>
      </c>
      <c r="P46" s="109">
        <v>193277</v>
      </c>
      <c r="Q46" s="107"/>
      <c r="R46" s="111"/>
      <c r="S46" s="110"/>
      <c r="T46"/>
      <c r="U46"/>
      <c r="V46"/>
    </row>
    <row r="47" spans="1:22">
      <c r="A47" s="105">
        <v>1429</v>
      </c>
      <c r="B47" s="41">
        <v>12000000</v>
      </c>
      <c r="C47" s="41">
        <v>2.7000000000000001E-3</v>
      </c>
      <c r="D47" s="41">
        <v>2.8283999999999998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v>0</v>
      </c>
      <c r="K47" s="41">
        <v>0</v>
      </c>
      <c r="L47" s="41">
        <v>55</v>
      </c>
      <c r="M47" s="41">
        <v>-1</v>
      </c>
      <c r="N47" s="41">
        <v>4</v>
      </c>
      <c r="O47" s="110" t="s">
        <v>2130</v>
      </c>
      <c r="P47" s="109">
        <v>193277</v>
      </c>
      <c r="Q47" s="107"/>
      <c r="R47" s="111"/>
      <c r="S47" s="110"/>
      <c r="T47"/>
      <c r="U47"/>
      <c r="V47"/>
    </row>
    <row r="48" spans="1:22">
      <c r="A48" s="105">
        <v>1430</v>
      </c>
      <c r="B48" s="41">
        <v>12000000</v>
      </c>
      <c r="C48" s="41">
        <v>2.7000000000000001E-3</v>
      </c>
      <c r="D48" s="41">
        <v>5.6569000000000003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v>0</v>
      </c>
      <c r="K48" s="41">
        <v>0</v>
      </c>
      <c r="L48" s="41">
        <v>55</v>
      </c>
      <c r="M48" s="41">
        <v>-1</v>
      </c>
      <c r="N48" s="41">
        <v>4</v>
      </c>
      <c r="O48" s="110" t="s">
        <v>2131</v>
      </c>
      <c r="P48" s="109">
        <v>193277</v>
      </c>
      <c r="Q48" s="107"/>
      <c r="R48" s="111"/>
      <c r="S48" s="110"/>
      <c r="T48"/>
      <c r="U48"/>
      <c r="V48"/>
    </row>
    <row r="49" spans="1:22">
      <c r="A49" s="105">
        <v>1431</v>
      </c>
      <c r="B49" s="41">
        <v>12000000</v>
      </c>
      <c r="C49" s="41">
        <v>2.7000000000000001E-3</v>
      </c>
      <c r="D49" s="41">
        <v>11.313700000000001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v>0</v>
      </c>
      <c r="K49" s="41">
        <v>0</v>
      </c>
      <c r="L49" s="41">
        <v>55</v>
      </c>
      <c r="M49" s="41">
        <v>-1</v>
      </c>
      <c r="N49" s="41">
        <v>4</v>
      </c>
      <c r="O49" s="110" t="s">
        <v>2132</v>
      </c>
      <c r="P49" s="109">
        <v>193277</v>
      </c>
      <c r="Q49" s="107"/>
      <c r="R49" s="111"/>
      <c r="S49" s="110"/>
      <c r="T49"/>
      <c r="U49"/>
      <c r="V49"/>
    </row>
    <row r="50" spans="1:22">
      <c r="A50" s="105">
        <v>1432</v>
      </c>
      <c r="B50" s="41">
        <v>12000000</v>
      </c>
      <c r="C50" s="41">
        <v>2.7000000000000001E-3</v>
      </c>
      <c r="D50" s="41">
        <v>22.627400000000002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v>0</v>
      </c>
      <c r="K50" s="41">
        <v>0</v>
      </c>
      <c r="L50" s="41">
        <v>55</v>
      </c>
      <c r="M50" s="41">
        <v>-1</v>
      </c>
      <c r="N50" s="41">
        <v>4</v>
      </c>
      <c r="O50" s="110" t="s">
        <v>2133</v>
      </c>
      <c r="P50" s="109">
        <v>193277</v>
      </c>
      <c r="Q50" s="107"/>
      <c r="R50" s="111"/>
      <c r="S50" s="110"/>
      <c r="T50"/>
      <c r="U50"/>
      <c r="V50"/>
    </row>
    <row r="51" spans="1:22">
      <c r="A51" s="105">
        <v>1433</v>
      </c>
      <c r="B51" s="41">
        <v>12000000</v>
      </c>
      <c r="C51" s="41">
        <v>2.7000000000000001E-3</v>
      </c>
      <c r="D51" s="41">
        <v>45.254800000000003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v>0</v>
      </c>
      <c r="K51" s="41">
        <v>0</v>
      </c>
      <c r="L51" s="41">
        <v>55</v>
      </c>
      <c r="M51" s="41">
        <v>-1</v>
      </c>
      <c r="N51" s="41">
        <v>4</v>
      </c>
      <c r="O51" s="110" t="s">
        <v>2134</v>
      </c>
      <c r="P51" s="109">
        <v>193277</v>
      </c>
      <c r="Q51" s="107"/>
      <c r="R51" s="111"/>
      <c r="S51" s="110"/>
      <c r="T51"/>
      <c r="U51"/>
      <c r="V51"/>
    </row>
    <row r="52" spans="1:22">
      <c r="A52" s="105">
        <v>1434</v>
      </c>
      <c r="B52" s="41">
        <v>12000000</v>
      </c>
      <c r="C52" s="41">
        <v>2.8999999999999998E-3</v>
      </c>
      <c r="D52" s="41">
        <v>4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v>0</v>
      </c>
      <c r="K52" s="41">
        <v>0</v>
      </c>
      <c r="L52" s="41">
        <v>55</v>
      </c>
      <c r="M52" s="41">
        <v>-1</v>
      </c>
      <c r="N52" s="41">
        <v>4</v>
      </c>
      <c r="O52" s="110" t="s">
        <v>2135</v>
      </c>
      <c r="P52" s="109">
        <v>193277</v>
      </c>
      <c r="Q52" s="107"/>
      <c r="R52" s="111"/>
      <c r="S52" s="110"/>
      <c r="T52"/>
      <c r="U52"/>
      <c r="V52"/>
    </row>
    <row r="53" spans="1:22">
      <c r="A53" s="105">
        <v>1435</v>
      </c>
      <c r="B53" s="41">
        <v>12000000</v>
      </c>
      <c r="C53" s="41">
        <v>2.8999999999999998E-3</v>
      </c>
      <c r="D53" s="41">
        <v>8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v>0</v>
      </c>
      <c r="K53" s="41">
        <v>0</v>
      </c>
      <c r="L53" s="41">
        <v>55</v>
      </c>
      <c r="M53" s="41">
        <v>-1</v>
      </c>
      <c r="N53" s="41">
        <v>4</v>
      </c>
      <c r="O53" s="110" t="s">
        <v>2136</v>
      </c>
      <c r="P53" s="109">
        <v>193277</v>
      </c>
      <c r="Q53" s="107"/>
      <c r="R53" s="111"/>
      <c r="S53" s="110"/>
      <c r="T53"/>
      <c r="U53"/>
      <c r="V53"/>
    </row>
    <row r="54" spans="1:22">
      <c r="A54" s="105">
        <v>1436</v>
      </c>
      <c r="B54" s="41">
        <v>12000000</v>
      </c>
      <c r="C54" s="41">
        <v>2.8999999999999998E-3</v>
      </c>
      <c r="D54" s="41">
        <v>16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v>0</v>
      </c>
      <c r="K54" s="41">
        <v>0</v>
      </c>
      <c r="L54" s="41">
        <v>55</v>
      </c>
      <c r="M54" s="41">
        <v>-1</v>
      </c>
      <c r="N54" s="41">
        <v>4</v>
      </c>
      <c r="O54" s="110" t="s">
        <v>2137</v>
      </c>
      <c r="P54" s="109">
        <v>193277</v>
      </c>
      <c r="Q54" s="107"/>
      <c r="R54" s="111"/>
      <c r="S54" s="110"/>
      <c r="T54"/>
      <c r="U54"/>
      <c r="V54"/>
    </row>
    <row r="55" spans="1:22">
      <c r="A55" s="105">
        <v>1437</v>
      </c>
      <c r="B55" s="41">
        <v>12000000</v>
      </c>
      <c r="C55" s="41">
        <v>2.8999999999999998E-3</v>
      </c>
      <c r="D55" s="41">
        <v>32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v>0</v>
      </c>
      <c r="K55" s="41">
        <v>0</v>
      </c>
      <c r="L55" s="41">
        <v>55</v>
      </c>
      <c r="M55" s="41">
        <v>-1</v>
      </c>
      <c r="N55" s="41">
        <v>4</v>
      </c>
      <c r="O55" s="110" t="s">
        <v>2138</v>
      </c>
      <c r="P55" s="109">
        <v>193277</v>
      </c>
      <c r="Q55" s="107"/>
      <c r="R55" s="111"/>
      <c r="S55" s="110"/>
      <c r="T55"/>
      <c r="U55"/>
      <c r="V55"/>
    </row>
    <row r="56" spans="1:22">
      <c r="A56" s="105">
        <v>1438</v>
      </c>
      <c r="B56" s="41">
        <v>12000000</v>
      </c>
      <c r="C56" s="41">
        <v>3.2000000000000002E-3</v>
      </c>
      <c r="D56" s="41">
        <v>4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v>0</v>
      </c>
      <c r="K56" s="41">
        <v>0</v>
      </c>
      <c r="L56" s="41">
        <v>55</v>
      </c>
      <c r="M56" s="41">
        <v>-1</v>
      </c>
      <c r="N56" s="41">
        <v>4</v>
      </c>
      <c r="O56" s="110" t="s">
        <v>2139</v>
      </c>
      <c r="P56" s="109">
        <v>193277</v>
      </c>
      <c r="Q56" s="107"/>
      <c r="R56" s="111"/>
      <c r="S56" s="110"/>
      <c r="T56"/>
      <c r="U56"/>
      <c r="V56"/>
    </row>
    <row r="57" spans="1:22">
      <c r="A57" s="105">
        <v>1439</v>
      </c>
      <c r="B57" s="41">
        <v>12000000</v>
      </c>
      <c r="C57" s="41">
        <v>3.2000000000000002E-3</v>
      </c>
      <c r="D57" s="41">
        <v>8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v>0</v>
      </c>
      <c r="K57" s="41">
        <v>0</v>
      </c>
      <c r="L57" s="41">
        <v>55</v>
      </c>
      <c r="M57" s="41">
        <v>-1</v>
      </c>
      <c r="N57" s="41">
        <v>4</v>
      </c>
      <c r="O57" s="110" t="s">
        <v>2140</v>
      </c>
      <c r="P57" s="109">
        <v>193277</v>
      </c>
      <c r="Q57" s="107"/>
      <c r="R57" s="111"/>
      <c r="S57" s="110"/>
      <c r="T57"/>
      <c r="U57"/>
      <c r="V57"/>
    </row>
    <row r="58" spans="1:22">
      <c r="A58" s="105">
        <v>1440</v>
      </c>
      <c r="B58" s="41">
        <v>12000000</v>
      </c>
      <c r="C58" s="41">
        <v>3.2000000000000002E-3</v>
      </c>
      <c r="D58" s="41">
        <v>16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v>0</v>
      </c>
      <c r="K58" s="41">
        <v>0</v>
      </c>
      <c r="L58" s="41">
        <v>55</v>
      </c>
      <c r="M58" s="41">
        <v>-1</v>
      </c>
      <c r="N58" s="41">
        <v>4</v>
      </c>
      <c r="O58" s="110" t="s">
        <v>2141</v>
      </c>
      <c r="P58" s="109">
        <v>193277</v>
      </c>
      <c r="Q58" s="107"/>
      <c r="R58" s="111"/>
      <c r="S58" s="110"/>
      <c r="T58"/>
      <c r="U58"/>
      <c r="V58"/>
    </row>
    <row r="59" spans="1:22">
      <c r="A59" s="105">
        <v>1441</v>
      </c>
      <c r="B59" s="41">
        <v>12000000</v>
      </c>
      <c r="C59" s="41">
        <v>3.2000000000000002E-3</v>
      </c>
      <c r="D59" s="41">
        <v>32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v>0</v>
      </c>
      <c r="K59" s="41">
        <v>0</v>
      </c>
      <c r="L59" s="41">
        <v>55</v>
      </c>
      <c r="M59" s="41">
        <v>-1</v>
      </c>
      <c r="N59" s="41">
        <v>4</v>
      </c>
      <c r="O59" s="110" t="s">
        <v>2142</v>
      </c>
      <c r="P59" s="109">
        <v>193277</v>
      </c>
      <c r="Q59" s="107"/>
      <c r="R59" s="111"/>
      <c r="S59" s="110"/>
      <c r="T59"/>
      <c r="U59"/>
      <c r="V59"/>
    </row>
    <row r="60" spans="1:22">
      <c r="A60" s="105">
        <v>1442</v>
      </c>
      <c r="B60" s="41">
        <v>12000000</v>
      </c>
      <c r="C60" s="41">
        <v>3.5000000000000001E-3</v>
      </c>
      <c r="D60" s="41">
        <v>4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v>0</v>
      </c>
      <c r="K60" s="41">
        <v>0</v>
      </c>
      <c r="L60" s="41">
        <v>55</v>
      </c>
      <c r="M60" s="41">
        <v>-1</v>
      </c>
      <c r="N60" s="41">
        <v>4</v>
      </c>
      <c r="O60" s="110" t="s">
        <v>2143</v>
      </c>
      <c r="P60" s="109">
        <v>193277</v>
      </c>
      <c r="Q60" s="107"/>
      <c r="R60" s="111"/>
      <c r="S60" s="110"/>
      <c r="T60"/>
      <c r="U60"/>
      <c r="V60"/>
    </row>
    <row r="61" spans="1:22">
      <c r="A61" s="105">
        <v>1443</v>
      </c>
      <c r="B61" s="41">
        <v>12000000</v>
      </c>
      <c r="C61" s="41">
        <v>3.5000000000000001E-3</v>
      </c>
      <c r="D61" s="41">
        <v>8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v>0</v>
      </c>
      <c r="K61" s="41">
        <v>0</v>
      </c>
      <c r="L61" s="41">
        <v>55</v>
      </c>
      <c r="M61" s="41">
        <v>-1</v>
      </c>
      <c r="N61" s="41">
        <v>4</v>
      </c>
      <c r="O61" s="110" t="s">
        <v>2144</v>
      </c>
      <c r="P61" s="109">
        <v>193277</v>
      </c>
      <c r="Q61" s="107"/>
      <c r="R61" s="111"/>
      <c r="S61" s="110"/>
      <c r="T61"/>
      <c r="U61"/>
      <c r="V61"/>
    </row>
    <row r="62" spans="1:22">
      <c r="A62" s="105">
        <v>1444</v>
      </c>
      <c r="B62" s="41">
        <v>12000000</v>
      </c>
      <c r="C62" s="41">
        <v>3.5000000000000001E-3</v>
      </c>
      <c r="D62" s="41">
        <v>16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v>0</v>
      </c>
      <c r="K62" s="41">
        <v>0</v>
      </c>
      <c r="L62" s="41">
        <v>55</v>
      </c>
      <c r="M62" s="41">
        <v>-1</v>
      </c>
      <c r="N62" s="41">
        <v>4</v>
      </c>
      <c r="O62" s="110" t="s">
        <v>2145</v>
      </c>
      <c r="P62" s="109">
        <v>193278</v>
      </c>
      <c r="Q62" s="107"/>
      <c r="R62" s="111"/>
      <c r="S62" s="110" t="s">
        <v>2175</v>
      </c>
      <c r="T62"/>
      <c r="U62"/>
      <c r="V62"/>
    </row>
    <row r="63" spans="1:22">
      <c r="A63" s="105">
        <v>1445</v>
      </c>
      <c r="B63" s="41">
        <v>12000000</v>
      </c>
      <c r="C63" s="41">
        <v>3.5000000000000001E-3</v>
      </c>
      <c r="D63" s="41">
        <v>32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v>0</v>
      </c>
      <c r="K63" s="41">
        <v>0</v>
      </c>
      <c r="L63" s="41">
        <v>55</v>
      </c>
      <c r="M63" s="41">
        <v>-1</v>
      </c>
      <c r="N63" s="41">
        <v>4</v>
      </c>
      <c r="O63" s="110" t="s">
        <v>2146</v>
      </c>
      <c r="P63" s="109">
        <v>193278</v>
      </c>
      <c r="Q63" s="107"/>
      <c r="R63" s="111"/>
      <c r="S63" s="110"/>
      <c r="T63"/>
      <c r="U63"/>
      <c r="V63"/>
    </row>
    <row r="64" spans="1:22">
      <c r="A64" s="105">
        <v>1446</v>
      </c>
      <c r="B64" s="41">
        <v>12000000</v>
      </c>
      <c r="C64" s="41">
        <v>3.8E-3</v>
      </c>
      <c r="D64" s="41">
        <v>5.6569000000000003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v>0</v>
      </c>
      <c r="K64" s="41">
        <v>0</v>
      </c>
      <c r="L64" s="41">
        <v>55</v>
      </c>
      <c r="M64" s="41">
        <v>-1</v>
      </c>
      <c r="N64" s="41">
        <v>4</v>
      </c>
      <c r="O64" s="110" t="s">
        <v>2147</v>
      </c>
      <c r="P64" s="109">
        <v>193278</v>
      </c>
      <c r="Q64" s="107"/>
      <c r="R64" s="111"/>
      <c r="S64" s="110"/>
      <c r="T64"/>
      <c r="U64"/>
      <c r="V64"/>
    </row>
    <row r="65" spans="1:22">
      <c r="A65" s="105">
        <v>1447</v>
      </c>
      <c r="B65" s="41">
        <v>12000000</v>
      </c>
      <c r="C65" s="41">
        <v>3.8E-3</v>
      </c>
      <c r="D65" s="41">
        <v>11.313700000000001</v>
      </c>
      <c r="E65" s="41">
        <v>30</v>
      </c>
      <c r="F65" s="41">
        <v>0</v>
      </c>
      <c r="G65" s="41" t="s">
        <v>103</v>
      </c>
      <c r="H65" s="41">
        <v>1</v>
      </c>
      <c r="I65" s="41">
        <v>1</v>
      </c>
      <c r="J65" s="108">
        <v>0</v>
      </c>
      <c r="K65" s="41">
        <v>0</v>
      </c>
      <c r="L65" s="41">
        <v>55</v>
      </c>
      <c r="M65" s="41">
        <v>-1</v>
      </c>
      <c r="N65" s="41">
        <v>4</v>
      </c>
      <c r="O65" s="110" t="s">
        <v>2148</v>
      </c>
      <c r="P65" s="109">
        <v>193278</v>
      </c>
      <c r="Q65" s="107"/>
      <c r="R65" s="111"/>
      <c r="S65" s="110"/>
      <c r="T65"/>
      <c r="U65"/>
      <c r="V65"/>
    </row>
    <row r="66" spans="1:22">
      <c r="A66" s="105">
        <v>1448</v>
      </c>
      <c r="B66" s="41">
        <v>12000000</v>
      </c>
      <c r="C66" s="41">
        <v>3.8E-3</v>
      </c>
      <c r="D66" s="41">
        <v>22.627400000000002</v>
      </c>
      <c r="E66" s="41">
        <v>30</v>
      </c>
      <c r="F66" s="41">
        <v>0</v>
      </c>
      <c r="G66" s="41" t="s">
        <v>103</v>
      </c>
      <c r="H66" s="41">
        <v>1</v>
      </c>
      <c r="I66" s="41">
        <v>1</v>
      </c>
      <c r="J66" s="108">
        <v>0</v>
      </c>
      <c r="K66" s="41">
        <v>0</v>
      </c>
      <c r="L66" s="41">
        <v>55</v>
      </c>
      <c r="M66" s="41">
        <v>-1</v>
      </c>
      <c r="N66" s="41">
        <v>4</v>
      </c>
      <c r="O66" s="110" t="s">
        <v>2149</v>
      </c>
      <c r="P66" s="109">
        <v>193278</v>
      </c>
      <c r="Q66" s="107"/>
      <c r="R66" s="111"/>
      <c r="S66" s="110"/>
      <c r="T66"/>
      <c r="U66"/>
      <c r="V66"/>
    </row>
    <row r="67" spans="1:22">
      <c r="A67" s="105">
        <v>1449</v>
      </c>
      <c r="B67" s="41">
        <v>12000000</v>
      </c>
      <c r="C67" s="41">
        <v>3.8E-3</v>
      </c>
      <c r="D67" s="41">
        <v>45.254800000000003</v>
      </c>
      <c r="E67" s="41">
        <v>30</v>
      </c>
      <c r="F67" s="41">
        <v>0</v>
      </c>
      <c r="G67" s="41" t="s">
        <v>103</v>
      </c>
      <c r="H67" s="41">
        <v>1</v>
      </c>
      <c r="I67" s="41">
        <v>1</v>
      </c>
      <c r="J67" s="108">
        <v>0</v>
      </c>
      <c r="K67" s="41">
        <v>0</v>
      </c>
      <c r="L67" s="41">
        <v>55</v>
      </c>
      <c r="M67" s="41">
        <v>-1</v>
      </c>
      <c r="N67" s="41">
        <v>4</v>
      </c>
      <c r="O67" s="110" t="s">
        <v>2150</v>
      </c>
      <c r="P67" s="109">
        <v>193278</v>
      </c>
      <c r="Q67" s="107"/>
      <c r="R67" s="111"/>
      <c r="S67" s="110"/>
      <c r="T67"/>
      <c r="U67"/>
      <c r="V67"/>
    </row>
    <row r="68" spans="1:22">
      <c r="A68" s="105">
        <v>1450</v>
      </c>
      <c r="B68" s="41">
        <v>12000000</v>
      </c>
      <c r="C68" s="41">
        <v>4.1999999999999997E-3</v>
      </c>
      <c r="D68" s="41">
        <v>8</v>
      </c>
      <c r="E68" s="41">
        <v>30</v>
      </c>
      <c r="F68" s="41">
        <v>0</v>
      </c>
      <c r="G68" s="41" t="s">
        <v>103</v>
      </c>
      <c r="H68" s="41">
        <v>1</v>
      </c>
      <c r="I68" s="41">
        <v>1</v>
      </c>
      <c r="J68" s="108">
        <v>0</v>
      </c>
      <c r="K68" s="41">
        <v>0</v>
      </c>
      <c r="L68" s="41">
        <v>55</v>
      </c>
      <c r="M68" s="41">
        <v>-1</v>
      </c>
      <c r="N68" s="41">
        <v>4</v>
      </c>
      <c r="O68" s="110" t="s">
        <v>2151</v>
      </c>
      <c r="P68" s="109">
        <v>193278</v>
      </c>
      <c r="Q68" s="107"/>
      <c r="R68" s="111"/>
      <c r="S68" s="110"/>
      <c r="T68"/>
      <c r="U68"/>
      <c r="V68"/>
    </row>
    <row r="69" spans="1:22">
      <c r="A69" s="105">
        <v>1451</v>
      </c>
      <c r="B69" s="41">
        <v>12000000</v>
      </c>
      <c r="C69" s="41">
        <v>4.1999999999999997E-3</v>
      </c>
      <c r="D69" s="41">
        <v>16</v>
      </c>
      <c r="E69" s="41">
        <v>30</v>
      </c>
      <c r="F69" s="41">
        <v>0</v>
      </c>
      <c r="G69" s="41" t="s">
        <v>103</v>
      </c>
      <c r="H69" s="41">
        <v>1</v>
      </c>
      <c r="I69" s="41">
        <v>1</v>
      </c>
      <c r="J69" s="108">
        <v>0</v>
      </c>
      <c r="K69" s="41">
        <v>0</v>
      </c>
      <c r="L69" s="41">
        <v>55</v>
      </c>
      <c r="M69" s="41">
        <v>-1</v>
      </c>
      <c r="N69" s="41">
        <v>4</v>
      </c>
      <c r="O69" s="110" t="s">
        <v>2152</v>
      </c>
      <c r="P69" s="109">
        <v>193278</v>
      </c>
      <c r="Q69" s="107"/>
      <c r="R69" s="111"/>
      <c r="S69" s="110"/>
      <c r="T69"/>
      <c r="U69"/>
      <c r="V69"/>
    </row>
    <row r="70" spans="1:22">
      <c r="A70" s="105">
        <v>1452</v>
      </c>
      <c r="B70" s="41">
        <v>12000000</v>
      </c>
      <c r="C70" s="41">
        <v>4.1999999999999997E-3</v>
      </c>
      <c r="D70" s="41">
        <v>32</v>
      </c>
      <c r="E70" s="41">
        <v>30</v>
      </c>
      <c r="F70" s="41">
        <v>0</v>
      </c>
      <c r="G70" s="41" t="s">
        <v>103</v>
      </c>
      <c r="H70" s="41">
        <v>1</v>
      </c>
      <c r="I70" s="41">
        <v>1</v>
      </c>
      <c r="J70" s="108">
        <v>0</v>
      </c>
      <c r="K70" s="41">
        <v>0</v>
      </c>
      <c r="L70" s="41">
        <v>55</v>
      </c>
      <c r="M70" s="41">
        <v>-1</v>
      </c>
      <c r="N70" s="41">
        <v>4</v>
      </c>
      <c r="O70" s="110" t="s">
        <v>2153</v>
      </c>
      <c r="P70" s="109">
        <v>193278</v>
      </c>
      <c r="Q70" s="107"/>
      <c r="R70" s="111"/>
      <c r="S70" s="110"/>
      <c r="T70"/>
      <c r="U70"/>
      <c r="V70"/>
    </row>
    <row r="71" spans="1:22">
      <c r="A71" s="105">
        <v>1453</v>
      </c>
      <c r="B71" s="41">
        <v>12000000</v>
      </c>
      <c r="C71" s="41">
        <v>4.4999999999999997E-3</v>
      </c>
      <c r="D71" s="41">
        <v>8</v>
      </c>
      <c r="E71" s="41">
        <v>30</v>
      </c>
      <c r="F71" s="41">
        <v>0</v>
      </c>
      <c r="G71" s="41" t="s">
        <v>103</v>
      </c>
      <c r="H71" s="41">
        <v>1</v>
      </c>
      <c r="I71" s="41">
        <v>1</v>
      </c>
      <c r="J71" s="108">
        <v>0</v>
      </c>
      <c r="K71" s="41">
        <v>0</v>
      </c>
      <c r="L71" s="41">
        <v>55</v>
      </c>
      <c r="M71" s="41">
        <v>-1</v>
      </c>
      <c r="N71" s="41">
        <v>4</v>
      </c>
      <c r="O71" s="110" t="s">
        <v>2154</v>
      </c>
      <c r="P71" s="109">
        <v>193278</v>
      </c>
      <c r="Q71" s="107"/>
      <c r="R71" s="111"/>
      <c r="S71" s="110"/>
      <c r="T71"/>
      <c r="U71"/>
      <c r="V71"/>
    </row>
    <row r="72" spans="1:22">
      <c r="A72" s="105">
        <v>1454</v>
      </c>
      <c r="B72" s="41">
        <v>12000000</v>
      </c>
      <c r="C72" s="41">
        <v>4.4999999999999997E-3</v>
      </c>
      <c r="D72" s="41">
        <v>16</v>
      </c>
      <c r="E72" s="41">
        <v>30</v>
      </c>
      <c r="F72" s="41">
        <v>0</v>
      </c>
      <c r="G72" s="41" t="s">
        <v>103</v>
      </c>
      <c r="H72" s="41">
        <v>1</v>
      </c>
      <c r="I72" s="41">
        <v>1</v>
      </c>
      <c r="J72" s="108">
        <v>0</v>
      </c>
      <c r="K72" s="41">
        <v>0</v>
      </c>
      <c r="L72" s="41">
        <v>55</v>
      </c>
      <c r="M72" s="41">
        <v>-1</v>
      </c>
      <c r="N72" s="41">
        <v>4</v>
      </c>
      <c r="O72" s="110" t="s">
        <v>2155</v>
      </c>
      <c r="P72" s="109">
        <v>193278</v>
      </c>
      <c r="Q72" s="107"/>
      <c r="R72" s="111"/>
      <c r="S72" s="110"/>
      <c r="T72"/>
      <c r="U72"/>
      <c r="V72"/>
    </row>
    <row r="73" spans="1:22">
      <c r="A73" s="105">
        <v>1455</v>
      </c>
      <c r="B73" s="41">
        <v>12000000</v>
      </c>
      <c r="C73" s="41">
        <v>4.4999999999999997E-3</v>
      </c>
      <c r="D73" s="41">
        <v>32</v>
      </c>
      <c r="E73" s="41">
        <v>30</v>
      </c>
      <c r="F73" s="41">
        <v>0</v>
      </c>
      <c r="G73" s="41" t="s">
        <v>103</v>
      </c>
      <c r="H73" s="41">
        <v>1</v>
      </c>
      <c r="I73" s="41">
        <v>1</v>
      </c>
      <c r="J73" s="108">
        <v>0</v>
      </c>
      <c r="K73" s="41">
        <v>0</v>
      </c>
      <c r="L73" s="41">
        <v>55</v>
      </c>
      <c r="M73" s="41">
        <v>-1</v>
      </c>
      <c r="N73" s="41">
        <v>4</v>
      </c>
      <c r="O73" s="110" t="s">
        <v>2156</v>
      </c>
      <c r="P73" s="109">
        <v>193278</v>
      </c>
      <c r="Q73" s="107"/>
      <c r="R73" s="111"/>
      <c r="S73" s="110"/>
      <c r="T73"/>
      <c r="U73"/>
      <c r="V73"/>
    </row>
    <row r="74" spans="1:22">
      <c r="A74" s="105">
        <v>1456</v>
      </c>
      <c r="B74" s="41">
        <v>12000000</v>
      </c>
      <c r="C74" s="41">
        <v>4.8999999999999998E-3</v>
      </c>
      <c r="D74" s="41">
        <v>8</v>
      </c>
      <c r="E74" s="41">
        <v>30</v>
      </c>
      <c r="F74" s="41">
        <v>0</v>
      </c>
      <c r="G74" s="41" t="s">
        <v>103</v>
      </c>
      <c r="H74" s="41">
        <v>1</v>
      </c>
      <c r="I74" s="41">
        <v>1</v>
      </c>
      <c r="J74" s="108">
        <v>0</v>
      </c>
      <c r="K74" s="41">
        <v>0</v>
      </c>
      <c r="L74" s="41">
        <v>55</v>
      </c>
      <c r="M74" s="41">
        <v>-1</v>
      </c>
      <c r="N74" s="41">
        <v>4</v>
      </c>
      <c r="O74" s="110" t="s">
        <v>2157</v>
      </c>
      <c r="P74" s="109">
        <v>193278</v>
      </c>
      <c r="Q74" s="107"/>
      <c r="R74" s="111"/>
      <c r="S74" s="110"/>
      <c r="T74"/>
      <c r="U74"/>
      <c r="V74"/>
    </row>
    <row r="75" spans="1:22">
      <c r="A75" s="105">
        <v>1457</v>
      </c>
      <c r="B75" s="41">
        <v>12000000</v>
      </c>
      <c r="C75" s="41">
        <v>4.8999999999999998E-3</v>
      </c>
      <c r="D75" s="41">
        <v>16</v>
      </c>
      <c r="E75" s="41">
        <v>30</v>
      </c>
      <c r="F75" s="41">
        <v>0</v>
      </c>
      <c r="G75" s="41" t="s">
        <v>103</v>
      </c>
      <c r="H75" s="41">
        <v>1</v>
      </c>
      <c r="I75" s="41">
        <v>1</v>
      </c>
      <c r="J75" s="108">
        <v>0</v>
      </c>
      <c r="K75" s="41">
        <v>0</v>
      </c>
      <c r="L75" s="41">
        <v>55</v>
      </c>
      <c r="M75" s="41">
        <v>-1</v>
      </c>
      <c r="N75" s="41">
        <v>4</v>
      </c>
      <c r="O75" s="110" t="s">
        <v>2158</v>
      </c>
      <c r="P75" s="109">
        <v>193278</v>
      </c>
      <c r="Q75" s="107"/>
      <c r="R75" s="111"/>
      <c r="S75" s="110"/>
      <c r="T75"/>
      <c r="U75"/>
      <c r="V75"/>
    </row>
    <row r="76" spans="1:22">
      <c r="A76" s="105">
        <v>1458</v>
      </c>
      <c r="B76" s="41">
        <v>12000000</v>
      </c>
      <c r="C76" s="41">
        <v>4.8999999999999998E-3</v>
      </c>
      <c r="D76" s="41">
        <v>32</v>
      </c>
      <c r="E76" s="41">
        <v>30</v>
      </c>
      <c r="F76" s="41">
        <v>0</v>
      </c>
      <c r="G76" s="41" t="s">
        <v>103</v>
      </c>
      <c r="H76" s="41">
        <v>1</v>
      </c>
      <c r="I76" s="41">
        <v>1</v>
      </c>
      <c r="J76" s="108">
        <v>0</v>
      </c>
      <c r="K76" s="41">
        <v>0</v>
      </c>
      <c r="L76" s="41">
        <v>55</v>
      </c>
      <c r="M76" s="41">
        <v>-1</v>
      </c>
      <c r="N76" s="41">
        <v>4</v>
      </c>
      <c r="O76" s="110" t="s">
        <v>2159</v>
      </c>
      <c r="P76" s="109">
        <v>193278</v>
      </c>
      <c r="Q76" s="107"/>
      <c r="R76" s="111"/>
      <c r="S76" s="110"/>
      <c r="T76"/>
      <c r="U76"/>
      <c r="V76"/>
    </row>
    <row r="77" spans="1:22">
      <c r="A77" s="105">
        <v>1459</v>
      </c>
      <c r="B77" s="41">
        <v>12000000</v>
      </c>
      <c r="C77" s="41">
        <v>5.4000000000000003E-3</v>
      </c>
      <c r="D77" s="41">
        <v>11.313700000000001</v>
      </c>
      <c r="E77" s="41">
        <v>30</v>
      </c>
      <c r="F77" s="41">
        <v>0</v>
      </c>
      <c r="G77" s="41" t="s">
        <v>103</v>
      </c>
      <c r="H77" s="41">
        <v>1</v>
      </c>
      <c r="I77" s="41">
        <v>1</v>
      </c>
      <c r="J77" s="108">
        <v>0</v>
      </c>
      <c r="K77" s="41">
        <v>0</v>
      </c>
      <c r="L77" s="41">
        <v>55</v>
      </c>
      <c r="M77" s="41">
        <v>-1</v>
      </c>
      <c r="N77" s="41">
        <v>4</v>
      </c>
      <c r="O77" s="110" t="s">
        <v>2160</v>
      </c>
      <c r="P77" s="109">
        <v>193278</v>
      </c>
      <c r="Q77" s="107"/>
      <c r="R77" s="111"/>
      <c r="S77" s="110"/>
      <c r="T77"/>
      <c r="U77"/>
      <c r="V77"/>
    </row>
    <row r="78" spans="1:22">
      <c r="A78" s="105">
        <v>1460</v>
      </c>
      <c r="B78" s="41">
        <v>12000000</v>
      </c>
      <c r="C78" s="41">
        <v>5.4000000000000003E-3</v>
      </c>
      <c r="D78" s="41">
        <v>22.627400000000002</v>
      </c>
      <c r="E78" s="41">
        <v>30</v>
      </c>
      <c r="F78" s="41">
        <v>0</v>
      </c>
      <c r="G78" s="41" t="s">
        <v>103</v>
      </c>
      <c r="H78" s="41">
        <v>1</v>
      </c>
      <c r="I78" s="41">
        <v>1</v>
      </c>
      <c r="J78" s="108">
        <v>0</v>
      </c>
      <c r="K78" s="41">
        <v>0</v>
      </c>
      <c r="L78" s="41">
        <v>55</v>
      </c>
      <c r="M78" s="41">
        <v>-1</v>
      </c>
      <c r="N78" s="41">
        <v>4</v>
      </c>
      <c r="O78" s="110" t="s">
        <v>2161</v>
      </c>
      <c r="P78" s="109">
        <v>193278</v>
      </c>
      <c r="Q78" s="107"/>
      <c r="R78" s="111"/>
      <c r="S78" s="110"/>
      <c r="T78"/>
      <c r="U78"/>
      <c r="V78"/>
    </row>
    <row r="79" spans="1:22">
      <c r="A79" s="105">
        <v>1461</v>
      </c>
      <c r="B79" s="41">
        <v>12000000</v>
      </c>
      <c r="C79" s="41">
        <v>5.4000000000000003E-3</v>
      </c>
      <c r="D79" s="41">
        <v>45.254800000000003</v>
      </c>
      <c r="E79" s="41">
        <v>30</v>
      </c>
      <c r="F79" s="41">
        <v>0</v>
      </c>
      <c r="G79" s="41" t="s">
        <v>103</v>
      </c>
      <c r="H79" s="41">
        <v>1</v>
      </c>
      <c r="I79" s="41">
        <v>1</v>
      </c>
      <c r="J79" s="108">
        <v>0</v>
      </c>
      <c r="K79" s="41">
        <v>0</v>
      </c>
      <c r="L79" s="41">
        <v>55</v>
      </c>
      <c r="M79" s="41">
        <v>-1</v>
      </c>
      <c r="N79" s="41">
        <v>4</v>
      </c>
      <c r="O79" s="110" t="s">
        <v>2162</v>
      </c>
      <c r="P79" s="109">
        <v>193278</v>
      </c>
      <c r="Q79" s="107"/>
      <c r="R79" s="111"/>
      <c r="S79" s="110"/>
      <c r="T79"/>
      <c r="U79"/>
      <c r="V79"/>
    </row>
    <row r="80" spans="1:22">
      <c r="A80" s="105">
        <v>1462</v>
      </c>
      <c r="B80" s="41">
        <v>12000000</v>
      </c>
      <c r="C80" s="41">
        <v>5.8999999999999999E-3</v>
      </c>
      <c r="D80" s="41">
        <v>16</v>
      </c>
      <c r="E80" s="41">
        <v>30</v>
      </c>
      <c r="F80" s="41">
        <v>0</v>
      </c>
      <c r="G80" s="41" t="s">
        <v>103</v>
      </c>
      <c r="H80" s="41">
        <v>1</v>
      </c>
      <c r="I80" s="41">
        <v>1</v>
      </c>
      <c r="J80" s="108">
        <v>0</v>
      </c>
      <c r="K80" s="41">
        <v>0</v>
      </c>
      <c r="L80" s="41">
        <v>55</v>
      </c>
      <c r="M80" s="41">
        <v>-1</v>
      </c>
      <c r="N80" s="41">
        <v>4</v>
      </c>
      <c r="O80" s="110" t="s">
        <v>2163</v>
      </c>
      <c r="P80" s="109">
        <v>193278</v>
      </c>
      <c r="Q80" s="107"/>
      <c r="R80" s="111"/>
      <c r="S80" s="110"/>
      <c r="T80"/>
      <c r="U80"/>
      <c r="V80"/>
    </row>
    <row r="81" spans="1:22">
      <c r="A81" s="105">
        <v>1463</v>
      </c>
      <c r="B81" s="41">
        <v>12000000</v>
      </c>
      <c r="C81" s="41">
        <v>5.8999999999999999E-3</v>
      </c>
      <c r="D81" s="41">
        <v>32</v>
      </c>
      <c r="E81" s="41">
        <v>30</v>
      </c>
      <c r="F81" s="41">
        <v>0</v>
      </c>
      <c r="G81" s="41" t="s">
        <v>103</v>
      </c>
      <c r="H81" s="41">
        <v>1</v>
      </c>
      <c r="I81" s="41">
        <v>1</v>
      </c>
      <c r="J81" s="108">
        <v>0</v>
      </c>
      <c r="K81" s="41">
        <v>0</v>
      </c>
      <c r="L81" s="41">
        <v>55</v>
      </c>
      <c r="M81" s="41">
        <v>-1</v>
      </c>
      <c r="N81" s="41">
        <v>4</v>
      </c>
      <c r="O81" s="110" t="s">
        <v>2164</v>
      </c>
      <c r="P81" s="109">
        <v>193278</v>
      </c>
      <c r="Q81" s="107"/>
      <c r="R81" s="111"/>
      <c r="S81" s="110"/>
      <c r="T81"/>
      <c r="U81"/>
      <c r="V81"/>
    </row>
    <row r="82" spans="1:22">
      <c r="A82" s="105">
        <v>1464</v>
      </c>
      <c r="B82" s="41">
        <v>12000000</v>
      </c>
      <c r="C82" s="41">
        <v>6.4000000000000003E-3</v>
      </c>
      <c r="D82" s="41">
        <v>16</v>
      </c>
      <c r="E82" s="41">
        <v>30</v>
      </c>
      <c r="F82" s="41">
        <v>0</v>
      </c>
      <c r="G82" s="41" t="s">
        <v>103</v>
      </c>
      <c r="H82" s="41">
        <v>1</v>
      </c>
      <c r="I82" s="41">
        <v>1</v>
      </c>
      <c r="J82" s="108">
        <v>0</v>
      </c>
      <c r="K82" s="41">
        <v>0</v>
      </c>
      <c r="L82" s="41">
        <v>55</v>
      </c>
      <c r="M82" s="41">
        <v>-1</v>
      </c>
      <c r="N82" s="41">
        <v>4</v>
      </c>
      <c r="O82" s="110" t="s">
        <v>2165</v>
      </c>
      <c r="P82" s="109">
        <v>193278</v>
      </c>
      <c r="Q82" s="107"/>
      <c r="R82" s="111"/>
      <c r="S82" s="110"/>
      <c r="T82"/>
      <c r="U82"/>
      <c r="V82"/>
    </row>
    <row r="83" spans="1:22">
      <c r="A83" s="105">
        <v>1465</v>
      </c>
      <c r="B83" s="41">
        <v>12000000</v>
      </c>
      <c r="C83" s="41">
        <v>6.4000000000000003E-3</v>
      </c>
      <c r="D83" s="41">
        <v>32</v>
      </c>
      <c r="E83" s="41">
        <v>30</v>
      </c>
      <c r="F83" s="41">
        <v>0</v>
      </c>
      <c r="G83" s="41" t="s">
        <v>103</v>
      </c>
      <c r="H83" s="41">
        <v>1</v>
      </c>
      <c r="I83" s="41">
        <v>1</v>
      </c>
      <c r="J83" s="108">
        <v>0</v>
      </c>
      <c r="K83" s="41">
        <v>0</v>
      </c>
      <c r="L83" s="41">
        <v>55</v>
      </c>
      <c r="M83" s="41">
        <v>-1</v>
      </c>
      <c r="N83" s="41">
        <v>4</v>
      </c>
      <c r="O83" s="110" t="s">
        <v>2166</v>
      </c>
      <c r="P83" s="109">
        <v>193278</v>
      </c>
      <c r="Q83" s="107"/>
      <c r="R83" s="111"/>
      <c r="S83" s="110"/>
      <c r="T83"/>
      <c r="U83"/>
      <c r="V83"/>
    </row>
    <row r="84" spans="1:22">
      <c r="A84" s="105">
        <v>1466</v>
      </c>
      <c r="B84" s="41">
        <v>12000000</v>
      </c>
      <c r="C84" s="41">
        <v>7.0000000000000001E-3</v>
      </c>
      <c r="D84" s="41">
        <v>16</v>
      </c>
      <c r="E84" s="41">
        <v>30</v>
      </c>
      <c r="F84" s="41">
        <v>0</v>
      </c>
      <c r="G84" s="41" t="s">
        <v>103</v>
      </c>
      <c r="H84" s="41">
        <v>1</v>
      </c>
      <c r="I84" s="41">
        <v>1</v>
      </c>
      <c r="J84" s="108">
        <v>0</v>
      </c>
      <c r="K84" s="41">
        <v>0</v>
      </c>
      <c r="L84" s="41">
        <v>55</v>
      </c>
      <c r="M84" s="41">
        <v>-1</v>
      </c>
      <c r="N84" s="41">
        <v>4</v>
      </c>
      <c r="O84" s="110" t="s">
        <v>2167</v>
      </c>
      <c r="P84" s="109">
        <v>193278</v>
      </c>
      <c r="Q84" s="107"/>
      <c r="R84" s="111"/>
      <c r="S84" s="110"/>
      <c r="T84"/>
      <c r="U84"/>
      <c r="V84"/>
    </row>
    <row r="85" spans="1:22">
      <c r="A85" s="105">
        <v>1467</v>
      </c>
      <c r="B85" s="41">
        <v>12000000</v>
      </c>
      <c r="C85" s="41">
        <v>7.0000000000000001E-3</v>
      </c>
      <c r="D85" s="41">
        <v>32</v>
      </c>
      <c r="E85" s="41">
        <v>30</v>
      </c>
      <c r="F85" s="41">
        <v>0</v>
      </c>
      <c r="G85" s="41" t="s">
        <v>103</v>
      </c>
      <c r="H85" s="41">
        <v>1</v>
      </c>
      <c r="I85" s="41">
        <v>1</v>
      </c>
      <c r="J85" s="108">
        <v>0</v>
      </c>
      <c r="K85" s="41">
        <v>0</v>
      </c>
      <c r="L85" s="41">
        <v>55</v>
      </c>
      <c r="M85" s="41">
        <v>-1</v>
      </c>
      <c r="N85" s="41">
        <v>4</v>
      </c>
      <c r="O85" s="110" t="s">
        <v>2168</v>
      </c>
      <c r="P85" s="109">
        <v>193278</v>
      </c>
      <c r="Q85" s="107"/>
      <c r="R85" s="111"/>
      <c r="S85" s="110"/>
      <c r="T85"/>
      <c r="U85"/>
      <c r="V85"/>
    </row>
    <row r="86" spans="1:22">
      <c r="A86" s="105">
        <v>1468</v>
      </c>
      <c r="B86" s="41">
        <v>12000000</v>
      </c>
      <c r="C86" s="41">
        <v>7.6E-3</v>
      </c>
      <c r="D86" s="41">
        <v>22.627400000000002</v>
      </c>
      <c r="E86" s="41">
        <v>30</v>
      </c>
      <c r="F86" s="41">
        <v>0</v>
      </c>
      <c r="G86" s="41" t="s">
        <v>103</v>
      </c>
      <c r="H86" s="41">
        <v>1</v>
      </c>
      <c r="I86" s="41">
        <v>1</v>
      </c>
      <c r="J86" s="108">
        <v>0</v>
      </c>
      <c r="K86" s="41">
        <v>0</v>
      </c>
      <c r="L86" s="41">
        <v>55</v>
      </c>
      <c r="M86" s="41">
        <v>-1</v>
      </c>
      <c r="N86" s="41">
        <v>4</v>
      </c>
      <c r="O86" s="110" t="s">
        <v>2169</v>
      </c>
      <c r="P86" s="109">
        <v>193278</v>
      </c>
      <c r="Q86" s="107"/>
      <c r="R86" s="111"/>
      <c r="S86" s="110"/>
      <c r="T86"/>
      <c r="U86"/>
      <c r="V86"/>
    </row>
    <row r="87" spans="1:22">
      <c r="A87" s="105">
        <v>1469</v>
      </c>
      <c r="B87" s="41">
        <v>12000000</v>
      </c>
      <c r="C87" s="41">
        <v>7.6E-3</v>
      </c>
      <c r="D87" s="41">
        <v>45.254800000000003</v>
      </c>
      <c r="E87" s="41">
        <v>30</v>
      </c>
      <c r="F87" s="41">
        <v>0</v>
      </c>
      <c r="G87" s="41" t="s">
        <v>103</v>
      </c>
      <c r="H87" s="41">
        <v>1</v>
      </c>
      <c r="I87" s="41">
        <v>1</v>
      </c>
      <c r="J87" s="108">
        <v>0</v>
      </c>
      <c r="K87" s="41">
        <v>0</v>
      </c>
      <c r="L87" s="41">
        <v>55</v>
      </c>
      <c r="M87" s="41">
        <v>-1</v>
      </c>
      <c r="N87" s="41">
        <v>4</v>
      </c>
      <c r="O87" s="110" t="s">
        <v>2170</v>
      </c>
      <c r="P87" s="109">
        <v>193278</v>
      </c>
      <c r="Q87" s="107"/>
      <c r="R87" s="111"/>
      <c r="S87" s="110"/>
      <c r="T87"/>
      <c r="U87"/>
      <c r="V87"/>
    </row>
    <row r="88" spans="1:22">
      <c r="A88" s="105">
        <v>1470</v>
      </c>
      <c r="B88" s="41">
        <v>12000000</v>
      </c>
      <c r="C88" s="41">
        <v>8.3000000000000001E-3</v>
      </c>
      <c r="D88" s="41">
        <v>32</v>
      </c>
      <c r="E88" s="41">
        <v>30</v>
      </c>
      <c r="F88" s="41">
        <v>0</v>
      </c>
      <c r="G88" s="41" t="s">
        <v>103</v>
      </c>
      <c r="H88" s="41">
        <v>1</v>
      </c>
      <c r="I88" s="41">
        <v>1</v>
      </c>
      <c r="J88" s="108">
        <v>0</v>
      </c>
      <c r="K88" s="41">
        <v>0</v>
      </c>
      <c r="L88" s="41">
        <v>55</v>
      </c>
      <c r="M88" s="41">
        <v>-1</v>
      </c>
      <c r="N88" s="41">
        <v>4</v>
      </c>
      <c r="O88" s="110" t="s">
        <v>2171</v>
      </c>
      <c r="P88" s="109">
        <v>193278</v>
      </c>
      <c r="Q88" s="107"/>
      <c r="R88" s="111"/>
      <c r="S88" s="110"/>
      <c r="T88"/>
      <c r="U88"/>
      <c r="V88"/>
    </row>
    <row r="89" spans="1:22">
      <c r="A89" s="105">
        <v>1471</v>
      </c>
      <c r="B89" s="41">
        <v>12000000</v>
      </c>
      <c r="C89" s="41">
        <v>9.1000000000000004E-3</v>
      </c>
      <c r="D89" s="41">
        <v>32</v>
      </c>
      <c r="E89" s="41">
        <v>30</v>
      </c>
      <c r="F89" s="41">
        <v>0</v>
      </c>
      <c r="G89" s="41" t="s">
        <v>103</v>
      </c>
      <c r="H89" s="41">
        <v>1</v>
      </c>
      <c r="I89" s="41">
        <v>1</v>
      </c>
      <c r="J89" s="108">
        <v>0</v>
      </c>
      <c r="K89" s="41">
        <v>0</v>
      </c>
      <c r="L89" s="41">
        <v>55</v>
      </c>
      <c r="M89" s="41">
        <v>-1</v>
      </c>
      <c r="N89" s="41">
        <v>4</v>
      </c>
      <c r="O89" s="110" t="s">
        <v>2172</v>
      </c>
      <c r="P89" s="109">
        <v>193278</v>
      </c>
      <c r="Q89" s="107"/>
      <c r="R89" s="111"/>
      <c r="S89" s="110"/>
      <c r="T89"/>
      <c r="U89"/>
      <c r="V89"/>
    </row>
    <row r="90" spans="1:22">
      <c r="A90" s="105">
        <v>1472</v>
      </c>
      <c r="B90" s="41">
        <v>12000000</v>
      </c>
      <c r="C90" s="41">
        <v>9.9000000000000008E-3</v>
      </c>
      <c r="D90" s="41">
        <v>32</v>
      </c>
      <c r="E90" s="41">
        <v>30</v>
      </c>
      <c r="F90" s="41">
        <v>0</v>
      </c>
      <c r="G90" s="41" t="s">
        <v>103</v>
      </c>
      <c r="H90" s="41">
        <v>1</v>
      </c>
      <c r="I90" s="41">
        <v>1</v>
      </c>
      <c r="J90" s="108">
        <v>0</v>
      </c>
      <c r="K90" s="41">
        <v>0</v>
      </c>
      <c r="L90" s="41">
        <v>55</v>
      </c>
      <c r="M90" s="41">
        <v>-1</v>
      </c>
      <c r="N90" s="41">
        <v>4</v>
      </c>
      <c r="O90" s="110" t="s">
        <v>2173</v>
      </c>
      <c r="P90" s="109">
        <v>193278</v>
      </c>
      <c r="Q90" s="107"/>
      <c r="R90" s="111"/>
      <c r="S90" s="110"/>
      <c r="T90"/>
      <c r="U90"/>
      <c r="V90"/>
    </row>
    <row r="91" spans="1:22">
      <c r="A91" s="105">
        <v>1473</v>
      </c>
      <c r="B91" s="41">
        <v>12000000</v>
      </c>
      <c r="C91" s="41">
        <v>1.0800000000000001E-2</v>
      </c>
      <c r="D91" s="41">
        <v>45.254800000000003</v>
      </c>
      <c r="E91" s="41">
        <v>30</v>
      </c>
      <c r="F91" s="41">
        <v>0</v>
      </c>
      <c r="G91" s="41" t="s">
        <v>103</v>
      </c>
      <c r="H91" s="41">
        <v>1</v>
      </c>
      <c r="I91" s="41">
        <v>1</v>
      </c>
      <c r="J91" s="108">
        <v>0</v>
      </c>
      <c r="K91" s="41">
        <v>0</v>
      </c>
      <c r="L91" s="41">
        <v>55</v>
      </c>
      <c r="M91" s="41">
        <v>-1</v>
      </c>
      <c r="N91" s="41">
        <v>4</v>
      </c>
      <c r="O91" s="110" t="s">
        <v>2174</v>
      </c>
      <c r="P91" s="109">
        <v>193278</v>
      </c>
      <c r="Q91" s="107"/>
      <c r="R91" s="111"/>
      <c r="S91" s="110"/>
      <c r="T91"/>
      <c r="U91"/>
      <c r="V91"/>
    </row>
    <row r="92" spans="1:22">
      <c r="A92" s="105">
        <v>1474</v>
      </c>
      <c r="B92" s="41">
        <v>12000000</v>
      </c>
      <c r="C92" s="41">
        <v>1.1999999999999999E-3</v>
      </c>
      <c r="D92" s="41">
        <v>0.5</v>
      </c>
      <c r="E92" s="41">
        <v>30</v>
      </c>
      <c r="F92" s="41">
        <v>0</v>
      </c>
      <c r="G92" s="41" t="s">
        <v>103</v>
      </c>
      <c r="H92" s="41">
        <v>1</v>
      </c>
      <c r="I92" s="41">
        <v>1</v>
      </c>
      <c r="J92" s="108">
        <f>POWER(POWER(Table210[[#This Row],[mv]],4)/10,0.25)</f>
        <v>6.7480959022841905E-4</v>
      </c>
      <c r="K92" s="41">
        <v>0</v>
      </c>
      <c r="L92" s="41">
        <v>55</v>
      </c>
      <c r="M92" s="41">
        <v>-1</v>
      </c>
      <c r="N92" s="41">
        <v>4</v>
      </c>
      <c r="O92" s="110" t="s">
        <v>2177</v>
      </c>
      <c r="P92" s="109">
        <v>193305</v>
      </c>
      <c r="Q92" s="107"/>
      <c r="R92" s="111"/>
      <c r="S92" s="110" t="s">
        <v>2267</v>
      </c>
      <c r="T92"/>
      <c r="U92"/>
      <c r="V92"/>
    </row>
    <row r="93" spans="1:22">
      <c r="A93" s="105">
        <v>1475</v>
      </c>
      <c r="B93" s="41">
        <v>12000000</v>
      </c>
      <c r="C93" s="41">
        <v>1.1999999999999999E-3</v>
      </c>
      <c r="D93" s="41">
        <v>1</v>
      </c>
      <c r="E93" s="41">
        <v>30</v>
      </c>
      <c r="F93" s="41">
        <v>0</v>
      </c>
      <c r="G93" s="41" t="s">
        <v>103</v>
      </c>
      <c r="H93" s="41">
        <v>1</v>
      </c>
      <c r="I93" s="41">
        <v>1</v>
      </c>
      <c r="J93" s="108">
        <f>POWER(POWER(Table210[[#This Row],[mv]],4)/10,0.25)</f>
        <v>6.7480959022841905E-4</v>
      </c>
      <c r="K93" s="41">
        <v>0</v>
      </c>
      <c r="L93" s="41">
        <v>55</v>
      </c>
      <c r="M93" s="41">
        <v>-1</v>
      </c>
      <c r="N93" s="41">
        <v>4</v>
      </c>
      <c r="O93" s="110" t="s">
        <v>2178</v>
      </c>
      <c r="P93" s="109">
        <v>193305</v>
      </c>
      <c r="Q93" s="107"/>
      <c r="R93" s="111"/>
      <c r="S93" s="110"/>
      <c r="T93"/>
      <c r="U93"/>
      <c r="V93"/>
    </row>
    <row r="94" spans="1:22">
      <c r="A94" s="105">
        <v>1476</v>
      </c>
      <c r="B94" s="41">
        <v>12000000</v>
      </c>
      <c r="C94" s="41">
        <v>1.1999999999999999E-3</v>
      </c>
      <c r="D94" s="41">
        <v>2</v>
      </c>
      <c r="E94" s="41">
        <v>30</v>
      </c>
      <c r="F94" s="41">
        <v>0</v>
      </c>
      <c r="G94" s="41" t="s">
        <v>103</v>
      </c>
      <c r="H94" s="41">
        <v>1</v>
      </c>
      <c r="I94" s="41">
        <v>1</v>
      </c>
      <c r="J94" s="108">
        <f>POWER(POWER(Table210[[#This Row],[mv]],4)/10,0.25)</f>
        <v>6.7480959022841905E-4</v>
      </c>
      <c r="K94" s="41">
        <v>0</v>
      </c>
      <c r="L94" s="41">
        <v>55</v>
      </c>
      <c r="M94" s="41">
        <v>-1</v>
      </c>
      <c r="N94" s="41">
        <v>4</v>
      </c>
      <c r="O94" s="110" t="s">
        <v>2179</v>
      </c>
      <c r="P94" s="109">
        <v>193305</v>
      </c>
      <c r="Q94" s="107"/>
      <c r="R94" s="111"/>
      <c r="S94" s="110"/>
      <c r="T94"/>
      <c r="U94"/>
      <c r="V94"/>
    </row>
    <row r="95" spans="1:22">
      <c r="A95" s="105">
        <v>1477</v>
      </c>
      <c r="B95" s="41">
        <v>12000000</v>
      </c>
      <c r="C95" s="41">
        <v>1.1999999999999999E-3</v>
      </c>
      <c r="D95" s="41">
        <v>4</v>
      </c>
      <c r="E95" s="41">
        <v>30</v>
      </c>
      <c r="F95" s="41">
        <v>0</v>
      </c>
      <c r="G95" s="41" t="s">
        <v>103</v>
      </c>
      <c r="H95" s="41">
        <v>1</v>
      </c>
      <c r="I95" s="41">
        <v>1</v>
      </c>
      <c r="J95" s="108">
        <f>POWER(POWER(Table210[[#This Row],[mv]],4)/10,0.25)</f>
        <v>6.7480959022841905E-4</v>
      </c>
      <c r="K95" s="41">
        <v>0</v>
      </c>
      <c r="L95" s="41">
        <v>55</v>
      </c>
      <c r="M95" s="41">
        <v>-1</v>
      </c>
      <c r="N95" s="41">
        <v>4</v>
      </c>
      <c r="O95" s="110" t="s">
        <v>2180</v>
      </c>
      <c r="P95" s="109">
        <v>193305</v>
      </c>
      <c r="Q95" s="107"/>
      <c r="R95" s="111"/>
      <c r="S95" s="110"/>
      <c r="T95"/>
      <c r="U95"/>
      <c r="V95"/>
    </row>
    <row r="96" spans="1:22">
      <c r="A96" s="105">
        <v>1478</v>
      </c>
      <c r="B96" s="41">
        <v>12000000</v>
      </c>
      <c r="C96" s="41">
        <v>1.1999999999999999E-3</v>
      </c>
      <c r="D96" s="41">
        <v>8</v>
      </c>
      <c r="E96" s="41">
        <v>30</v>
      </c>
      <c r="F96" s="41">
        <v>0</v>
      </c>
      <c r="G96" s="41" t="s">
        <v>103</v>
      </c>
      <c r="H96" s="41">
        <v>1</v>
      </c>
      <c r="I96" s="41">
        <v>1</v>
      </c>
      <c r="J96" s="108">
        <f>POWER(POWER(Table210[[#This Row],[mv]],4)/10,0.25)</f>
        <v>6.7480959022841905E-4</v>
      </c>
      <c r="K96" s="41">
        <v>0</v>
      </c>
      <c r="L96" s="41">
        <v>55</v>
      </c>
      <c r="M96" s="41">
        <v>-1</v>
      </c>
      <c r="N96" s="41">
        <v>4</v>
      </c>
      <c r="O96" s="110" t="s">
        <v>2181</v>
      </c>
      <c r="P96" s="109">
        <v>193305</v>
      </c>
      <c r="Q96" s="107"/>
      <c r="R96" s="111"/>
      <c r="S96" s="110"/>
      <c r="T96"/>
      <c r="U96"/>
      <c r="V96"/>
    </row>
    <row r="97" spans="1:22">
      <c r="A97" s="105">
        <v>1479</v>
      </c>
      <c r="B97" s="41">
        <v>12000000</v>
      </c>
      <c r="C97" s="41">
        <v>1.2999999999999999E-3</v>
      </c>
      <c r="D97" s="41">
        <v>0.70709999999999995</v>
      </c>
      <c r="E97" s="41">
        <v>30</v>
      </c>
      <c r="F97" s="41">
        <v>0</v>
      </c>
      <c r="G97" s="41" t="s">
        <v>103</v>
      </c>
      <c r="H97" s="41">
        <v>1</v>
      </c>
      <c r="I97" s="41">
        <v>1</v>
      </c>
      <c r="J97" s="108">
        <f>POWER(POWER(Table210[[#This Row],[mv]],4)/10,0.25)</f>
        <v>7.3104372274745391E-4</v>
      </c>
      <c r="K97" s="41">
        <v>0</v>
      </c>
      <c r="L97" s="41">
        <v>55</v>
      </c>
      <c r="M97" s="41">
        <v>-1</v>
      </c>
      <c r="N97" s="41">
        <v>4</v>
      </c>
      <c r="O97" s="110" t="s">
        <v>2182</v>
      </c>
      <c r="P97" s="109">
        <v>193305</v>
      </c>
      <c r="Q97" s="107"/>
      <c r="R97" s="111"/>
      <c r="S97" s="110"/>
      <c r="T97"/>
      <c r="U97"/>
      <c r="V97"/>
    </row>
    <row r="98" spans="1:22">
      <c r="A98" s="105">
        <v>1480</v>
      </c>
      <c r="B98" s="41">
        <v>12000000</v>
      </c>
      <c r="C98" s="41">
        <v>1.2999999999999999E-3</v>
      </c>
      <c r="D98" s="41">
        <v>1.4141999999999999</v>
      </c>
      <c r="E98" s="41">
        <v>30</v>
      </c>
      <c r="F98" s="41">
        <v>0</v>
      </c>
      <c r="G98" s="41" t="s">
        <v>103</v>
      </c>
      <c r="H98" s="41">
        <v>1</v>
      </c>
      <c r="I98" s="41">
        <v>1</v>
      </c>
      <c r="J98" s="108">
        <f>POWER(POWER(Table210[[#This Row],[mv]],4)/10,0.25)</f>
        <v>7.3104372274745391E-4</v>
      </c>
      <c r="K98" s="41">
        <v>0</v>
      </c>
      <c r="L98" s="41">
        <v>55</v>
      </c>
      <c r="M98" s="41">
        <v>-1</v>
      </c>
      <c r="N98" s="41">
        <v>4</v>
      </c>
      <c r="O98" s="110" t="s">
        <v>2183</v>
      </c>
      <c r="P98" s="109">
        <v>193305</v>
      </c>
      <c r="Q98" s="107"/>
      <c r="R98" s="111"/>
      <c r="S98" s="110"/>
      <c r="T98"/>
      <c r="U98"/>
      <c r="V98"/>
    </row>
    <row r="99" spans="1:22">
      <c r="A99" s="105">
        <v>1481</v>
      </c>
      <c r="B99" s="41">
        <v>12000000</v>
      </c>
      <c r="C99" s="41">
        <v>1.2999999999999999E-3</v>
      </c>
      <c r="D99" s="41">
        <v>2.8283999999999998</v>
      </c>
      <c r="E99" s="41">
        <v>30</v>
      </c>
      <c r="F99" s="41">
        <v>0</v>
      </c>
      <c r="G99" s="41" t="s">
        <v>103</v>
      </c>
      <c r="H99" s="41">
        <v>1</v>
      </c>
      <c r="I99" s="41">
        <v>1</v>
      </c>
      <c r="J99" s="108">
        <f>POWER(POWER(Table210[[#This Row],[mv]],4)/10,0.25)</f>
        <v>7.3104372274745391E-4</v>
      </c>
      <c r="K99" s="41">
        <v>0</v>
      </c>
      <c r="L99" s="41">
        <v>55</v>
      </c>
      <c r="M99" s="41">
        <v>-1</v>
      </c>
      <c r="N99" s="41">
        <v>4</v>
      </c>
      <c r="O99" s="110" t="s">
        <v>2184</v>
      </c>
      <c r="P99" s="109">
        <v>193305</v>
      </c>
      <c r="Q99" s="107"/>
      <c r="R99" s="111"/>
      <c r="S99" s="110"/>
      <c r="T99"/>
      <c r="U99"/>
      <c r="V99"/>
    </row>
    <row r="100" spans="1:22">
      <c r="A100" s="105">
        <v>1482</v>
      </c>
      <c r="B100" s="41">
        <v>12000000</v>
      </c>
      <c r="C100" s="41">
        <v>1.2999999999999999E-3</v>
      </c>
      <c r="D100" s="41">
        <v>5.6569000000000003</v>
      </c>
      <c r="E100" s="41">
        <v>30</v>
      </c>
      <c r="F100" s="41">
        <v>0</v>
      </c>
      <c r="G100" s="41" t="s">
        <v>103</v>
      </c>
      <c r="H100" s="41">
        <v>1</v>
      </c>
      <c r="I100" s="41">
        <v>1</v>
      </c>
      <c r="J100" s="108">
        <f>POWER(POWER(Table210[[#This Row],[mv]],4)/10,0.25)</f>
        <v>7.3104372274745391E-4</v>
      </c>
      <c r="K100" s="41">
        <v>0</v>
      </c>
      <c r="L100" s="41">
        <v>55</v>
      </c>
      <c r="M100" s="41">
        <v>-1</v>
      </c>
      <c r="N100" s="41">
        <v>4</v>
      </c>
      <c r="O100" s="110" t="s">
        <v>2185</v>
      </c>
      <c r="P100" s="109">
        <v>193305</v>
      </c>
      <c r="Q100" s="107"/>
      <c r="R100" s="111"/>
      <c r="S100" s="110"/>
      <c r="T100"/>
      <c r="U100"/>
      <c r="V100"/>
    </row>
    <row r="101" spans="1:22">
      <c r="A101" s="105">
        <v>1483</v>
      </c>
      <c r="B101" s="41">
        <v>12000000</v>
      </c>
      <c r="C101" s="41">
        <v>1.2999999999999999E-3</v>
      </c>
      <c r="D101" s="41">
        <v>11.313700000000001</v>
      </c>
      <c r="E101" s="41">
        <v>30</v>
      </c>
      <c r="F101" s="41">
        <v>0</v>
      </c>
      <c r="G101" s="41" t="s">
        <v>103</v>
      </c>
      <c r="H101" s="41">
        <v>1</v>
      </c>
      <c r="I101" s="41">
        <v>1</v>
      </c>
      <c r="J101" s="108">
        <f>POWER(POWER(Table210[[#This Row],[mv]],4)/10,0.25)</f>
        <v>7.3104372274745391E-4</v>
      </c>
      <c r="K101" s="41">
        <v>0</v>
      </c>
      <c r="L101" s="41">
        <v>55</v>
      </c>
      <c r="M101" s="41">
        <v>-1</v>
      </c>
      <c r="N101" s="41">
        <v>4</v>
      </c>
      <c r="O101" s="110" t="s">
        <v>2186</v>
      </c>
      <c r="P101" s="109">
        <v>193305</v>
      </c>
      <c r="Q101" s="107"/>
      <c r="R101" s="111"/>
      <c r="S101" s="110"/>
      <c r="T101"/>
      <c r="U101"/>
      <c r="V101"/>
    </row>
    <row r="102" spans="1:22">
      <c r="A102" s="105">
        <v>1484</v>
      </c>
      <c r="B102" s="41">
        <v>12000000</v>
      </c>
      <c r="C102" s="41">
        <v>1.5E-3</v>
      </c>
      <c r="D102" s="41">
        <v>0.70709999999999995</v>
      </c>
      <c r="E102" s="41">
        <v>30</v>
      </c>
      <c r="F102" s="41">
        <v>0</v>
      </c>
      <c r="G102" s="41" t="s">
        <v>103</v>
      </c>
      <c r="H102" s="41">
        <v>1</v>
      </c>
      <c r="I102" s="41">
        <v>1</v>
      </c>
      <c r="J102" s="108">
        <f>POWER(POWER(Table210[[#This Row],[mv]],4)/10,0.25)</f>
        <v>8.4351198778552375E-4</v>
      </c>
      <c r="K102" s="41">
        <v>0</v>
      </c>
      <c r="L102" s="41">
        <v>55</v>
      </c>
      <c r="M102" s="41">
        <v>-1</v>
      </c>
      <c r="N102" s="41">
        <v>4</v>
      </c>
      <c r="O102" s="110" t="s">
        <v>2187</v>
      </c>
      <c r="P102" s="109">
        <v>193305</v>
      </c>
      <c r="Q102" s="107"/>
      <c r="R102" s="111"/>
      <c r="S102" s="110"/>
      <c r="T102"/>
      <c r="U102"/>
      <c r="V102"/>
    </row>
    <row r="103" spans="1:22">
      <c r="A103" s="105">
        <v>1485</v>
      </c>
      <c r="B103" s="41">
        <v>12000000</v>
      </c>
      <c r="C103" s="41">
        <v>1.5E-3</v>
      </c>
      <c r="D103" s="41">
        <v>1.4141999999999999</v>
      </c>
      <c r="E103" s="41">
        <v>30</v>
      </c>
      <c r="F103" s="41">
        <v>0</v>
      </c>
      <c r="G103" s="41" t="s">
        <v>103</v>
      </c>
      <c r="H103" s="41">
        <v>1</v>
      </c>
      <c r="I103" s="41">
        <v>1</v>
      </c>
      <c r="J103" s="108">
        <f>POWER(POWER(Table210[[#This Row],[mv]],4)/10,0.25)</f>
        <v>8.4351198778552375E-4</v>
      </c>
      <c r="K103" s="41">
        <v>0</v>
      </c>
      <c r="L103" s="41">
        <v>55</v>
      </c>
      <c r="M103" s="41">
        <v>-1</v>
      </c>
      <c r="N103" s="41">
        <v>4</v>
      </c>
      <c r="O103" s="110" t="s">
        <v>2188</v>
      </c>
      <c r="P103" s="109">
        <v>193305</v>
      </c>
      <c r="Q103" s="107"/>
      <c r="R103" s="111"/>
      <c r="S103" s="110"/>
      <c r="T103"/>
      <c r="U103"/>
      <c r="V103"/>
    </row>
    <row r="104" spans="1:22">
      <c r="A104" s="105">
        <v>1486</v>
      </c>
      <c r="B104" s="41">
        <v>12000000</v>
      </c>
      <c r="C104" s="41">
        <v>1.5E-3</v>
      </c>
      <c r="D104" s="41">
        <v>2.8283999999999998</v>
      </c>
      <c r="E104" s="41">
        <v>30</v>
      </c>
      <c r="F104" s="41">
        <v>0</v>
      </c>
      <c r="G104" s="41" t="s">
        <v>103</v>
      </c>
      <c r="H104" s="41">
        <v>1</v>
      </c>
      <c r="I104" s="41">
        <v>1</v>
      </c>
      <c r="J104" s="108">
        <f>POWER(POWER(Table210[[#This Row],[mv]],4)/10,0.25)</f>
        <v>8.4351198778552375E-4</v>
      </c>
      <c r="K104" s="41">
        <v>0</v>
      </c>
      <c r="L104" s="41">
        <v>55</v>
      </c>
      <c r="M104" s="41">
        <v>-1</v>
      </c>
      <c r="N104" s="41">
        <v>4</v>
      </c>
      <c r="O104" s="110" t="s">
        <v>2189</v>
      </c>
      <c r="P104" s="109">
        <v>193305</v>
      </c>
      <c r="Q104" s="107"/>
      <c r="R104" s="111"/>
      <c r="S104" s="110"/>
      <c r="T104"/>
      <c r="U104"/>
      <c r="V104"/>
    </row>
    <row r="105" spans="1:22">
      <c r="A105" s="105">
        <v>1487</v>
      </c>
      <c r="B105" s="41">
        <v>12000000</v>
      </c>
      <c r="C105" s="41">
        <v>1.5E-3</v>
      </c>
      <c r="D105" s="41">
        <v>5.6569000000000003</v>
      </c>
      <c r="E105" s="41">
        <v>30</v>
      </c>
      <c r="F105" s="41">
        <v>0</v>
      </c>
      <c r="G105" s="41" t="s">
        <v>103</v>
      </c>
      <c r="H105" s="41">
        <v>1</v>
      </c>
      <c r="I105" s="41">
        <v>1</v>
      </c>
      <c r="J105" s="108">
        <f>POWER(POWER(Table210[[#This Row],[mv]],4)/10,0.25)</f>
        <v>8.4351198778552375E-4</v>
      </c>
      <c r="K105" s="41">
        <v>0</v>
      </c>
      <c r="L105" s="41">
        <v>55</v>
      </c>
      <c r="M105" s="41">
        <v>-1</v>
      </c>
      <c r="N105" s="41">
        <v>4</v>
      </c>
      <c r="O105" s="110" t="s">
        <v>2190</v>
      </c>
      <c r="P105" s="109">
        <v>193305</v>
      </c>
      <c r="Q105" s="107"/>
      <c r="R105" s="111"/>
      <c r="S105" s="110"/>
      <c r="T105"/>
      <c r="U105"/>
      <c r="V105"/>
    </row>
    <row r="106" spans="1:22">
      <c r="A106" s="105">
        <v>1488</v>
      </c>
      <c r="B106" s="41">
        <v>12000000</v>
      </c>
      <c r="C106" s="41">
        <v>1.5E-3</v>
      </c>
      <c r="D106" s="41">
        <v>11.313700000000001</v>
      </c>
      <c r="E106" s="41">
        <v>30</v>
      </c>
      <c r="F106" s="41">
        <v>0</v>
      </c>
      <c r="G106" s="41" t="s">
        <v>103</v>
      </c>
      <c r="H106" s="41">
        <v>1</v>
      </c>
      <c r="I106" s="41">
        <v>1</v>
      </c>
      <c r="J106" s="108">
        <f>POWER(POWER(Table210[[#This Row],[mv]],4)/10,0.25)</f>
        <v>8.4351198778552375E-4</v>
      </c>
      <c r="K106" s="41">
        <v>0</v>
      </c>
      <c r="L106" s="41">
        <v>55</v>
      </c>
      <c r="M106" s="41">
        <v>-1</v>
      </c>
      <c r="N106" s="41">
        <v>4</v>
      </c>
      <c r="O106" s="110" t="s">
        <v>2191</v>
      </c>
      <c r="P106" s="109">
        <v>193305</v>
      </c>
      <c r="Q106" s="107"/>
      <c r="R106" s="111"/>
      <c r="S106" s="110"/>
      <c r="T106"/>
      <c r="U106"/>
      <c r="V106"/>
    </row>
    <row r="107" spans="1:22">
      <c r="A107" s="105">
        <v>1489</v>
      </c>
      <c r="B107" s="41">
        <v>12000000</v>
      </c>
      <c r="C107" s="41">
        <v>1.6000000000000001E-3</v>
      </c>
      <c r="D107" s="41">
        <v>1</v>
      </c>
      <c r="E107" s="41">
        <v>30</v>
      </c>
      <c r="F107" s="41">
        <v>0</v>
      </c>
      <c r="G107" s="41" t="s">
        <v>103</v>
      </c>
      <c r="H107" s="41">
        <v>1</v>
      </c>
      <c r="I107" s="41">
        <v>1</v>
      </c>
      <c r="J107" s="108">
        <f>POWER(POWER(Table210[[#This Row],[mv]],4)/10,0.25)</f>
        <v>8.9974612030455862E-4</v>
      </c>
      <c r="K107" s="41">
        <v>0</v>
      </c>
      <c r="L107" s="41">
        <v>55</v>
      </c>
      <c r="M107" s="41">
        <v>-1</v>
      </c>
      <c r="N107" s="41">
        <v>4</v>
      </c>
      <c r="O107" s="110" t="s">
        <v>2192</v>
      </c>
      <c r="P107" s="109">
        <v>193305</v>
      </c>
      <c r="Q107" s="107"/>
      <c r="R107" s="111"/>
      <c r="S107" s="110"/>
      <c r="T107"/>
      <c r="U107"/>
      <c r="V107"/>
    </row>
    <row r="108" spans="1:22">
      <c r="A108" s="105">
        <v>1490</v>
      </c>
      <c r="B108" s="41">
        <v>12000000</v>
      </c>
      <c r="C108" s="41">
        <v>1.6000000000000001E-3</v>
      </c>
      <c r="D108" s="41">
        <v>2</v>
      </c>
      <c r="E108" s="41">
        <v>30</v>
      </c>
      <c r="F108" s="41">
        <v>0</v>
      </c>
      <c r="G108" s="41" t="s">
        <v>103</v>
      </c>
      <c r="H108" s="41">
        <v>1</v>
      </c>
      <c r="I108" s="41">
        <v>1</v>
      </c>
      <c r="J108" s="108">
        <f>POWER(POWER(Table210[[#This Row],[mv]],4)/10,0.25)</f>
        <v>8.9974612030455862E-4</v>
      </c>
      <c r="K108" s="41">
        <v>0</v>
      </c>
      <c r="L108" s="41">
        <v>55</v>
      </c>
      <c r="M108" s="41">
        <v>-1</v>
      </c>
      <c r="N108" s="41">
        <v>4</v>
      </c>
      <c r="O108" s="110" t="s">
        <v>2193</v>
      </c>
      <c r="P108" s="109">
        <v>193305</v>
      </c>
      <c r="Q108" s="107"/>
      <c r="R108" s="111"/>
      <c r="S108" s="110"/>
      <c r="T108"/>
      <c r="U108"/>
      <c r="V108"/>
    </row>
    <row r="109" spans="1:22">
      <c r="A109" s="105">
        <v>1491</v>
      </c>
      <c r="B109" s="41">
        <v>12000000</v>
      </c>
      <c r="C109" s="41">
        <v>1.6000000000000001E-3</v>
      </c>
      <c r="D109" s="41">
        <v>4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POWER(POWER(Table210[[#This Row],[mv]],4)/10,0.25)</f>
        <v>8.9974612030455862E-4</v>
      </c>
      <c r="K109" s="41">
        <v>0</v>
      </c>
      <c r="L109" s="41">
        <v>55</v>
      </c>
      <c r="M109" s="41">
        <v>-1</v>
      </c>
      <c r="N109" s="41">
        <v>4</v>
      </c>
      <c r="O109" s="110" t="s">
        <v>2194</v>
      </c>
      <c r="P109" s="109">
        <v>193305</v>
      </c>
      <c r="Q109" s="107"/>
      <c r="R109" s="111"/>
      <c r="S109" s="110"/>
      <c r="T109"/>
      <c r="U109"/>
      <c r="V109"/>
    </row>
    <row r="110" spans="1:22">
      <c r="A110" s="105">
        <v>1492</v>
      </c>
      <c r="B110" s="41">
        <v>12000000</v>
      </c>
      <c r="C110" s="41">
        <v>1.6000000000000001E-3</v>
      </c>
      <c r="D110" s="41">
        <v>8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POWER(POWER(Table210[[#This Row],[mv]],4)/10,0.25)</f>
        <v>8.9974612030455862E-4</v>
      </c>
      <c r="K110" s="41">
        <v>0</v>
      </c>
      <c r="L110" s="41">
        <v>55</v>
      </c>
      <c r="M110" s="41">
        <v>-1</v>
      </c>
      <c r="N110" s="41">
        <v>4</v>
      </c>
      <c r="O110" s="110" t="s">
        <v>2195</v>
      </c>
      <c r="P110" s="109">
        <v>193305</v>
      </c>
      <c r="Q110" s="107"/>
      <c r="R110" s="111"/>
      <c r="S110" s="110"/>
      <c r="T110"/>
      <c r="U110"/>
      <c r="V110"/>
    </row>
    <row r="111" spans="1:22">
      <c r="A111" s="105">
        <v>1493</v>
      </c>
      <c r="B111" s="41">
        <v>12000000</v>
      </c>
      <c r="C111" s="41">
        <v>1.6000000000000001E-3</v>
      </c>
      <c r="D111" s="41">
        <v>16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POWER(POWER(Table210[[#This Row],[mv]],4)/10,0.25)</f>
        <v>8.9974612030455862E-4</v>
      </c>
      <c r="K111" s="41">
        <v>0</v>
      </c>
      <c r="L111" s="41">
        <v>55</v>
      </c>
      <c r="M111" s="41">
        <v>-1</v>
      </c>
      <c r="N111" s="41">
        <v>4</v>
      </c>
      <c r="O111" s="110" t="s">
        <v>2196</v>
      </c>
      <c r="P111" s="109">
        <v>193305</v>
      </c>
      <c r="Q111" s="107"/>
      <c r="R111" s="111"/>
      <c r="S111" s="110"/>
      <c r="T111"/>
      <c r="U111"/>
      <c r="V111"/>
    </row>
    <row r="112" spans="1:22">
      <c r="A112" s="105">
        <v>1494</v>
      </c>
      <c r="B112" s="41">
        <v>12000000</v>
      </c>
      <c r="C112" s="41">
        <v>1.6999999999999999E-3</v>
      </c>
      <c r="D112" s="41">
        <v>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POWER(POWER(Table210[[#This Row],[mv]],4)/10,0.25)</f>
        <v>9.5598025282359327E-4</v>
      </c>
      <c r="K112" s="41">
        <v>0</v>
      </c>
      <c r="L112" s="41">
        <v>55</v>
      </c>
      <c r="M112" s="41">
        <v>-1</v>
      </c>
      <c r="N112" s="41">
        <v>4</v>
      </c>
      <c r="O112" s="110" t="s">
        <v>2197</v>
      </c>
      <c r="P112" s="109">
        <v>193305</v>
      </c>
      <c r="Q112" s="107"/>
      <c r="R112" s="111"/>
      <c r="S112" s="110"/>
      <c r="T112"/>
      <c r="U112"/>
      <c r="V112"/>
    </row>
    <row r="113" spans="1:22">
      <c r="A113" s="105">
        <v>1495</v>
      </c>
      <c r="B113" s="41">
        <v>12000000</v>
      </c>
      <c r="C113" s="41">
        <v>1.6999999999999999E-3</v>
      </c>
      <c r="D113" s="41">
        <v>2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POWER(POWER(Table210[[#This Row],[mv]],4)/10,0.25)</f>
        <v>9.5598025282359327E-4</v>
      </c>
      <c r="K113" s="41">
        <v>0</v>
      </c>
      <c r="L113" s="41">
        <v>55</v>
      </c>
      <c r="M113" s="41">
        <v>-1</v>
      </c>
      <c r="N113" s="41">
        <v>4</v>
      </c>
      <c r="O113" s="110" t="s">
        <v>2198</v>
      </c>
      <c r="P113" s="109">
        <v>193305</v>
      </c>
      <c r="Q113" s="107"/>
      <c r="R113" s="111"/>
      <c r="S113" s="110"/>
      <c r="T113"/>
      <c r="U113"/>
      <c r="V113"/>
    </row>
    <row r="114" spans="1:22">
      <c r="A114" s="105">
        <v>1496</v>
      </c>
      <c r="B114" s="41">
        <v>12000000</v>
      </c>
      <c r="C114" s="41">
        <v>1.6999999999999999E-3</v>
      </c>
      <c r="D114" s="41">
        <v>4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POWER(POWER(Table210[[#This Row],[mv]],4)/10,0.25)</f>
        <v>9.5598025282359327E-4</v>
      </c>
      <c r="K114" s="41">
        <v>0</v>
      </c>
      <c r="L114" s="41">
        <v>55</v>
      </c>
      <c r="M114" s="41">
        <v>-1</v>
      </c>
      <c r="N114" s="41">
        <v>4</v>
      </c>
      <c r="O114" s="110" t="s">
        <v>2199</v>
      </c>
      <c r="P114" s="109">
        <v>193305</v>
      </c>
      <c r="Q114" s="107"/>
      <c r="R114" s="111"/>
      <c r="S114" s="110"/>
      <c r="T114"/>
      <c r="U114"/>
      <c r="V114"/>
    </row>
    <row r="115" spans="1:22">
      <c r="A115" s="105">
        <v>1497</v>
      </c>
      <c r="B115" s="41">
        <v>12000000</v>
      </c>
      <c r="C115" s="41">
        <v>1.6999999999999999E-3</v>
      </c>
      <c r="D115" s="41">
        <v>8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POWER(POWER(Table210[[#This Row],[mv]],4)/10,0.25)</f>
        <v>9.5598025282359327E-4</v>
      </c>
      <c r="K115" s="41">
        <v>0</v>
      </c>
      <c r="L115" s="41">
        <v>55</v>
      </c>
      <c r="M115" s="41">
        <v>-1</v>
      </c>
      <c r="N115" s="41">
        <v>4</v>
      </c>
      <c r="O115" s="110" t="s">
        <v>2200</v>
      </c>
      <c r="P115" s="109">
        <v>193305</v>
      </c>
      <c r="Q115" s="107"/>
      <c r="R115" s="111"/>
      <c r="S115" s="110"/>
      <c r="T115"/>
      <c r="U115"/>
      <c r="V115"/>
    </row>
    <row r="116" spans="1:22">
      <c r="A116" s="105">
        <v>1498</v>
      </c>
      <c r="B116" s="41">
        <v>12000000</v>
      </c>
      <c r="C116" s="41">
        <v>1.6999999999999999E-3</v>
      </c>
      <c r="D116" s="41">
        <v>16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POWER(POWER(Table210[[#This Row],[mv]],4)/10,0.25)</f>
        <v>9.5598025282359327E-4</v>
      </c>
      <c r="K116" s="41">
        <v>0</v>
      </c>
      <c r="L116" s="41">
        <v>55</v>
      </c>
      <c r="M116" s="41">
        <v>-1</v>
      </c>
      <c r="N116" s="41">
        <v>4</v>
      </c>
      <c r="O116" s="110" t="s">
        <v>2201</v>
      </c>
      <c r="P116" s="109">
        <v>193305</v>
      </c>
      <c r="Q116" s="107"/>
      <c r="R116" s="111"/>
      <c r="S116" s="110"/>
      <c r="T116"/>
      <c r="U116"/>
      <c r="V116"/>
    </row>
    <row r="117" spans="1:22">
      <c r="A117" s="105">
        <v>1499</v>
      </c>
      <c r="B117" s="41">
        <v>12000000</v>
      </c>
      <c r="C117" s="41">
        <v>1.9E-3</v>
      </c>
      <c r="D117" s="41">
        <v>1.4141999999999999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POWER(POWER(Table210[[#This Row],[mv]],4)/10,0.25)</f>
        <v>1.0684485178616638E-3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2202</v>
      </c>
      <c r="P117" s="109">
        <v>193305</v>
      </c>
      <c r="Q117" s="107"/>
      <c r="R117" s="111"/>
      <c r="S117" s="110"/>
      <c r="T117"/>
      <c r="U117"/>
      <c r="V117"/>
    </row>
    <row r="118" spans="1:22">
      <c r="A118" s="105">
        <v>1500</v>
      </c>
      <c r="B118" s="41">
        <v>12000000</v>
      </c>
      <c r="C118" s="41">
        <v>1.9E-3</v>
      </c>
      <c r="D118" s="41">
        <v>2.8283999999999998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POWER(POWER(Table210[[#This Row],[mv]],4)/10,0.25)</f>
        <v>1.0684485178616638E-3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2203</v>
      </c>
      <c r="P118" s="109">
        <v>193305</v>
      </c>
      <c r="Q118" s="107"/>
      <c r="R118" s="111"/>
      <c r="S118" s="110"/>
      <c r="T118"/>
      <c r="U118"/>
      <c r="V118"/>
    </row>
    <row r="119" spans="1:22">
      <c r="A119" s="105">
        <v>1501</v>
      </c>
      <c r="B119" s="41">
        <v>12000000</v>
      </c>
      <c r="C119" s="41">
        <v>1.9E-3</v>
      </c>
      <c r="D119" s="41">
        <v>5.6569000000000003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POWER(POWER(Table210[[#This Row],[mv]],4)/10,0.25)</f>
        <v>1.0684485178616638E-3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2204</v>
      </c>
      <c r="P119" s="109">
        <v>193305</v>
      </c>
      <c r="Q119" s="107"/>
      <c r="R119" s="111"/>
      <c r="S119" s="110"/>
      <c r="T119"/>
      <c r="U119"/>
      <c r="V119"/>
    </row>
    <row r="120" spans="1:22">
      <c r="A120" s="105">
        <v>1502</v>
      </c>
      <c r="B120" s="41">
        <v>12000000</v>
      </c>
      <c r="C120" s="41">
        <v>1.9E-3</v>
      </c>
      <c r="D120" s="41">
        <v>11.313700000000001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POWER(POWER(Table210[[#This Row],[mv]],4)/10,0.25)</f>
        <v>1.0684485178616638E-3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2205</v>
      </c>
      <c r="P120" s="109">
        <v>193305</v>
      </c>
      <c r="Q120" s="107"/>
      <c r="R120" s="111"/>
      <c r="S120" s="110"/>
      <c r="T120"/>
      <c r="U120"/>
      <c r="V120"/>
    </row>
    <row r="121" spans="1:22">
      <c r="A121" s="105">
        <v>1503</v>
      </c>
      <c r="B121" s="41">
        <v>12000000</v>
      </c>
      <c r="C121" s="41">
        <v>1.9E-3</v>
      </c>
      <c r="D121" s="41">
        <v>22.627400000000002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POWER(POWER(Table210[[#This Row],[mv]],4)/10,0.25)</f>
        <v>1.0684485178616638E-3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2206</v>
      </c>
      <c r="P121" s="109">
        <v>193305</v>
      </c>
      <c r="Q121" s="107"/>
      <c r="R121" s="111"/>
      <c r="S121" s="110"/>
      <c r="T121"/>
      <c r="U121"/>
      <c r="V121"/>
    </row>
    <row r="122" spans="1:22">
      <c r="A122" s="105">
        <v>1504</v>
      </c>
      <c r="B122" s="41">
        <v>12000000</v>
      </c>
      <c r="C122" s="41">
        <v>2.0999999999999999E-3</v>
      </c>
      <c r="D122" s="41">
        <v>1.4141999999999999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POWER(POWER(Table210[[#This Row],[mv]],4)/10,0.25)</f>
        <v>1.1809167828997333E-3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2207</v>
      </c>
      <c r="P122" s="109">
        <v>193306</v>
      </c>
      <c r="Q122" s="107"/>
      <c r="R122" s="111"/>
      <c r="S122" s="110" t="s">
        <v>2267</v>
      </c>
      <c r="T122"/>
      <c r="U122"/>
      <c r="V122"/>
    </row>
    <row r="123" spans="1:22">
      <c r="A123" s="105">
        <v>1505</v>
      </c>
      <c r="B123" s="41">
        <v>12000000</v>
      </c>
      <c r="C123" s="41">
        <v>2.0999999999999999E-3</v>
      </c>
      <c r="D123" s="41">
        <v>2.8283999999999998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POWER(POWER(Table210[[#This Row],[mv]],4)/10,0.25)</f>
        <v>1.1809167828997333E-3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2208</v>
      </c>
      <c r="P123" s="109">
        <v>193306</v>
      </c>
      <c r="Q123" s="107"/>
      <c r="R123" s="111"/>
      <c r="S123" s="110"/>
      <c r="T123"/>
      <c r="U123"/>
      <c r="V123"/>
    </row>
    <row r="124" spans="1:22">
      <c r="A124" s="105">
        <v>1506</v>
      </c>
      <c r="B124" s="41">
        <v>12000000</v>
      </c>
      <c r="C124" s="41">
        <v>2.0999999999999999E-3</v>
      </c>
      <c r="D124" s="41">
        <v>5.6569000000000003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POWER(POWER(Table210[[#This Row],[mv]],4)/10,0.25)</f>
        <v>1.1809167828997333E-3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2209</v>
      </c>
      <c r="P124" s="109">
        <v>193306</v>
      </c>
      <c r="Q124" s="107"/>
      <c r="R124" s="111"/>
      <c r="S124" s="110"/>
      <c r="T124"/>
      <c r="U124"/>
      <c r="V124"/>
    </row>
    <row r="125" spans="1:22">
      <c r="A125" s="105">
        <v>1507</v>
      </c>
      <c r="B125" s="41">
        <v>12000000</v>
      </c>
      <c r="C125" s="41">
        <v>2.0999999999999999E-3</v>
      </c>
      <c r="D125" s="41">
        <v>11.313700000000001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POWER(POWER(Table210[[#This Row],[mv]],4)/10,0.25)</f>
        <v>1.1809167828997333E-3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2210</v>
      </c>
      <c r="P125" s="109">
        <v>193306</v>
      </c>
      <c r="Q125" s="107"/>
      <c r="R125" s="111"/>
      <c r="S125" s="110"/>
      <c r="T125"/>
      <c r="U125"/>
      <c r="V125"/>
    </row>
    <row r="126" spans="1:22">
      <c r="A126" s="105">
        <v>1508</v>
      </c>
      <c r="B126" s="41">
        <v>12000000</v>
      </c>
      <c r="C126" s="41">
        <v>2.0999999999999999E-3</v>
      </c>
      <c r="D126" s="41">
        <v>22.627400000000002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POWER(POWER(Table210[[#This Row],[mv]],4)/10,0.25)</f>
        <v>1.1809167828997333E-3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2211</v>
      </c>
      <c r="P126" s="109">
        <v>193306</v>
      </c>
      <c r="Q126" s="107"/>
      <c r="R126" s="111"/>
      <c r="S126" s="110"/>
      <c r="T126"/>
      <c r="U126"/>
      <c r="V126"/>
    </row>
    <row r="127" spans="1:22">
      <c r="A127" s="105">
        <v>1509</v>
      </c>
      <c r="B127" s="41">
        <v>12000000</v>
      </c>
      <c r="C127" s="41">
        <v>2.3E-3</v>
      </c>
      <c r="D127" s="41">
        <v>2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POWER(POWER(Table210[[#This Row],[mv]],4)/10,0.25)</f>
        <v>1.2933850479378026E-3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2212</v>
      </c>
      <c r="P127" s="109">
        <v>193306</v>
      </c>
      <c r="Q127" s="107"/>
      <c r="R127" s="111"/>
      <c r="S127" s="110"/>
      <c r="T127"/>
      <c r="U127"/>
      <c r="V127"/>
    </row>
    <row r="128" spans="1:22">
      <c r="A128" s="105">
        <v>1510</v>
      </c>
      <c r="B128" s="41">
        <v>12000000</v>
      </c>
      <c r="C128" s="41">
        <v>2.3E-3</v>
      </c>
      <c r="D128" s="41">
        <v>4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POWER(POWER(Table210[[#This Row],[mv]],4)/10,0.25)</f>
        <v>1.2933850479378026E-3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2213</v>
      </c>
      <c r="P128" s="109">
        <v>193306</v>
      </c>
      <c r="Q128" s="107"/>
      <c r="R128" s="111"/>
      <c r="S128" s="110"/>
      <c r="T128"/>
      <c r="U128"/>
      <c r="V128"/>
    </row>
    <row r="129" spans="1:22">
      <c r="A129" s="105">
        <v>1511</v>
      </c>
      <c r="B129" s="41">
        <v>12000000</v>
      </c>
      <c r="C129" s="41">
        <v>2.3E-3</v>
      </c>
      <c r="D129" s="41">
        <v>8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POWER(POWER(Table210[[#This Row],[mv]],4)/10,0.25)</f>
        <v>1.2933850479378026E-3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2214</v>
      </c>
      <c r="P129" s="109">
        <v>193306</v>
      </c>
      <c r="Q129" s="107"/>
      <c r="R129" s="111"/>
      <c r="S129" s="110"/>
      <c r="T129"/>
      <c r="U129"/>
      <c r="V129"/>
    </row>
    <row r="130" spans="1:22">
      <c r="A130" s="105">
        <v>1512</v>
      </c>
      <c r="B130" s="41">
        <v>12000000</v>
      </c>
      <c r="C130" s="41">
        <v>2.3E-3</v>
      </c>
      <c r="D130" s="41">
        <v>16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POWER(POWER(Table210[[#This Row],[mv]],4)/10,0.25)</f>
        <v>1.2933850479378026E-3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2215</v>
      </c>
      <c r="P130" s="109">
        <v>193306</v>
      </c>
      <c r="Q130" s="107"/>
      <c r="R130" s="111"/>
      <c r="S130" s="110"/>
      <c r="T130"/>
      <c r="U130"/>
      <c r="V130"/>
    </row>
    <row r="131" spans="1:22">
      <c r="A131" s="105">
        <v>1513</v>
      </c>
      <c r="B131" s="41">
        <v>12000000</v>
      </c>
      <c r="C131" s="41">
        <v>2.3E-3</v>
      </c>
      <c r="D131" s="41">
        <v>32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POWER(POWER(Table210[[#This Row],[mv]],4)/10,0.25)</f>
        <v>1.2933850479378026E-3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2216</v>
      </c>
      <c r="P131" s="109">
        <v>193306</v>
      </c>
      <c r="Q131" s="107"/>
      <c r="R131" s="111"/>
      <c r="S131" s="110"/>
      <c r="T131"/>
      <c r="U131"/>
      <c r="V131"/>
    </row>
    <row r="132" spans="1:22">
      <c r="A132" s="105">
        <v>1514</v>
      </c>
      <c r="B132" s="41">
        <v>12000000</v>
      </c>
      <c r="C132" s="41">
        <v>2.5000000000000001E-3</v>
      </c>
      <c r="D132" s="41">
        <v>2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POWER(POWER(Table210[[#This Row],[mv]],4)/10,0.25)</f>
        <v>1.4058533129758727E-3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2217</v>
      </c>
      <c r="P132" s="109">
        <v>193306</v>
      </c>
      <c r="Q132" s="107"/>
      <c r="R132" s="111"/>
      <c r="S132" s="110"/>
      <c r="T132"/>
      <c r="U132"/>
      <c r="V132"/>
    </row>
    <row r="133" spans="1:22">
      <c r="A133" s="105">
        <v>1515</v>
      </c>
      <c r="B133" s="41">
        <v>12000000</v>
      </c>
      <c r="C133" s="41">
        <v>2.5000000000000001E-3</v>
      </c>
      <c r="D133" s="41">
        <v>4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POWER(POWER(Table210[[#This Row],[mv]],4)/10,0.25)</f>
        <v>1.4058533129758727E-3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2218</v>
      </c>
      <c r="P133" s="109">
        <v>193306</v>
      </c>
      <c r="Q133" s="107"/>
      <c r="R133" s="111"/>
      <c r="S133" s="110"/>
      <c r="T133"/>
      <c r="U133"/>
      <c r="V133"/>
    </row>
    <row r="134" spans="1:22">
      <c r="A134" s="105">
        <v>1516</v>
      </c>
      <c r="B134" s="41">
        <v>12000000</v>
      </c>
      <c r="C134" s="41">
        <v>2.5000000000000001E-3</v>
      </c>
      <c r="D134" s="41">
        <v>8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POWER(POWER(Table210[[#This Row],[mv]],4)/10,0.25)</f>
        <v>1.4058533129758727E-3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2219</v>
      </c>
      <c r="P134" s="109">
        <v>193306</v>
      </c>
      <c r="Q134" s="107"/>
      <c r="R134" s="111"/>
      <c r="S134" s="110"/>
      <c r="T134"/>
      <c r="U134"/>
      <c r="V134"/>
    </row>
    <row r="135" spans="1:22">
      <c r="A135" s="105">
        <v>1517</v>
      </c>
      <c r="B135" s="41">
        <v>12000000</v>
      </c>
      <c r="C135" s="41">
        <v>2.5000000000000001E-3</v>
      </c>
      <c r="D135" s="41">
        <v>16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POWER(POWER(Table210[[#This Row],[mv]],4)/10,0.25)</f>
        <v>1.4058533129758727E-3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2220</v>
      </c>
      <c r="P135" s="109">
        <v>193306</v>
      </c>
      <c r="Q135" s="107"/>
      <c r="R135" s="111"/>
      <c r="S135" s="110"/>
      <c r="T135"/>
      <c r="U135"/>
      <c r="V135"/>
    </row>
    <row r="136" spans="1:22">
      <c r="A136" s="105">
        <v>1518</v>
      </c>
      <c r="B136" s="41">
        <v>12000000</v>
      </c>
      <c r="C136" s="41">
        <v>2.5000000000000001E-3</v>
      </c>
      <c r="D136" s="41">
        <v>32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POWER(POWER(Table210[[#This Row],[mv]],4)/10,0.25)</f>
        <v>1.4058533129758727E-3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2221</v>
      </c>
      <c r="P136" s="109">
        <v>193306</v>
      </c>
      <c r="Q136" s="107"/>
      <c r="R136" s="111"/>
      <c r="S136" s="110"/>
      <c r="T136"/>
      <c r="U136"/>
      <c r="V136"/>
    </row>
    <row r="137" spans="1:22">
      <c r="A137" s="105">
        <v>1519</v>
      </c>
      <c r="B137" s="41">
        <v>12000000</v>
      </c>
      <c r="C137" s="41">
        <v>2.7000000000000001E-3</v>
      </c>
      <c r="D137" s="41">
        <v>2.8283999999999998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POWER(POWER(Table210[[#This Row],[mv]],4)/10,0.25)</f>
        <v>1.5183215780139423E-3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2222</v>
      </c>
      <c r="P137" s="109">
        <v>193306</v>
      </c>
      <c r="Q137" s="107"/>
      <c r="R137" s="111"/>
      <c r="S137" s="110"/>
      <c r="T137"/>
      <c r="U137"/>
      <c r="V137"/>
    </row>
    <row r="138" spans="1:22">
      <c r="A138" s="105">
        <v>1520</v>
      </c>
      <c r="B138" s="41">
        <v>12000000</v>
      </c>
      <c r="C138" s="41">
        <v>2.7000000000000001E-3</v>
      </c>
      <c r="D138" s="41">
        <v>5.6569000000000003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POWER(POWER(Table210[[#This Row],[mv]],4)/10,0.25)</f>
        <v>1.5183215780139423E-3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2223</v>
      </c>
      <c r="P138" s="109">
        <v>193392</v>
      </c>
      <c r="Q138" s="107"/>
      <c r="R138" s="111"/>
      <c r="S138" s="110" t="s">
        <v>2267</v>
      </c>
      <c r="T138"/>
      <c r="U138"/>
      <c r="V138"/>
    </row>
    <row r="139" spans="1:22">
      <c r="A139" s="105">
        <v>1521</v>
      </c>
      <c r="B139" s="41">
        <v>12000000</v>
      </c>
      <c r="C139" s="41">
        <v>2.7000000000000001E-3</v>
      </c>
      <c r="D139" s="41">
        <v>11.313700000000001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POWER(POWER(Table210[[#This Row],[mv]],4)/10,0.25)</f>
        <v>1.5183215780139423E-3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2224</v>
      </c>
      <c r="P139" s="109">
        <v>193392</v>
      </c>
      <c r="Q139" s="107"/>
      <c r="R139" s="111"/>
      <c r="S139" s="110"/>
      <c r="T139"/>
      <c r="U139"/>
      <c r="V139"/>
    </row>
    <row r="140" spans="1:22">
      <c r="A140" s="105">
        <v>1522</v>
      </c>
      <c r="B140" s="41">
        <v>12000000</v>
      </c>
      <c r="C140" s="41">
        <v>2.7000000000000001E-3</v>
      </c>
      <c r="D140" s="41">
        <v>22.627400000000002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POWER(POWER(Table210[[#This Row],[mv]],4)/10,0.25)</f>
        <v>1.5183215780139423E-3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2225</v>
      </c>
      <c r="P140" s="109">
        <v>193392</v>
      </c>
      <c r="Q140" s="107"/>
      <c r="R140" s="111"/>
      <c r="S140" s="110"/>
      <c r="T140"/>
      <c r="U140"/>
      <c r="V140"/>
    </row>
    <row r="141" spans="1:22">
      <c r="A141" s="105">
        <v>1523</v>
      </c>
      <c r="B141" s="41">
        <v>12000000</v>
      </c>
      <c r="C141" s="41">
        <v>2.7000000000000001E-3</v>
      </c>
      <c r="D141" s="41">
        <v>45.254800000000003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POWER(POWER(Table210[[#This Row],[mv]],4)/10,0.25)</f>
        <v>1.5183215780139423E-3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2226</v>
      </c>
      <c r="P141" s="109">
        <v>193392</v>
      </c>
      <c r="Q141" s="107"/>
      <c r="R141" s="111"/>
      <c r="S141" s="110"/>
      <c r="T141"/>
      <c r="U141"/>
      <c r="V141"/>
    </row>
    <row r="142" spans="1:22">
      <c r="A142" s="105">
        <v>1524</v>
      </c>
      <c r="B142" s="41">
        <v>12000000</v>
      </c>
      <c r="C142" s="41">
        <v>2.8999999999999998E-3</v>
      </c>
      <c r="D142" s="41">
        <v>4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POWER(POWER(Table210[[#This Row],[mv]],4)/10,0.25)</f>
        <v>1.6307898430520129E-3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2227</v>
      </c>
      <c r="P142" s="109">
        <v>193306</v>
      </c>
      <c r="Q142" s="107"/>
      <c r="R142" s="111"/>
      <c r="S142" s="110" t="s">
        <v>2267</v>
      </c>
      <c r="T142"/>
      <c r="U142"/>
      <c r="V142"/>
    </row>
    <row r="143" spans="1:22">
      <c r="A143" s="105">
        <v>1525</v>
      </c>
      <c r="B143" s="41">
        <v>12000000</v>
      </c>
      <c r="C143" s="41">
        <v>2.8999999999999998E-3</v>
      </c>
      <c r="D143" s="41">
        <v>8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POWER(POWER(Table210[[#This Row],[mv]],4)/10,0.25)</f>
        <v>1.6307898430520129E-3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2228</v>
      </c>
      <c r="P143" s="109">
        <v>193306</v>
      </c>
      <c r="Q143" s="107"/>
      <c r="R143" s="111"/>
      <c r="S143" s="110"/>
      <c r="T143"/>
      <c r="U143"/>
      <c r="V143"/>
    </row>
    <row r="144" spans="1:22">
      <c r="A144" s="105">
        <v>1526</v>
      </c>
      <c r="B144" s="41">
        <v>12000000</v>
      </c>
      <c r="C144" s="41">
        <v>2.8999999999999998E-3</v>
      </c>
      <c r="D144" s="41">
        <v>16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POWER(POWER(Table210[[#This Row],[mv]],4)/10,0.25)</f>
        <v>1.6307898430520129E-3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2229</v>
      </c>
      <c r="P144" s="109">
        <v>193306</v>
      </c>
      <c r="Q144" s="107"/>
      <c r="R144" s="111"/>
      <c r="S144" s="110"/>
      <c r="T144"/>
      <c r="U144"/>
      <c r="V144"/>
    </row>
    <row r="145" spans="1:22">
      <c r="A145" s="105">
        <v>1527</v>
      </c>
      <c r="B145" s="41">
        <v>12000000</v>
      </c>
      <c r="C145" s="41">
        <v>2.8999999999999998E-3</v>
      </c>
      <c r="D145" s="41">
        <v>32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POWER(POWER(Table210[[#This Row],[mv]],4)/10,0.25)</f>
        <v>1.6307898430520129E-3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2230</v>
      </c>
      <c r="P145" s="109">
        <v>193306</v>
      </c>
      <c r="Q145" s="107"/>
      <c r="R145" s="111"/>
      <c r="S145" s="110"/>
      <c r="T145"/>
      <c r="U145"/>
      <c r="V145"/>
    </row>
    <row r="146" spans="1:22">
      <c r="A146" s="105">
        <v>1528</v>
      </c>
      <c r="B146" s="41">
        <v>12000000</v>
      </c>
      <c r="C146" s="41">
        <v>3.2000000000000002E-3</v>
      </c>
      <c r="D146" s="41">
        <v>4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POWER(POWER(Table210[[#This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2231</v>
      </c>
      <c r="P146" s="109">
        <v>193306</v>
      </c>
      <c r="Q146" s="107"/>
      <c r="R146" s="111"/>
      <c r="S146" s="110"/>
      <c r="T146"/>
      <c r="U146"/>
      <c r="V146"/>
    </row>
    <row r="147" spans="1:22">
      <c r="A147" s="105">
        <v>1529</v>
      </c>
      <c r="B147" s="41">
        <v>12000000</v>
      </c>
      <c r="C147" s="41">
        <v>3.2000000000000002E-3</v>
      </c>
      <c r="D147" s="41">
        <v>8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POWER(POWER(Table210[[#This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2232</v>
      </c>
      <c r="P147" s="109">
        <v>193306</v>
      </c>
      <c r="Q147" s="107"/>
      <c r="R147" s="111"/>
      <c r="S147" s="110"/>
      <c r="T147"/>
      <c r="U147"/>
      <c r="V147"/>
    </row>
    <row r="148" spans="1:22">
      <c r="A148" s="105">
        <v>1530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POWER(POWER(Table210[[#This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2233</v>
      </c>
      <c r="P148" s="109">
        <v>193306</v>
      </c>
      <c r="Q148" s="107"/>
      <c r="R148" s="111"/>
      <c r="S148" s="110"/>
      <c r="T148"/>
      <c r="U148"/>
      <c r="V148"/>
    </row>
    <row r="149" spans="1:22">
      <c r="A149" s="105">
        <v>1531</v>
      </c>
      <c r="B149" s="41">
        <v>12000000</v>
      </c>
      <c r="C149" s="41">
        <v>3.2000000000000002E-3</v>
      </c>
      <c r="D149" s="41">
        <v>32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POWER(POWER(Table210[[#This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2234</v>
      </c>
      <c r="P149" s="109">
        <v>193306</v>
      </c>
      <c r="Q149" s="107"/>
      <c r="R149" s="111"/>
      <c r="S149" s="110"/>
      <c r="T149"/>
      <c r="U149"/>
      <c r="V149"/>
    </row>
    <row r="150" spans="1:22">
      <c r="A150" s="105">
        <v>1532</v>
      </c>
      <c r="B150" s="41">
        <v>12000000</v>
      </c>
      <c r="C150" s="41">
        <v>3.5000000000000001E-3</v>
      </c>
      <c r="D150" s="41">
        <v>4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POWER(POWER(Table210[[#This Row],[mv]],4)/10,0.25)</f>
        <v>1.9681946381662216E-3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2235</v>
      </c>
      <c r="P150" s="109">
        <v>193306</v>
      </c>
      <c r="Q150" s="107"/>
      <c r="R150" s="111"/>
      <c r="S150" s="110"/>
      <c r="T150"/>
      <c r="U150"/>
      <c r="V150"/>
    </row>
    <row r="151" spans="1:22">
      <c r="A151" s="105">
        <v>1533</v>
      </c>
      <c r="B151" s="41">
        <v>12000000</v>
      </c>
      <c r="C151" s="41">
        <v>3.5000000000000001E-3</v>
      </c>
      <c r="D151" s="41">
        <v>8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POWER(POWER(Table210[[#This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2236</v>
      </c>
      <c r="P151" s="109">
        <v>193306</v>
      </c>
      <c r="Q151" s="107"/>
      <c r="R151" s="111"/>
      <c r="S151" s="110"/>
      <c r="T151"/>
      <c r="U151"/>
      <c r="V151"/>
    </row>
    <row r="152" spans="1:22">
      <c r="A152" s="105">
        <v>1534</v>
      </c>
      <c r="B152" s="41">
        <v>12000000</v>
      </c>
      <c r="C152" s="41">
        <v>3.5000000000000001E-3</v>
      </c>
      <c r="D152" s="41">
        <v>16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POWER(POWER(Table210[[#This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2237</v>
      </c>
      <c r="P152" s="109">
        <v>193362</v>
      </c>
      <c r="Q152" s="107"/>
      <c r="R152" s="111"/>
      <c r="S152" s="110" t="s">
        <v>2267</v>
      </c>
      <c r="T152"/>
      <c r="U152"/>
      <c r="V152"/>
    </row>
    <row r="153" spans="1:22">
      <c r="A153" s="105">
        <v>1535</v>
      </c>
      <c r="B153" s="41">
        <v>12000000</v>
      </c>
      <c r="C153" s="41">
        <v>3.5000000000000001E-3</v>
      </c>
      <c r="D153" s="41">
        <v>32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POWER(POWER(Table210[[#This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2238</v>
      </c>
      <c r="P153" s="109">
        <v>193362</v>
      </c>
      <c r="Q153" s="107"/>
      <c r="R153" s="111"/>
      <c r="S153" s="110"/>
      <c r="T153"/>
      <c r="U153"/>
      <c r="V153"/>
    </row>
    <row r="154" spans="1:22">
      <c r="A154" s="105">
        <v>1536</v>
      </c>
      <c r="B154" s="41">
        <v>12000000</v>
      </c>
      <c r="C154" s="41">
        <v>3.8E-3</v>
      </c>
      <c r="D154" s="41">
        <v>5.6569000000000003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POWER(POWER(Table210[[#This Row],[mv]],4)/10,0.25)</f>
        <v>2.1368970357233258E-3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2239</v>
      </c>
      <c r="P154" s="109">
        <v>193362</v>
      </c>
      <c r="Q154" s="107"/>
      <c r="R154" s="111"/>
      <c r="S154" s="110"/>
      <c r="T154"/>
      <c r="U154"/>
      <c r="V154"/>
    </row>
    <row r="155" spans="1:22">
      <c r="A155" s="105">
        <v>1537</v>
      </c>
      <c r="B155" s="41">
        <v>12000000</v>
      </c>
      <c r="C155" s="41">
        <v>3.8E-3</v>
      </c>
      <c r="D155" s="41">
        <v>11.313700000000001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POWER(POWER(Table210[[#This Row],[mv]],4)/10,0.25)</f>
        <v>2.1368970357233258E-3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2240</v>
      </c>
      <c r="P155" s="109">
        <v>193362</v>
      </c>
      <c r="Q155" s="107"/>
      <c r="R155" s="111"/>
      <c r="S155" s="110"/>
      <c r="T155"/>
      <c r="U155"/>
      <c r="V155"/>
    </row>
    <row r="156" spans="1:22">
      <c r="A156" s="105">
        <v>1538</v>
      </c>
      <c r="B156" s="41">
        <v>12000000</v>
      </c>
      <c r="C156" s="41">
        <v>3.8E-3</v>
      </c>
      <c r="D156" s="41">
        <v>22.627400000000002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POWER(POWER(Table210[[#This Row],[mv]],4)/10,0.25)</f>
        <v>2.1368970357233258E-3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2241</v>
      </c>
      <c r="P156" s="109">
        <v>193362</v>
      </c>
      <c r="Q156" s="107"/>
      <c r="R156" s="111"/>
      <c r="S156" s="110"/>
      <c r="T156"/>
      <c r="U156"/>
      <c r="V156"/>
    </row>
    <row r="157" spans="1:22">
      <c r="A157" s="105">
        <v>1539</v>
      </c>
      <c r="B157" s="41">
        <v>12000000</v>
      </c>
      <c r="C157" s="41">
        <v>3.8E-3</v>
      </c>
      <c r="D157" s="41">
        <v>45.254800000000003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POWER(POWER(Table210[[#This Row],[mv]],4)/10,0.25)</f>
        <v>2.1368970357233258E-3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2242</v>
      </c>
      <c r="P157" s="109">
        <v>193362</v>
      </c>
      <c r="Q157" s="107"/>
      <c r="R157" s="111"/>
      <c r="S157" s="110"/>
      <c r="T157"/>
      <c r="U157"/>
      <c r="V157"/>
    </row>
    <row r="158" spans="1:22">
      <c r="A158" s="105">
        <v>1540</v>
      </c>
      <c r="B158" s="41">
        <v>12000000</v>
      </c>
      <c r="C158" s="41">
        <v>4.1999999999999997E-3</v>
      </c>
      <c r="D158" s="41">
        <v>8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POWER(POWER(Table210[[#This Row],[mv]],4)/10,0.25)</f>
        <v>2.361833565799467E-3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2243</v>
      </c>
      <c r="P158" s="109">
        <v>193362</v>
      </c>
      <c r="Q158" s="107"/>
      <c r="R158" s="111"/>
      <c r="S158" s="110"/>
      <c r="T158"/>
      <c r="U158"/>
      <c r="V158"/>
    </row>
    <row r="159" spans="1:22">
      <c r="A159" s="105">
        <v>1541</v>
      </c>
      <c r="B159" s="41">
        <v>12000000</v>
      </c>
      <c r="C159" s="41">
        <v>4.1999999999999997E-3</v>
      </c>
      <c r="D159" s="41">
        <v>16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POWER(POWER(Table210[[#This Row],[mv]],4)/10,0.25)</f>
        <v>2.361833565799467E-3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2244</v>
      </c>
      <c r="P159" s="109">
        <v>193362</v>
      </c>
      <c r="Q159" s="107"/>
      <c r="R159" s="111"/>
      <c r="S159" s="110"/>
      <c r="T159"/>
      <c r="U159"/>
      <c r="V159"/>
    </row>
    <row r="160" spans="1:22">
      <c r="A160" s="105">
        <v>1542</v>
      </c>
      <c r="B160" s="41">
        <v>12000000</v>
      </c>
      <c r="C160" s="41">
        <v>4.1999999999999997E-3</v>
      </c>
      <c r="D160" s="41">
        <v>32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POWER(POWER(Table210[[#This Row],[mv]],4)/10,0.25)</f>
        <v>2.361833565799467E-3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2245</v>
      </c>
      <c r="P160" s="109">
        <v>193362</v>
      </c>
      <c r="Q160" s="107"/>
      <c r="R160" s="111"/>
      <c r="S160" s="110"/>
      <c r="T160"/>
      <c r="U160"/>
      <c r="V160"/>
    </row>
    <row r="161" spans="1:22">
      <c r="A161" s="105">
        <v>1543</v>
      </c>
      <c r="B161" s="41">
        <v>12000000</v>
      </c>
      <c r="C161" s="41">
        <v>4.4999999999999997E-3</v>
      </c>
      <c r="D161" s="41">
        <v>8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POWER(POWER(Table210[[#This Row],[mv]],4)/10,0.25)</f>
        <v>2.5305359633565699E-3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2246</v>
      </c>
      <c r="P161" s="109">
        <v>193362</v>
      </c>
      <c r="Q161" s="107"/>
      <c r="R161" s="111"/>
      <c r="S161" s="110"/>
      <c r="T161"/>
      <c r="U161"/>
      <c r="V161"/>
    </row>
    <row r="162" spans="1:22">
      <c r="A162" s="105">
        <v>1544</v>
      </c>
      <c r="B162" s="41">
        <v>12000000</v>
      </c>
      <c r="C162" s="41">
        <v>4.4999999999999997E-3</v>
      </c>
      <c r="D162" s="41">
        <v>16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POWER(POWER(Table210[[#This Row],[mv]],4)/10,0.25)</f>
        <v>2.5305359633565699E-3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2247</v>
      </c>
      <c r="P162" s="109">
        <v>193362</v>
      </c>
      <c r="Q162" s="107"/>
      <c r="R162" s="111"/>
      <c r="S162" s="110"/>
      <c r="T162"/>
      <c r="U162"/>
      <c r="V162"/>
    </row>
    <row r="163" spans="1:22">
      <c r="A163" s="105">
        <v>1545</v>
      </c>
      <c r="B163" s="41">
        <v>12000000</v>
      </c>
      <c r="C163" s="41">
        <v>4.4999999999999997E-3</v>
      </c>
      <c r="D163" s="41">
        <v>32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POWER(POWER(Table210[[#This Row],[mv]],4)/10,0.25)</f>
        <v>2.5305359633565699E-3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2248</v>
      </c>
      <c r="P163" s="109">
        <v>193362</v>
      </c>
      <c r="Q163" s="107"/>
      <c r="R163" s="111"/>
      <c r="S163" s="110"/>
      <c r="T163"/>
      <c r="U163"/>
      <c r="V163"/>
    </row>
    <row r="164" spans="1:22">
      <c r="A164" s="105">
        <v>1546</v>
      </c>
      <c r="B164" s="41">
        <v>12000000</v>
      </c>
      <c r="C164" s="41">
        <v>4.8999999999999998E-3</v>
      </c>
      <c r="D164" s="41">
        <v>8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POWER(POWER(Table210[[#This Row],[mv]],4)/10,0.25)</f>
        <v>2.7554724934327106E-3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2249</v>
      </c>
      <c r="P164" s="109">
        <v>193362</v>
      </c>
      <c r="Q164" s="107"/>
      <c r="R164" s="111"/>
      <c r="S164" s="110"/>
      <c r="T164"/>
      <c r="U164"/>
      <c r="V164"/>
    </row>
    <row r="165" spans="1:22">
      <c r="A165" s="105">
        <v>1547</v>
      </c>
      <c r="B165" s="41">
        <v>12000000</v>
      </c>
      <c r="C165" s="41">
        <v>4.8999999999999998E-3</v>
      </c>
      <c r="D165" s="41">
        <v>16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POWER(POWER(Table210[[#This Row],[mv]],4)/10,0.25)</f>
        <v>2.7554724934327106E-3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2250</v>
      </c>
      <c r="P165" s="109">
        <v>193362</v>
      </c>
      <c r="Q165" s="107"/>
      <c r="R165" s="111"/>
      <c r="S165" s="110"/>
      <c r="T165"/>
      <c r="U165"/>
      <c r="V165"/>
    </row>
    <row r="166" spans="1:22">
      <c r="A166" s="105">
        <v>1548</v>
      </c>
      <c r="B166" s="41">
        <v>12000000</v>
      </c>
      <c r="C166" s="41">
        <v>4.8999999999999998E-3</v>
      </c>
      <c r="D166" s="41">
        <v>32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POWER(POWER(Table210[[#This Row],[mv]],4)/10,0.25)</f>
        <v>2.7554724934327106E-3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2251</v>
      </c>
      <c r="P166" s="109">
        <v>193362</v>
      </c>
      <c r="Q166" s="107"/>
      <c r="R166" s="111"/>
      <c r="S166" s="110"/>
      <c r="T166"/>
      <c r="U166"/>
      <c r="V166"/>
    </row>
    <row r="167" spans="1:22">
      <c r="A167" s="105">
        <v>1549</v>
      </c>
      <c r="B167" s="41">
        <v>12000000</v>
      </c>
      <c r="C167" s="41">
        <v>5.4000000000000003E-3</v>
      </c>
      <c r="D167" s="41">
        <v>11.313700000000001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POWER(POWER(Table210[[#This Row],[mv]],4)/10,0.25)</f>
        <v>3.0366431560278845E-3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2252</v>
      </c>
      <c r="P167" s="109">
        <v>193362</v>
      </c>
      <c r="Q167" s="107"/>
      <c r="R167" s="111"/>
      <c r="S167" s="110"/>
      <c r="T167"/>
      <c r="U167"/>
      <c r="V167"/>
    </row>
    <row r="168" spans="1:22">
      <c r="A168" s="105">
        <v>1550</v>
      </c>
      <c r="B168" s="41">
        <v>12000000</v>
      </c>
      <c r="C168" s="41">
        <v>5.4000000000000003E-3</v>
      </c>
      <c r="D168" s="41">
        <v>22.627400000000002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POWER(POWER(Table210[[#This Row],[mv]],4)/10,0.25)</f>
        <v>3.0366431560278845E-3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2253</v>
      </c>
      <c r="P168" s="109">
        <v>193362</v>
      </c>
      <c r="Q168" s="107"/>
      <c r="R168" s="111"/>
      <c r="S168" s="110"/>
      <c r="T168"/>
      <c r="U168"/>
      <c r="V168"/>
    </row>
    <row r="169" spans="1:22">
      <c r="A169" s="105">
        <v>1551</v>
      </c>
      <c r="B169" s="41">
        <v>12000000</v>
      </c>
      <c r="C169" s="41">
        <v>5.4000000000000003E-3</v>
      </c>
      <c r="D169" s="41">
        <v>45.254800000000003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POWER(POWER(Table210[[#This Row],[mv]],4)/10,0.25)</f>
        <v>3.0366431560278845E-3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2254</v>
      </c>
      <c r="P169" s="109">
        <v>193362</v>
      </c>
      <c r="Q169" s="107"/>
      <c r="R169" s="111"/>
      <c r="S169" s="110"/>
      <c r="T169"/>
      <c r="U169"/>
      <c r="V169"/>
    </row>
    <row r="170" spans="1:22">
      <c r="A170" s="105">
        <v>1552</v>
      </c>
      <c r="B170" s="41">
        <v>12000000</v>
      </c>
      <c r="C170" s="41">
        <v>5.8999999999999999E-3</v>
      </c>
      <c r="D170" s="41">
        <v>16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POWER(POWER(Table210[[#This Row],[mv]],4)/10,0.25)</f>
        <v>3.3178138186230597E-3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2255</v>
      </c>
      <c r="P170" s="109">
        <v>193362</v>
      </c>
      <c r="Q170" s="107"/>
      <c r="R170" s="111"/>
      <c r="S170" s="110"/>
      <c r="T170"/>
      <c r="U170"/>
      <c r="V170"/>
    </row>
    <row r="171" spans="1:22">
      <c r="A171" s="105">
        <v>1553</v>
      </c>
      <c r="B171" s="41">
        <v>12000000</v>
      </c>
      <c r="C171" s="41">
        <v>5.8999999999999999E-3</v>
      </c>
      <c r="D171" s="41">
        <v>32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POWER(POWER(Table210[[#This Row],[mv]],4)/10,0.25)</f>
        <v>3.3178138186230597E-3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2256</v>
      </c>
      <c r="P171" s="109">
        <v>193362</v>
      </c>
      <c r="Q171" s="107"/>
      <c r="R171" s="111"/>
      <c r="S171" s="110"/>
      <c r="T171"/>
      <c r="U171"/>
      <c r="V171"/>
    </row>
    <row r="172" spans="1:22">
      <c r="A172" s="105">
        <v>1554</v>
      </c>
      <c r="B172" s="41">
        <v>12000000</v>
      </c>
      <c r="C172" s="41">
        <v>6.4000000000000003E-3</v>
      </c>
      <c r="D172" s="41">
        <v>16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POWER(POWER(Table210[[#This Row],[mv]],4)/10,0.25)</f>
        <v>3.5989844812182349E-3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2257</v>
      </c>
      <c r="P172" s="109">
        <v>193362</v>
      </c>
      <c r="Q172" s="107"/>
      <c r="R172" s="111"/>
      <c r="S172" s="110"/>
      <c r="T172"/>
      <c r="U172"/>
      <c r="V172"/>
    </row>
    <row r="173" spans="1:22">
      <c r="A173" s="105">
        <v>1555</v>
      </c>
      <c r="B173" s="41">
        <v>12000000</v>
      </c>
      <c r="C173" s="41">
        <v>6.4000000000000003E-3</v>
      </c>
      <c r="D173" s="41">
        <v>32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POWER(POWER(Table210[[#This Row],[mv]],4)/10,0.25)</f>
        <v>3.5989844812182349E-3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2258</v>
      </c>
      <c r="P173" s="109">
        <v>193362</v>
      </c>
      <c r="Q173" s="107"/>
      <c r="R173" s="111"/>
      <c r="S173" s="110"/>
      <c r="T173"/>
      <c r="U173"/>
      <c r="V173"/>
    </row>
    <row r="174" spans="1:22">
      <c r="A174" s="105">
        <v>1556</v>
      </c>
      <c r="B174" s="41">
        <v>12000000</v>
      </c>
      <c r="C174" s="41">
        <v>7.0000000000000001E-3</v>
      </c>
      <c r="D174" s="41">
        <v>16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POWER(POWER(Table210[[#This Row],[mv]],4)/10,0.25)</f>
        <v>3.9363892763324441E-3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2259</v>
      </c>
      <c r="P174" s="109">
        <v>193362</v>
      </c>
      <c r="Q174" s="107"/>
      <c r="R174" s="111"/>
      <c r="S174" s="110"/>
      <c r="T174"/>
      <c r="U174"/>
      <c r="V174"/>
    </row>
    <row r="175" spans="1:22">
      <c r="A175" s="105">
        <v>1557</v>
      </c>
      <c r="B175" s="41">
        <v>12000000</v>
      </c>
      <c r="C175" s="41">
        <v>7.0000000000000001E-3</v>
      </c>
      <c r="D175" s="41">
        <v>32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POWER(POWER(Table210[[#This Row],[mv]],4)/10,0.25)</f>
        <v>3.9363892763324441E-3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2260</v>
      </c>
      <c r="P175" s="109">
        <v>193362</v>
      </c>
      <c r="Q175" s="107"/>
      <c r="R175" s="111"/>
      <c r="S175" s="110"/>
      <c r="T175"/>
      <c r="U175"/>
      <c r="V175"/>
    </row>
    <row r="176" spans="1:22">
      <c r="A176" s="105">
        <v>1558</v>
      </c>
      <c r="B176" s="41">
        <v>12000000</v>
      </c>
      <c r="C176" s="41">
        <v>7.6E-3</v>
      </c>
      <c r="D176" s="41">
        <v>22.627400000000002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POWER(POWER(Table210[[#This Row],[mv]],4)/10,0.25)</f>
        <v>4.2737940714466516E-3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2261</v>
      </c>
      <c r="P176" s="109">
        <v>193362</v>
      </c>
      <c r="Q176" s="107"/>
      <c r="R176" s="111"/>
      <c r="S176" s="110"/>
      <c r="T176"/>
      <c r="U176"/>
      <c r="V176"/>
    </row>
    <row r="177" spans="1:22">
      <c r="A177" s="105">
        <v>1559</v>
      </c>
      <c r="B177" s="41">
        <v>12000000</v>
      </c>
      <c r="C177" s="41">
        <v>7.6E-3</v>
      </c>
      <c r="D177" s="41">
        <v>45.254800000000003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POWER(POWER(Table210[[#This Row],[mv]],4)/10,0.25)</f>
        <v>4.2737940714466516E-3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2262</v>
      </c>
      <c r="P177" s="109">
        <v>193362</v>
      </c>
      <c r="Q177" s="107"/>
      <c r="R177" s="111"/>
      <c r="S177" s="110"/>
      <c r="T177"/>
      <c r="U177"/>
      <c r="V177"/>
    </row>
    <row r="178" spans="1:22">
      <c r="A178" s="105">
        <v>1560</v>
      </c>
      <c r="B178" s="41">
        <v>12000000</v>
      </c>
      <c r="C178" s="41">
        <v>8.3000000000000001E-3</v>
      </c>
      <c r="D178" s="41">
        <v>32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POWER(POWER(Table210[[#This Row],[mv]],4)/10,0.25)</f>
        <v>4.6674329990798978E-3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2263</v>
      </c>
      <c r="P178" s="109">
        <v>193362</v>
      </c>
      <c r="Q178" s="107"/>
      <c r="R178" s="111"/>
      <c r="S178" s="110"/>
      <c r="T178"/>
      <c r="U178"/>
      <c r="V178"/>
    </row>
    <row r="179" spans="1:22">
      <c r="A179" s="105">
        <v>1561</v>
      </c>
      <c r="B179" s="41">
        <v>12000000</v>
      </c>
      <c r="C179" s="41">
        <v>9.1000000000000004E-3</v>
      </c>
      <c r="D179" s="41">
        <v>32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POWER(POWER(Table210[[#This Row],[mv]],4)/10,0.25)</f>
        <v>5.1173060592321785E-3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2264</v>
      </c>
      <c r="P179" s="109">
        <v>193362</v>
      </c>
      <c r="Q179" s="107"/>
      <c r="R179" s="111"/>
      <c r="S179" s="110"/>
      <c r="T179"/>
      <c r="U179"/>
      <c r="V179"/>
    </row>
    <row r="180" spans="1:22">
      <c r="A180" s="105">
        <v>1562</v>
      </c>
      <c r="B180" s="41">
        <v>12000000</v>
      </c>
      <c r="C180" s="41">
        <v>9.9000000000000008E-3</v>
      </c>
      <c r="D180" s="41">
        <v>32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POWER(POWER(Table210[[#This Row],[mv]],4)/10,0.25)</f>
        <v>5.5671791193844583E-3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2265</v>
      </c>
      <c r="P180" s="109">
        <v>193362</v>
      </c>
      <c r="Q180" s="107"/>
      <c r="R180" s="111"/>
      <c r="S180" s="110"/>
      <c r="T180"/>
      <c r="U180"/>
      <c r="V180"/>
    </row>
    <row r="181" spans="1:22">
      <c r="A181" s="105">
        <v>1563</v>
      </c>
      <c r="B181" s="41">
        <v>12000000</v>
      </c>
      <c r="C181" s="41">
        <v>1.0800000000000001E-2</v>
      </c>
      <c r="D181" s="41">
        <v>45.254800000000003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POWER(POWER(Table210[[#This Row],[mv]],4)/10,0.25)</f>
        <v>6.0732863120557699E-3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2266</v>
      </c>
      <c r="P181" s="109">
        <v>193362</v>
      </c>
      <c r="Q181" s="107"/>
      <c r="R181" s="111"/>
      <c r="S181" s="110"/>
      <c r="T181"/>
      <c r="U181"/>
      <c r="V181"/>
    </row>
    <row r="182" spans="1:22">
      <c r="A182" s="105">
        <v>1564</v>
      </c>
      <c r="B182" s="41">
        <v>120000000</v>
      </c>
      <c r="C182" s="41">
        <v>1.1999999999999999E-3</v>
      </c>
      <c r="D182" s="41">
        <v>0.5</v>
      </c>
      <c r="E182" s="41">
        <v>30</v>
      </c>
      <c r="F182" s="41">
        <v>0</v>
      </c>
      <c r="G182" s="41" t="s">
        <v>103</v>
      </c>
      <c r="H182" s="41">
        <v>2</v>
      </c>
      <c r="I182" s="41">
        <v>1</v>
      </c>
      <c r="J182" s="108">
        <v>0</v>
      </c>
      <c r="K182" s="41">
        <v>0</v>
      </c>
      <c r="L182" s="41">
        <v>55</v>
      </c>
      <c r="M182" s="41">
        <v>-1</v>
      </c>
      <c r="N182" s="41">
        <v>4</v>
      </c>
      <c r="O182" s="110" t="s">
        <v>2268</v>
      </c>
      <c r="P182" s="109">
        <v>193522</v>
      </c>
      <c r="Q182" s="107"/>
      <c r="R182" s="111"/>
      <c r="S182" s="110" t="s">
        <v>2267</v>
      </c>
      <c r="T182"/>
      <c r="U182"/>
      <c r="V182"/>
    </row>
    <row r="183" spans="1:22">
      <c r="A183" s="105">
        <v>1565</v>
      </c>
      <c r="B183" s="41">
        <v>120000000</v>
      </c>
      <c r="C183" s="41">
        <v>1.1999999999999999E-3</v>
      </c>
      <c r="D183" s="41">
        <v>0.70709999999999995</v>
      </c>
      <c r="E183" s="41">
        <v>30</v>
      </c>
      <c r="F183" s="41">
        <v>0</v>
      </c>
      <c r="G183" s="41" t="s">
        <v>103</v>
      </c>
      <c r="H183" s="41">
        <v>2</v>
      </c>
      <c r="I183" s="41">
        <v>1</v>
      </c>
      <c r="J183" s="108">
        <v>0</v>
      </c>
      <c r="K183" s="41">
        <v>0</v>
      </c>
      <c r="L183" s="41">
        <v>55</v>
      </c>
      <c r="M183" s="41">
        <v>-1</v>
      </c>
      <c r="N183" s="41">
        <v>4</v>
      </c>
      <c r="O183" s="110" t="s">
        <v>2269</v>
      </c>
      <c r="P183" s="109">
        <v>193522</v>
      </c>
      <c r="Q183" s="107"/>
      <c r="R183" s="111"/>
      <c r="S183" s="110"/>
      <c r="T183"/>
      <c r="U183"/>
      <c r="V183"/>
    </row>
    <row r="184" spans="1:22">
      <c r="A184" s="105">
        <v>1566</v>
      </c>
      <c r="B184" s="41">
        <v>120000000</v>
      </c>
      <c r="C184" s="41">
        <v>1.1999999999999999E-3</v>
      </c>
      <c r="D184" s="41">
        <v>1</v>
      </c>
      <c r="E184" s="41">
        <v>30</v>
      </c>
      <c r="F184" s="41">
        <v>0</v>
      </c>
      <c r="G184" s="41" t="s">
        <v>103</v>
      </c>
      <c r="H184" s="41">
        <v>2</v>
      </c>
      <c r="I184" s="41">
        <v>1</v>
      </c>
      <c r="J184" s="108">
        <v>0</v>
      </c>
      <c r="K184" s="41">
        <v>0</v>
      </c>
      <c r="L184" s="41">
        <v>55</v>
      </c>
      <c r="M184" s="41">
        <v>-1</v>
      </c>
      <c r="N184" s="41">
        <v>4</v>
      </c>
      <c r="O184" s="110" t="s">
        <v>2270</v>
      </c>
      <c r="P184" s="109">
        <v>193522</v>
      </c>
      <c r="Q184" s="107"/>
      <c r="R184" s="111"/>
      <c r="S184" s="110"/>
      <c r="T184"/>
      <c r="U184"/>
      <c r="V184"/>
    </row>
    <row r="185" spans="1:22">
      <c r="A185" s="105">
        <v>1567</v>
      </c>
      <c r="B185" s="41">
        <v>120000000</v>
      </c>
      <c r="C185" s="41">
        <v>1.1999999999999999E-3</v>
      </c>
      <c r="D185" s="41">
        <v>1.4141999999999999</v>
      </c>
      <c r="E185" s="41">
        <v>30</v>
      </c>
      <c r="F185" s="41">
        <v>0</v>
      </c>
      <c r="G185" s="41" t="s">
        <v>103</v>
      </c>
      <c r="H185" s="41">
        <v>2</v>
      </c>
      <c r="I185" s="41">
        <v>1</v>
      </c>
      <c r="J185" s="108">
        <v>0</v>
      </c>
      <c r="K185" s="41">
        <v>0</v>
      </c>
      <c r="L185" s="41">
        <v>55</v>
      </c>
      <c r="M185" s="41">
        <v>-1</v>
      </c>
      <c r="N185" s="41">
        <v>4</v>
      </c>
      <c r="O185" s="110" t="s">
        <v>2271</v>
      </c>
      <c r="P185" s="109">
        <v>193522</v>
      </c>
      <c r="Q185" s="107"/>
      <c r="R185" s="111"/>
      <c r="S185" s="110"/>
      <c r="T185"/>
      <c r="U185"/>
      <c r="V185"/>
    </row>
    <row r="186" spans="1:22">
      <c r="A186" s="105">
        <v>1568</v>
      </c>
      <c r="B186" s="41">
        <v>120000000</v>
      </c>
      <c r="C186" s="41">
        <v>1.1999999999999999E-3</v>
      </c>
      <c r="D186" s="41">
        <v>2</v>
      </c>
      <c r="E186" s="41">
        <v>30</v>
      </c>
      <c r="F186" s="41">
        <v>0</v>
      </c>
      <c r="G186" s="41" t="s">
        <v>103</v>
      </c>
      <c r="H186" s="41">
        <v>2</v>
      </c>
      <c r="I186" s="41">
        <v>1</v>
      </c>
      <c r="J186" s="108">
        <v>0</v>
      </c>
      <c r="K186" s="41">
        <v>0</v>
      </c>
      <c r="L186" s="41">
        <v>55</v>
      </c>
      <c r="M186" s="41">
        <v>-1</v>
      </c>
      <c r="N186" s="41">
        <v>4</v>
      </c>
      <c r="O186" s="110" t="s">
        <v>2272</v>
      </c>
      <c r="P186" s="109">
        <v>193522</v>
      </c>
      <c r="Q186" s="107"/>
      <c r="R186" s="111"/>
      <c r="S186" s="110"/>
      <c r="T186"/>
      <c r="U186"/>
      <c r="V186"/>
    </row>
    <row r="187" spans="1:22">
      <c r="A187" s="105">
        <v>1569</v>
      </c>
      <c r="B187" s="41">
        <v>120000000</v>
      </c>
      <c r="C187" s="41">
        <v>1.1999999999999999E-3</v>
      </c>
      <c r="D187" s="41">
        <v>2.8283999999999998</v>
      </c>
      <c r="E187" s="41">
        <v>30</v>
      </c>
      <c r="F187" s="41">
        <v>0</v>
      </c>
      <c r="G187" s="41" t="s">
        <v>103</v>
      </c>
      <c r="H187" s="41">
        <v>2</v>
      </c>
      <c r="I187" s="41">
        <v>1</v>
      </c>
      <c r="J187" s="108">
        <v>0</v>
      </c>
      <c r="K187" s="41">
        <v>0</v>
      </c>
      <c r="L187" s="41">
        <v>55</v>
      </c>
      <c r="M187" s="41">
        <v>-1</v>
      </c>
      <c r="N187" s="41">
        <v>4</v>
      </c>
      <c r="O187" s="110" t="s">
        <v>2273</v>
      </c>
      <c r="P187" s="109">
        <v>193522</v>
      </c>
      <c r="Q187" s="107"/>
      <c r="R187" s="111"/>
      <c r="S187" s="110"/>
      <c r="T187"/>
      <c r="U187"/>
      <c r="V187"/>
    </row>
    <row r="188" spans="1:22">
      <c r="A188" s="105">
        <v>1570</v>
      </c>
      <c r="B188" s="41">
        <v>120000000</v>
      </c>
      <c r="C188" s="41">
        <v>1.1999999999999999E-3</v>
      </c>
      <c r="D188" s="41">
        <v>4</v>
      </c>
      <c r="E188" s="41">
        <v>30</v>
      </c>
      <c r="F188" s="41">
        <v>0</v>
      </c>
      <c r="G188" s="41" t="s">
        <v>103</v>
      </c>
      <c r="H188" s="41">
        <v>2</v>
      </c>
      <c r="I188" s="41">
        <v>1</v>
      </c>
      <c r="J188" s="108">
        <v>0</v>
      </c>
      <c r="K188" s="41">
        <v>0</v>
      </c>
      <c r="L188" s="41">
        <v>55</v>
      </c>
      <c r="M188" s="41">
        <v>-1</v>
      </c>
      <c r="N188" s="41">
        <v>4</v>
      </c>
      <c r="O188" s="110" t="s">
        <v>2274</v>
      </c>
      <c r="P188" s="109">
        <v>193522</v>
      </c>
      <c r="Q188" s="107"/>
      <c r="R188" s="111"/>
      <c r="S188" s="110"/>
      <c r="T188"/>
      <c r="U188"/>
      <c r="V188"/>
    </row>
    <row r="189" spans="1:22">
      <c r="A189" s="105">
        <v>1571</v>
      </c>
      <c r="B189" s="41">
        <v>120000000</v>
      </c>
      <c r="C189" s="41">
        <v>1.1999999999999999E-3</v>
      </c>
      <c r="D189" s="41">
        <v>5.6569000000000003</v>
      </c>
      <c r="E189" s="41">
        <v>30</v>
      </c>
      <c r="F189" s="41">
        <v>0</v>
      </c>
      <c r="G189" s="41" t="s">
        <v>103</v>
      </c>
      <c r="H189" s="41">
        <v>2</v>
      </c>
      <c r="I189" s="41">
        <v>1</v>
      </c>
      <c r="J189" s="108">
        <v>0</v>
      </c>
      <c r="K189" s="41">
        <v>0</v>
      </c>
      <c r="L189" s="41">
        <v>55</v>
      </c>
      <c r="M189" s="41">
        <v>-1</v>
      </c>
      <c r="N189" s="41">
        <v>4</v>
      </c>
      <c r="O189" s="110" t="s">
        <v>2275</v>
      </c>
      <c r="P189" s="109">
        <v>193522</v>
      </c>
      <c r="Q189" s="107"/>
      <c r="R189" s="111"/>
      <c r="S189" s="110"/>
      <c r="T189"/>
      <c r="U189"/>
      <c r="V189"/>
    </row>
    <row r="190" spans="1:22">
      <c r="A190" s="105">
        <v>1572</v>
      </c>
      <c r="B190" s="41">
        <v>120000000</v>
      </c>
      <c r="C190" s="41">
        <v>1.1999999999999999E-3</v>
      </c>
      <c r="D190" s="41">
        <v>8</v>
      </c>
      <c r="E190" s="41">
        <v>30</v>
      </c>
      <c r="F190" s="41">
        <v>0</v>
      </c>
      <c r="G190" s="41" t="s">
        <v>103</v>
      </c>
      <c r="H190" s="41">
        <v>2</v>
      </c>
      <c r="I190" s="41">
        <v>1</v>
      </c>
      <c r="J190" s="108">
        <v>0</v>
      </c>
      <c r="K190" s="41">
        <v>0</v>
      </c>
      <c r="L190" s="41">
        <v>55</v>
      </c>
      <c r="M190" s="41">
        <v>-1</v>
      </c>
      <c r="N190" s="41">
        <v>4</v>
      </c>
      <c r="O190" s="110" t="s">
        <v>2276</v>
      </c>
      <c r="P190" s="109">
        <v>193522</v>
      </c>
      <c r="Q190" s="107"/>
      <c r="R190" s="111"/>
      <c r="S190" s="110"/>
      <c r="T190"/>
      <c r="U190"/>
      <c r="V190"/>
    </row>
    <row r="191" spans="1:22">
      <c r="A191" s="105">
        <v>1573</v>
      </c>
      <c r="B191" s="41">
        <v>120000000</v>
      </c>
      <c r="C191" s="41">
        <v>1.1999999999999999E-3</v>
      </c>
      <c r="D191" s="41">
        <v>11.313700000000001</v>
      </c>
      <c r="E191" s="41">
        <v>30</v>
      </c>
      <c r="F191" s="41">
        <v>0</v>
      </c>
      <c r="G191" s="41" t="s">
        <v>103</v>
      </c>
      <c r="H191" s="41">
        <v>2</v>
      </c>
      <c r="I191" s="41">
        <v>1</v>
      </c>
      <c r="J191" s="108">
        <v>0</v>
      </c>
      <c r="K191" s="41">
        <v>0</v>
      </c>
      <c r="L191" s="41">
        <v>55</v>
      </c>
      <c r="M191" s="41">
        <v>-1</v>
      </c>
      <c r="N191" s="41">
        <v>4</v>
      </c>
      <c r="O191" s="110" t="s">
        <v>2277</v>
      </c>
      <c r="P191" s="109">
        <v>193522</v>
      </c>
      <c r="Q191" s="107"/>
      <c r="R191" s="111"/>
      <c r="S191" s="110"/>
      <c r="T191"/>
      <c r="U191"/>
      <c r="V191"/>
    </row>
    <row r="192" spans="1:22">
      <c r="A192" s="105">
        <v>1574</v>
      </c>
      <c r="B192" s="41">
        <v>120000000</v>
      </c>
      <c r="C192" s="41">
        <v>1.2999999999999999E-3</v>
      </c>
      <c r="D192" s="41">
        <v>0.70709999999999995</v>
      </c>
      <c r="E192" s="41">
        <v>30</v>
      </c>
      <c r="F192" s="41">
        <v>0</v>
      </c>
      <c r="G192" s="41" t="s">
        <v>103</v>
      </c>
      <c r="H192" s="41">
        <v>2</v>
      </c>
      <c r="I192" s="41">
        <v>1</v>
      </c>
      <c r="J192" s="108">
        <v>0</v>
      </c>
      <c r="K192" s="41">
        <v>0</v>
      </c>
      <c r="L192" s="41">
        <v>55</v>
      </c>
      <c r="M192" s="41">
        <v>-1</v>
      </c>
      <c r="N192" s="41">
        <v>4</v>
      </c>
      <c r="O192" s="110" t="s">
        <v>2278</v>
      </c>
      <c r="P192" s="109">
        <v>193522</v>
      </c>
      <c r="Q192" s="107"/>
      <c r="R192" s="111"/>
      <c r="S192" s="110"/>
      <c r="T192"/>
      <c r="U192"/>
      <c r="V192"/>
    </row>
    <row r="193" spans="1:22">
      <c r="A193" s="105">
        <v>1575</v>
      </c>
      <c r="B193" s="41">
        <v>120000000</v>
      </c>
      <c r="C193" s="41">
        <v>1.2999999999999999E-3</v>
      </c>
      <c r="D193" s="41">
        <v>1</v>
      </c>
      <c r="E193" s="41">
        <v>30</v>
      </c>
      <c r="F193" s="41">
        <v>0</v>
      </c>
      <c r="G193" s="41" t="s">
        <v>103</v>
      </c>
      <c r="H193" s="41">
        <v>2</v>
      </c>
      <c r="I193" s="41">
        <v>1</v>
      </c>
      <c r="J193" s="108">
        <v>0</v>
      </c>
      <c r="K193" s="41">
        <v>0</v>
      </c>
      <c r="L193" s="41">
        <v>55</v>
      </c>
      <c r="M193" s="41">
        <v>-1</v>
      </c>
      <c r="N193" s="41">
        <v>4</v>
      </c>
      <c r="O193" s="110" t="s">
        <v>2279</v>
      </c>
      <c r="P193" s="109">
        <v>193522</v>
      </c>
      <c r="Q193" s="107"/>
      <c r="R193" s="111"/>
      <c r="S193" s="110"/>
      <c r="T193"/>
      <c r="U193"/>
      <c r="V193"/>
    </row>
    <row r="194" spans="1:22">
      <c r="A194" s="105">
        <v>1576</v>
      </c>
      <c r="B194" s="41">
        <v>120000000</v>
      </c>
      <c r="C194" s="41">
        <v>1.2999999999999999E-3</v>
      </c>
      <c r="D194" s="41">
        <v>1.4141999999999999</v>
      </c>
      <c r="E194" s="41">
        <v>30</v>
      </c>
      <c r="F194" s="41">
        <v>0</v>
      </c>
      <c r="G194" s="41" t="s">
        <v>103</v>
      </c>
      <c r="H194" s="41">
        <v>2</v>
      </c>
      <c r="I194" s="41">
        <v>1</v>
      </c>
      <c r="J194" s="108">
        <v>0</v>
      </c>
      <c r="K194" s="41">
        <v>0</v>
      </c>
      <c r="L194" s="41">
        <v>55</v>
      </c>
      <c r="M194" s="41">
        <v>-1</v>
      </c>
      <c r="N194" s="41">
        <v>4</v>
      </c>
      <c r="O194" s="110" t="s">
        <v>2280</v>
      </c>
      <c r="P194" s="109">
        <v>193522</v>
      </c>
      <c r="Q194" s="107"/>
      <c r="R194" s="111"/>
      <c r="S194" s="110"/>
      <c r="T194"/>
      <c r="U194"/>
      <c r="V194"/>
    </row>
    <row r="195" spans="1:22">
      <c r="A195" s="105">
        <v>1577</v>
      </c>
      <c r="B195" s="41">
        <v>120000000</v>
      </c>
      <c r="C195" s="41">
        <v>1.2999999999999999E-3</v>
      </c>
      <c r="D195" s="41">
        <v>2</v>
      </c>
      <c r="E195" s="41">
        <v>30</v>
      </c>
      <c r="F195" s="41">
        <v>0</v>
      </c>
      <c r="G195" s="41" t="s">
        <v>103</v>
      </c>
      <c r="H195" s="41">
        <v>2</v>
      </c>
      <c r="I195" s="41">
        <v>1</v>
      </c>
      <c r="J195" s="108">
        <v>0</v>
      </c>
      <c r="K195" s="41">
        <v>0</v>
      </c>
      <c r="L195" s="41">
        <v>55</v>
      </c>
      <c r="M195" s="41">
        <v>-1</v>
      </c>
      <c r="N195" s="41">
        <v>4</v>
      </c>
      <c r="O195" s="110" t="s">
        <v>2281</v>
      </c>
      <c r="P195" s="109">
        <v>193587</v>
      </c>
      <c r="Q195" s="107"/>
      <c r="R195" s="111"/>
      <c r="S195" s="110" t="s">
        <v>2267</v>
      </c>
      <c r="T195"/>
      <c r="U195"/>
      <c r="V195"/>
    </row>
    <row r="196" spans="1:22">
      <c r="A196" s="105">
        <v>1578</v>
      </c>
      <c r="B196" s="41">
        <v>120000000</v>
      </c>
      <c r="C196" s="41">
        <v>1.2999999999999999E-3</v>
      </c>
      <c r="D196" s="41">
        <v>2.8283999999999998</v>
      </c>
      <c r="E196" s="41">
        <v>30</v>
      </c>
      <c r="F196" s="41">
        <v>0</v>
      </c>
      <c r="G196" s="41" t="s">
        <v>103</v>
      </c>
      <c r="H196" s="41">
        <v>2</v>
      </c>
      <c r="I196" s="41">
        <v>1</v>
      </c>
      <c r="J196" s="108">
        <v>0</v>
      </c>
      <c r="K196" s="41">
        <v>0</v>
      </c>
      <c r="L196" s="41">
        <v>55</v>
      </c>
      <c r="M196" s="41">
        <v>-1</v>
      </c>
      <c r="N196" s="41">
        <v>4</v>
      </c>
      <c r="O196" s="110" t="s">
        <v>2282</v>
      </c>
      <c r="P196" s="109">
        <v>193587</v>
      </c>
      <c r="Q196" s="107"/>
      <c r="R196" s="111"/>
      <c r="S196" s="110"/>
      <c r="T196"/>
      <c r="U196"/>
      <c r="V196"/>
    </row>
    <row r="197" spans="1:22">
      <c r="A197" s="105">
        <v>1579</v>
      </c>
      <c r="B197" s="41">
        <v>120000000</v>
      </c>
      <c r="C197" s="41">
        <v>1.2999999999999999E-3</v>
      </c>
      <c r="D197" s="41">
        <v>4</v>
      </c>
      <c r="E197" s="41">
        <v>30</v>
      </c>
      <c r="F197" s="41">
        <v>0</v>
      </c>
      <c r="G197" s="41" t="s">
        <v>103</v>
      </c>
      <c r="H197" s="41">
        <v>2</v>
      </c>
      <c r="I197" s="41">
        <v>1</v>
      </c>
      <c r="J197" s="108">
        <v>0</v>
      </c>
      <c r="K197" s="41">
        <v>0</v>
      </c>
      <c r="L197" s="41">
        <v>55</v>
      </c>
      <c r="M197" s="41">
        <v>-1</v>
      </c>
      <c r="N197" s="41">
        <v>4</v>
      </c>
      <c r="O197" s="110" t="s">
        <v>2283</v>
      </c>
      <c r="P197" s="109">
        <v>193587</v>
      </c>
      <c r="Q197" s="107"/>
      <c r="R197" s="111"/>
      <c r="S197" s="110"/>
      <c r="T197"/>
      <c r="U197"/>
      <c r="V197"/>
    </row>
    <row r="198" spans="1:22">
      <c r="A198" s="105">
        <v>1580</v>
      </c>
      <c r="B198" s="41">
        <v>120000000</v>
      </c>
      <c r="C198" s="41">
        <v>1.2999999999999999E-3</v>
      </c>
      <c r="D198" s="41">
        <v>5.6569000000000003</v>
      </c>
      <c r="E198" s="41">
        <v>30</v>
      </c>
      <c r="F198" s="41">
        <v>0</v>
      </c>
      <c r="G198" s="41" t="s">
        <v>103</v>
      </c>
      <c r="H198" s="41">
        <v>2</v>
      </c>
      <c r="I198" s="41">
        <v>1</v>
      </c>
      <c r="J198" s="108">
        <v>0</v>
      </c>
      <c r="K198" s="41">
        <v>0</v>
      </c>
      <c r="L198" s="41">
        <v>55</v>
      </c>
      <c r="M198" s="41">
        <v>-1</v>
      </c>
      <c r="N198" s="41">
        <v>4</v>
      </c>
      <c r="O198" s="110" t="s">
        <v>2284</v>
      </c>
      <c r="P198" s="109">
        <v>193587</v>
      </c>
      <c r="Q198" s="107"/>
      <c r="R198" s="111"/>
      <c r="S198" s="110"/>
      <c r="T198"/>
      <c r="U198"/>
      <c r="V198"/>
    </row>
    <row r="199" spans="1:22">
      <c r="A199" s="105">
        <v>1581</v>
      </c>
      <c r="B199" s="41">
        <v>120000000</v>
      </c>
      <c r="C199" s="41">
        <v>1.2999999999999999E-3</v>
      </c>
      <c r="D199" s="41">
        <v>8</v>
      </c>
      <c r="E199" s="41">
        <v>30</v>
      </c>
      <c r="F199" s="41">
        <v>0</v>
      </c>
      <c r="G199" s="41" t="s">
        <v>103</v>
      </c>
      <c r="H199" s="41">
        <v>2</v>
      </c>
      <c r="I199" s="41">
        <v>1</v>
      </c>
      <c r="J199" s="108">
        <v>0</v>
      </c>
      <c r="K199" s="41">
        <v>0</v>
      </c>
      <c r="L199" s="41">
        <v>55</v>
      </c>
      <c r="M199" s="41">
        <v>-1</v>
      </c>
      <c r="N199" s="41">
        <v>4</v>
      </c>
      <c r="O199" s="110" t="s">
        <v>2285</v>
      </c>
      <c r="P199" s="109">
        <v>193587</v>
      </c>
      <c r="Q199" s="107"/>
      <c r="R199" s="111"/>
      <c r="S199" s="110"/>
      <c r="T199"/>
      <c r="U199"/>
      <c r="V199"/>
    </row>
    <row r="200" spans="1:22">
      <c r="A200" s="105">
        <v>1582</v>
      </c>
      <c r="B200" s="41">
        <v>120000000</v>
      </c>
      <c r="C200" s="41">
        <v>1.2999999999999999E-3</v>
      </c>
      <c r="D200" s="41">
        <v>11.313700000000001</v>
      </c>
      <c r="E200" s="41">
        <v>30</v>
      </c>
      <c r="F200" s="41">
        <v>0</v>
      </c>
      <c r="G200" s="41" t="s">
        <v>103</v>
      </c>
      <c r="H200" s="41">
        <v>2</v>
      </c>
      <c r="I200" s="41">
        <v>1</v>
      </c>
      <c r="J200" s="108">
        <v>0</v>
      </c>
      <c r="K200" s="41">
        <v>0</v>
      </c>
      <c r="L200" s="41">
        <v>55</v>
      </c>
      <c r="M200" s="41">
        <v>-1</v>
      </c>
      <c r="N200" s="41">
        <v>4</v>
      </c>
      <c r="O200" s="110" t="s">
        <v>2286</v>
      </c>
      <c r="P200" s="109">
        <v>193587</v>
      </c>
      <c r="Q200" s="107"/>
      <c r="R200" s="111"/>
      <c r="S200" s="110"/>
      <c r="T200"/>
      <c r="U200"/>
      <c r="V200"/>
    </row>
    <row r="201" spans="1:22">
      <c r="A201" s="105">
        <v>1583</v>
      </c>
      <c r="B201" s="41">
        <v>120000000</v>
      </c>
      <c r="C201" s="41">
        <v>1.2999999999999999E-3</v>
      </c>
      <c r="D201" s="41">
        <v>16</v>
      </c>
      <c r="E201" s="41">
        <v>30</v>
      </c>
      <c r="F201" s="41">
        <v>0</v>
      </c>
      <c r="G201" s="41" t="s">
        <v>103</v>
      </c>
      <c r="H201" s="41">
        <v>2</v>
      </c>
      <c r="I201" s="41">
        <v>1</v>
      </c>
      <c r="J201" s="108">
        <v>0</v>
      </c>
      <c r="K201" s="41">
        <v>0</v>
      </c>
      <c r="L201" s="41">
        <v>55</v>
      </c>
      <c r="M201" s="41">
        <v>-1</v>
      </c>
      <c r="N201" s="41">
        <v>4</v>
      </c>
      <c r="O201" s="110" t="s">
        <v>2287</v>
      </c>
      <c r="P201" s="109">
        <v>193587</v>
      </c>
      <c r="Q201" s="107"/>
      <c r="R201" s="111"/>
      <c r="S201" s="110"/>
      <c r="T201"/>
      <c r="U201"/>
      <c r="V201"/>
    </row>
    <row r="202" spans="1:22">
      <c r="A202" s="105">
        <v>1584</v>
      </c>
      <c r="B202" s="41">
        <v>120000000</v>
      </c>
      <c r="C202" s="41">
        <v>1.5E-3</v>
      </c>
      <c r="D202" s="41">
        <v>0.70709999999999995</v>
      </c>
      <c r="E202" s="41">
        <v>30</v>
      </c>
      <c r="F202" s="41">
        <v>0</v>
      </c>
      <c r="G202" s="41" t="s">
        <v>103</v>
      </c>
      <c r="H202" s="41">
        <v>2</v>
      </c>
      <c r="I202" s="41">
        <v>1</v>
      </c>
      <c r="J202" s="108">
        <v>0</v>
      </c>
      <c r="K202" s="41">
        <v>0</v>
      </c>
      <c r="L202" s="41">
        <v>55</v>
      </c>
      <c r="M202" s="41">
        <v>-1</v>
      </c>
      <c r="N202" s="41">
        <v>4</v>
      </c>
      <c r="O202" s="110" t="s">
        <v>2288</v>
      </c>
      <c r="P202" s="109">
        <v>193587</v>
      </c>
      <c r="Q202" s="107"/>
      <c r="R202" s="111"/>
      <c r="S202" s="110"/>
      <c r="T202"/>
      <c r="U202"/>
      <c r="V202"/>
    </row>
    <row r="203" spans="1:22">
      <c r="A203" s="105">
        <v>1585</v>
      </c>
      <c r="B203" s="41">
        <v>120000000</v>
      </c>
      <c r="C203" s="41">
        <v>1.5E-3</v>
      </c>
      <c r="D203" s="41">
        <v>1</v>
      </c>
      <c r="E203" s="41">
        <v>30</v>
      </c>
      <c r="F203" s="41">
        <v>0</v>
      </c>
      <c r="G203" s="41" t="s">
        <v>103</v>
      </c>
      <c r="H203" s="41">
        <v>2</v>
      </c>
      <c r="I203" s="41">
        <v>1</v>
      </c>
      <c r="J203" s="108">
        <v>0</v>
      </c>
      <c r="K203" s="41">
        <v>0</v>
      </c>
      <c r="L203" s="41">
        <v>55</v>
      </c>
      <c r="M203" s="41">
        <v>-1</v>
      </c>
      <c r="N203" s="41">
        <v>4</v>
      </c>
      <c r="O203" s="110" t="s">
        <v>2289</v>
      </c>
      <c r="P203" s="109">
        <v>193587</v>
      </c>
      <c r="Q203" s="107"/>
      <c r="R203" s="111"/>
      <c r="S203" s="110"/>
      <c r="T203"/>
      <c r="U203"/>
      <c r="V203"/>
    </row>
    <row r="204" spans="1:22">
      <c r="A204" s="105">
        <v>1586</v>
      </c>
      <c r="B204" s="41">
        <v>120000000</v>
      </c>
      <c r="C204" s="41">
        <v>1.5E-3</v>
      </c>
      <c r="D204" s="41">
        <v>1.4141999999999999</v>
      </c>
      <c r="E204" s="41">
        <v>30</v>
      </c>
      <c r="F204" s="41">
        <v>0</v>
      </c>
      <c r="G204" s="41" t="s">
        <v>103</v>
      </c>
      <c r="H204" s="41">
        <v>2</v>
      </c>
      <c r="I204" s="41">
        <v>1</v>
      </c>
      <c r="J204" s="108">
        <v>0</v>
      </c>
      <c r="K204" s="41">
        <v>0</v>
      </c>
      <c r="L204" s="41">
        <v>55</v>
      </c>
      <c r="M204" s="41">
        <v>-1</v>
      </c>
      <c r="N204" s="41">
        <v>4</v>
      </c>
      <c r="O204" s="110" t="s">
        <v>2290</v>
      </c>
      <c r="P204" s="109">
        <v>193587</v>
      </c>
      <c r="Q204" s="107"/>
      <c r="R204" s="111"/>
      <c r="S204" s="110"/>
      <c r="T204"/>
      <c r="U204"/>
      <c r="V204"/>
    </row>
    <row r="205" spans="1:22">
      <c r="A205" s="105">
        <v>1587</v>
      </c>
      <c r="B205" s="41">
        <v>120000000</v>
      </c>
      <c r="C205" s="41">
        <v>1.5E-3</v>
      </c>
      <c r="D205" s="41">
        <v>2</v>
      </c>
      <c r="E205" s="41">
        <v>30</v>
      </c>
      <c r="F205" s="41">
        <v>0</v>
      </c>
      <c r="G205" s="41" t="s">
        <v>103</v>
      </c>
      <c r="H205" s="41">
        <v>2</v>
      </c>
      <c r="I205" s="41">
        <v>1</v>
      </c>
      <c r="J205" s="108">
        <v>0</v>
      </c>
      <c r="K205" s="41">
        <v>0</v>
      </c>
      <c r="L205" s="41">
        <v>55</v>
      </c>
      <c r="M205" s="41">
        <v>-1</v>
      </c>
      <c r="N205" s="41">
        <v>4</v>
      </c>
      <c r="O205" s="110" t="s">
        <v>2291</v>
      </c>
      <c r="P205" s="109">
        <v>193587</v>
      </c>
      <c r="Q205" s="107"/>
      <c r="R205" s="111"/>
      <c r="S205" s="110"/>
      <c r="T205"/>
      <c r="U205"/>
      <c r="V205"/>
    </row>
    <row r="206" spans="1:22">
      <c r="A206" s="105">
        <v>1588</v>
      </c>
      <c r="B206" s="41">
        <v>120000000</v>
      </c>
      <c r="C206" s="41">
        <v>1.5E-3</v>
      </c>
      <c r="D206" s="41">
        <v>2.8283999999999998</v>
      </c>
      <c r="E206" s="41">
        <v>30</v>
      </c>
      <c r="F206" s="41">
        <v>0</v>
      </c>
      <c r="G206" s="41" t="s">
        <v>103</v>
      </c>
      <c r="H206" s="41">
        <v>2</v>
      </c>
      <c r="I206" s="41">
        <v>1</v>
      </c>
      <c r="J206" s="108">
        <v>0</v>
      </c>
      <c r="K206" s="41">
        <v>0</v>
      </c>
      <c r="L206" s="41">
        <v>55</v>
      </c>
      <c r="M206" s="41">
        <v>-1</v>
      </c>
      <c r="N206" s="41">
        <v>4</v>
      </c>
      <c r="O206" s="110" t="s">
        <v>2292</v>
      </c>
      <c r="P206" s="109">
        <v>193587</v>
      </c>
      <c r="Q206" s="107"/>
      <c r="R206" s="111"/>
      <c r="S206" s="110"/>
      <c r="T206"/>
      <c r="U206"/>
      <c r="V206"/>
    </row>
    <row r="207" spans="1:22">
      <c r="A207" s="105">
        <v>1589</v>
      </c>
      <c r="B207" s="41">
        <v>120000000</v>
      </c>
      <c r="C207" s="41">
        <v>1.5E-3</v>
      </c>
      <c r="D207" s="41">
        <v>4</v>
      </c>
      <c r="E207" s="41">
        <v>30</v>
      </c>
      <c r="F207" s="41">
        <v>0</v>
      </c>
      <c r="G207" s="41" t="s">
        <v>103</v>
      </c>
      <c r="H207" s="41">
        <v>2</v>
      </c>
      <c r="I207" s="41">
        <v>1</v>
      </c>
      <c r="J207" s="108">
        <v>0</v>
      </c>
      <c r="K207" s="41">
        <v>0</v>
      </c>
      <c r="L207" s="41">
        <v>55</v>
      </c>
      <c r="M207" s="41">
        <v>-1</v>
      </c>
      <c r="N207" s="41">
        <v>4</v>
      </c>
      <c r="O207" s="110" t="s">
        <v>2293</v>
      </c>
      <c r="P207" s="109">
        <v>193587</v>
      </c>
      <c r="Q207" s="107"/>
      <c r="R207" s="111"/>
      <c r="S207" s="110"/>
      <c r="T207"/>
      <c r="U207"/>
      <c r="V207"/>
    </row>
    <row r="208" spans="1:22">
      <c r="A208" s="105">
        <v>1590</v>
      </c>
      <c r="B208" s="41">
        <v>120000000</v>
      </c>
      <c r="C208" s="41">
        <v>1.5E-3</v>
      </c>
      <c r="D208" s="41">
        <v>5.6569000000000003</v>
      </c>
      <c r="E208" s="41">
        <v>30</v>
      </c>
      <c r="F208" s="41">
        <v>0</v>
      </c>
      <c r="G208" s="41" t="s">
        <v>103</v>
      </c>
      <c r="H208" s="41">
        <v>2</v>
      </c>
      <c r="I208" s="41">
        <v>1</v>
      </c>
      <c r="J208" s="108">
        <v>0</v>
      </c>
      <c r="K208" s="41">
        <v>0</v>
      </c>
      <c r="L208" s="41">
        <v>55</v>
      </c>
      <c r="M208" s="41">
        <v>-1</v>
      </c>
      <c r="N208" s="41">
        <v>4</v>
      </c>
      <c r="O208" s="110" t="s">
        <v>2294</v>
      </c>
      <c r="P208" s="109">
        <v>193587</v>
      </c>
      <c r="Q208" s="107"/>
      <c r="R208" s="111"/>
      <c r="S208" s="110"/>
      <c r="T208"/>
      <c r="U208"/>
      <c r="V208"/>
    </row>
    <row r="209" spans="1:22">
      <c r="A209" s="105">
        <v>1591</v>
      </c>
      <c r="B209" s="41">
        <v>120000000</v>
      </c>
      <c r="C209" s="41">
        <v>1.5E-3</v>
      </c>
      <c r="D209" s="41">
        <v>8</v>
      </c>
      <c r="E209" s="41">
        <v>30</v>
      </c>
      <c r="F209" s="41">
        <v>0</v>
      </c>
      <c r="G209" s="41" t="s">
        <v>103</v>
      </c>
      <c r="H209" s="41">
        <v>2</v>
      </c>
      <c r="I209" s="41">
        <v>1</v>
      </c>
      <c r="J209" s="108">
        <v>0</v>
      </c>
      <c r="K209" s="41">
        <v>0</v>
      </c>
      <c r="L209" s="41">
        <v>55</v>
      </c>
      <c r="M209" s="41">
        <v>-1</v>
      </c>
      <c r="N209" s="41">
        <v>4</v>
      </c>
      <c r="O209" s="110" t="s">
        <v>2295</v>
      </c>
      <c r="P209" s="109">
        <v>193587</v>
      </c>
      <c r="Q209" s="107"/>
      <c r="R209" s="111"/>
      <c r="S209" s="110"/>
      <c r="T209"/>
      <c r="U209"/>
      <c r="V209"/>
    </row>
    <row r="210" spans="1:22">
      <c r="A210" s="105">
        <v>1592</v>
      </c>
      <c r="B210" s="41">
        <v>120000000</v>
      </c>
      <c r="C210" s="41">
        <v>1.5E-3</v>
      </c>
      <c r="D210" s="41">
        <v>11.313700000000001</v>
      </c>
      <c r="E210" s="41">
        <v>30</v>
      </c>
      <c r="F210" s="41">
        <v>0</v>
      </c>
      <c r="G210" s="41" t="s">
        <v>103</v>
      </c>
      <c r="H210" s="41">
        <v>2</v>
      </c>
      <c r="I210" s="41">
        <v>1</v>
      </c>
      <c r="J210" s="108">
        <v>0</v>
      </c>
      <c r="K210" s="41">
        <v>0</v>
      </c>
      <c r="L210" s="41">
        <v>55</v>
      </c>
      <c r="M210" s="41">
        <v>-1</v>
      </c>
      <c r="N210" s="41">
        <v>4</v>
      </c>
      <c r="O210" s="110" t="s">
        <v>2296</v>
      </c>
      <c r="P210" s="109">
        <v>193587</v>
      </c>
      <c r="Q210" s="107"/>
      <c r="R210" s="111"/>
      <c r="S210" s="110"/>
      <c r="T210"/>
      <c r="U210"/>
      <c r="V210"/>
    </row>
    <row r="211" spans="1:22">
      <c r="A211" s="105">
        <v>1593</v>
      </c>
      <c r="B211" s="41">
        <v>120000000</v>
      </c>
      <c r="C211" s="41">
        <v>1.5E-3</v>
      </c>
      <c r="D211" s="41">
        <v>16</v>
      </c>
      <c r="E211" s="41">
        <v>30</v>
      </c>
      <c r="F211" s="41">
        <v>0</v>
      </c>
      <c r="G211" s="41" t="s">
        <v>103</v>
      </c>
      <c r="H211" s="41">
        <v>2</v>
      </c>
      <c r="I211" s="41">
        <v>1</v>
      </c>
      <c r="J211" s="108">
        <v>0</v>
      </c>
      <c r="K211" s="41">
        <v>0</v>
      </c>
      <c r="L211" s="41">
        <v>55</v>
      </c>
      <c r="M211" s="41">
        <v>-1</v>
      </c>
      <c r="N211" s="41">
        <v>4</v>
      </c>
      <c r="O211" s="110" t="s">
        <v>2297</v>
      </c>
      <c r="P211" s="109">
        <v>193587</v>
      </c>
      <c r="Q211" s="107"/>
      <c r="R211" s="111"/>
      <c r="S211" s="110"/>
      <c r="T211"/>
      <c r="U211"/>
      <c r="V211"/>
    </row>
    <row r="212" spans="1:22">
      <c r="A212" s="105">
        <v>1594</v>
      </c>
      <c r="B212" s="41">
        <v>120000000</v>
      </c>
      <c r="C212" s="41">
        <v>1.6000000000000001E-3</v>
      </c>
      <c r="D212" s="41">
        <v>1</v>
      </c>
      <c r="E212" s="41">
        <v>30</v>
      </c>
      <c r="F212" s="41">
        <v>0</v>
      </c>
      <c r="G212" s="41" t="s">
        <v>103</v>
      </c>
      <c r="H212" s="41">
        <v>2</v>
      </c>
      <c r="I212" s="41">
        <v>1</v>
      </c>
      <c r="J212" s="108">
        <v>0</v>
      </c>
      <c r="K212" s="41">
        <v>0</v>
      </c>
      <c r="L212" s="41">
        <v>55</v>
      </c>
      <c r="M212" s="41">
        <v>-1</v>
      </c>
      <c r="N212" s="41">
        <v>4</v>
      </c>
      <c r="O212" s="110" t="s">
        <v>2298</v>
      </c>
      <c r="P212" s="109">
        <v>193587</v>
      </c>
      <c r="Q212" s="107"/>
      <c r="R212" s="111"/>
      <c r="S212" s="110"/>
      <c r="T212"/>
      <c r="U212"/>
      <c r="V212"/>
    </row>
    <row r="213" spans="1:22">
      <c r="A213" s="105">
        <v>1595</v>
      </c>
      <c r="B213" s="41">
        <v>120000000</v>
      </c>
      <c r="C213" s="41">
        <v>1.6000000000000001E-3</v>
      </c>
      <c r="D213" s="41">
        <v>1.4141999999999999</v>
      </c>
      <c r="E213" s="41">
        <v>30</v>
      </c>
      <c r="F213" s="41">
        <v>0</v>
      </c>
      <c r="G213" s="41" t="s">
        <v>103</v>
      </c>
      <c r="H213" s="41">
        <v>2</v>
      </c>
      <c r="I213" s="41">
        <v>1</v>
      </c>
      <c r="J213" s="108">
        <v>0</v>
      </c>
      <c r="K213" s="41">
        <v>0</v>
      </c>
      <c r="L213" s="41">
        <v>55</v>
      </c>
      <c r="M213" s="41">
        <v>-1</v>
      </c>
      <c r="N213" s="41">
        <v>4</v>
      </c>
      <c r="O213" s="110" t="s">
        <v>2299</v>
      </c>
      <c r="P213" s="109">
        <v>193587</v>
      </c>
      <c r="Q213" s="107"/>
      <c r="R213" s="111"/>
      <c r="S213" s="110"/>
      <c r="T213"/>
      <c r="U213"/>
      <c r="V213"/>
    </row>
    <row r="214" spans="1:22">
      <c r="A214" s="105">
        <v>1596</v>
      </c>
      <c r="B214" s="41">
        <v>120000000</v>
      </c>
      <c r="C214" s="41">
        <v>1.6000000000000001E-3</v>
      </c>
      <c r="D214" s="41">
        <v>2</v>
      </c>
      <c r="E214" s="41">
        <v>30</v>
      </c>
      <c r="F214" s="41">
        <v>0</v>
      </c>
      <c r="G214" s="41" t="s">
        <v>103</v>
      </c>
      <c r="H214" s="41">
        <v>2</v>
      </c>
      <c r="I214" s="41">
        <v>1</v>
      </c>
      <c r="J214" s="108">
        <v>0</v>
      </c>
      <c r="K214" s="41">
        <v>0</v>
      </c>
      <c r="L214" s="41">
        <v>55</v>
      </c>
      <c r="M214" s="41">
        <v>-1</v>
      </c>
      <c r="N214" s="41">
        <v>4</v>
      </c>
      <c r="O214" s="110" t="s">
        <v>2300</v>
      </c>
      <c r="P214" s="109">
        <v>193587</v>
      </c>
      <c r="Q214" s="107"/>
      <c r="R214" s="111"/>
      <c r="S214" s="110"/>
      <c r="T214"/>
      <c r="U214"/>
      <c r="V214"/>
    </row>
    <row r="215" spans="1:22">
      <c r="A215" s="105">
        <v>1597</v>
      </c>
      <c r="B215" s="41">
        <v>120000000</v>
      </c>
      <c r="C215" s="41">
        <v>1.6000000000000001E-3</v>
      </c>
      <c r="D215" s="41">
        <v>2.8283999999999998</v>
      </c>
      <c r="E215" s="41">
        <v>30</v>
      </c>
      <c r="F215" s="41">
        <v>0</v>
      </c>
      <c r="G215" s="41" t="s">
        <v>103</v>
      </c>
      <c r="H215" s="41">
        <v>2</v>
      </c>
      <c r="I215" s="41">
        <v>1</v>
      </c>
      <c r="J215" s="108">
        <v>0</v>
      </c>
      <c r="K215" s="41">
        <v>0</v>
      </c>
      <c r="L215" s="41">
        <v>55</v>
      </c>
      <c r="M215" s="41">
        <v>-1</v>
      </c>
      <c r="N215" s="41">
        <v>4</v>
      </c>
      <c r="O215" s="110" t="s">
        <v>2301</v>
      </c>
      <c r="P215" s="109">
        <v>193587</v>
      </c>
      <c r="Q215" s="107"/>
      <c r="R215" s="111"/>
      <c r="S215" s="110"/>
      <c r="T215"/>
      <c r="U215"/>
      <c r="V215"/>
    </row>
    <row r="216" spans="1:22">
      <c r="A216" s="105">
        <v>1598</v>
      </c>
      <c r="B216" s="41">
        <v>120000000</v>
      </c>
      <c r="C216" s="41">
        <v>1.6000000000000001E-3</v>
      </c>
      <c r="D216" s="41">
        <v>4</v>
      </c>
      <c r="E216" s="41">
        <v>30</v>
      </c>
      <c r="F216" s="41">
        <v>0</v>
      </c>
      <c r="G216" s="41" t="s">
        <v>103</v>
      </c>
      <c r="H216" s="41">
        <v>2</v>
      </c>
      <c r="I216" s="41">
        <v>1</v>
      </c>
      <c r="J216" s="108">
        <v>0</v>
      </c>
      <c r="K216" s="41">
        <v>0</v>
      </c>
      <c r="L216" s="41">
        <v>55</v>
      </c>
      <c r="M216" s="41">
        <v>-1</v>
      </c>
      <c r="N216" s="41">
        <v>4</v>
      </c>
      <c r="O216" s="110" t="s">
        <v>2302</v>
      </c>
      <c r="P216" s="109">
        <v>193587</v>
      </c>
      <c r="Q216" s="107"/>
      <c r="R216" s="111"/>
      <c r="S216" s="110"/>
      <c r="T216"/>
      <c r="U216"/>
      <c r="V216"/>
    </row>
    <row r="217" spans="1:22">
      <c r="A217" s="105">
        <v>1599</v>
      </c>
      <c r="B217" s="41">
        <v>120000000</v>
      </c>
      <c r="C217" s="41">
        <v>1.6000000000000001E-3</v>
      </c>
      <c r="D217" s="41">
        <v>5.6569000000000003</v>
      </c>
      <c r="E217" s="41">
        <v>30</v>
      </c>
      <c r="F217" s="41">
        <v>0</v>
      </c>
      <c r="G217" s="41" t="s">
        <v>103</v>
      </c>
      <c r="H217" s="41">
        <v>2</v>
      </c>
      <c r="I217" s="41">
        <v>1</v>
      </c>
      <c r="J217" s="108">
        <v>0</v>
      </c>
      <c r="K217" s="41">
        <v>0</v>
      </c>
      <c r="L217" s="41">
        <v>55</v>
      </c>
      <c r="M217" s="41">
        <v>-1</v>
      </c>
      <c r="N217" s="41">
        <v>4</v>
      </c>
      <c r="O217" s="110" t="s">
        <v>2303</v>
      </c>
      <c r="P217" s="109">
        <v>193587</v>
      </c>
      <c r="Q217" s="107"/>
      <c r="R217" s="111"/>
      <c r="S217" s="110"/>
      <c r="T217"/>
      <c r="U217"/>
      <c r="V217"/>
    </row>
    <row r="218" spans="1:22">
      <c r="A218" s="105">
        <v>1600</v>
      </c>
      <c r="B218" s="41">
        <v>120000000</v>
      </c>
      <c r="C218" s="41">
        <v>1.6000000000000001E-3</v>
      </c>
      <c r="D218" s="41">
        <v>8</v>
      </c>
      <c r="E218" s="41">
        <v>30</v>
      </c>
      <c r="F218" s="41">
        <v>0</v>
      </c>
      <c r="G218" s="41" t="s">
        <v>103</v>
      </c>
      <c r="H218" s="41">
        <v>2</v>
      </c>
      <c r="I218" s="41">
        <v>1</v>
      </c>
      <c r="J218" s="108">
        <v>0</v>
      </c>
      <c r="K218" s="41">
        <v>0</v>
      </c>
      <c r="L218" s="41">
        <v>55</v>
      </c>
      <c r="M218" s="41">
        <v>-1</v>
      </c>
      <c r="N218" s="41">
        <v>4</v>
      </c>
      <c r="O218" s="110" t="s">
        <v>2304</v>
      </c>
      <c r="P218" s="109">
        <v>193587</v>
      </c>
      <c r="Q218" s="107"/>
      <c r="R218" s="111"/>
      <c r="S218" s="110"/>
      <c r="T218"/>
      <c r="U218"/>
      <c r="V218"/>
    </row>
    <row r="219" spans="1:22">
      <c r="A219" s="105">
        <v>1601</v>
      </c>
      <c r="B219" s="41">
        <v>120000000</v>
      </c>
      <c r="C219" s="41">
        <v>1.6000000000000001E-3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2</v>
      </c>
      <c r="I219" s="41">
        <v>1</v>
      </c>
      <c r="J219" s="108">
        <v>0</v>
      </c>
      <c r="K219" s="41">
        <v>0</v>
      </c>
      <c r="L219" s="41">
        <v>55</v>
      </c>
      <c r="M219" s="41">
        <v>-1</v>
      </c>
      <c r="N219" s="41">
        <v>4</v>
      </c>
      <c r="O219" s="110" t="s">
        <v>2305</v>
      </c>
      <c r="P219" s="109">
        <v>193587</v>
      </c>
      <c r="Q219" s="107"/>
      <c r="R219" s="111"/>
      <c r="S219" s="110"/>
      <c r="T219"/>
      <c r="U219"/>
      <c r="V219"/>
    </row>
    <row r="220" spans="1:22">
      <c r="A220" s="105">
        <v>1602</v>
      </c>
      <c r="B220" s="41">
        <v>120000000</v>
      </c>
      <c r="C220" s="41">
        <v>1.6000000000000001E-3</v>
      </c>
      <c r="D220" s="41">
        <v>16</v>
      </c>
      <c r="E220" s="41">
        <v>30</v>
      </c>
      <c r="F220" s="41">
        <v>0</v>
      </c>
      <c r="G220" s="41" t="s">
        <v>103</v>
      </c>
      <c r="H220" s="41">
        <v>2</v>
      </c>
      <c r="I220" s="41">
        <v>1</v>
      </c>
      <c r="J220" s="108">
        <v>0</v>
      </c>
      <c r="K220" s="41">
        <v>0</v>
      </c>
      <c r="L220" s="41">
        <v>55</v>
      </c>
      <c r="M220" s="41">
        <v>-1</v>
      </c>
      <c r="N220" s="41">
        <v>4</v>
      </c>
      <c r="O220" s="110" t="s">
        <v>2306</v>
      </c>
      <c r="P220" s="109">
        <v>193587</v>
      </c>
      <c r="Q220" s="107"/>
      <c r="R220" s="111"/>
      <c r="S220" s="110"/>
      <c r="T220"/>
      <c r="U220"/>
      <c r="V220"/>
    </row>
    <row r="221" spans="1:22">
      <c r="A221" s="105">
        <v>1603</v>
      </c>
      <c r="B221" s="41">
        <v>120000000</v>
      </c>
      <c r="C221" s="41">
        <v>1.6000000000000001E-3</v>
      </c>
      <c r="D221" s="41">
        <v>22.627400000000002</v>
      </c>
      <c r="E221" s="41">
        <v>30</v>
      </c>
      <c r="F221" s="41">
        <v>0</v>
      </c>
      <c r="G221" s="41" t="s">
        <v>103</v>
      </c>
      <c r="H221" s="41">
        <v>2</v>
      </c>
      <c r="I221" s="41">
        <v>1</v>
      </c>
      <c r="J221" s="108">
        <v>0</v>
      </c>
      <c r="K221" s="41">
        <v>0</v>
      </c>
      <c r="L221" s="41">
        <v>55</v>
      </c>
      <c r="M221" s="41">
        <v>-1</v>
      </c>
      <c r="N221" s="41">
        <v>4</v>
      </c>
      <c r="O221" s="110" t="s">
        <v>2307</v>
      </c>
      <c r="P221" s="109">
        <v>193587</v>
      </c>
      <c r="Q221" s="107"/>
      <c r="R221" s="111"/>
      <c r="S221" s="110"/>
      <c r="T221"/>
      <c r="U221"/>
      <c r="V221"/>
    </row>
    <row r="222" spans="1:22">
      <c r="A222" s="105">
        <v>1604</v>
      </c>
      <c r="B222" s="41">
        <v>120000000</v>
      </c>
      <c r="C222" s="41">
        <v>1.6999999999999999E-3</v>
      </c>
      <c r="D222" s="41">
        <v>1</v>
      </c>
      <c r="E222" s="41">
        <v>30</v>
      </c>
      <c r="F222" s="41">
        <v>0</v>
      </c>
      <c r="G222" s="41" t="s">
        <v>103</v>
      </c>
      <c r="H222" s="41">
        <v>2</v>
      </c>
      <c r="I222" s="41">
        <v>1</v>
      </c>
      <c r="J222" s="108">
        <v>0</v>
      </c>
      <c r="K222" s="41">
        <v>0</v>
      </c>
      <c r="L222" s="41">
        <v>55</v>
      </c>
      <c r="M222" s="41">
        <v>-1</v>
      </c>
      <c r="N222" s="41">
        <v>4</v>
      </c>
      <c r="O222" s="110" t="s">
        <v>2308</v>
      </c>
      <c r="P222" s="109">
        <v>193587</v>
      </c>
      <c r="Q222" s="107"/>
      <c r="R222" s="111"/>
      <c r="S222" s="110"/>
      <c r="T222"/>
      <c r="U222"/>
      <c r="V222"/>
    </row>
    <row r="223" spans="1:22">
      <c r="A223" s="105">
        <v>1605</v>
      </c>
      <c r="B223" s="41">
        <v>120000000</v>
      </c>
      <c r="C223" s="41">
        <v>1.6999999999999999E-3</v>
      </c>
      <c r="D223" s="41">
        <v>1.4141999999999999</v>
      </c>
      <c r="E223" s="41">
        <v>30</v>
      </c>
      <c r="F223" s="41">
        <v>0</v>
      </c>
      <c r="G223" s="41" t="s">
        <v>103</v>
      </c>
      <c r="H223" s="41">
        <v>2</v>
      </c>
      <c r="I223" s="41">
        <v>1</v>
      </c>
      <c r="J223" s="108">
        <v>0</v>
      </c>
      <c r="K223" s="41">
        <v>0</v>
      </c>
      <c r="L223" s="41">
        <v>55</v>
      </c>
      <c r="M223" s="41">
        <v>-1</v>
      </c>
      <c r="N223" s="41">
        <v>4</v>
      </c>
      <c r="O223" s="110" t="s">
        <v>2309</v>
      </c>
      <c r="P223" s="109">
        <v>193587</v>
      </c>
      <c r="Q223" s="107"/>
      <c r="R223" s="111"/>
      <c r="S223" s="110"/>
      <c r="T223"/>
      <c r="U223"/>
      <c r="V223"/>
    </row>
    <row r="224" spans="1:22">
      <c r="A224" s="105">
        <v>1606</v>
      </c>
      <c r="B224" s="41">
        <v>120000000</v>
      </c>
      <c r="C224" s="41">
        <v>1.6999999999999999E-3</v>
      </c>
      <c r="D224" s="41">
        <v>2</v>
      </c>
      <c r="E224" s="41">
        <v>30</v>
      </c>
      <c r="F224" s="41">
        <v>0</v>
      </c>
      <c r="G224" s="41" t="s">
        <v>103</v>
      </c>
      <c r="H224" s="41">
        <v>2</v>
      </c>
      <c r="I224" s="41">
        <v>1</v>
      </c>
      <c r="J224" s="108">
        <v>0</v>
      </c>
      <c r="K224" s="41">
        <v>0</v>
      </c>
      <c r="L224" s="41">
        <v>55</v>
      </c>
      <c r="M224" s="41">
        <v>-1</v>
      </c>
      <c r="N224" s="41">
        <v>4</v>
      </c>
      <c r="O224" s="110" t="s">
        <v>2310</v>
      </c>
      <c r="P224" s="109">
        <v>193587</v>
      </c>
      <c r="Q224" s="107"/>
      <c r="R224" s="111"/>
      <c r="S224" s="110"/>
      <c r="T224"/>
      <c r="U224"/>
      <c r="V224"/>
    </row>
    <row r="225" spans="1:22">
      <c r="A225" s="105">
        <v>1607</v>
      </c>
      <c r="B225" s="41">
        <v>120000000</v>
      </c>
      <c r="C225" s="41">
        <v>1.6999999999999999E-3</v>
      </c>
      <c r="D225" s="41">
        <v>2.8283999999999998</v>
      </c>
      <c r="E225" s="41">
        <v>30</v>
      </c>
      <c r="F225" s="41">
        <v>0</v>
      </c>
      <c r="G225" s="41" t="s">
        <v>103</v>
      </c>
      <c r="H225" s="41">
        <v>2</v>
      </c>
      <c r="I225" s="41">
        <v>1</v>
      </c>
      <c r="J225" s="108">
        <v>0</v>
      </c>
      <c r="K225" s="41">
        <v>0</v>
      </c>
      <c r="L225" s="41">
        <v>55</v>
      </c>
      <c r="M225" s="41">
        <v>-1</v>
      </c>
      <c r="N225" s="41">
        <v>4</v>
      </c>
      <c r="O225" s="110" t="s">
        <v>2311</v>
      </c>
      <c r="P225" s="109">
        <v>193587</v>
      </c>
      <c r="Q225" s="107"/>
      <c r="R225" s="111"/>
      <c r="S225" s="110"/>
      <c r="T225"/>
      <c r="U225"/>
      <c r="V225"/>
    </row>
    <row r="226" spans="1:22">
      <c r="A226" s="105">
        <v>1608</v>
      </c>
      <c r="B226" s="41">
        <v>120000000</v>
      </c>
      <c r="C226" s="41">
        <v>1.6999999999999999E-3</v>
      </c>
      <c r="D226" s="41">
        <v>4</v>
      </c>
      <c r="E226" s="41">
        <v>30</v>
      </c>
      <c r="F226" s="41">
        <v>0</v>
      </c>
      <c r="G226" s="41" t="s">
        <v>103</v>
      </c>
      <c r="H226" s="41">
        <v>2</v>
      </c>
      <c r="I226" s="41">
        <v>1</v>
      </c>
      <c r="J226" s="108">
        <v>0</v>
      </c>
      <c r="K226" s="41">
        <v>0</v>
      </c>
      <c r="L226" s="41">
        <v>55</v>
      </c>
      <c r="M226" s="41">
        <v>-1</v>
      </c>
      <c r="N226" s="41">
        <v>4</v>
      </c>
      <c r="O226" s="110" t="s">
        <v>2312</v>
      </c>
      <c r="P226" s="109">
        <v>193587</v>
      </c>
      <c r="Q226" s="107"/>
      <c r="R226" s="111"/>
      <c r="S226" s="110"/>
      <c r="T226"/>
      <c r="U226"/>
      <c r="V226"/>
    </row>
    <row r="227" spans="1:22">
      <c r="A227" s="105">
        <v>1609</v>
      </c>
      <c r="B227" s="41">
        <v>120000000</v>
      </c>
      <c r="C227" s="41">
        <v>1.6999999999999999E-3</v>
      </c>
      <c r="D227" s="41">
        <v>5.6569000000000003</v>
      </c>
      <c r="E227" s="41">
        <v>30</v>
      </c>
      <c r="F227" s="41">
        <v>0</v>
      </c>
      <c r="G227" s="41" t="s">
        <v>103</v>
      </c>
      <c r="H227" s="41">
        <v>2</v>
      </c>
      <c r="I227" s="41">
        <v>1</v>
      </c>
      <c r="J227" s="108">
        <v>0</v>
      </c>
      <c r="K227" s="41">
        <v>0</v>
      </c>
      <c r="L227" s="41">
        <v>55</v>
      </c>
      <c r="M227" s="41">
        <v>-1</v>
      </c>
      <c r="N227" s="41">
        <v>4</v>
      </c>
      <c r="O227" s="110" t="s">
        <v>2313</v>
      </c>
      <c r="P227" s="109">
        <v>193587</v>
      </c>
      <c r="Q227" s="107"/>
      <c r="R227" s="111"/>
      <c r="S227" s="110"/>
      <c r="T227"/>
      <c r="U227"/>
      <c r="V227"/>
    </row>
    <row r="228" spans="1:22">
      <c r="A228" s="105">
        <v>1610</v>
      </c>
      <c r="B228" s="41">
        <v>120000000</v>
      </c>
      <c r="C228" s="41">
        <v>1.6999999999999999E-3</v>
      </c>
      <c r="D228" s="41">
        <v>8</v>
      </c>
      <c r="E228" s="41">
        <v>30</v>
      </c>
      <c r="F228" s="41">
        <v>0</v>
      </c>
      <c r="G228" s="41" t="s">
        <v>103</v>
      </c>
      <c r="H228" s="41">
        <v>2</v>
      </c>
      <c r="I228" s="41">
        <v>1</v>
      </c>
      <c r="J228" s="108">
        <v>0</v>
      </c>
      <c r="K228" s="41">
        <v>0</v>
      </c>
      <c r="L228" s="41">
        <v>55</v>
      </c>
      <c r="M228" s="41">
        <v>-1</v>
      </c>
      <c r="N228" s="41">
        <v>4</v>
      </c>
      <c r="O228" s="110" t="s">
        <v>2314</v>
      </c>
      <c r="P228" s="109">
        <v>193587</v>
      </c>
      <c r="Q228" s="107"/>
      <c r="R228" s="111"/>
      <c r="S228" s="110"/>
      <c r="T228"/>
      <c r="U228"/>
      <c r="V228"/>
    </row>
    <row r="229" spans="1:22">
      <c r="A229" s="105">
        <v>1611</v>
      </c>
      <c r="B229" s="41">
        <v>120000000</v>
      </c>
      <c r="C229" s="41">
        <v>1.6999999999999999E-3</v>
      </c>
      <c r="D229" s="41">
        <v>11.313700000000001</v>
      </c>
      <c r="E229" s="41">
        <v>30</v>
      </c>
      <c r="F229" s="41">
        <v>0</v>
      </c>
      <c r="G229" s="41" t="s">
        <v>103</v>
      </c>
      <c r="H229" s="41">
        <v>2</v>
      </c>
      <c r="I229" s="41">
        <v>1</v>
      </c>
      <c r="J229" s="108">
        <v>0</v>
      </c>
      <c r="K229" s="41">
        <v>0</v>
      </c>
      <c r="L229" s="41">
        <v>55</v>
      </c>
      <c r="M229" s="41">
        <v>-1</v>
      </c>
      <c r="N229" s="41">
        <v>4</v>
      </c>
      <c r="O229" s="110" t="s">
        <v>2315</v>
      </c>
      <c r="P229" s="109">
        <v>193587</v>
      </c>
      <c r="Q229" s="107"/>
      <c r="R229" s="111"/>
      <c r="S229" s="110"/>
      <c r="T229"/>
      <c r="U229"/>
      <c r="V229"/>
    </row>
    <row r="230" spans="1:22">
      <c r="A230" s="105">
        <v>1612</v>
      </c>
      <c r="B230" s="41">
        <v>120000000</v>
      </c>
      <c r="C230" s="41">
        <v>1.6999999999999999E-3</v>
      </c>
      <c r="D230" s="41">
        <v>16</v>
      </c>
      <c r="E230" s="41">
        <v>30</v>
      </c>
      <c r="F230" s="41">
        <v>0</v>
      </c>
      <c r="G230" s="41" t="s">
        <v>103</v>
      </c>
      <c r="H230" s="41">
        <v>2</v>
      </c>
      <c r="I230" s="41">
        <v>1</v>
      </c>
      <c r="J230" s="108">
        <v>0</v>
      </c>
      <c r="K230" s="41">
        <v>0</v>
      </c>
      <c r="L230" s="41">
        <v>55</v>
      </c>
      <c r="M230" s="41">
        <v>-1</v>
      </c>
      <c r="N230" s="41">
        <v>4</v>
      </c>
      <c r="O230" s="110" t="s">
        <v>2316</v>
      </c>
      <c r="P230" s="109">
        <v>193587</v>
      </c>
      <c r="Q230" s="107"/>
      <c r="R230" s="111"/>
      <c r="S230" s="110"/>
      <c r="T230"/>
      <c r="U230"/>
      <c r="V230"/>
    </row>
    <row r="231" spans="1:22">
      <c r="A231" s="105">
        <v>1613</v>
      </c>
      <c r="B231" s="41">
        <v>120000000</v>
      </c>
      <c r="C231" s="41">
        <v>1.6999999999999999E-3</v>
      </c>
      <c r="D231" s="41">
        <v>22.627400000000002</v>
      </c>
      <c r="E231" s="41">
        <v>30</v>
      </c>
      <c r="F231" s="41">
        <v>0</v>
      </c>
      <c r="G231" s="41" t="s">
        <v>103</v>
      </c>
      <c r="H231" s="41">
        <v>2</v>
      </c>
      <c r="I231" s="41">
        <v>1</v>
      </c>
      <c r="J231" s="108">
        <v>0</v>
      </c>
      <c r="K231" s="41">
        <v>0</v>
      </c>
      <c r="L231" s="41">
        <v>55</v>
      </c>
      <c r="M231" s="41">
        <v>-1</v>
      </c>
      <c r="N231" s="41">
        <v>4</v>
      </c>
      <c r="O231" s="110" t="s">
        <v>2317</v>
      </c>
      <c r="P231" s="109">
        <v>193587</v>
      </c>
      <c r="Q231" s="107"/>
      <c r="R231" s="111"/>
      <c r="S231" s="110"/>
      <c r="T231"/>
      <c r="U231"/>
      <c r="V231"/>
    </row>
    <row r="232" spans="1:22">
      <c r="A232" s="105">
        <v>1614</v>
      </c>
      <c r="B232" s="41">
        <v>120000000</v>
      </c>
      <c r="C232" s="41">
        <v>1.9E-3</v>
      </c>
      <c r="D232" s="41">
        <v>1.4141999999999999</v>
      </c>
      <c r="E232" s="41">
        <v>30</v>
      </c>
      <c r="F232" s="41">
        <v>0</v>
      </c>
      <c r="G232" s="41" t="s">
        <v>103</v>
      </c>
      <c r="H232" s="41">
        <v>2</v>
      </c>
      <c r="I232" s="41">
        <v>1</v>
      </c>
      <c r="J232" s="108">
        <v>0</v>
      </c>
      <c r="K232" s="41">
        <v>0</v>
      </c>
      <c r="L232" s="41">
        <v>55</v>
      </c>
      <c r="M232" s="41">
        <v>-1</v>
      </c>
      <c r="N232" s="41">
        <v>4</v>
      </c>
      <c r="O232" s="110" t="s">
        <v>2318</v>
      </c>
      <c r="P232" s="109">
        <v>193587</v>
      </c>
      <c r="Q232" s="107"/>
      <c r="R232" s="111"/>
      <c r="S232" s="110"/>
      <c r="T232"/>
      <c r="U232"/>
      <c r="V232"/>
    </row>
    <row r="233" spans="1:22">
      <c r="A233" s="105">
        <v>1615</v>
      </c>
      <c r="B233" s="41">
        <v>120000000</v>
      </c>
      <c r="C233" s="41">
        <v>1.9E-3</v>
      </c>
      <c r="D233" s="41">
        <v>2</v>
      </c>
      <c r="E233" s="41">
        <v>30</v>
      </c>
      <c r="F233" s="41">
        <v>0</v>
      </c>
      <c r="G233" s="41" t="s">
        <v>103</v>
      </c>
      <c r="H233" s="41">
        <v>2</v>
      </c>
      <c r="I233" s="41">
        <v>1</v>
      </c>
      <c r="J233" s="108">
        <v>0</v>
      </c>
      <c r="K233" s="41">
        <v>0</v>
      </c>
      <c r="L233" s="41">
        <v>55</v>
      </c>
      <c r="M233" s="41">
        <v>-1</v>
      </c>
      <c r="N233" s="41">
        <v>4</v>
      </c>
      <c r="O233" s="110" t="s">
        <v>2319</v>
      </c>
      <c r="P233" s="109">
        <v>193587</v>
      </c>
      <c r="Q233" s="107"/>
      <c r="R233" s="111"/>
      <c r="S233" s="110"/>
      <c r="T233"/>
      <c r="U233"/>
      <c r="V233"/>
    </row>
    <row r="234" spans="1:22">
      <c r="A234" s="105">
        <v>1616</v>
      </c>
      <c r="B234" s="41">
        <v>120000000</v>
      </c>
      <c r="C234" s="41">
        <v>1.9E-3</v>
      </c>
      <c r="D234" s="41">
        <v>2.8283999999999998</v>
      </c>
      <c r="E234" s="41">
        <v>30</v>
      </c>
      <c r="F234" s="41">
        <v>0</v>
      </c>
      <c r="G234" s="41" t="s">
        <v>103</v>
      </c>
      <c r="H234" s="41">
        <v>2</v>
      </c>
      <c r="I234" s="41">
        <v>1</v>
      </c>
      <c r="J234" s="108">
        <v>0</v>
      </c>
      <c r="K234" s="41">
        <v>0</v>
      </c>
      <c r="L234" s="41">
        <v>55</v>
      </c>
      <c r="M234" s="41">
        <v>-1</v>
      </c>
      <c r="N234" s="41">
        <v>4</v>
      </c>
      <c r="O234" s="110" t="s">
        <v>2320</v>
      </c>
      <c r="P234" s="109">
        <v>193587</v>
      </c>
      <c r="Q234" s="107"/>
      <c r="R234" s="111"/>
      <c r="S234" s="110"/>
      <c r="T234"/>
      <c r="U234"/>
      <c r="V234"/>
    </row>
    <row r="235" spans="1:22">
      <c r="A235" s="105">
        <v>1617</v>
      </c>
      <c r="B235" s="41">
        <v>120000000</v>
      </c>
      <c r="C235" s="41">
        <v>1.9E-3</v>
      </c>
      <c r="D235" s="41">
        <v>4</v>
      </c>
      <c r="E235" s="41">
        <v>30</v>
      </c>
      <c r="F235" s="41">
        <v>0</v>
      </c>
      <c r="G235" s="41" t="s">
        <v>103</v>
      </c>
      <c r="H235" s="41">
        <v>2</v>
      </c>
      <c r="I235" s="41">
        <v>1</v>
      </c>
      <c r="J235" s="108">
        <v>0</v>
      </c>
      <c r="K235" s="41">
        <v>0</v>
      </c>
      <c r="L235" s="41">
        <v>55</v>
      </c>
      <c r="M235" s="41">
        <v>-1</v>
      </c>
      <c r="N235" s="41">
        <v>4</v>
      </c>
      <c r="O235" s="110" t="s">
        <v>2321</v>
      </c>
      <c r="P235" s="109">
        <v>193587</v>
      </c>
      <c r="Q235" s="107"/>
      <c r="R235" s="111"/>
      <c r="S235" s="110"/>
      <c r="T235"/>
      <c r="U235"/>
      <c r="V235"/>
    </row>
    <row r="236" spans="1:22">
      <c r="A236" s="105">
        <v>1618</v>
      </c>
      <c r="B236" s="41">
        <v>120000000</v>
      </c>
      <c r="C236" s="41">
        <v>1.9E-3</v>
      </c>
      <c r="D236" s="41">
        <v>5.6569000000000003</v>
      </c>
      <c r="E236" s="41">
        <v>30</v>
      </c>
      <c r="F236" s="41">
        <v>0</v>
      </c>
      <c r="G236" s="41" t="s">
        <v>103</v>
      </c>
      <c r="H236" s="41">
        <v>2</v>
      </c>
      <c r="I236" s="41">
        <v>1</v>
      </c>
      <c r="J236" s="108">
        <v>0</v>
      </c>
      <c r="K236" s="41">
        <v>0</v>
      </c>
      <c r="L236" s="41">
        <v>55</v>
      </c>
      <c r="M236" s="41">
        <v>-1</v>
      </c>
      <c r="N236" s="41">
        <v>4</v>
      </c>
      <c r="O236" s="110" t="s">
        <v>2322</v>
      </c>
      <c r="P236" s="109">
        <v>193587</v>
      </c>
      <c r="Q236" s="107"/>
      <c r="R236" s="111"/>
      <c r="S236" s="110"/>
      <c r="T236"/>
      <c r="U236"/>
      <c r="V236"/>
    </row>
    <row r="237" spans="1:22">
      <c r="A237" s="105">
        <v>1619</v>
      </c>
      <c r="B237" s="41">
        <v>120000000</v>
      </c>
      <c r="C237" s="41">
        <v>1.9E-3</v>
      </c>
      <c r="D237" s="41">
        <v>8</v>
      </c>
      <c r="E237" s="41">
        <v>30</v>
      </c>
      <c r="F237" s="41">
        <v>0</v>
      </c>
      <c r="G237" s="41" t="s">
        <v>103</v>
      </c>
      <c r="H237" s="41">
        <v>2</v>
      </c>
      <c r="I237" s="41">
        <v>1</v>
      </c>
      <c r="J237" s="108">
        <v>0</v>
      </c>
      <c r="K237" s="41">
        <v>0</v>
      </c>
      <c r="L237" s="41">
        <v>55</v>
      </c>
      <c r="M237" s="41">
        <v>-1</v>
      </c>
      <c r="N237" s="41">
        <v>4</v>
      </c>
      <c r="O237" s="110" t="s">
        <v>2323</v>
      </c>
      <c r="P237" s="109">
        <v>193587</v>
      </c>
      <c r="Q237" s="107"/>
      <c r="R237" s="111"/>
      <c r="S237" s="110"/>
      <c r="T237"/>
      <c r="U237"/>
      <c r="V237"/>
    </row>
    <row r="238" spans="1:22">
      <c r="A238" s="105">
        <v>1620</v>
      </c>
      <c r="B238" s="41">
        <v>120000000</v>
      </c>
      <c r="C238" s="41">
        <v>1.9E-3</v>
      </c>
      <c r="D238" s="41">
        <v>11.313700000000001</v>
      </c>
      <c r="E238" s="41">
        <v>30</v>
      </c>
      <c r="F238" s="41">
        <v>0</v>
      </c>
      <c r="G238" s="41" t="s">
        <v>103</v>
      </c>
      <c r="H238" s="41">
        <v>2</v>
      </c>
      <c r="I238" s="41">
        <v>1</v>
      </c>
      <c r="J238" s="108">
        <v>0</v>
      </c>
      <c r="K238" s="41">
        <v>0</v>
      </c>
      <c r="L238" s="41">
        <v>55</v>
      </c>
      <c r="M238" s="41">
        <v>-1</v>
      </c>
      <c r="N238" s="41">
        <v>4</v>
      </c>
      <c r="O238" s="110" t="s">
        <v>2324</v>
      </c>
      <c r="P238" s="109">
        <v>193787</v>
      </c>
      <c r="Q238" s="107"/>
      <c r="R238" s="111"/>
      <c r="S238" s="110" t="s">
        <v>2267</v>
      </c>
      <c r="T238"/>
      <c r="U238"/>
      <c r="V238"/>
    </row>
    <row r="239" spans="1:22">
      <c r="A239" s="105">
        <v>1621</v>
      </c>
      <c r="B239" s="41">
        <v>120000000</v>
      </c>
      <c r="C239" s="41">
        <v>1.9E-3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2</v>
      </c>
      <c r="I239" s="41">
        <v>1</v>
      </c>
      <c r="J239" s="108">
        <v>0</v>
      </c>
      <c r="K239" s="41">
        <v>0</v>
      </c>
      <c r="L239" s="41">
        <v>55</v>
      </c>
      <c r="M239" s="41">
        <v>-1</v>
      </c>
      <c r="N239" s="41">
        <v>4</v>
      </c>
      <c r="O239" s="110" t="s">
        <v>2325</v>
      </c>
      <c r="P239" s="109">
        <v>193787</v>
      </c>
      <c r="Q239" s="107"/>
      <c r="R239" s="111"/>
      <c r="S239" s="110"/>
      <c r="T239"/>
      <c r="U239"/>
      <c r="V239"/>
    </row>
    <row r="240" spans="1:22">
      <c r="A240" s="105">
        <v>1622</v>
      </c>
      <c r="B240" s="41">
        <v>120000000</v>
      </c>
      <c r="C240" s="41">
        <v>1.9E-3</v>
      </c>
      <c r="D240" s="41">
        <v>22.627400000000002</v>
      </c>
      <c r="E240" s="41">
        <v>30</v>
      </c>
      <c r="F240" s="41">
        <v>0</v>
      </c>
      <c r="G240" s="41" t="s">
        <v>103</v>
      </c>
      <c r="H240" s="41">
        <v>2</v>
      </c>
      <c r="I240" s="41">
        <v>1</v>
      </c>
      <c r="J240" s="108">
        <v>0</v>
      </c>
      <c r="K240" s="41">
        <v>0</v>
      </c>
      <c r="L240" s="41">
        <v>55</v>
      </c>
      <c r="M240" s="41">
        <v>-1</v>
      </c>
      <c r="N240" s="41">
        <v>4</v>
      </c>
      <c r="O240" s="110" t="s">
        <v>2326</v>
      </c>
      <c r="P240" s="109">
        <v>193787</v>
      </c>
      <c r="Q240" s="107"/>
      <c r="R240" s="111"/>
      <c r="S240" s="110"/>
      <c r="T240"/>
      <c r="U240"/>
      <c r="V240"/>
    </row>
    <row r="241" spans="1:22">
      <c r="A241" s="105">
        <v>1623</v>
      </c>
      <c r="B241" s="41">
        <v>120000000</v>
      </c>
      <c r="C241" s="41">
        <v>1.9E-3</v>
      </c>
      <c r="D241" s="41">
        <v>32</v>
      </c>
      <c r="E241" s="41">
        <v>30</v>
      </c>
      <c r="F241" s="41">
        <v>0</v>
      </c>
      <c r="G241" s="41" t="s">
        <v>103</v>
      </c>
      <c r="H241" s="41">
        <v>2</v>
      </c>
      <c r="I241" s="41">
        <v>1</v>
      </c>
      <c r="J241" s="108">
        <v>0</v>
      </c>
      <c r="K241" s="41">
        <v>0</v>
      </c>
      <c r="L241" s="41">
        <v>55</v>
      </c>
      <c r="M241" s="41">
        <v>-1</v>
      </c>
      <c r="N241" s="41">
        <v>4</v>
      </c>
      <c r="O241" s="110" t="s">
        <v>2327</v>
      </c>
      <c r="P241" s="109">
        <v>193787</v>
      </c>
      <c r="Q241" s="107"/>
      <c r="R241" s="111"/>
      <c r="S241" s="110"/>
      <c r="T241"/>
      <c r="U241"/>
      <c r="V241"/>
    </row>
    <row r="242" spans="1:22">
      <c r="A242" s="105">
        <v>1624</v>
      </c>
      <c r="B242" s="41">
        <v>120000000</v>
      </c>
      <c r="C242" s="41">
        <v>2.0999999999999999E-3</v>
      </c>
      <c r="D242" s="41">
        <v>1.4141999999999999</v>
      </c>
      <c r="E242" s="41">
        <v>30</v>
      </c>
      <c r="F242" s="41">
        <v>0</v>
      </c>
      <c r="G242" s="41" t="s">
        <v>103</v>
      </c>
      <c r="H242" s="41">
        <v>2</v>
      </c>
      <c r="I242" s="41">
        <v>1</v>
      </c>
      <c r="J242" s="108">
        <v>0</v>
      </c>
      <c r="K242" s="41">
        <v>0</v>
      </c>
      <c r="L242" s="41">
        <v>55</v>
      </c>
      <c r="M242" s="41">
        <v>-1</v>
      </c>
      <c r="N242" s="41">
        <v>4</v>
      </c>
      <c r="O242" s="110" t="s">
        <v>2328</v>
      </c>
      <c r="P242" s="109">
        <v>193787</v>
      </c>
      <c r="Q242" s="107"/>
      <c r="R242" s="111"/>
      <c r="S242" s="110"/>
      <c r="T242"/>
      <c r="U242"/>
      <c r="V242"/>
    </row>
    <row r="243" spans="1:22">
      <c r="A243" s="105">
        <v>1625</v>
      </c>
      <c r="B243" s="41">
        <v>120000000</v>
      </c>
      <c r="C243" s="41">
        <v>2.0999999999999999E-3</v>
      </c>
      <c r="D243" s="41">
        <v>2</v>
      </c>
      <c r="E243" s="41">
        <v>30</v>
      </c>
      <c r="F243" s="41">
        <v>0</v>
      </c>
      <c r="G243" s="41" t="s">
        <v>103</v>
      </c>
      <c r="H243" s="41">
        <v>2</v>
      </c>
      <c r="I243" s="41">
        <v>1</v>
      </c>
      <c r="J243" s="108">
        <v>0</v>
      </c>
      <c r="K243" s="41">
        <v>0</v>
      </c>
      <c r="L243" s="41">
        <v>55</v>
      </c>
      <c r="M243" s="41">
        <v>-1</v>
      </c>
      <c r="N243" s="41">
        <v>4</v>
      </c>
      <c r="O243" s="110" t="s">
        <v>2329</v>
      </c>
      <c r="P243" s="109">
        <v>193787</v>
      </c>
      <c r="Q243" s="107"/>
      <c r="R243" s="111"/>
      <c r="S243" s="110"/>
      <c r="T243"/>
      <c r="U243"/>
      <c r="V243"/>
    </row>
    <row r="244" spans="1:22">
      <c r="A244" s="105">
        <v>1626</v>
      </c>
      <c r="B244" s="41">
        <v>120000000</v>
      </c>
      <c r="C244" s="41">
        <v>2.0999999999999999E-3</v>
      </c>
      <c r="D244" s="41">
        <v>2.8283999999999998</v>
      </c>
      <c r="E244" s="41">
        <v>30</v>
      </c>
      <c r="F244" s="41">
        <v>0</v>
      </c>
      <c r="G244" s="41" t="s">
        <v>103</v>
      </c>
      <c r="H244" s="41">
        <v>2</v>
      </c>
      <c r="I244" s="41">
        <v>1</v>
      </c>
      <c r="J244" s="108">
        <v>0</v>
      </c>
      <c r="K244" s="41">
        <v>0</v>
      </c>
      <c r="L244" s="41">
        <v>55</v>
      </c>
      <c r="M244" s="41">
        <v>-1</v>
      </c>
      <c r="N244" s="41">
        <v>4</v>
      </c>
      <c r="O244" s="110" t="s">
        <v>2330</v>
      </c>
      <c r="P244" s="109">
        <v>193787</v>
      </c>
      <c r="Q244" s="107"/>
      <c r="R244" s="111"/>
      <c r="S244" s="110"/>
      <c r="T244"/>
      <c r="U244"/>
      <c r="V244"/>
    </row>
    <row r="245" spans="1:22">
      <c r="A245" s="105">
        <v>1627</v>
      </c>
      <c r="B245" s="41">
        <v>120000000</v>
      </c>
      <c r="C245" s="41">
        <v>2.0999999999999999E-3</v>
      </c>
      <c r="D245" s="41">
        <v>4</v>
      </c>
      <c r="E245" s="41">
        <v>30</v>
      </c>
      <c r="F245" s="41">
        <v>0</v>
      </c>
      <c r="G245" s="41" t="s">
        <v>103</v>
      </c>
      <c r="H245" s="41">
        <v>2</v>
      </c>
      <c r="I245" s="41">
        <v>1</v>
      </c>
      <c r="J245" s="108">
        <v>0</v>
      </c>
      <c r="K245" s="41">
        <v>0</v>
      </c>
      <c r="L245" s="41">
        <v>55</v>
      </c>
      <c r="M245" s="41">
        <v>-1</v>
      </c>
      <c r="N245" s="41">
        <v>4</v>
      </c>
      <c r="O245" s="110" t="s">
        <v>2331</v>
      </c>
      <c r="P245" s="109">
        <v>193787</v>
      </c>
      <c r="Q245" s="107"/>
      <c r="R245" s="111"/>
      <c r="S245" s="110"/>
      <c r="T245"/>
      <c r="U245"/>
      <c r="V245"/>
    </row>
    <row r="246" spans="1:22">
      <c r="A246" s="105">
        <v>1628</v>
      </c>
      <c r="B246" s="41">
        <v>120000000</v>
      </c>
      <c r="C246" s="41">
        <v>2.0999999999999999E-3</v>
      </c>
      <c r="D246" s="41">
        <v>5.6569000000000003</v>
      </c>
      <c r="E246" s="41">
        <v>30</v>
      </c>
      <c r="F246" s="41">
        <v>0</v>
      </c>
      <c r="G246" s="41" t="s">
        <v>103</v>
      </c>
      <c r="H246" s="41">
        <v>2</v>
      </c>
      <c r="I246" s="41">
        <v>1</v>
      </c>
      <c r="J246" s="108">
        <v>0</v>
      </c>
      <c r="K246" s="41">
        <v>0</v>
      </c>
      <c r="L246" s="41">
        <v>55</v>
      </c>
      <c r="M246" s="41">
        <v>-1</v>
      </c>
      <c r="N246" s="41">
        <v>4</v>
      </c>
      <c r="O246" s="110" t="s">
        <v>2332</v>
      </c>
      <c r="P246" s="109">
        <v>193787</v>
      </c>
      <c r="Q246" s="107"/>
      <c r="R246" s="111"/>
      <c r="S246" s="110"/>
      <c r="T246"/>
      <c r="U246"/>
      <c r="V246"/>
    </row>
    <row r="247" spans="1:22">
      <c r="A247" s="105">
        <v>1629</v>
      </c>
      <c r="B247" s="41">
        <v>120000000</v>
      </c>
      <c r="C247" s="41">
        <v>2.0999999999999999E-3</v>
      </c>
      <c r="D247" s="41">
        <v>8</v>
      </c>
      <c r="E247" s="41">
        <v>30</v>
      </c>
      <c r="F247" s="41">
        <v>0</v>
      </c>
      <c r="G247" s="41" t="s">
        <v>103</v>
      </c>
      <c r="H247" s="41">
        <v>2</v>
      </c>
      <c r="I247" s="41">
        <v>1</v>
      </c>
      <c r="J247" s="108">
        <v>0</v>
      </c>
      <c r="K247" s="41">
        <v>0</v>
      </c>
      <c r="L247" s="41">
        <v>55</v>
      </c>
      <c r="M247" s="41">
        <v>-1</v>
      </c>
      <c r="N247" s="41">
        <v>4</v>
      </c>
      <c r="O247" s="110" t="s">
        <v>2333</v>
      </c>
      <c r="P247" s="109">
        <v>193787</v>
      </c>
      <c r="Q247" s="107"/>
      <c r="R247" s="111"/>
      <c r="S247" s="110"/>
      <c r="T247"/>
      <c r="U247"/>
      <c r="V247"/>
    </row>
    <row r="248" spans="1:22">
      <c r="A248" s="105">
        <v>1630</v>
      </c>
      <c r="B248" s="41">
        <v>120000000</v>
      </c>
      <c r="C248" s="41">
        <v>2.0999999999999999E-3</v>
      </c>
      <c r="D248" s="41">
        <v>11.313700000000001</v>
      </c>
      <c r="E248" s="41">
        <v>30</v>
      </c>
      <c r="F248" s="41">
        <v>0</v>
      </c>
      <c r="G248" s="41" t="s">
        <v>103</v>
      </c>
      <c r="H248" s="41">
        <v>2</v>
      </c>
      <c r="I248" s="41">
        <v>1</v>
      </c>
      <c r="J248" s="108">
        <v>0</v>
      </c>
      <c r="K248" s="41">
        <v>0</v>
      </c>
      <c r="L248" s="41">
        <v>55</v>
      </c>
      <c r="M248" s="41">
        <v>-1</v>
      </c>
      <c r="N248" s="41">
        <v>4</v>
      </c>
      <c r="O248" s="110" t="s">
        <v>2334</v>
      </c>
      <c r="P248" s="109">
        <v>193787</v>
      </c>
      <c r="Q248" s="107"/>
      <c r="R248" s="111"/>
      <c r="S248" s="110"/>
      <c r="T248"/>
      <c r="U248"/>
      <c r="V248"/>
    </row>
    <row r="249" spans="1:22">
      <c r="A249" s="105">
        <v>1631</v>
      </c>
      <c r="B249" s="41">
        <v>120000000</v>
      </c>
      <c r="C249" s="41">
        <v>2.0999999999999999E-3</v>
      </c>
      <c r="D249" s="41">
        <v>16</v>
      </c>
      <c r="E249" s="41">
        <v>30</v>
      </c>
      <c r="F249" s="41">
        <v>0</v>
      </c>
      <c r="G249" s="41" t="s">
        <v>103</v>
      </c>
      <c r="H249" s="41">
        <v>2</v>
      </c>
      <c r="I249" s="41">
        <v>1</v>
      </c>
      <c r="J249" s="108">
        <v>0</v>
      </c>
      <c r="K249" s="41">
        <v>0</v>
      </c>
      <c r="L249" s="41">
        <v>55</v>
      </c>
      <c r="M249" s="41">
        <v>-1</v>
      </c>
      <c r="N249" s="41">
        <v>4</v>
      </c>
      <c r="O249" s="110" t="s">
        <v>2335</v>
      </c>
      <c r="P249" s="109">
        <v>193787</v>
      </c>
      <c r="Q249" s="107"/>
      <c r="R249" s="111"/>
      <c r="S249" s="110"/>
      <c r="T249"/>
      <c r="U249"/>
      <c r="V249"/>
    </row>
    <row r="250" spans="1:22">
      <c r="A250" s="105">
        <v>1632</v>
      </c>
      <c r="B250" s="41">
        <v>120000000</v>
      </c>
      <c r="C250" s="41">
        <v>2.0999999999999999E-3</v>
      </c>
      <c r="D250" s="41">
        <v>22.627400000000002</v>
      </c>
      <c r="E250" s="41">
        <v>30</v>
      </c>
      <c r="F250" s="41">
        <v>0</v>
      </c>
      <c r="G250" s="41" t="s">
        <v>103</v>
      </c>
      <c r="H250" s="41">
        <v>2</v>
      </c>
      <c r="I250" s="41">
        <v>1</v>
      </c>
      <c r="J250" s="108">
        <v>0</v>
      </c>
      <c r="K250" s="41">
        <v>0</v>
      </c>
      <c r="L250" s="41">
        <v>55</v>
      </c>
      <c r="M250" s="41">
        <v>-1</v>
      </c>
      <c r="N250" s="41">
        <v>4</v>
      </c>
      <c r="O250" s="110" t="s">
        <v>2336</v>
      </c>
      <c r="P250" s="109">
        <v>193787</v>
      </c>
      <c r="Q250" s="107"/>
      <c r="R250" s="111"/>
      <c r="S250" s="110"/>
      <c r="T250"/>
      <c r="U250"/>
      <c r="V250"/>
    </row>
    <row r="251" spans="1:22">
      <c r="A251" s="105">
        <v>1633</v>
      </c>
      <c r="B251" s="41">
        <v>120000000</v>
      </c>
      <c r="C251" s="41">
        <v>2.0999999999999999E-3</v>
      </c>
      <c r="D251" s="41">
        <v>32</v>
      </c>
      <c r="E251" s="41">
        <v>30</v>
      </c>
      <c r="F251" s="41">
        <v>0</v>
      </c>
      <c r="G251" s="41" t="s">
        <v>103</v>
      </c>
      <c r="H251" s="41">
        <v>2</v>
      </c>
      <c r="I251" s="41">
        <v>1</v>
      </c>
      <c r="J251" s="108">
        <v>0</v>
      </c>
      <c r="K251" s="41">
        <v>0</v>
      </c>
      <c r="L251" s="41">
        <v>55</v>
      </c>
      <c r="M251" s="41">
        <v>-1</v>
      </c>
      <c r="N251" s="41">
        <v>4</v>
      </c>
      <c r="O251" s="110" t="s">
        <v>2337</v>
      </c>
      <c r="P251" s="109">
        <v>193787</v>
      </c>
      <c r="Q251" s="107"/>
      <c r="R251" s="111"/>
      <c r="S251" s="110"/>
      <c r="T251"/>
      <c r="U251"/>
      <c r="V251"/>
    </row>
    <row r="252" spans="1:22">
      <c r="A252" s="105">
        <v>1634</v>
      </c>
      <c r="B252" s="41">
        <v>120000000</v>
      </c>
      <c r="C252" s="41">
        <v>2.3E-3</v>
      </c>
      <c r="D252" s="41">
        <v>2</v>
      </c>
      <c r="E252" s="41">
        <v>30</v>
      </c>
      <c r="F252" s="41">
        <v>0</v>
      </c>
      <c r="G252" s="41" t="s">
        <v>103</v>
      </c>
      <c r="H252" s="41">
        <v>2</v>
      </c>
      <c r="I252" s="41">
        <v>1</v>
      </c>
      <c r="J252" s="108">
        <v>0</v>
      </c>
      <c r="K252" s="41">
        <v>0</v>
      </c>
      <c r="L252" s="41">
        <v>55</v>
      </c>
      <c r="M252" s="41">
        <v>-1</v>
      </c>
      <c r="N252" s="41">
        <v>4</v>
      </c>
      <c r="O252" s="110" t="s">
        <v>2338</v>
      </c>
      <c r="P252" s="109">
        <v>193787</v>
      </c>
      <c r="Q252" s="107"/>
      <c r="R252" s="111"/>
      <c r="S252" s="110"/>
      <c r="T252"/>
      <c r="U252"/>
      <c r="V252"/>
    </row>
    <row r="253" spans="1:22">
      <c r="A253" s="105">
        <v>1635</v>
      </c>
      <c r="B253" s="41">
        <v>120000000</v>
      </c>
      <c r="C253" s="41">
        <v>2.3E-3</v>
      </c>
      <c r="D253" s="41">
        <v>2.8283999999999998</v>
      </c>
      <c r="E253" s="41">
        <v>30</v>
      </c>
      <c r="F253" s="41">
        <v>0</v>
      </c>
      <c r="G253" s="41" t="s">
        <v>103</v>
      </c>
      <c r="H253" s="41">
        <v>2</v>
      </c>
      <c r="I253" s="41">
        <v>1</v>
      </c>
      <c r="J253" s="108">
        <v>0</v>
      </c>
      <c r="K253" s="41">
        <v>0</v>
      </c>
      <c r="L253" s="41">
        <v>55</v>
      </c>
      <c r="M253" s="41">
        <v>-1</v>
      </c>
      <c r="N253" s="41">
        <v>4</v>
      </c>
      <c r="O253" s="110" t="s">
        <v>2339</v>
      </c>
      <c r="P253" s="109">
        <v>193787</v>
      </c>
      <c r="Q253" s="107"/>
      <c r="R253" s="111"/>
      <c r="S253" s="110"/>
      <c r="T253"/>
      <c r="U253"/>
      <c r="V253"/>
    </row>
    <row r="254" spans="1:22">
      <c r="A254" s="105">
        <v>1636</v>
      </c>
      <c r="B254" s="41">
        <v>120000000</v>
      </c>
      <c r="C254" s="41">
        <v>2.3E-3</v>
      </c>
      <c r="D254" s="41">
        <v>4</v>
      </c>
      <c r="E254" s="41">
        <v>30</v>
      </c>
      <c r="F254" s="41">
        <v>0</v>
      </c>
      <c r="G254" s="41" t="s">
        <v>103</v>
      </c>
      <c r="H254" s="41">
        <v>2</v>
      </c>
      <c r="I254" s="41">
        <v>1</v>
      </c>
      <c r="J254" s="108">
        <v>0</v>
      </c>
      <c r="K254" s="41">
        <v>0</v>
      </c>
      <c r="L254" s="41">
        <v>55</v>
      </c>
      <c r="M254" s="41">
        <v>-1</v>
      </c>
      <c r="N254" s="41">
        <v>4</v>
      </c>
      <c r="O254" s="110" t="s">
        <v>2340</v>
      </c>
      <c r="P254" s="109">
        <v>193787</v>
      </c>
      <c r="Q254" s="107"/>
      <c r="R254" s="111"/>
      <c r="S254" s="110"/>
      <c r="T254"/>
      <c r="U254"/>
      <c r="V254"/>
    </row>
    <row r="255" spans="1:22">
      <c r="A255" s="105">
        <v>1637</v>
      </c>
      <c r="B255" s="41">
        <v>120000000</v>
      </c>
      <c r="C255" s="41">
        <v>2.3E-3</v>
      </c>
      <c r="D255" s="41">
        <v>5.6569000000000003</v>
      </c>
      <c r="E255" s="41">
        <v>30</v>
      </c>
      <c r="F255" s="41">
        <v>0</v>
      </c>
      <c r="G255" s="41" t="s">
        <v>103</v>
      </c>
      <c r="H255" s="41">
        <v>2</v>
      </c>
      <c r="I255" s="41">
        <v>1</v>
      </c>
      <c r="J255" s="108">
        <v>0</v>
      </c>
      <c r="K255" s="41">
        <v>0</v>
      </c>
      <c r="L255" s="41">
        <v>55</v>
      </c>
      <c r="M255" s="41">
        <v>-1</v>
      </c>
      <c r="N255" s="41">
        <v>4</v>
      </c>
      <c r="O255" s="110" t="s">
        <v>2341</v>
      </c>
      <c r="P255" s="109">
        <v>193787</v>
      </c>
      <c r="Q255" s="107"/>
      <c r="R255" s="111"/>
      <c r="S255" s="110"/>
      <c r="T255"/>
      <c r="U255"/>
      <c r="V255"/>
    </row>
    <row r="256" spans="1:22">
      <c r="A256" s="105">
        <v>1638</v>
      </c>
      <c r="B256" s="41">
        <v>120000000</v>
      </c>
      <c r="C256" s="41">
        <v>2.3E-3</v>
      </c>
      <c r="D256" s="41">
        <v>8</v>
      </c>
      <c r="E256" s="41">
        <v>30</v>
      </c>
      <c r="F256" s="41">
        <v>0</v>
      </c>
      <c r="G256" s="41" t="s">
        <v>103</v>
      </c>
      <c r="H256" s="41">
        <v>2</v>
      </c>
      <c r="I256" s="41">
        <v>1</v>
      </c>
      <c r="J256" s="108">
        <v>0</v>
      </c>
      <c r="K256" s="41">
        <v>0</v>
      </c>
      <c r="L256" s="41">
        <v>55</v>
      </c>
      <c r="M256" s="41">
        <v>-1</v>
      </c>
      <c r="N256" s="41">
        <v>4</v>
      </c>
      <c r="O256" s="110" t="s">
        <v>2342</v>
      </c>
      <c r="P256" s="109">
        <v>193787</v>
      </c>
      <c r="Q256" s="107"/>
      <c r="R256" s="111"/>
      <c r="S256" s="110"/>
      <c r="T256"/>
      <c r="U256"/>
      <c r="V256"/>
    </row>
    <row r="257" spans="1:22">
      <c r="A257" s="105">
        <v>1639</v>
      </c>
      <c r="B257" s="41">
        <v>120000000</v>
      </c>
      <c r="C257" s="41">
        <v>2.3E-3</v>
      </c>
      <c r="D257" s="41">
        <v>11.313700000000001</v>
      </c>
      <c r="E257" s="41">
        <v>30</v>
      </c>
      <c r="F257" s="41">
        <v>0</v>
      </c>
      <c r="G257" s="41" t="s">
        <v>103</v>
      </c>
      <c r="H257" s="41">
        <v>2</v>
      </c>
      <c r="I257" s="41">
        <v>1</v>
      </c>
      <c r="J257" s="108">
        <v>0</v>
      </c>
      <c r="K257" s="41">
        <v>0</v>
      </c>
      <c r="L257" s="41">
        <v>55</v>
      </c>
      <c r="M257" s="41">
        <v>-1</v>
      </c>
      <c r="N257" s="41">
        <v>4</v>
      </c>
      <c r="O257" s="110" t="s">
        <v>2343</v>
      </c>
      <c r="P257" s="109">
        <v>193787</v>
      </c>
      <c r="Q257" s="107"/>
      <c r="R257" s="111"/>
      <c r="S257" s="110"/>
      <c r="T257"/>
      <c r="U257"/>
      <c r="V257"/>
    </row>
    <row r="258" spans="1:22">
      <c r="A258" s="105">
        <v>1640</v>
      </c>
      <c r="B258" s="41">
        <v>120000000</v>
      </c>
      <c r="C258" s="41">
        <v>2.3E-3</v>
      </c>
      <c r="D258" s="41">
        <v>16</v>
      </c>
      <c r="E258" s="41">
        <v>30</v>
      </c>
      <c r="F258" s="41">
        <v>0</v>
      </c>
      <c r="G258" s="41" t="s">
        <v>103</v>
      </c>
      <c r="H258" s="41">
        <v>2</v>
      </c>
      <c r="I258" s="41">
        <v>1</v>
      </c>
      <c r="J258" s="108">
        <v>0</v>
      </c>
      <c r="K258" s="41">
        <v>0</v>
      </c>
      <c r="L258" s="41">
        <v>55</v>
      </c>
      <c r="M258" s="41">
        <v>-1</v>
      </c>
      <c r="N258" s="41">
        <v>4</v>
      </c>
      <c r="O258" s="110" t="s">
        <v>2344</v>
      </c>
      <c r="P258" s="109">
        <v>193787</v>
      </c>
      <c r="Q258" s="107"/>
      <c r="R258" s="111"/>
      <c r="S258" s="110"/>
      <c r="T258"/>
      <c r="U258"/>
      <c r="V258"/>
    </row>
    <row r="259" spans="1:22">
      <c r="A259" s="105">
        <v>1641</v>
      </c>
      <c r="B259" s="41">
        <v>120000000</v>
      </c>
      <c r="C259" s="41">
        <v>2.3E-3</v>
      </c>
      <c r="D259" s="41">
        <v>22.627400000000002</v>
      </c>
      <c r="E259" s="41">
        <v>30</v>
      </c>
      <c r="F259" s="41">
        <v>0</v>
      </c>
      <c r="G259" s="41" t="s">
        <v>103</v>
      </c>
      <c r="H259" s="41">
        <v>2</v>
      </c>
      <c r="I259" s="41">
        <v>1</v>
      </c>
      <c r="J259" s="108">
        <v>0</v>
      </c>
      <c r="K259" s="41">
        <v>0</v>
      </c>
      <c r="L259" s="41">
        <v>55</v>
      </c>
      <c r="M259" s="41">
        <v>-1</v>
      </c>
      <c r="N259" s="41">
        <v>4</v>
      </c>
      <c r="O259" s="110" t="s">
        <v>2345</v>
      </c>
      <c r="P259" s="109">
        <v>193787</v>
      </c>
      <c r="Q259" s="107"/>
      <c r="R259" s="111"/>
      <c r="S259" s="110"/>
      <c r="T259"/>
      <c r="U259"/>
      <c r="V259"/>
    </row>
    <row r="260" spans="1:22">
      <c r="A260" s="105">
        <v>1642</v>
      </c>
      <c r="B260" s="41">
        <v>120000000</v>
      </c>
      <c r="C260" s="41">
        <v>2.3E-3</v>
      </c>
      <c r="D260" s="41">
        <v>32</v>
      </c>
      <c r="E260" s="41">
        <v>30</v>
      </c>
      <c r="F260" s="41">
        <v>0</v>
      </c>
      <c r="G260" s="41" t="s">
        <v>103</v>
      </c>
      <c r="H260" s="41">
        <v>2</v>
      </c>
      <c r="I260" s="41">
        <v>1</v>
      </c>
      <c r="J260" s="108">
        <v>0</v>
      </c>
      <c r="K260" s="41">
        <v>0</v>
      </c>
      <c r="L260" s="41">
        <v>55</v>
      </c>
      <c r="M260" s="41">
        <v>-1</v>
      </c>
      <c r="N260" s="41">
        <v>4</v>
      </c>
      <c r="O260" s="110" t="s">
        <v>2346</v>
      </c>
      <c r="P260" s="109">
        <v>193787</v>
      </c>
      <c r="Q260" s="107"/>
      <c r="R260" s="111"/>
      <c r="S260" s="110"/>
      <c r="T260"/>
      <c r="U260"/>
      <c r="V260"/>
    </row>
    <row r="261" spans="1:22">
      <c r="A261" s="105">
        <v>1643</v>
      </c>
      <c r="B261" s="41">
        <v>120000000</v>
      </c>
      <c r="C261" s="41">
        <v>2.3E-3</v>
      </c>
      <c r="D261" s="41">
        <v>45.254800000000003</v>
      </c>
      <c r="E261" s="41">
        <v>30</v>
      </c>
      <c r="F261" s="41">
        <v>0</v>
      </c>
      <c r="G261" s="41" t="s">
        <v>103</v>
      </c>
      <c r="H261" s="41">
        <v>2</v>
      </c>
      <c r="I261" s="41">
        <v>1</v>
      </c>
      <c r="J261" s="108">
        <v>0</v>
      </c>
      <c r="K261" s="41">
        <v>0</v>
      </c>
      <c r="L261" s="41">
        <v>55</v>
      </c>
      <c r="M261" s="41">
        <v>-1</v>
      </c>
      <c r="N261" s="41">
        <v>4</v>
      </c>
      <c r="O261" s="110" t="s">
        <v>2347</v>
      </c>
      <c r="P261" s="109">
        <v>193787</v>
      </c>
      <c r="Q261" s="107"/>
      <c r="R261" s="111"/>
      <c r="S261" s="110"/>
      <c r="T261"/>
      <c r="U261"/>
      <c r="V261"/>
    </row>
    <row r="262" spans="1:22">
      <c r="A262" s="105">
        <v>1644</v>
      </c>
      <c r="B262" s="41">
        <v>120000000</v>
      </c>
      <c r="C262" s="41">
        <v>2.5000000000000001E-3</v>
      </c>
      <c r="D262" s="41">
        <v>2</v>
      </c>
      <c r="E262" s="41">
        <v>30</v>
      </c>
      <c r="F262" s="41">
        <v>0</v>
      </c>
      <c r="G262" s="41" t="s">
        <v>103</v>
      </c>
      <c r="H262" s="41">
        <v>2</v>
      </c>
      <c r="I262" s="41">
        <v>1</v>
      </c>
      <c r="J262" s="108">
        <v>0</v>
      </c>
      <c r="K262" s="41">
        <v>0</v>
      </c>
      <c r="L262" s="41">
        <v>55</v>
      </c>
      <c r="M262" s="41">
        <v>-1</v>
      </c>
      <c r="N262" s="41">
        <v>4</v>
      </c>
      <c r="O262" s="110" t="s">
        <v>2348</v>
      </c>
      <c r="P262" s="109">
        <v>193787</v>
      </c>
      <c r="Q262" s="107"/>
      <c r="R262" s="111"/>
      <c r="S262" s="110"/>
      <c r="T262"/>
      <c r="U262"/>
      <c r="V262"/>
    </row>
    <row r="263" spans="1:22">
      <c r="A263" s="105">
        <v>1645</v>
      </c>
      <c r="B263" s="41">
        <v>120000000</v>
      </c>
      <c r="C263" s="41">
        <v>2.5000000000000001E-3</v>
      </c>
      <c r="D263" s="41">
        <v>2.8283999999999998</v>
      </c>
      <c r="E263" s="41">
        <v>30</v>
      </c>
      <c r="F263" s="41">
        <v>0</v>
      </c>
      <c r="G263" s="41" t="s">
        <v>103</v>
      </c>
      <c r="H263" s="41">
        <v>2</v>
      </c>
      <c r="I263" s="41">
        <v>1</v>
      </c>
      <c r="J263" s="108">
        <v>0</v>
      </c>
      <c r="K263" s="41">
        <v>0</v>
      </c>
      <c r="L263" s="41">
        <v>55</v>
      </c>
      <c r="M263" s="41">
        <v>-1</v>
      </c>
      <c r="N263" s="41">
        <v>4</v>
      </c>
      <c r="O263" s="110" t="s">
        <v>2349</v>
      </c>
      <c r="P263" s="109">
        <v>193787</v>
      </c>
      <c r="Q263" s="107"/>
      <c r="R263" s="111"/>
      <c r="S263" s="110" t="s">
        <v>2267</v>
      </c>
      <c r="T263"/>
      <c r="U263"/>
      <c r="V263"/>
    </row>
    <row r="264" spans="1:22">
      <c r="A264" s="105">
        <v>1646</v>
      </c>
      <c r="B264" s="41">
        <v>120000000</v>
      </c>
      <c r="C264" s="41">
        <v>2.5000000000000001E-3</v>
      </c>
      <c r="D264" s="41">
        <v>4</v>
      </c>
      <c r="E264" s="41">
        <v>30</v>
      </c>
      <c r="F264" s="41">
        <v>0</v>
      </c>
      <c r="G264" s="41" t="s">
        <v>103</v>
      </c>
      <c r="H264" s="41">
        <v>2</v>
      </c>
      <c r="I264" s="41">
        <v>1</v>
      </c>
      <c r="J264" s="108">
        <v>0</v>
      </c>
      <c r="K264" s="41">
        <v>0</v>
      </c>
      <c r="L264" s="41">
        <v>55</v>
      </c>
      <c r="M264" s="41">
        <v>-1</v>
      </c>
      <c r="N264" s="41">
        <v>4</v>
      </c>
      <c r="O264" s="110" t="s">
        <v>2350</v>
      </c>
      <c r="P264" s="109">
        <v>193787</v>
      </c>
      <c r="Q264" s="107"/>
      <c r="R264" s="111"/>
      <c r="S264" s="110"/>
      <c r="T264"/>
      <c r="U264"/>
      <c r="V264"/>
    </row>
    <row r="265" spans="1:22">
      <c r="A265" s="105">
        <v>1647</v>
      </c>
      <c r="B265" s="41">
        <v>120000000</v>
      </c>
      <c r="C265" s="41">
        <v>2.5000000000000001E-3</v>
      </c>
      <c r="D265" s="41">
        <v>5.6569000000000003</v>
      </c>
      <c r="E265" s="41">
        <v>30</v>
      </c>
      <c r="F265" s="41">
        <v>0</v>
      </c>
      <c r="G265" s="41" t="s">
        <v>103</v>
      </c>
      <c r="H265" s="41">
        <v>2</v>
      </c>
      <c r="I265" s="41">
        <v>1</v>
      </c>
      <c r="J265" s="108">
        <v>0</v>
      </c>
      <c r="K265" s="41">
        <v>0</v>
      </c>
      <c r="L265" s="41">
        <v>55</v>
      </c>
      <c r="M265" s="41">
        <v>-1</v>
      </c>
      <c r="N265" s="41">
        <v>4</v>
      </c>
      <c r="O265" s="110" t="s">
        <v>2351</v>
      </c>
      <c r="P265" s="109">
        <v>193787</v>
      </c>
      <c r="Q265" s="107"/>
      <c r="R265" s="111"/>
      <c r="S265" s="110"/>
      <c r="T265"/>
      <c r="U265"/>
      <c r="V265"/>
    </row>
    <row r="266" spans="1:22">
      <c r="A266" s="105">
        <v>1648</v>
      </c>
      <c r="B266" s="41">
        <v>120000000</v>
      </c>
      <c r="C266" s="41">
        <v>2.5000000000000001E-3</v>
      </c>
      <c r="D266" s="41">
        <v>8</v>
      </c>
      <c r="E266" s="41">
        <v>30</v>
      </c>
      <c r="F266" s="41">
        <v>0</v>
      </c>
      <c r="G266" s="41" t="s">
        <v>103</v>
      </c>
      <c r="H266" s="41">
        <v>2</v>
      </c>
      <c r="I266" s="41">
        <v>1</v>
      </c>
      <c r="J266" s="108">
        <v>0</v>
      </c>
      <c r="K266" s="41">
        <v>0</v>
      </c>
      <c r="L266" s="41">
        <v>55</v>
      </c>
      <c r="M266" s="41">
        <v>-1</v>
      </c>
      <c r="N266" s="41">
        <v>4</v>
      </c>
      <c r="O266" s="110" t="s">
        <v>2352</v>
      </c>
      <c r="P266" s="109">
        <v>193787</v>
      </c>
      <c r="Q266" s="107"/>
      <c r="R266" s="111"/>
      <c r="S266" s="110"/>
      <c r="T266"/>
      <c r="U266"/>
      <c r="V266"/>
    </row>
    <row r="267" spans="1:22">
      <c r="A267" s="105">
        <v>1649</v>
      </c>
      <c r="B267" s="41">
        <v>120000000</v>
      </c>
      <c r="C267" s="41">
        <v>2.5000000000000001E-3</v>
      </c>
      <c r="D267" s="41">
        <v>11.313700000000001</v>
      </c>
      <c r="E267" s="41">
        <v>30</v>
      </c>
      <c r="F267" s="41">
        <v>0</v>
      </c>
      <c r="G267" s="41" t="s">
        <v>103</v>
      </c>
      <c r="H267" s="41">
        <v>2</v>
      </c>
      <c r="I267" s="41">
        <v>1</v>
      </c>
      <c r="J267" s="108">
        <v>0</v>
      </c>
      <c r="K267" s="41">
        <v>0</v>
      </c>
      <c r="L267" s="41">
        <v>55</v>
      </c>
      <c r="M267" s="41">
        <v>-1</v>
      </c>
      <c r="N267" s="41">
        <v>4</v>
      </c>
      <c r="O267" s="110" t="s">
        <v>2353</v>
      </c>
      <c r="P267" s="109"/>
      <c r="Q267" s="107"/>
      <c r="R267" s="111"/>
      <c r="S267" s="110"/>
      <c r="T267"/>
      <c r="U267"/>
      <c r="V267"/>
    </row>
    <row r="268" spans="1:22">
      <c r="A268" s="105">
        <v>1650</v>
      </c>
      <c r="B268" s="41">
        <v>120000000</v>
      </c>
      <c r="C268" s="41">
        <v>2.5000000000000001E-3</v>
      </c>
      <c r="D268" s="41">
        <v>16</v>
      </c>
      <c r="E268" s="41">
        <v>30</v>
      </c>
      <c r="F268" s="41">
        <v>0</v>
      </c>
      <c r="G268" s="41" t="s">
        <v>103</v>
      </c>
      <c r="H268" s="41">
        <v>2</v>
      </c>
      <c r="I268" s="41">
        <v>1</v>
      </c>
      <c r="J268" s="108">
        <v>0</v>
      </c>
      <c r="K268" s="41">
        <v>0</v>
      </c>
      <c r="L268" s="41">
        <v>55</v>
      </c>
      <c r="M268" s="41">
        <v>-1</v>
      </c>
      <c r="N268" s="41">
        <v>4</v>
      </c>
      <c r="O268" s="110" t="s">
        <v>2354</v>
      </c>
      <c r="P268" s="109">
        <v>193883</v>
      </c>
      <c r="Q268" s="107"/>
      <c r="R268" s="111"/>
      <c r="S268" s="110"/>
      <c r="T268"/>
      <c r="U268"/>
      <c r="V268"/>
    </row>
    <row r="269" spans="1:22">
      <c r="A269" s="105">
        <v>1651</v>
      </c>
      <c r="B269" s="41">
        <v>120000000</v>
      </c>
      <c r="C269" s="41">
        <v>2.5000000000000001E-3</v>
      </c>
      <c r="D269" s="41">
        <v>22.627400000000002</v>
      </c>
      <c r="E269" s="41">
        <v>30</v>
      </c>
      <c r="F269" s="41">
        <v>0</v>
      </c>
      <c r="G269" s="41" t="s">
        <v>103</v>
      </c>
      <c r="H269" s="41">
        <v>2</v>
      </c>
      <c r="I269" s="41">
        <v>1</v>
      </c>
      <c r="J269" s="108">
        <v>0</v>
      </c>
      <c r="K269" s="41">
        <v>0</v>
      </c>
      <c r="L269" s="41">
        <v>55</v>
      </c>
      <c r="M269" s="41">
        <v>-1</v>
      </c>
      <c r="N269" s="41">
        <v>4</v>
      </c>
      <c r="O269" s="110" t="s">
        <v>2355</v>
      </c>
      <c r="P269" s="109">
        <v>193883</v>
      </c>
      <c r="Q269" s="107"/>
      <c r="R269" s="111"/>
      <c r="S269" s="110"/>
      <c r="T269"/>
      <c r="U269"/>
      <c r="V269"/>
    </row>
    <row r="270" spans="1:22">
      <c r="A270" s="105">
        <v>1652</v>
      </c>
      <c r="B270" s="41">
        <v>120000000</v>
      </c>
      <c r="C270" s="41">
        <v>2.5000000000000001E-3</v>
      </c>
      <c r="D270" s="41">
        <v>32</v>
      </c>
      <c r="E270" s="41">
        <v>30</v>
      </c>
      <c r="F270" s="41">
        <v>0</v>
      </c>
      <c r="G270" s="41" t="s">
        <v>103</v>
      </c>
      <c r="H270" s="41">
        <v>2</v>
      </c>
      <c r="I270" s="41">
        <v>1</v>
      </c>
      <c r="J270" s="108">
        <v>0</v>
      </c>
      <c r="K270" s="41">
        <v>0</v>
      </c>
      <c r="L270" s="41">
        <v>55</v>
      </c>
      <c r="M270" s="41">
        <v>-1</v>
      </c>
      <c r="N270" s="41">
        <v>4</v>
      </c>
      <c r="O270" s="110" t="s">
        <v>2356</v>
      </c>
      <c r="P270" s="109">
        <v>193883</v>
      </c>
      <c r="Q270" s="107"/>
      <c r="R270" s="111"/>
      <c r="S270" s="110"/>
      <c r="T270"/>
      <c r="U270"/>
      <c r="V270"/>
    </row>
    <row r="271" spans="1:22">
      <c r="A271" s="105">
        <v>1653</v>
      </c>
      <c r="B271" s="41">
        <v>120000000</v>
      </c>
      <c r="C271" s="41">
        <v>2.5000000000000001E-3</v>
      </c>
      <c r="D271" s="41">
        <v>45.254800000000003</v>
      </c>
      <c r="E271" s="41">
        <v>30</v>
      </c>
      <c r="F271" s="41">
        <v>0</v>
      </c>
      <c r="G271" s="41" t="s">
        <v>103</v>
      </c>
      <c r="H271" s="41">
        <v>2</v>
      </c>
      <c r="I271" s="41">
        <v>1</v>
      </c>
      <c r="J271" s="108">
        <v>0</v>
      </c>
      <c r="K271" s="41">
        <v>0</v>
      </c>
      <c r="L271" s="41">
        <v>55</v>
      </c>
      <c r="M271" s="41">
        <v>-1</v>
      </c>
      <c r="N271" s="41">
        <v>4</v>
      </c>
      <c r="O271" s="110" t="s">
        <v>2357</v>
      </c>
      <c r="P271" s="109">
        <v>193883</v>
      </c>
      <c r="Q271" s="107"/>
      <c r="R271" s="111"/>
      <c r="S271" s="110"/>
      <c r="T271"/>
      <c r="U271"/>
      <c r="V271"/>
    </row>
    <row r="272" spans="1:22">
      <c r="A272" s="105">
        <v>1654</v>
      </c>
      <c r="B272" s="41">
        <v>120000000</v>
      </c>
      <c r="C272" s="41">
        <v>2.7000000000000001E-3</v>
      </c>
      <c r="D272" s="41">
        <v>2.8283999999999998</v>
      </c>
      <c r="E272" s="41">
        <v>30</v>
      </c>
      <c r="F272" s="41">
        <v>0</v>
      </c>
      <c r="G272" s="41" t="s">
        <v>103</v>
      </c>
      <c r="H272" s="41">
        <v>2</v>
      </c>
      <c r="I272" s="41">
        <v>1</v>
      </c>
      <c r="J272" s="108">
        <v>0</v>
      </c>
      <c r="K272" s="41">
        <v>0</v>
      </c>
      <c r="L272" s="41">
        <v>55</v>
      </c>
      <c r="M272" s="41">
        <v>-1</v>
      </c>
      <c r="N272" s="41">
        <v>4</v>
      </c>
      <c r="O272" s="110" t="s">
        <v>2358</v>
      </c>
      <c r="P272" s="109">
        <v>193523</v>
      </c>
      <c r="Q272" s="107"/>
      <c r="R272" s="111"/>
      <c r="S272" s="110" t="s">
        <v>2267</v>
      </c>
      <c r="T272"/>
      <c r="U272"/>
      <c r="V272"/>
    </row>
    <row r="273" spans="1:22">
      <c r="A273" s="105">
        <v>1655</v>
      </c>
      <c r="B273" s="41">
        <v>120000000</v>
      </c>
      <c r="C273" s="41">
        <v>2.7000000000000001E-3</v>
      </c>
      <c r="D273" s="41">
        <v>4</v>
      </c>
      <c r="E273" s="41">
        <v>30</v>
      </c>
      <c r="F273" s="41">
        <v>0</v>
      </c>
      <c r="G273" s="41" t="s">
        <v>103</v>
      </c>
      <c r="H273" s="41">
        <v>2</v>
      </c>
      <c r="I273" s="41">
        <v>1</v>
      </c>
      <c r="J273" s="108">
        <v>0</v>
      </c>
      <c r="K273" s="41">
        <v>0</v>
      </c>
      <c r="L273" s="41">
        <v>55</v>
      </c>
      <c r="M273" s="41">
        <v>-1</v>
      </c>
      <c r="N273" s="41">
        <v>4</v>
      </c>
      <c r="O273" s="110" t="s">
        <v>2359</v>
      </c>
      <c r="P273" s="109">
        <v>193523</v>
      </c>
      <c r="Q273" s="107"/>
      <c r="R273" s="111"/>
      <c r="S273" s="110"/>
      <c r="T273"/>
      <c r="U273"/>
      <c r="V273"/>
    </row>
    <row r="274" spans="1:22">
      <c r="A274" s="105">
        <v>1656</v>
      </c>
      <c r="B274" s="41">
        <v>120000000</v>
      </c>
      <c r="C274" s="41">
        <v>2.7000000000000001E-3</v>
      </c>
      <c r="D274" s="41">
        <v>5.6569000000000003</v>
      </c>
      <c r="E274" s="41">
        <v>30</v>
      </c>
      <c r="F274" s="41">
        <v>0</v>
      </c>
      <c r="G274" s="41" t="s">
        <v>103</v>
      </c>
      <c r="H274" s="41">
        <v>2</v>
      </c>
      <c r="I274" s="41">
        <v>1</v>
      </c>
      <c r="J274" s="108">
        <v>0</v>
      </c>
      <c r="K274" s="41">
        <v>0</v>
      </c>
      <c r="L274" s="41">
        <v>55</v>
      </c>
      <c r="M274" s="41">
        <v>-1</v>
      </c>
      <c r="N274" s="41">
        <v>4</v>
      </c>
      <c r="O274" s="110" t="s">
        <v>2360</v>
      </c>
      <c r="P274" s="109">
        <v>193523</v>
      </c>
      <c r="Q274" s="107"/>
      <c r="R274" s="111"/>
      <c r="S274" s="110"/>
      <c r="T274"/>
      <c r="U274"/>
      <c r="V274"/>
    </row>
    <row r="275" spans="1:22">
      <c r="A275" s="105">
        <v>1657</v>
      </c>
      <c r="B275" s="41">
        <v>120000000</v>
      </c>
      <c r="C275" s="41">
        <v>2.7000000000000001E-3</v>
      </c>
      <c r="D275" s="41">
        <v>8</v>
      </c>
      <c r="E275" s="41">
        <v>30</v>
      </c>
      <c r="F275" s="41">
        <v>0</v>
      </c>
      <c r="G275" s="41" t="s">
        <v>103</v>
      </c>
      <c r="H275" s="41">
        <v>2</v>
      </c>
      <c r="I275" s="41">
        <v>1</v>
      </c>
      <c r="J275" s="108">
        <v>0</v>
      </c>
      <c r="K275" s="41">
        <v>0</v>
      </c>
      <c r="L275" s="41">
        <v>55</v>
      </c>
      <c r="M275" s="41">
        <v>-1</v>
      </c>
      <c r="N275" s="41">
        <v>4</v>
      </c>
      <c r="O275" s="110" t="s">
        <v>2361</v>
      </c>
      <c r="P275" s="109">
        <v>193523</v>
      </c>
      <c r="Q275" s="107"/>
      <c r="R275" s="111"/>
      <c r="S275" s="110"/>
      <c r="T275"/>
      <c r="U275"/>
      <c r="V275"/>
    </row>
    <row r="276" spans="1:22">
      <c r="A276" s="105">
        <v>1658</v>
      </c>
      <c r="B276" s="41">
        <v>120000000</v>
      </c>
      <c r="C276" s="41">
        <v>2.7000000000000001E-3</v>
      </c>
      <c r="D276" s="41">
        <v>11.313700000000001</v>
      </c>
      <c r="E276" s="41">
        <v>30</v>
      </c>
      <c r="F276" s="41">
        <v>0</v>
      </c>
      <c r="G276" s="41" t="s">
        <v>103</v>
      </c>
      <c r="H276" s="41">
        <v>2</v>
      </c>
      <c r="I276" s="41">
        <v>1</v>
      </c>
      <c r="J276" s="108">
        <v>0</v>
      </c>
      <c r="K276" s="41">
        <v>0</v>
      </c>
      <c r="L276" s="41">
        <v>55</v>
      </c>
      <c r="M276" s="41">
        <v>-1</v>
      </c>
      <c r="N276" s="41">
        <v>4</v>
      </c>
      <c r="O276" s="110" t="s">
        <v>2362</v>
      </c>
      <c r="P276" s="109">
        <v>193523</v>
      </c>
      <c r="Q276" s="107"/>
      <c r="R276" s="111"/>
      <c r="S276" s="110"/>
      <c r="T276"/>
      <c r="U276"/>
      <c r="V276"/>
    </row>
    <row r="277" spans="1:22">
      <c r="A277" s="105">
        <v>1659</v>
      </c>
      <c r="B277" s="41">
        <v>120000000</v>
      </c>
      <c r="C277" s="41">
        <v>2.7000000000000001E-3</v>
      </c>
      <c r="D277" s="41">
        <v>16</v>
      </c>
      <c r="E277" s="41">
        <v>30</v>
      </c>
      <c r="F277" s="41">
        <v>0</v>
      </c>
      <c r="G277" s="41" t="s">
        <v>103</v>
      </c>
      <c r="H277" s="41">
        <v>2</v>
      </c>
      <c r="I277" s="41">
        <v>1</v>
      </c>
      <c r="J277" s="108">
        <v>0</v>
      </c>
      <c r="K277" s="41">
        <v>0</v>
      </c>
      <c r="L277" s="41">
        <v>55</v>
      </c>
      <c r="M277" s="41">
        <v>-1</v>
      </c>
      <c r="N277" s="41">
        <v>4</v>
      </c>
      <c r="O277" s="110" t="s">
        <v>2363</v>
      </c>
      <c r="P277" s="109">
        <v>193523</v>
      </c>
      <c r="Q277" s="107"/>
      <c r="R277" s="111"/>
      <c r="S277" s="110"/>
      <c r="T277"/>
      <c r="U277"/>
      <c r="V277"/>
    </row>
    <row r="278" spans="1:22">
      <c r="A278" s="105">
        <v>1660</v>
      </c>
      <c r="B278" s="41">
        <v>120000000</v>
      </c>
      <c r="C278" s="41">
        <v>2.7000000000000001E-3</v>
      </c>
      <c r="D278" s="41">
        <v>22.627400000000002</v>
      </c>
      <c r="E278" s="41">
        <v>30</v>
      </c>
      <c r="F278" s="41">
        <v>0</v>
      </c>
      <c r="G278" s="41" t="s">
        <v>103</v>
      </c>
      <c r="H278" s="41">
        <v>2</v>
      </c>
      <c r="I278" s="41">
        <v>1</v>
      </c>
      <c r="J278" s="108">
        <v>0</v>
      </c>
      <c r="K278" s="41">
        <v>0</v>
      </c>
      <c r="L278" s="41">
        <v>55</v>
      </c>
      <c r="M278" s="41">
        <v>-1</v>
      </c>
      <c r="N278" s="41">
        <v>4</v>
      </c>
      <c r="O278" s="110" t="s">
        <v>2364</v>
      </c>
      <c r="P278" s="109">
        <v>193523</v>
      </c>
      <c r="Q278" s="107"/>
      <c r="R278" s="111"/>
      <c r="S278" s="110"/>
      <c r="T278"/>
      <c r="U278"/>
      <c r="V278"/>
    </row>
    <row r="279" spans="1:22">
      <c r="A279" s="105">
        <v>1661</v>
      </c>
      <c r="B279" s="41">
        <v>120000000</v>
      </c>
      <c r="C279" s="41">
        <v>2.7000000000000001E-3</v>
      </c>
      <c r="D279" s="41">
        <v>32</v>
      </c>
      <c r="E279" s="41">
        <v>30</v>
      </c>
      <c r="F279" s="41">
        <v>0</v>
      </c>
      <c r="G279" s="41" t="s">
        <v>103</v>
      </c>
      <c r="H279" s="41">
        <v>2</v>
      </c>
      <c r="I279" s="41">
        <v>1</v>
      </c>
      <c r="J279" s="108">
        <v>0</v>
      </c>
      <c r="K279" s="41">
        <v>0</v>
      </c>
      <c r="L279" s="41">
        <v>55</v>
      </c>
      <c r="M279" s="41">
        <v>-1</v>
      </c>
      <c r="N279" s="41">
        <v>4</v>
      </c>
      <c r="O279" s="110" t="s">
        <v>2365</v>
      </c>
      <c r="P279" s="109">
        <v>193523</v>
      </c>
      <c r="Q279" s="107"/>
      <c r="R279" s="111"/>
      <c r="S279" s="110"/>
      <c r="T279"/>
      <c r="U279"/>
      <c r="V279"/>
    </row>
    <row r="280" spans="1:22">
      <c r="A280" s="105">
        <v>1662</v>
      </c>
      <c r="B280" s="41">
        <v>120000000</v>
      </c>
      <c r="C280" s="41">
        <v>2.7000000000000001E-3</v>
      </c>
      <c r="D280" s="41">
        <v>45.254800000000003</v>
      </c>
      <c r="E280" s="41">
        <v>30</v>
      </c>
      <c r="F280" s="41">
        <v>0</v>
      </c>
      <c r="G280" s="41" t="s">
        <v>103</v>
      </c>
      <c r="H280" s="41">
        <v>2</v>
      </c>
      <c r="I280" s="41">
        <v>1</v>
      </c>
      <c r="J280" s="108">
        <v>0</v>
      </c>
      <c r="K280" s="41">
        <v>0</v>
      </c>
      <c r="L280" s="41">
        <v>55</v>
      </c>
      <c r="M280" s="41">
        <v>-1</v>
      </c>
      <c r="N280" s="41">
        <v>4</v>
      </c>
      <c r="O280" s="110" t="s">
        <v>2366</v>
      </c>
      <c r="P280" s="109">
        <v>193523</v>
      </c>
      <c r="Q280" s="107"/>
      <c r="R280" s="111"/>
      <c r="S280" s="110"/>
      <c r="T280"/>
      <c r="U280"/>
      <c r="V280"/>
    </row>
    <row r="281" spans="1:22">
      <c r="A281" s="105">
        <v>1663</v>
      </c>
      <c r="B281" s="41">
        <v>120000000</v>
      </c>
      <c r="C281" s="41">
        <v>2.8999999999999998E-3</v>
      </c>
      <c r="D281" s="41">
        <v>2.8283999999999998</v>
      </c>
      <c r="E281" s="41">
        <v>30</v>
      </c>
      <c r="F281" s="41">
        <v>0</v>
      </c>
      <c r="G281" s="41" t="s">
        <v>103</v>
      </c>
      <c r="H281" s="41">
        <v>2</v>
      </c>
      <c r="I281" s="41">
        <v>1</v>
      </c>
      <c r="J281" s="108">
        <v>0</v>
      </c>
      <c r="K281" s="41">
        <v>0</v>
      </c>
      <c r="L281" s="41">
        <v>55</v>
      </c>
      <c r="M281" s="41">
        <v>-1</v>
      </c>
      <c r="N281" s="41">
        <v>4</v>
      </c>
      <c r="O281" s="110" t="s">
        <v>2367</v>
      </c>
      <c r="P281" s="109">
        <v>193523</v>
      </c>
      <c r="Q281" s="107"/>
      <c r="R281" s="111"/>
      <c r="S281" s="110"/>
      <c r="T281"/>
      <c r="U281"/>
      <c r="V281"/>
    </row>
    <row r="282" spans="1:22">
      <c r="A282" s="105">
        <v>1664</v>
      </c>
      <c r="B282" s="41">
        <v>120000000</v>
      </c>
      <c r="C282" s="41">
        <v>2.8999999999999998E-3</v>
      </c>
      <c r="D282" s="41">
        <v>4</v>
      </c>
      <c r="E282" s="41">
        <v>30</v>
      </c>
      <c r="F282" s="41">
        <v>0</v>
      </c>
      <c r="G282" s="41" t="s">
        <v>103</v>
      </c>
      <c r="H282" s="41">
        <v>2</v>
      </c>
      <c r="I282" s="41">
        <v>1</v>
      </c>
      <c r="J282" s="108">
        <v>0</v>
      </c>
      <c r="K282" s="41">
        <v>0</v>
      </c>
      <c r="L282" s="41">
        <v>55</v>
      </c>
      <c r="M282" s="41">
        <v>-1</v>
      </c>
      <c r="N282" s="41">
        <v>4</v>
      </c>
      <c r="O282" s="110" t="s">
        <v>2368</v>
      </c>
      <c r="P282" s="109">
        <v>193523</v>
      </c>
      <c r="Q282" s="107"/>
      <c r="R282" s="111"/>
      <c r="S282" s="110"/>
      <c r="T282"/>
      <c r="U282"/>
      <c r="V282"/>
    </row>
    <row r="283" spans="1:22">
      <c r="A283" s="105">
        <v>1665</v>
      </c>
      <c r="B283" s="41">
        <v>120000000</v>
      </c>
      <c r="C283" s="41">
        <v>2.8999999999999998E-3</v>
      </c>
      <c r="D283" s="41">
        <v>5.6569000000000003</v>
      </c>
      <c r="E283" s="41">
        <v>30</v>
      </c>
      <c r="F283" s="41">
        <v>0</v>
      </c>
      <c r="G283" s="41" t="s">
        <v>103</v>
      </c>
      <c r="H283" s="41">
        <v>2</v>
      </c>
      <c r="I283" s="41">
        <v>1</v>
      </c>
      <c r="J283" s="108">
        <v>0</v>
      </c>
      <c r="K283" s="41">
        <v>0</v>
      </c>
      <c r="L283" s="41">
        <v>55</v>
      </c>
      <c r="M283" s="41">
        <v>-1</v>
      </c>
      <c r="N283" s="41">
        <v>4</v>
      </c>
      <c r="O283" s="110" t="s">
        <v>2369</v>
      </c>
      <c r="P283" s="109">
        <v>193523</v>
      </c>
      <c r="Q283" s="107"/>
      <c r="R283" s="111"/>
      <c r="S283" s="110"/>
      <c r="T283"/>
      <c r="U283"/>
      <c r="V283"/>
    </row>
    <row r="284" spans="1:22">
      <c r="A284" s="105">
        <v>1666</v>
      </c>
      <c r="B284" s="41">
        <v>120000000</v>
      </c>
      <c r="C284" s="41">
        <v>2.8999999999999998E-3</v>
      </c>
      <c r="D284" s="41">
        <v>8</v>
      </c>
      <c r="E284" s="41">
        <v>30</v>
      </c>
      <c r="F284" s="41">
        <v>0</v>
      </c>
      <c r="G284" s="41" t="s">
        <v>103</v>
      </c>
      <c r="H284" s="41">
        <v>2</v>
      </c>
      <c r="I284" s="41">
        <v>1</v>
      </c>
      <c r="J284" s="108">
        <v>0</v>
      </c>
      <c r="K284" s="41">
        <v>0</v>
      </c>
      <c r="L284" s="41">
        <v>55</v>
      </c>
      <c r="M284" s="41">
        <v>-1</v>
      </c>
      <c r="N284" s="41">
        <v>4</v>
      </c>
      <c r="O284" s="110" t="s">
        <v>2370</v>
      </c>
      <c r="P284" s="109">
        <v>193523</v>
      </c>
      <c r="Q284" s="107"/>
      <c r="R284" s="111"/>
      <c r="S284" s="110"/>
      <c r="T284"/>
      <c r="U284"/>
      <c r="V284"/>
    </row>
    <row r="285" spans="1:22">
      <c r="A285" s="105">
        <v>1667</v>
      </c>
      <c r="B285" s="41">
        <v>120000000</v>
      </c>
      <c r="C285" s="41">
        <v>2.8999999999999998E-3</v>
      </c>
      <c r="D285" s="41">
        <v>11.313700000000001</v>
      </c>
      <c r="E285" s="41">
        <v>30</v>
      </c>
      <c r="F285" s="41">
        <v>0</v>
      </c>
      <c r="G285" s="41" t="s">
        <v>103</v>
      </c>
      <c r="H285" s="41">
        <v>2</v>
      </c>
      <c r="I285" s="41">
        <v>1</v>
      </c>
      <c r="J285" s="108">
        <v>0</v>
      </c>
      <c r="K285" s="41">
        <v>0</v>
      </c>
      <c r="L285" s="41">
        <v>55</v>
      </c>
      <c r="M285" s="41">
        <v>-1</v>
      </c>
      <c r="N285" s="41">
        <v>4</v>
      </c>
      <c r="O285" s="110" t="s">
        <v>2371</v>
      </c>
      <c r="P285" s="109">
        <v>193523</v>
      </c>
      <c r="Q285" s="107"/>
      <c r="R285" s="111"/>
      <c r="S285" s="110"/>
      <c r="T285"/>
      <c r="U285"/>
      <c r="V285"/>
    </row>
    <row r="286" spans="1:22">
      <c r="A286" s="105">
        <v>1668</v>
      </c>
      <c r="B286" s="41">
        <v>120000000</v>
      </c>
      <c r="C286" s="41">
        <v>2.8999999999999998E-3</v>
      </c>
      <c r="D286" s="41">
        <v>16</v>
      </c>
      <c r="E286" s="41">
        <v>30</v>
      </c>
      <c r="F286" s="41">
        <v>0</v>
      </c>
      <c r="G286" s="41" t="s">
        <v>103</v>
      </c>
      <c r="H286" s="41">
        <v>2</v>
      </c>
      <c r="I286" s="41">
        <v>1</v>
      </c>
      <c r="J286" s="108">
        <v>0</v>
      </c>
      <c r="K286" s="41">
        <v>0</v>
      </c>
      <c r="L286" s="41">
        <v>55</v>
      </c>
      <c r="M286" s="41">
        <v>-1</v>
      </c>
      <c r="N286" s="41">
        <v>4</v>
      </c>
      <c r="O286" s="110" t="s">
        <v>2372</v>
      </c>
      <c r="P286" s="109">
        <v>193523</v>
      </c>
      <c r="Q286" s="107"/>
      <c r="R286" s="111"/>
      <c r="S286" s="110"/>
      <c r="T286"/>
      <c r="U286"/>
      <c r="V286"/>
    </row>
    <row r="287" spans="1:22">
      <c r="A287" s="105">
        <v>1669</v>
      </c>
      <c r="B287" s="41">
        <v>120000000</v>
      </c>
      <c r="C287" s="41">
        <v>2.8999999999999998E-3</v>
      </c>
      <c r="D287" s="41">
        <v>22.627400000000002</v>
      </c>
      <c r="E287" s="41">
        <v>30</v>
      </c>
      <c r="F287" s="41">
        <v>0</v>
      </c>
      <c r="G287" s="41" t="s">
        <v>103</v>
      </c>
      <c r="H287" s="41">
        <v>2</v>
      </c>
      <c r="I287" s="41">
        <v>1</v>
      </c>
      <c r="J287" s="108">
        <v>0</v>
      </c>
      <c r="K287" s="41">
        <v>0</v>
      </c>
      <c r="L287" s="41">
        <v>55</v>
      </c>
      <c r="M287" s="41">
        <v>-1</v>
      </c>
      <c r="N287" s="41">
        <v>4</v>
      </c>
      <c r="O287" s="110" t="s">
        <v>2373</v>
      </c>
      <c r="P287" s="109">
        <v>193523</v>
      </c>
      <c r="Q287" s="107"/>
      <c r="R287" s="111"/>
      <c r="S287" s="110"/>
      <c r="T287"/>
      <c r="U287"/>
      <c r="V287"/>
    </row>
    <row r="288" spans="1:22">
      <c r="A288" s="105">
        <v>1670</v>
      </c>
      <c r="B288" s="41">
        <v>120000000</v>
      </c>
      <c r="C288" s="41">
        <v>2.8999999999999998E-3</v>
      </c>
      <c r="D288" s="41">
        <v>32</v>
      </c>
      <c r="E288" s="41">
        <v>30</v>
      </c>
      <c r="F288" s="41">
        <v>0</v>
      </c>
      <c r="G288" s="41" t="s">
        <v>103</v>
      </c>
      <c r="H288" s="41">
        <v>2</v>
      </c>
      <c r="I288" s="41">
        <v>1</v>
      </c>
      <c r="J288" s="108">
        <v>0</v>
      </c>
      <c r="K288" s="41">
        <v>0</v>
      </c>
      <c r="L288" s="41">
        <v>55</v>
      </c>
      <c r="M288" s="41">
        <v>-1</v>
      </c>
      <c r="N288" s="41">
        <v>4</v>
      </c>
      <c r="O288" s="110" t="s">
        <v>2374</v>
      </c>
      <c r="P288" s="109">
        <v>193523</v>
      </c>
      <c r="Q288" s="107"/>
      <c r="R288" s="111"/>
      <c r="S288" s="110"/>
      <c r="T288"/>
      <c r="U288"/>
      <c r="V288"/>
    </row>
    <row r="289" spans="1:22">
      <c r="A289" s="105">
        <v>1671</v>
      </c>
      <c r="B289" s="41">
        <v>120000000</v>
      </c>
      <c r="C289" s="41">
        <v>2.8999999999999998E-3</v>
      </c>
      <c r="D289" s="41">
        <v>45.254800000000003</v>
      </c>
      <c r="E289" s="41">
        <v>30</v>
      </c>
      <c r="F289" s="41">
        <v>0</v>
      </c>
      <c r="G289" s="41" t="s">
        <v>103</v>
      </c>
      <c r="H289" s="41">
        <v>2</v>
      </c>
      <c r="I289" s="41">
        <v>1</v>
      </c>
      <c r="J289" s="108">
        <v>0</v>
      </c>
      <c r="K289" s="41">
        <v>0</v>
      </c>
      <c r="L289" s="41">
        <v>55</v>
      </c>
      <c r="M289" s="41">
        <v>-1</v>
      </c>
      <c r="N289" s="41">
        <v>4</v>
      </c>
      <c r="O289" s="110" t="s">
        <v>2375</v>
      </c>
      <c r="P289" s="109">
        <v>193523</v>
      </c>
      <c r="Q289" s="107"/>
      <c r="R289" s="111"/>
      <c r="S289" s="110"/>
      <c r="T289"/>
      <c r="U289"/>
      <c r="V289"/>
    </row>
    <row r="290" spans="1:22">
      <c r="A290" s="105">
        <v>1672</v>
      </c>
      <c r="B290" s="41">
        <v>120000000</v>
      </c>
      <c r="C290" s="41">
        <v>3.2000000000000002E-3</v>
      </c>
      <c r="D290" s="41">
        <v>4</v>
      </c>
      <c r="E290" s="41">
        <v>30</v>
      </c>
      <c r="F290" s="41">
        <v>0</v>
      </c>
      <c r="G290" s="41" t="s">
        <v>103</v>
      </c>
      <c r="H290" s="41">
        <v>2</v>
      </c>
      <c r="I290" s="41">
        <v>1</v>
      </c>
      <c r="J290" s="108">
        <v>0</v>
      </c>
      <c r="K290" s="41">
        <v>0</v>
      </c>
      <c r="L290" s="41">
        <v>55</v>
      </c>
      <c r="M290" s="41">
        <v>-1</v>
      </c>
      <c r="N290" s="41">
        <v>4</v>
      </c>
      <c r="O290" s="110" t="s">
        <v>2376</v>
      </c>
      <c r="P290" s="109">
        <v>193523</v>
      </c>
      <c r="Q290" s="107"/>
      <c r="R290" s="111"/>
      <c r="S290" s="110"/>
      <c r="T290"/>
      <c r="U290"/>
      <c r="V290"/>
    </row>
    <row r="291" spans="1:22">
      <c r="A291" s="105">
        <v>1673</v>
      </c>
      <c r="B291" s="41">
        <v>120000000</v>
      </c>
      <c r="C291" s="41">
        <v>3.2000000000000002E-3</v>
      </c>
      <c r="D291" s="41">
        <v>5.6569000000000003</v>
      </c>
      <c r="E291" s="41">
        <v>30</v>
      </c>
      <c r="F291" s="41">
        <v>0</v>
      </c>
      <c r="G291" s="41" t="s">
        <v>103</v>
      </c>
      <c r="H291" s="41">
        <v>2</v>
      </c>
      <c r="I291" s="41">
        <v>1</v>
      </c>
      <c r="J291" s="108">
        <v>0</v>
      </c>
      <c r="K291" s="41">
        <v>0</v>
      </c>
      <c r="L291" s="41">
        <v>55</v>
      </c>
      <c r="M291" s="41">
        <v>-1</v>
      </c>
      <c r="N291" s="41">
        <v>4</v>
      </c>
      <c r="O291" s="110" t="s">
        <v>2377</v>
      </c>
      <c r="P291" s="109">
        <v>193523</v>
      </c>
      <c r="Q291" s="107"/>
      <c r="R291" s="111"/>
      <c r="S291" s="110"/>
      <c r="T291"/>
      <c r="U291"/>
      <c r="V291"/>
    </row>
    <row r="292" spans="1:22">
      <c r="A292" s="105">
        <v>1674</v>
      </c>
      <c r="B292" s="41">
        <v>120000000</v>
      </c>
      <c r="C292" s="41">
        <v>3.2000000000000002E-3</v>
      </c>
      <c r="D292" s="41">
        <v>8</v>
      </c>
      <c r="E292" s="41">
        <v>30</v>
      </c>
      <c r="F292" s="41">
        <v>0</v>
      </c>
      <c r="G292" s="41" t="s">
        <v>103</v>
      </c>
      <c r="H292" s="41">
        <v>2</v>
      </c>
      <c r="I292" s="41">
        <v>1</v>
      </c>
      <c r="J292" s="108">
        <v>0</v>
      </c>
      <c r="K292" s="41">
        <v>0</v>
      </c>
      <c r="L292" s="41">
        <v>55</v>
      </c>
      <c r="M292" s="41">
        <v>-1</v>
      </c>
      <c r="N292" s="41">
        <v>4</v>
      </c>
      <c r="O292" s="110" t="s">
        <v>2378</v>
      </c>
      <c r="P292" s="109">
        <v>193523</v>
      </c>
      <c r="Q292" s="107"/>
      <c r="R292" s="111"/>
      <c r="S292" s="110"/>
      <c r="T292"/>
      <c r="U292"/>
      <c r="V292"/>
    </row>
    <row r="293" spans="1:22">
      <c r="A293" s="105">
        <v>1675</v>
      </c>
      <c r="B293" s="41">
        <v>120000000</v>
      </c>
      <c r="C293" s="41">
        <v>3.2000000000000002E-3</v>
      </c>
      <c r="D293" s="41">
        <v>11.313700000000001</v>
      </c>
      <c r="E293" s="41">
        <v>30</v>
      </c>
      <c r="F293" s="41">
        <v>0</v>
      </c>
      <c r="G293" s="41" t="s">
        <v>103</v>
      </c>
      <c r="H293" s="41">
        <v>2</v>
      </c>
      <c r="I293" s="41">
        <v>1</v>
      </c>
      <c r="J293" s="108">
        <v>0</v>
      </c>
      <c r="K293" s="41">
        <v>0</v>
      </c>
      <c r="L293" s="41">
        <v>55</v>
      </c>
      <c r="M293" s="41">
        <v>-1</v>
      </c>
      <c r="N293" s="41">
        <v>4</v>
      </c>
      <c r="O293" s="110" t="s">
        <v>2379</v>
      </c>
      <c r="P293" s="109">
        <v>193523</v>
      </c>
      <c r="Q293" s="107"/>
      <c r="R293" s="111"/>
      <c r="S293" s="110"/>
      <c r="T293"/>
      <c r="U293"/>
      <c r="V293"/>
    </row>
    <row r="294" spans="1:22">
      <c r="A294" s="105">
        <v>1676</v>
      </c>
      <c r="B294" s="41">
        <v>120000000</v>
      </c>
      <c r="C294" s="41">
        <v>3.2000000000000002E-3</v>
      </c>
      <c r="D294" s="41">
        <v>16</v>
      </c>
      <c r="E294" s="41">
        <v>30</v>
      </c>
      <c r="F294" s="41">
        <v>0</v>
      </c>
      <c r="G294" s="41" t="s">
        <v>103</v>
      </c>
      <c r="H294" s="41">
        <v>2</v>
      </c>
      <c r="I294" s="41">
        <v>1</v>
      </c>
      <c r="J294" s="108">
        <v>0</v>
      </c>
      <c r="K294" s="41">
        <v>0</v>
      </c>
      <c r="L294" s="41">
        <v>55</v>
      </c>
      <c r="M294" s="41">
        <v>-1</v>
      </c>
      <c r="N294" s="41">
        <v>4</v>
      </c>
      <c r="O294" s="110" t="s">
        <v>2380</v>
      </c>
      <c r="P294" s="109">
        <v>193523</v>
      </c>
      <c r="Q294" s="107"/>
      <c r="R294" s="111"/>
      <c r="S294" s="110"/>
      <c r="T294"/>
      <c r="U294"/>
      <c r="V294"/>
    </row>
    <row r="295" spans="1:22">
      <c r="A295" s="105">
        <v>1677</v>
      </c>
      <c r="B295" s="41">
        <v>120000000</v>
      </c>
      <c r="C295" s="41">
        <v>3.2000000000000002E-3</v>
      </c>
      <c r="D295" s="41">
        <v>22.627400000000002</v>
      </c>
      <c r="E295" s="41">
        <v>30</v>
      </c>
      <c r="F295" s="41">
        <v>0</v>
      </c>
      <c r="G295" s="41" t="s">
        <v>103</v>
      </c>
      <c r="H295" s="41">
        <v>2</v>
      </c>
      <c r="I295" s="41">
        <v>1</v>
      </c>
      <c r="J295" s="108">
        <v>0</v>
      </c>
      <c r="K295" s="41">
        <v>0</v>
      </c>
      <c r="L295" s="41">
        <v>55</v>
      </c>
      <c r="M295" s="41">
        <v>-1</v>
      </c>
      <c r="N295" s="41">
        <v>4</v>
      </c>
      <c r="O295" s="110" t="s">
        <v>2381</v>
      </c>
      <c r="P295" s="109">
        <v>193523</v>
      </c>
      <c r="Q295" s="107"/>
      <c r="R295" s="111"/>
      <c r="S295" s="110"/>
      <c r="T295"/>
      <c r="U295"/>
      <c r="V295"/>
    </row>
    <row r="296" spans="1:22">
      <c r="A296" s="105">
        <v>1678</v>
      </c>
      <c r="B296" s="41">
        <v>120000000</v>
      </c>
      <c r="C296" s="41">
        <v>3.2000000000000002E-3</v>
      </c>
      <c r="D296" s="41">
        <v>32</v>
      </c>
      <c r="E296" s="41">
        <v>30</v>
      </c>
      <c r="F296" s="41">
        <v>0</v>
      </c>
      <c r="G296" s="41" t="s">
        <v>103</v>
      </c>
      <c r="H296" s="41">
        <v>2</v>
      </c>
      <c r="I296" s="41">
        <v>1</v>
      </c>
      <c r="J296" s="108">
        <v>0</v>
      </c>
      <c r="K296" s="41">
        <v>0</v>
      </c>
      <c r="L296" s="41">
        <v>55</v>
      </c>
      <c r="M296" s="41">
        <v>-1</v>
      </c>
      <c r="N296" s="41">
        <v>4</v>
      </c>
      <c r="O296" s="110" t="s">
        <v>2382</v>
      </c>
      <c r="P296" s="109">
        <v>193523</v>
      </c>
      <c r="Q296" s="107"/>
      <c r="R296" s="111"/>
      <c r="S296" s="110"/>
      <c r="T296"/>
      <c r="U296"/>
      <c r="V296"/>
    </row>
    <row r="297" spans="1:22">
      <c r="A297" s="105">
        <v>1679</v>
      </c>
      <c r="B297" s="41">
        <v>120000000</v>
      </c>
      <c r="C297" s="41">
        <v>3.2000000000000002E-3</v>
      </c>
      <c r="D297" s="41">
        <v>45.254800000000003</v>
      </c>
      <c r="E297" s="41">
        <v>30</v>
      </c>
      <c r="F297" s="41">
        <v>0</v>
      </c>
      <c r="G297" s="41" t="s">
        <v>103</v>
      </c>
      <c r="H297" s="41">
        <v>2</v>
      </c>
      <c r="I297" s="41">
        <v>1</v>
      </c>
      <c r="J297" s="108">
        <v>0</v>
      </c>
      <c r="K297" s="41">
        <v>0</v>
      </c>
      <c r="L297" s="41">
        <v>55</v>
      </c>
      <c r="M297" s="41">
        <v>-1</v>
      </c>
      <c r="N297" s="41">
        <v>4</v>
      </c>
      <c r="O297" s="110" t="s">
        <v>2383</v>
      </c>
      <c r="P297" s="109">
        <v>193523</v>
      </c>
      <c r="Q297" s="107"/>
      <c r="R297" s="111"/>
      <c r="S297" s="110"/>
      <c r="T297"/>
      <c r="U297"/>
      <c r="V297"/>
    </row>
    <row r="298" spans="1:22">
      <c r="A298" s="105">
        <v>1680</v>
      </c>
      <c r="B298" s="41">
        <v>120000000</v>
      </c>
      <c r="C298" s="41">
        <v>3.5000000000000001E-3</v>
      </c>
      <c r="D298" s="41">
        <v>4</v>
      </c>
      <c r="E298" s="41">
        <v>30</v>
      </c>
      <c r="F298" s="41">
        <v>0</v>
      </c>
      <c r="G298" s="41" t="s">
        <v>103</v>
      </c>
      <c r="H298" s="41">
        <v>2</v>
      </c>
      <c r="I298" s="41">
        <v>1</v>
      </c>
      <c r="J298" s="108">
        <v>0</v>
      </c>
      <c r="K298" s="41">
        <v>0</v>
      </c>
      <c r="L298" s="41">
        <v>55</v>
      </c>
      <c r="M298" s="41">
        <v>-1</v>
      </c>
      <c r="N298" s="41">
        <v>4</v>
      </c>
      <c r="O298" s="110" t="s">
        <v>2384</v>
      </c>
      <c r="P298" s="109">
        <v>193523</v>
      </c>
      <c r="Q298" s="107"/>
      <c r="R298" s="111"/>
      <c r="S298" s="110"/>
      <c r="T298"/>
      <c r="U298"/>
      <c r="V298"/>
    </row>
    <row r="299" spans="1:22">
      <c r="A299" s="105">
        <v>1681</v>
      </c>
      <c r="B299" s="41">
        <v>120000000</v>
      </c>
      <c r="C299" s="41">
        <v>3.5000000000000001E-3</v>
      </c>
      <c r="D299" s="41">
        <v>5.6569000000000003</v>
      </c>
      <c r="E299" s="41">
        <v>30</v>
      </c>
      <c r="F299" s="41">
        <v>0</v>
      </c>
      <c r="G299" s="41" t="s">
        <v>103</v>
      </c>
      <c r="H299" s="41">
        <v>2</v>
      </c>
      <c r="I299" s="41">
        <v>1</v>
      </c>
      <c r="J299" s="108">
        <v>0</v>
      </c>
      <c r="K299" s="41">
        <v>0</v>
      </c>
      <c r="L299" s="41">
        <v>55</v>
      </c>
      <c r="M299" s="41">
        <v>-1</v>
      </c>
      <c r="N299" s="41">
        <v>4</v>
      </c>
      <c r="O299" s="110" t="s">
        <v>2385</v>
      </c>
      <c r="P299" s="109">
        <v>193523</v>
      </c>
      <c r="Q299" s="107"/>
      <c r="R299" s="111"/>
      <c r="S299" s="110"/>
      <c r="T299"/>
      <c r="U299"/>
      <c r="V299"/>
    </row>
    <row r="300" spans="1:22">
      <c r="A300" s="105">
        <v>1682</v>
      </c>
      <c r="B300" s="41">
        <v>120000000</v>
      </c>
      <c r="C300" s="41">
        <v>3.5000000000000001E-3</v>
      </c>
      <c r="D300" s="41">
        <v>8</v>
      </c>
      <c r="E300" s="41">
        <v>30</v>
      </c>
      <c r="F300" s="41">
        <v>0</v>
      </c>
      <c r="G300" s="41" t="s">
        <v>103</v>
      </c>
      <c r="H300" s="41">
        <v>2</v>
      </c>
      <c r="I300" s="41">
        <v>1</v>
      </c>
      <c r="J300" s="108">
        <v>0</v>
      </c>
      <c r="K300" s="41">
        <v>0</v>
      </c>
      <c r="L300" s="41">
        <v>55</v>
      </c>
      <c r="M300" s="41">
        <v>-1</v>
      </c>
      <c r="N300" s="41">
        <v>4</v>
      </c>
      <c r="O300" s="110" t="s">
        <v>2386</v>
      </c>
      <c r="P300" s="109">
        <v>193523</v>
      </c>
      <c r="Q300" s="107"/>
      <c r="R300" s="111"/>
      <c r="S300" s="110"/>
      <c r="T300"/>
      <c r="U300"/>
      <c r="V300"/>
    </row>
    <row r="301" spans="1:22">
      <c r="A301" s="105">
        <v>1683</v>
      </c>
      <c r="B301" s="41">
        <v>120000000</v>
      </c>
      <c r="C301" s="41">
        <v>3.5000000000000001E-3</v>
      </c>
      <c r="D301" s="41">
        <v>11.313700000000001</v>
      </c>
      <c r="E301" s="41">
        <v>30</v>
      </c>
      <c r="F301" s="41">
        <v>0</v>
      </c>
      <c r="G301" s="41" t="s">
        <v>103</v>
      </c>
      <c r="H301" s="41">
        <v>2</v>
      </c>
      <c r="I301" s="41">
        <v>1</v>
      </c>
      <c r="J301" s="108">
        <v>0</v>
      </c>
      <c r="K301" s="41">
        <v>0</v>
      </c>
      <c r="L301" s="41">
        <v>55</v>
      </c>
      <c r="M301" s="41">
        <v>-1</v>
      </c>
      <c r="N301" s="41">
        <v>4</v>
      </c>
      <c r="O301" s="110" t="s">
        <v>2387</v>
      </c>
      <c r="P301" s="109">
        <v>193523</v>
      </c>
      <c r="Q301" s="107"/>
      <c r="R301" s="111"/>
      <c r="S301" s="110"/>
      <c r="T301"/>
      <c r="U301"/>
      <c r="V301"/>
    </row>
    <row r="302" spans="1:22">
      <c r="A302" s="105">
        <v>1684</v>
      </c>
      <c r="B302" s="41">
        <v>120000000</v>
      </c>
      <c r="C302" s="41">
        <v>3.5000000000000001E-3</v>
      </c>
      <c r="D302" s="41">
        <v>16</v>
      </c>
      <c r="E302" s="41">
        <v>30</v>
      </c>
      <c r="F302" s="41">
        <v>0</v>
      </c>
      <c r="G302" s="41" t="s">
        <v>103</v>
      </c>
      <c r="H302" s="41">
        <v>2</v>
      </c>
      <c r="I302" s="41">
        <v>1</v>
      </c>
      <c r="J302" s="108">
        <v>0</v>
      </c>
      <c r="K302" s="41">
        <v>0</v>
      </c>
      <c r="L302" s="41">
        <v>55</v>
      </c>
      <c r="M302" s="41">
        <v>-1</v>
      </c>
      <c r="N302" s="41">
        <v>4</v>
      </c>
      <c r="O302" s="110" t="s">
        <v>2388</v>
      </c>
      <c r="P302" s="109">
        <v>193523</v>
      </c>
      <c r="Q302" s="107"/>
      <c r="R302" s="111"/>
      <c r="S302" s="110"/>
      <c r="T302"/>
      <c r="U302"/>
      <c r="V302"/>
    </row>
    <row r="303" spans="1:22">
      <c r="A303" s="105">
        <v>1685</v>
      </c>
      <c r="B303" s="41">
        <v>120000000</v>
      </c>
      <c r="C303" s="41">
        <v>3.5000000000000001E-3</v>
      </c>
      <c r="D303" s="41">
        <v>22.627400000000002</v>
      </c>
      <c r="E303" s="41">
        <v>30</v>
      </c>
      <c r="F303" s="41">
        <v>0</v>
      </c>
      <c r="G303" s="41" t="s">
        <v>103</v>
      </c>
      <c r="H303" s="41">
        <v>2</v>
      </c>
      <c r="I303" s="41">
        <v>1</v>
      </c>
      <c r="J303" s="108">
        <v>0</v>
      </c>
      <c r="K303" s="41">
        <v>0</v>
      </c>
      <c r="L303" s="41">
        <v>55</v>
      </c>
      <c r="M303" s="41">
        <v>-1</v>
      </c>
      <c r="N303" s="41">
        <v>4</v>
      </c>
      <c r="O303" s="110" t="s">
        <v>2389</v>
      </c>
      <c r="P303" s="109">
        <v>193523</v>
      </c>
      <c r="Q303" s="107"/>
      <c r="R303" s="111"/>
      <c r="S303" s="110"/>
      <c r="T303"/>
      <c r="U303"/>
      <c r="V303"/>
    </row>
    <row r="304" spans="1:22">
      <c r="A304" s="105">
        <v>1686</v>
      </c>
      <c r="B304" s="41">
        <v>120000000</v>
      </c>
      <c r="C304" s="41">
        <v>3.5000000000000001E-3</v>
      </c>
      <c r="D304" s="41">
        <v>32</v>
      </c>
      <c r="E304" s="41">
        <v>30</v>
      </c>
      <c r="F304" s="41">
        <v>0</v>
      </c>
      <c r="G304" s="41" t="s">
        <v>103</v>
      </c>
      <c r="H304" s="41">
        <v>2</v>
      </c>
      <c r="I304" s="41">
        <v>1</v>
      </c>
      <c r="J304" s="108">
        <v>0</v>
      </c>
      <c r="K304" s="41">
        <v>0</v>
      </c>
      <c r="L304" s="41">
        <v>55</v>
      </c>
      <c r="M304" s="41">
        <v>-1</v>
      </c>
      <c r="N304" s="41">
        <v>4</v>
      </c>
      <c r="O304" s="110" t="s">
        <v>2390</v>
      </c>
      <c r="P304" s="109">
        <v>193523</v>
      </c>
      <c r="Q304" s="107"/>
      <c r="R304" s="111"/>
      <c r="S304" s="110"/>
      <c r="T304"/>
      <c r="U304"/>
      <c r="V304"/>
    </row>
    <row r="305" spans="1:22">
      <c r="A305" s="105">
        <v>1687</v>
      </c>
      <c r="B305" s="41">
        <v>120000000</v>
      </c>
      <c r="C305" s="41">
        <v>3.5000000000000001E-3</v>
      </c>
      <c r="D305" s="41">
        <v>45.254800000000003</v>
      </c>
      <c r="E305" s="41">
        <v>30</v>
      </c>
      <c r="F305" s="41">
        <v>0</v>
      </c>
      <c r="G305" s="41" t="s">
        <v>103</v>
      </c>
      <c r="H305" s="41">
        <v>2</v>
      </c>
      <c r="I305" s="41">
        <v>1</v>
      </c>
      <c r="J305" s="108">
        <v>0</v>
      </c>
      <c r="K305" s="41">
        <v>0</v>
      </c>
      <c r="L305" s="41">
        <v>55</v>
      </c>
      <c r="M305" s="41">
        <v>-1</v>
      </c>
      <c r="N305" s="41">
        <v>4</v>
      </c>
      <c r="O305" s="110" t="s">
        <v>2391</v>
      </c>
      <c r="P305" s="109">
        <v>193523</v>
      </c>
      <c r="Q305" s="107"/>
      <c r="R305" s="111"/>
      <c r="S305" s="110"/>
      <c r="T305"/>
      <c r="U305"/>
      <c r="V305"/>
    </row>
    <row r="306" spans="1:22">
      <c r="A306" s="105">
        <v>1688</v>
      </c>
      <c r="B306" s="41">
        <v>120000000</v>
      </c>
      <c r="C306" s="41">
        <v>3.8E-3</v>
      </c>
      <c r="D306" s="41">
        <v>5.6569000000000003</v>
      </c>
      <c r="E306" s="41">
        <v>30</v>
      </c>
      <c r="F306" s="41">
        <v>0</v>
      </c>
      <c r="G306" s="41" t="s">
        <v>103</v>
      </c>
      <c r="H306" s="41">
        <v>2</v>
      </c>
      <c r="I306" s="41">
        <v>1</v>
      </c>
      <c r="J306" s="108">
        <v>0</v>
      </c>
      <c r="K306" s="41">
        <v>0</v>
      </c>
      <c r="L306" s="41">
        <v>55</v>
      </c>
      <c r="M306" s="41">
        <v>-1</v>
      </c>
      <c r="N306" s="41">
        <v>4</v>
      </c>
      <c r="O306" s="110" t="s">
        <v>2392</v>
      </c>
      <c r="P306" s="109">
        <v>193523</v>
      </c>
      <c r="Q306" s="107"/>
      <c r="R306" s="111"/>
      <c r="S306" s="110"/>
      <c r="T306"/>
      <c r="U306"/>
      <c r="V306"/>
    </row>
    <row r="307" spans="1:22">
      <c r="A307" s="105">
        <v>1689</v>
      </c>
      <c r="B307" s="41">
        <v>120000000</v>
      </c>
      <c r="C307" s="41">
        <v>3.8E-3</v>
      </c>
      <c r="D307" s="41">
        <v>8</v>
      </c>
      <c r="E307" s="41">
        <v>30</v>
      </c>
      <c r="F307" s="41">
        <v>0</v>
      </c>
      <c r="G307" s="41" t="s">
        <v>103</v>
      </c>
      <c r="H307" s="41">
        <v>2</v>
      </c>
      <c r="I307" s="41">
        <v>1</v>
      </c>
      <c r="J307" s="108">
        <v>0</v>
      </c>
      <c r="K307" s="41">
        <v>0</v>
      </c>
      <c r="L307" s="41">
        <v>55</v>
      </c>
      <c r="M307" s="41">
        <v>-1</v>
      </c>
      <c r="N307" s="41">
        <v>4</v>
      </c>
      <c r="O307" s="110" t="s">
        <v>2393</v>
      </c>
      <c r="P307" s="109">
        <v>193523</v>
      </c>
      <c r="Q307" s="107"/>
      <c r="R307" s="111"/>
      <c r="S307" s="110"/>
      <c r="T307"/>
      <c r="U307"/>
      <c r="V307"/>
    </row>
    <row r="308" spans="1:22">
      <c r="A308" s="105">
        <v>1690</v>
      </c>
      <c r="B308" s="41">
        <v>120000000</v>
      </c>
      <c r="C308" s="41">
        <v>3.8E-3</v>
      </c>
      <c r="D308" s="41">
        <v>11.313700000000001</v>
      </c>
      <c r="E308" s="41">
        <v>30</v>
      </c>
      <c r="F308" s="41">
        <v>0</v>
      </c>
      <c r="G308" s="41" t="s">
        <v>103</v>
      </c>
      <c r="H308" s="41">
        <v>2</v>
      </c>
      <c r="I308" s="41">
        <v>1</v>
      </c>
      <c r="J308" s="108">
        <v>0</v>
      </c>
      <c r="K308" s="41">
        <v>0</v>
      </c>
      <c r="L308" s="41">
        <v>55</v>
      </c>
      <c r="M308" s="41">
        <v>-1</v>
      </c>
      <c r="N308" s="41">
        <v>4</v>
      </c>
      <c r="O308" s="110" t="s">
        <v>2394</v>
      </c>
      <c r="P308" s="109">
        <v>193523</v>
      </c>
      <c r="Q308" s="107"/>
      <c r="R308" s="111"/>
      <c r="S308" s="110"/>
      <c r="T308"/>
      <c r="U308"/>
      <c r="V308"/>
    </row>
    <row r="309" spans="1:22">
      <c r="A309" s="105">
        <v>1691</v>
      </c>
      <c r="B309" s="41">
        <v>120000000</v>
      </c>
      <c r="C309" s="41">
        <v>3.8E-3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2</v>
      </c>
      <c r="I309" s="41">
        <v>1</v>
      </c>
      <c r="J309" s="108">
        <v>0</v>
      </c>
      <c r="K309" s="41">
        <v>0</v>
      </c>
      <c r="L309" s="41">
        <v>55</v>
      </c>
      <c r="M309" s="41">
        <v>-1</v>
      </c>
      <c r="N309" s="41">
        <v>4</v>
      </c>
      <c r="O309" s="110" t="s">
        <v>2395</v>
      </c>
      <c r="P309" s="109">
        <v>193523</v>
      </c>
      <c r="Q309" s="107"/>
      <c r="R309" s="111"/>
      <c r="S309" s="110"/>
      <c r="T309"/>
      <c r="U309"/>
      <c r="V309"/>
    </row>
    <row r="310" spans="1:22">
      <c r="A310" s="105">
        <v>1692</v>
      </c>
      <c r="B310" s="41">
        <v>120000000</v>
      </c>
      <c r="C310" s="41">
        <v>3.8E-3</v>
      </c>
      <c r="D310" s="41">
        <v>22.627400000000002</v>
      </c>
      <c r="E310" s="41">
        <v>30</v>
      </c>
      <c r="F310" s="41">
        <v>0</v>
      </c>
      <c r="G310" s="41" t="s">
        <v>103</v>
      </c>
      <c r="H310" s="41">
        <v>2</v>
      </c>
      <c r="I310" s="41">
        <v>1</v>
      </c>
      <c r="J310" s="108">
        <v>0</v>
      </c>
      <c r="K310" s="41">
        <v>0</v>
      </c>
      <c r="L310" s="41">
        <v>55</v>
      </c>
      <c r="M310" s="41">
        <v>-1</v>
      </c>
      <c r="N310" s="41">
        <v>4</v>
      </c>
      <c r="O310" s="110" t="s">
        <v>2396</v>
      </c>
      <c r="P310" s="109">
        <v>193523</v>
      </c>
      <c r="Q310" s="107"/>
      <c r="R310" s="111"/>
      <c r="S310" s="110"/>
      <c r="T310"/>
      <c r="U310"/>
      <c r="V310"/>
    </row>
    <row r="311" spans="1:22">
      <c r="A311" s="105">
        <v>1693</v>
      </c>
      <c r="B311" s="41">
        <v>120000000</v>
      </c>
      <c r="C311" s="41">
        <v>3.8E-3</v>
      </c>
      <c r="D311" s="41">
        <v>32</v>
      </c>
      <c r="E311" s="41">
        <v>30</v>
      </c>
      <c r="F311" s="41">
        <v>0</v>
      </c>
      <c r="G311" s="41" t="s">
        <v>103</v>
      </c>
      <c r="H311" s="41">
        <v>2</v>
      </c>
      <c r="I311" s="41">
        <v>1</v>
      </c>
      <c r="J311" s="108">
        <v>0</v>
      </c>
      <c r="K311" s="41">
        <v>0</v>
      </c>
      <c r="L311" s="41">
        <v>55</v>
      </c>
      <c r="M311" s="41">
        <v>-1</v>
      </c>
      <c r="N311" s="41">
        <v>4</v>
      </c>
      <c r="O311" s="110" t="s">
        <v>2397</v>
      </c>
      <c r="P311" s="109">
        <v>193523</v>
      </c>
      <c r="Q311" s="107"/>
      <c r="R311" s="111"/>
      <c r="S311" s="110"/>
      <c r="T311"/>
      <c r="U311"/>
      <c r="V311"/>
    </row>
    <row r="312" spans="1:22">
      <c r="A312" s="105">
        <v>1694</v>
      </c>
      <c r="B312" s="41">
        <v>120000000</v>
      </c>
      <c r="C312" s="41">
        <v>3.8E-3</v>
      </c>
      <c r="D312" s="41">
        <v>45.254800000000003</v>
      </c>
      <c r="E312" s="41">
        <v>30</v>
      </c>
      <c r="F312" s="41">
        <v>0</v>
      </c>
      <c r="G312" s="41" t="s">
        <v>103</v>
      </c>
      <c r="H312" s="41">
        <v>2</v>
      </c>
      <c r="I312" s="41">
        <v>1</v>
      </c>
      <c r="J312" s="108">
        <v>0</v>
      </c>
      <c r="K312" s="41">
        <v>0</v>
      </c>
      <c r="L312" s="41">
        <v>55</v>
      </c>
      <c r="M312" s="41">
        <v>-1</v>
      </c>
      <c r="N312" s="41">
        <v>4</v>
      </c>
      <c r="O312" s="110" t="s">
        <v>2398</v>
      </c>
      <c r="P312" s="109">
        <v>193523</v>
      </c>
      <c r="Q312" s="107"/>
      <c r="R312" s="111"/>
      <c r="S312" s="110"/>
      <c r="T312"/>
      <c r="U312"/>
      <c r="V312"/>
    </row>
    <row r="313" spans="1:22">
      <c r="A313" s="105">
        <v>1695</v>
      </c>
      <c r="B313" s="41">
        <v>120000000</v>
      </c>
      <c r="C313" s="41">
        <v>4.1999999999999997E-3</v>
      </c>
      <c r="D313" s="41">
        <v>5.6569000000000003</v>
      </c>
      <c r="E313" s="41">
        <v>30</v>
      </c>
      <c r="F313" s="41">
        <v>0</v>
      </c>
      <c r="G313" s="41" t="s">
        <v>103</v>
      </c>
      <c r="H313" s="41">
        <v>2</v>
      </c>
      <c r="I313" s="41">
        <v>1</v>
      </c>
      <c r="J313" s="108">
        <v>0</v>
      </c>
      <c r="K313" s="41">
        <v>0</v>
      </c>
      <c r="L313" s="41">
        <v>55</v>
      </c>
      <c r="M313" s="41">
        <v>-1</v>
      </c>
      <c r="N313" s="41">
        <v>4</v>
      </c>
      <c r="O313" s="110" t="s">
        <v>2399</v>
      </c>
      <c r="P313" s="109">
        <v>193523</v>
      </c>
      <c r="Q313" s="107"/>
      <c r="R313" s="111"/>
      <c r="S313" s="110"/>
      <c r="T313"/>
      <c r="U313"/>
      <c r="V313"/>
    </row>
    <row r="314" spans="1:22">
      <c r="A314" s="105">
        <v>1696</v>
      </c>
      <c r="B314" s="41">
        <v>120000000</v>
      </c>
      <c r="C314" s="41">
        <v>4.1999999999999997E-3</v>
      </c>
      <c r="D314" s="41">
        <v>8</v>
      </c>
      <c r="E314" s="41">
        <v>30</v>
      </c>
      <c r="F314" s="41">
        <v>0</v>
      </c>
      <c r="G314" s="41" t="s">
        <v>103</v>
      </c>
      <c r="H314" s="41">
        <v>2</v>
      </c>
      <c r="I314" s="41">
        <v>1</v>
      </c>
      <c r="J314" s="108">
        <v>0</v>
      </c>
      <c r="K314" s="41">
        <v>0</v>
      </c>
      <c r="L314" s="41">
        <v>55</v>
      </c>
      <c r="M314" s="41">
        <v>-1</v>
      </c>
      <c r="N314" s="41">
        <v>4</v>
      </c>
      <c r="O314" s="110" t="s">
        <v>2400</v>
      </c>
      <c r="P314" s="109">
        <v>193523</v>
      </c>
      <c r="Q314" s="107"/>
      <c r="R314" s="111"/>
      <c r="S314" s="110"/>
      <c r="T314"/>
      <c r="U314"/>
      <c r="V314"/>
    </row>
    <row r="315" spans="1:22">
      <c r="A315" s="105">
        <v>1697</v>
      </c>
      <c r="B315" s="41">
        <v>120000000</v>
      </c>
      <c r="C315" s="41">
        <v>4.1999999999999997E-3</v>
      </c>
      <c r="D315" s="41">
        <v>11.313700000000001</v>
      </c>
      <c r="E315" s="41">
        <v>30</v>
      </c>
      <c r="F315" s="41">
        <v>0</v>
      </c>
      <c r="G315" s="41" t="s">
        <v>103</v>
      </c>
      <c r="H315" s="41">
        <v>2</v>
      </c>
      <c r="I315" s="41">
        <v>1</v>
      </c>
      <c r="J315" s="108">
        <v>0</v>
      </c>
      <c r="K315" s="41">
        <v>0</v>
      </c>
      <c r="L315" s="41">
        <v>55</v>
      </c>
      <c r="M315" s="41">
        <v>-1</v>
      </c>
      <c r="N315" s="41">
        <v>4</v>
      </c>
      <c r="O315" s="110" t="s">
        <v>2401</v>
      </c>
      <c r="P315" s="109">
        <v>193523</v>
      </c>
      <c r="Q315" s="107"/>
      <c r="R315" s="111"/>
      <c r="S315" s="110"/>
      <c r="T315"/>
      <c r="U315"/>
      <c r="V315"/>
    </row>
    <row r="316" spans="1:22">
      <c r="A316" s="105">
        <v>1698</v>
      </c>
      <c r="B316" s="41">
        <v>120000000</v>
      </c>
      <c r="C316" s="41">
        <v>4.1999999999999997E-3</v>
      </c>
      <c r="D316" s="41">
        <v>16</v>
      </c>
      <c r="E316" s="41">
        <v>30</v>
      </c>
      <c r="F316" s="41">
        <v>0</v>
      </c>
      <c r="G316" s="41" t="s">
        <v>103</v>
      </c>
      <c r="H316" s="41">
        <v>2</v>
      </c>
      <c r="I316" s="41">
        <v>1</v>
      </c>
      <c r="J316" s="108">
        <v>0</v>
      </c>
      <c r="K316" s="41">
        <v>0</v>
      </c>
      <c r="L316" s="41">
        <v>55</v>
      </c>
      <c r="M316" s="41">
        <v>-1</v>
      </c>
      <c r="N316" s="41">
        <v>4</v>
      </c>
      <c r="O316" s="110" t="s">
        <v>2402</v>
      </c>
      <c r="P316" s="109">
        <v>193523</v>
      </c>
      <c r="Q316" s="107"/>
      <c r="R316" s="111"/>
      <c r="S316" s="110"/>
      <c r="T316"/>
      <c r="U316"/>
      <c r="V316"/>
    </row>
    <row r="317" spans="1:22">
      <c r="A317" s="105">
        <v>1699</v>
      </c>
      <c r="B317" s="41">
        <v>120000000</v>
      </c>
      <c r="C317" s="41">
        <v>4.1999999999999997E-3</v>
      </c>
      <c r="D317" s="41">
        <v>22.627400000000002</v>
      </c>
      <c r="E317" s="41">
        <v>30</v>
      </c>
      <c r="F317" s="41">
        <v>0</v>
      </c>
      <c r="G317" s="41" t="s">
        <v>103</v>
      </c>
      <c r="H317" s="41">
        <v>2</v>
      </c>
      <c r="I317" s="41">
        <v>1</v>
      </c>
      <c r="J317" s="108">
        <v>0</v>
      </c>
      <c r="K317" s="41">
        <v>0</v>
      </c>
      <c r="L317" s="41">
        <v>55</v>
      </c>
      <c r="M317" s="41">
        <v>-1</v>
      </c>
      <c r="N317" s="41">
        <v>4</v>
      </c>
      <c r="O317" s="110" t="s">
        <v>2403</v>
      </c>
      <c r="P317" s="109">
        <v>193781</v>
      </c>
      <c r="Q317" s="107"/>
      <c r="R317" s="111"/>
      <c r="S317" s="110" t="s">
        <v>2267</v>
      </c>
      <c r="T317"/>
      <c r="U317"/>
      <c r="V317"/>
    </row>
    <row r="318" spans="1:22">
      <c r="A318" s="105">
        <v>1700</v>
      </c>
      <c r="B318" s="41">
        <v>120000000</v>
      </c>
      <c r="C318" s="41">
        <v>4.1999999999999997E-3</v>
      </c>
      <c r="D318" s="41">
        <v>32</v>
      </c>
      <c r="E318" s="41">
        <v>30</v>
      </c>
      <c r="F318" s="41">
        <v>0</v>
      </c>
      <c r="G318" s="41" t="s">
        <v>103</v>
      </c>
      <c r="H318" s="41">
        <v>2</v>
      </c>
      <c r="I318" s="41">
        <v>1</v>
      </c>
      <c r="J318" s="108">
        <v>0</v>
      </c>
      <c r="K318" s="41">
        <v>0</v>
      </c>
      <c r="L318" s="41">
        <v>55</v>
      </c>
      <c r="M318" s="41">
        <v>-1</v>
      </c>
      <c r="N318" s="41">
        <v>4</v>
      </c>
      <c r="O318" s="110" t="s">
        <v>2404</v>
      </c>
      <c r="P318" s="109">
        <v>193781</v>
      </c>
      <c r="Q318" s="107"/>
      <c r="R318" s="111"/>
      <c r="S318" s="110"/>
      <c r="T318"/>
      <c r="U318"/>
      <c r="V318"/>
    </row>
    <row r="319" spans="1:22">
      <c r="A319" s="105">
        <v>1701</v>
      </c>
      <c r="B319" s="41">
        <v>120000000</v>
      </c>
      <c r="C319" s="41">
        <v>4.1999999999999997E-3</v>
      </c>
      <c r="D319" s="41">
        <v>45.254800000000003</v>
      </c>
      <c r="E319" s="41">
        <v>30</v>
      </c>
      <c r="F319" s="41">
        <v>0</v>
      </c>
      <c r="G319" s="41" t="s">
        <v>103</v>
      </c>
      <c r="H319" s="41">
        <v>2</v>
      </c>
      <c r="I319" s="41">
        <v>1</v>
      </c>
      <c r="J319" s="108">
        <v>0</v>
      </c>
      <c r="K319" s="41">
        <v>0</v>
      </c>
      <c r="L319" s="41">
        <v>55</v>
      </c>
      <c r="M319" s="41">
        <v>-1</v>
      </c>
      <c r="N319" s="41">
        <v>4</v>
      </c>
      <c r="O319" s="110" t="s">
        <v>2405</v>
      </c>
      <c r="P319" s="109">
        <v>193781</v>
      </c>
      <c r="Q319" s="107"/>
      <c r="R319" s="111"/>
      <c r="S319" s="110"/>
      <c r="T319"/>
      <c r="U319"/>
      <c r="V319"/>
    </row>
    <row r="320" spans="1:22">
      <c r="A320" s="105">
        <v>1702</v>
      </c>
      <c r="B320" s="41">
        <v>120000000</v>
      </c>
      <c r="C320" s="41">
        <v>4.4999999999999997E-3</v>
      </c>
      <c r="D320" s="41">
        <v>8</v>
      </c>
      <c r="E320" s="41">
        <v>30</v>
      </c>
      <c r="F320" s="41">
        <v>0</v>
      </c>
      <c r="G320" s="41" t="s">
        <v>103</v>
      </c>
      <c r="H320" s="41">
        <v>2</v>
      </c>
      <c r="I320" s="41">
        <v>1</v>
      </c>
      <c r="J320" s="108">
        <v>0</v>
      </c>
      <c r="K320" s="41">
        <v>0</v>
      </c>
      <c r="L320" s="41">
        <v>55</v>
      </c>
      <c r="M320" s="41">
        <v>-1</v>
      </c>
      <c r="N320" s="41">
        <v>4</v>
      </c>
      <c r="O320" s="110" t="s">
        <v>2406</v>
      </c>
      <c r="P320" s="109">
        <v>193781</v>
      </c>
      <c r="Q320" s="107"/>
      <c r="R320" s="111"/>
      <c r="S320" s="110"/>
      <c r="T320"/>
      <c r="U320"/>
      <c r="V320"/>
    </row>
    <row r="321" spans="1:22">
      <c r="A321" s="105">
        <v>1703</v>
      </c>
      <c r="B321" s="41">
        <v>120000000</v>
      </c>
      <c r="C321" s="41">
        <v>4.4999999999999997E-3</v>
      </c>
      <c r="D321" s="41">
        <v>11.313700000000001</v>
      </c>
      <c r="E321" s="41">
        <v>30</v>
      </c>
      <c r="F321" s="41">
        <v>0</v>
      </c>
      <c r="G321" s="41" t="s">
        <v>103</v>
      </c>
      <c r="H321" s="41">
        <v>2</v>
      </c>
      <c r="I321" s="41">
        <v>1</v>
      </c>
      <c r="J321" s="108">
        <v>0</v>
      </c>
      <c r="K321" s="41">
        <v>0</v>
      </c>
      <c r="L321" s="41">
        <v>55</v>
      </c>
      <c r="M321" s="41">
        <v>-1</v>
      </c>
      <c r="N321" s="41">
        <v>4</v>
      </c>
      <c r="O321" s="110" t="s">
        <v>2407</v>
      </c>
      <c r="P321" s="109">
        <v>193781</v>
      </c>
      <c r="Q321" s="107"/>
      <c r="R321" s="111"/>
      <c r="S321" s="110"/>
      <c r="T321"/>
      <c r="U321"/>
      <c r="V321"/>
    </row>
    <row r="322" spans="1:22">
      <c r="A322" s="105">
        <v>1704</v>
      </c>
      <c r="B322" s="41">
        <v>120000000</v>
      </c>
      <c r="C322" s="41">
        <v>4.4999999999999997E-3</v>
      </c>
      <c r="D322" s="41">
        <v>16</v>
      </c>
      <c r="E322" s="41">
        <v>30</v>
      </c>
      <c r="F322" s="41">
        <v>0</v>
      </c>
      <c r="G322" s="41" t="s">
        <v>103</v>
      </c>
      <c r="H322" s="41">
        <v>2</v>
      </c>
      <c r="I322" s="41">
        <v>1</v>
      </c>
      <c r="J322" s="108">
        <v>0</v>
      </c>
      <c r="K322" s="41">
        <v>0</v>
      </c>
      <c r="L322" s="41">
        <v>55</v>
      </c>
      <c r="M322" s="41">
        <v>-1</v>
      </c>
      <c r="N322" s="41">
        <v>4</v>
      </c>
      <c r="O322" s="110" t="s">
        <v>2408</v>
      </c>
      <c r="P322" s="109">
        <v>193781</v>
      </c>
      <c r="Q322" s="107"/>
      <c r="R322" s="111"/>
      <c r="S322" s="110"/>
      <c r="T322"/>
      <c r="U322"/>
      <c r="V322"/>
    </row>
    <row r="323" spans="1:22">
      <c r="A323" s="105">
        <v>1705</v>
      </c>
      <c r="B323" s="41">
        <v>120000000</v>
      </c>
      <c r="C323" s="41">
        <v>4.4999999999999997E-3</v>
      </c>
      <c r="D323" s="41">
        <v>22.627400000000002</v>
      </c>
      <c r="E323" s="41">
        <v>30</v>
      </c>
      <c r="F323" s="41">
        <v>0</v>
      </c>
      <c r="G323" s="41" t="s">
        <v>103</v>
      </c>
      <c r="H323" s="41">
        <v>2</v>
      </c>
      <c r="I323" s="41">
        <v>1</v>
      </c>
      <c r="J323" s="108">
        <v>0</v>
      </c>
      <c r="K323" s="41">
        <v>0</v>
      </c>
      <c r="L323" s="41">
        <v>55</v>
      </c>
      <c r="M323" s="41">
        <v>-1</v>
      </c>
      <c r="N323" s="41">
        <v>4</v>
      </c>
      <c r="O323" s="110" t="s">
        <v>2409</v>
      </c>
      <c r="P323" s="109">
        <v>193781</v>
      </c>
      <c r="Q323" s="107"/>
      <c r="R323" s="111"/>
      <c r="S323" s="110"/>
      <c r="T323"/>
      <c r="U323"/>
      <c r="V323"/>
    </row>
    <row r="324" spans="1:22">
      <c r="A324" s="105">
        <v>1706</v>
      </c>
      <c r="B324" s="41">
        <v>120000000</v>
      </c>
      <c r="C324" s="41">
        <v>4.4999999999999997E-3</v>
      </c>
      <c r="D324" s="41">
        <v>32</v>
      </c>
      <c r="E324" s="41">
        <v>30</v>
      </c>
      <c r="F324" s="41">
        <v>0</v>
      </c>
      <c r="G324" s="41" t="s">
        <v>103</v>
      </c>
      <c r="H324" s="41">
        <v>2</v>
      </c>
      <c r="I324" s="41">
        <v>1</v>
      </c>
      <c r="J324" s="108">
        <v>0</v>
      </c>
      <c r="K324" s="41">
        <v>0</v>
      </c>
      <c r="L324" s="41">
        <v>55</v>
      </c>
      <c r="M324" s="41">
        <v>-1</v>
      </c>
      <c r="N324" s="41">
        <v>4</v>
      </c>
      <c r="O324" s="110" t="s">
        <v>2410</v>
      </c>
      <c r="P324" s="109">
        <v>193781</v>
      </c>
      <c r="Q324" s="107"/>
      <c r="R324" s="111"/>
      <c r="S324" s="110"/>
      <c r="T324"/>
      <c r="U324"/>
      <c r="V324"/>
    </row>
    <row r="325" spans="1:22">
      <c r="A325" s="105">
        <v>1707</v>
      </c>
      <c r="B325" s="41">
        <v>120000000</v>
      </c>
      <c r="C325" s="41">
        <v>4.4999999999999997E-3</v>
      </c>
      <c r="D325" s="41">
        <v>45.254800000000003</v>
      </c>
      <c r="E325" s="41">
        <v>30</v>
      </c>
      <c r="F325" s="41">
        <v>0</v>
      </c>
      <c r="G325" s="41" t="s">
        <v>103</v>
      </c>
      <c r="H325" s="41">
        <v>2</v>
      </c>
      <c r="I325" s="41">
        <v>1</v>
      </c>
      <c r="J325" s="108">
        <v>0</v>
      </c>
      <c r="K325" s="41">
        <v>0</v>
      </c>
      <c r="L325" s="41">
        <v>55</v>
      </c>
      <c r="M325" s="41">
        <v>-1</v>
      </c>
      <c r="N325" s="41">
        <v>4</v>
      </c>
      <c r="O325" s="110" t="s">
        <v>2411</v>
      </c>
      <c r="P325" s="109">
        <v>193781</v>
      </c>
      <c r="Q325" s="107"/>
      <c r="R325" s="111"/>
      <c r="S325" s="110"/>
      <c r="T325"/>
      <c r="U325"/>
      <c r="V325"/>
    </row>
    <row r="326" spans="1:22">
      <c r="A326" s="105">
        <v>1708</v>
      </c>
      <c r="B326" s="41">
        <v>120000000</v>
      </c>
      <c r="C326" s="41">
        <v>4.8999999999999998E-3</v>
      </c>
      <c r="D326" s="41">
        <v>8</v>
      </c>
      <c r="E326" s="41">
        <v>30</v>
      </c>
      <c r="F326" s="41">
        <v>0</v>
      </c>
      <c r="G326" s="41" t="s">
        <v>103</v>
      </c>
      <c r="H326" s="41">
        <v>2</v>
      </c>
      <c r="I326" s="41">
        <v>1</v>
      </c>
      <c r="J326" s="108">
        <v>0</v>
      </c>
      <c r="K326" s="41">
        <v>0</v>
      </c>
      <c r="L326" s="41">
        <v>55</v>
      </c>
      <c r="M326" s="41">
        <v>-1</v>
      </c>
      <c r="N326" s="41">
        <v>4</v>
      </c>
      <c r="O326" s="110" t="s">
        <v>2412</v>
      </c>
      <c r="P326" s="109">
        <v>193781</v>
      </c>
      <c r="Q326" s="107"/>
      <c r="R326" s="111"/>
      <c r="S326" s="110"/>
      <c r="T326"/>
      <c r="U326"/>
      <c r="V326"/>
    </row>
    <row r="327" spans="1:22">
      <c r="A327" s="105">
        <v>1709</v>
      </c>
      <c r="B327" s="41">
        <v>120000000</v>
      </c>
      <c r="C327" s="41">
        <v>4.8999999999999998E-3</v>
      </c>
      <c r="D327" s="41">
        <v>11.313700000000001</v>
      </c>
      <c r="E327" s="41">
        <v>30</v>
      </c>
      <c r="F327" s="41">
        <v>0</v>
      </c>
      <c r="G327" s="41" t="s">
        <v>103</v>
      </c>
      <c r="H327" s="41">
        <v>2</v>
      </c>
      <c r="I327" s="41">
        <v>1</v>
      </c>
      <c r="J327" s="108">
        <v>0</v>
      </c>
      <c r="K327" s="41">
        <v>0</v>
      </c>
      <c r="L327" s="41">
        <v>55</v>
      </c>
      <c r="M327" s="41">
        <v>-1</v>
      </c>
      <c r="N327" s="41">
        <v>4</v>
      </c>
      <c r="O327" s="110" t="s">
        <v>2413</v>
      </c>
      <c r="P327" s="109">
        <v>193781</v>
      </c>
      <c r="Q327" s="107"/>
      <c r="R327" s="111"/>
      <c r="S327" s="110"/>
      <c r="T327"/>
      <c r="U327"/>
      <c r="V327"/>
    </row>
    <row r="328" spans="1:22">
      <c r="A328" s="105">
        <v>1710</v>
      </c>
      <c r="B328" s="41">
        <v>120000000</v>
      </c>
      <c r="C328" s="41">
        <v>4.8999999999999998E-3</v>
      </c>
      <c r="D328" s="41">
        <v>16</v>
      </c>
      <c r="E328" s="41">
        <v>30</v>
      </c>
      <c r="F328" s="41">
        <v>0</v>
      </c>
      <c r="G328" s="41" t="s">
        <v>103</v>
      </c>
      <c r="H328" s="41">
        <v>2</v>
      </c>
      <c r="I328" s="41">
        <v>1</v>
      </c>
      <c r="J328" s="108">
        <v>0</v>
      </c>
      <c r="K328" s="41">
        <v>0</v>
      </c>
      <c r="L328" s="41">
        <v>55</v>
      </c>
      <c r="M328" s="41">
        <v>-1</v>
      </c>
      <c r="N328" s="41">
        <v>4</v>
      </c>
      <c r="O328" s="110" t="s">
        <v>2414</v>
      </c>
      <c r="P328" s="109">
        <v>193781</v>
      </c>
      <c r="Q328" s="107"/>
      <c r="R328" s="111"/>
      <c r="S328" s="110"/>
      <c r="T328"/>
      <c r="U328"/>
      <c r="V328"/>
    </row>
    <row r="329" spans="1:22">
      <c r="A329" s="105">
        <v>1711</v>
      </c>
      <c r="B329" s="41">
        <v>120000000</v>
      </c>
      <c r="C329" s="41">
        <v>4.8999999999999998E-3</v>
      </c>
      <c r="D329" s="41">
        <v>22.627400000000002</v>
      </c>
      <c r="E329" s="41">
        <v>30</v>
      </c>
      <c r="F329" s="41">
        <v>0</v>
      </c>
      <c r="G329" s="41" t="s">
        <v>103</v>
      </c>
      <c r="H329" s="41">
        <v>2</v>
      </c>
      <c r="I329" s="41">
        <v>1</v>
      </c>
      <c r="J329" s="108">
        <v>0</v>
      </c>
      <c r="K329" s="41">
        <v>0</v>
      </c>
      <c r="L329" s="41">
        <v>55</v>
      </c>
      <c r="M329" s="41">
        <v>-1</v>
      </c>
      <c r="N329" s="41">
        <v>4</v>
      </c>
      <c r="O329" s="110" t="s">
        <v>2415</v>
      </c>
      <c r="P329" s="109">
        <v>193781</v>
      </c>
      <c r="Q329" s="107"/>
      <c r="R329" s="111"/>
      <c r="S329" s="110"/>
      <c r="T329"/>
      <c r="U329"/>
      <c r="V329"/>
    </row>
    <row r="330" spans="1:22">
      <c r="A330" s="105">
        <v>1712</v>
      </c>
      <c r="B330" s="41">
        <v>120000000</v>
      </c>
      <c r="C330" s="41">
        <v>4.8999999999999998E-3</v>
      </c>
      <c r="D330" s="41">
        <v>32</v>
      </c>
      <c r="E330" s="41">
        <v>30</v>
      </c>
      <c r="F330" s="41">
        <v>0</v>
      </c>
      <c r="G330" s="41" t="s">
        <v>103</v>
      </c>
      <c r="H330" s="41">
        <v>2</v>
      </c>
      <c r="I330" s="41">
        <v>1</v>
      </c>
      <c r="J330" s="108">
        <v>0</v>
      </c>
      <c r="K330" s="41">
        <v>0</v>
      </c>
      <c r="L330" s="41">
        <v>55</v>
      </c>
      <c r="M330" s="41">
        <v>-1</v>
      </c>
      <c r="N330" s="41">
        <v>4</v>
      </c>
      <c r="O330" s="110" t="s">
        <v>2416</v>
      </c>
      <c r="P330" s="109">
        <v>193781</v>
      </c>
      <c r="Q330" s="107"/>
      <c r="R330" s="111"/>
      <c r="S330" s="110"/>
      <c r="T330"/>
      <c r="U330"/>
      <c r="V330"/>
    </row>
    <row r="331" spans="1:22">
      <c r="A331" s="105">
        <v>1713</v>
      </c>
      <c r="B331" s="41">
        <v>120000000</v>
      </c>
      <c r="C331" s="41">
        <v>4.8999999999999998E-3</v>
      </c>
      <c r="D331" s="41">
        <v>45.254800000000003</v>
      </c>
      <c r="E331" s="41">
        <v>30</v>
      </c>
      <c r="F331" s="41">
        <v>0</v>
      </c>
      <c r="G331" s="41" t="s">
        <v>103</v>
      </c>
      <c r="H331" s="41">
        <v>2</v>
      </c>
      <c r="I331" s="41">
        <v>1</v>
      </c>
      <c r="J331" s="108">
        <v>0</v>
      </c>
      <c r="K331" s="41">
        <v>0</v>
      </c>
      <c r="L331" s="41">
        <v>55</v>
      </c>
      <c r="M331" s="41">
        <v>-1</v>
      </c>
      <c r="N331" s="41">
        <v>4</v>
      </c>
      <c r="O331" s="110" t="s">
        <v>2417</v>
      </c>
      <c r="P331" s="109">
        <v>193781</v>
      </c>
      <c r="Q331" s="107"/>
      <c r="R331" s="111"/>
      <c r="S331" s="110"/>
      <c r="T331"/>
      <c r="U331"/>
      <c r="V331"/>
    </row>
    <row r="332" spans="1:22">
      <c r="A332" s="105">
        <v>1714</v>
      </c>
      <c r="B332" s="41">
        <v>120000000</v>
      </c>
      <c r="C332" s="41">
        <v>5.4000000000000003E-3</v>
      </c>
      <c r="D332" s="41">
        <v>11.313700000000001</v>
      </c>
      <c r="E332" s="41">
        <v>30</v>
      </c>
      <c r="F332" s="41">
        <v>0</v>
      </c>
      <c r="G332" s="41" t="s">
        <v>103</v>
      </c>
      <c r="H332" s="41">
        <v>2</v>
      </c>
      <c r="I332" s="41">
        <v>1</v>
      </c>
      <c r="J332" s="108">
        <v>0</v>
      </c>
      <c r="K332" s="41">
        <v>0</v>
      </c>
      <c r="L332" s="41">
        <v>55</v>
      </c>
      <c r="M332" s="41">
        <v>-1</v>
      </c>
      <c r="N332" s="41">
        <v>4</v>
      </c>
      <c r="O332" s="110" t="s">
        <v>2418</v>
      </c>
      <c r="P332" s="109">
        <v>193781</v>
      </c>
      <c r="Q332" s="107"/>
      <c r="R332" s="111"/>
      <c r="S332" s="110"/>
      <c r="T332"/>
      <c r="U332"/>
      <c r="V332"/>
    </row>
    <row r="333" spans="1:22">
      <c r="A333" s="105">
        <v>1715</v>
      </c>
      <c r="B333" s="41">
        <v>120000000</v>
      </c>
      <c r="C333" s="41">
        <v>5.4000000000000003E-3</v>
      </c>
      <c r="D333" s="41">
        <v>16</v>
      </c>
      <c r="E333" s="41">
        <v>30</v>
      </c>
      <c r="F333" s="41">
        <v>0</v>
      </c>
      <c r="G333" s="41" t="s">
        <v>103</v>
      </c>
      <c r="H333" s="41">
        <v>2</v>
      </c>
      <c r="I333" s="41">
        <v>1</v>
      </c>
      <c r="J333" s="108">
        <v>0</v>
      </c>
      <c r="K333" s="41">
        <v>0</v>
      </c>
      <c r="L333" s="41">
        <v>55</v>
      </c>
      <c r="M333" s="41">
        <v>-1</v>
      </c>
      <c r="N333" s="41">
        <v>4</v>
      </c>
      <c r="O333" s="110" t="s">
        <v>2419</v>
      </c>
      <c r="P333" s="109">
        <v>193781</v>
      </c>
      <c r="Q333" s="107"/>
      <c r="R333" s="111"/>
      <c r="S333" s="110"/>
      <c r="T333"/>
      <c r="U333"/>
      <c r="V333"/>
    </row>
    <row r="334" spans="1:22">
      <c r="A334" s="105">
        <v>1716</v>
      </c>
      <c r="B334" s="41">
        <v>120000000</v>
      </c>
      <c r="C334" s="41">
        <v>5.4000000000000003E-3</v>
      </c>
      <c r="D334" s="41">
        <v>22.627400000000002</v>
      </c>
      <c r="E334" s="41">
        <v>30</v>
      </c>
      <c r="F334" s="41">
        <v>0</v>
      </c>
      <c r="G334" s="41" t="s">
        <v>103</v>
      </c>
      <c r="H334" s="41">
        <v>2</v>
      </c>
      <c r="I334" s="41">
        <v>1</v>
      </c>
      <c r="J334" s="108">
        <v>0</v>
      </c>
      <c r="K334" s="41">
        <v>0</v>
      </c>
      <c r="L334" s="41">
        <v>55</v>
      </c>
      <c r="M334" s="41">
        <v>-1</v>
      </c>
      <c r="N334" s="41">
        <v>4</v>
      </c>
      <c r="O334" s="110" t="s">
        <v>2420</v>
      </c>
      <c r="P334" s="109">
        <v>193781</v>
      </c>
      <c r="Q334" s="107"/>
      <c r="R334" s="111"/>
      <c r="S334" s="110"/>
      <c r="T334"/>
      <c r="U334"/>
      <c r="V334"/>
    </row>
    <row r="335" spans="1:22">
      <c r="A335" s="105">
        <v>1717</v>
      </c>
      <c r="B335" s="41">
        <v>120000000</v>
      </c>
      <c r="C335" s="41">
        <v>5.4000000000000003E-3</v>
      </c>
      <c r="D335" s="41">
        <v>32</v>
      </c>
      <c r="E335" s="41">
        <v>30</v>
      </c>
      <c r="F335" s="41">
        <v>0</v>
      </c>
      <c r="G335" s="41" t="s">
        <v>103</v>
      </c>
      <c r="H335" s="41">
        <v>2</v>
      </c>
      <c r="I335" s="41">
        <v>1</v>
      </c>
      <c r="J335" s="108">
        <v>0</v>
      </c>
      <c r="K335" s="41">
        <v>0</v>
      </c>
      <c r="L335" s="41">
        <v>55</v>
      </c>
      <c r="M335" s="41">
        <v>-1</v>
      </c>
      <c r="N335" s="41">
        <v>4</v>
      </c>
      <c r="O335" s="110" t="s">
        <v>2421</v>
      </c>
      <c r="P335" s="109">
        <v>193781</v>
      </c>
      <c r="Q335" s="107"/>
      <c r="R335" s="111"/>
      <c r="S335" s="110"/>
      <c r="T335"/>
      <c r="U335"/>
      <c r="V335"/>
    </row>
    <row r="336" spans="1:22">
      <c r="A336" s="105">
        <v>1718</v>
      </c>
      <c r="B336" s="41">
        <v>120000000</v>
      </c>
      <c r="C336" s="41">
        <v>5.4000000000000003E-3</v>
      </c>
      <c r="D336" s="41">
        <v>45.254800000000003</v>
      </c>
      <c r="E336" s="41">
        <v>30</v>
      </c>
      <c r="F336" s="41">
        <v>0</v>
      </c>
      <c r="G336" s="41" t="s">
        <v>103</v>
      </c>
      <c r="H336" s="41">
        <v>2</v>
      </c>
      <c r="I336" s="41">
        <v>1</v>
      </c>
      <c r="J336" s="108">
        <v>0</v>
      </c>
      <c r="K336" s="41">
        <v>0</v>
      </c>
      <c r="L336" s="41">
        <v>55</v>
      </c>
      <c r="M336" s="41">
        <v>-1</v>
      </c>
      <c r="N336" s="41">
        <v>4</v>
      </c>
      <c r="O336" s="110" t="s">
        <v>2422</v>
      </c>
      <c r="P336" s="109">
        <v>193781</v>
      </c>
      <c r="Q336" s="107"/>
      <c r="R336" s="111"/>
      <c r="S336" s="110"/>
      <c r="T336"/>
      <c r="U336"/>
      <c r="V336"/>
    </row>
    <row r="337" spans="1:22">
      <c r="A337" s="105">
        <v>1719</v>
      </c>
      <c r="B337" s="41">
        <v>120000000</v>
      </c>
      <c r="C337" s="41">
        <v>5.8999999999999999E-3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2</v>
      </c>
      <c r="I337" s="41">
        <v>1</v>
      </c>
      <c r="J337" s="108">
        <v>0</v>
      </c>
      <c r="K337" s="41">
        <v>0</v>
      </c>
      <c r="L337" s="41">
        <v>55</v>
      </c>
      <c r="M337" s="41">
        <v>-1</v>
      </c>
      <c r="N337" s="41">
        <v>4</v>
      </c>
      <c r="O337" s="110" t="s">
        <v>2423</v>
      </c>
      <c r="P337" s="109">
        <v>193781</v>
      </c>
      <c r="Q337" s="107"/>
      <c r="R337" s="111"/>
      <c r="S337" s="110"/>
      <c r="T337"/>
      <c r="U337"/>
      <c r="V337"/>
    </row>
    <row r="338" spans="1:22">
      <c r="A338" s="105">
        <v>1720</v>
      </c>
      <c r="B338" s="41">
        <v>120000000</v>
      </c>
      <c r="C338" s="41">
        <v>5.8999999999999999E-3</v>
      </c>
      <c r="D338" s="41">
        <v>16</v>
      </c>
      <c r="E338" s="41">
        <v>30</v>
      </c>
      <c r="F338" s="41">
        <v>0</v>
      </c>
      <c r="G338" s="41" t="s">
        <v>103</v>
      </c>
      <c r="H338" s="41">
        <v>2</v>
      </c>
      <c r="I338" s="41">
        <v>1</v>
      </c>
      <c r="J338" s="108">
        <v>0</v>
      </c>
      <c r="K338" s="41">
        <v>0</v>
      </c>
      <c r="L338" s="41">
        <v>55</v>
      </c>
      <c r="M338" s="41">
        <v>-1</v>
      </c>
      <c r="N338" s="41">
        <v>4</v>
      </c>
      <c r="O338" s="110" t="s">
        <v>2424</v>
      </c>
      <c r="P338" s="109">
        <v>193781</v>
      </c>
      <c r="Q338" s="107"/>
      <c r="R338" s="111"/>
      <c r="S338" s="110"/>
      <c r="T338"/>
      <c r="U338"/>
      <c r="V338"/>
    </row>
    <row r="339" spans="1:22">
      <c r="A339" s="105">
        <v>1721</v>
      </c>
      <c r="B339" s="41">
        <v>120000000</v>
      </c>
      <c r="C339" s="41">
        <v>5.8999999999999999E-3</v>
      </c>
      <c r="D339" s="41">
        <v>22.627400000000002</v>
      </c>
      <c r="E339" s="41">
        <v>30</v>
      </c>
      <c r="F339" s="41">
        <v>0</v>
      </c>
      <c r="G339" s="41" t="s">
        <v>103</v>
      </c>
      <c r="H339" s="41">
        <v>2</v>
      </c>
      <c r="I339" s="41">
        <v>1</v>
      </c>
      <c r="J339" s="108">
        <v>0</v>
      </c>
      <c r="K339" s="41">
        <v>0</v>
      </c>
      <c r="L339" s="41">
        <v>55</v>
      </c>
      <c r="M339" s="41">
        <v>-1</v>
      </c>
      <c r="N339" s="41">
        <v>4</v>
      </c>
      <c r="O339" s="110" t="s">
        <v>2425</v>
      </c>
      <c r="P339" s="109">
        <v>193781</v>
      </c>
      <c r="Q339" s="107"/>
      <c r="R339" s="111"/>
      <c r="S339" s="110"/>
      <c r="T339"/>
      <c r="U339"/>
      <c r="V339"/>
    </row>
    <row r="340" spans="1:22">
      <c r="A340" s="105">
        <v>1722</v>
      </c>
      <c r="B340" s="41">
        <v>120000000</v>
      </c>
      <c r="C340" s="41">
        <v>5.8999999999999999E-3</v>
      </c>
      <c r="D340" s="41">
        <v>32</v>
      </c>
      <c r="E340" s="41">
        <v>30</v>
      </c>
      <c r="F340" s="41">
        <v>0</v>
      </c>
      <c r="G340" s="41" t="s">
        <v>103</v>
      </c>
      <c r="H340" s="41">
        <v>2</v>
      </c>
      <c r="I340" s="41">
        <v>1</v>
      </c>
      <c r="J340" s="108">
        <v>0</v>
      </c>
      <c r="K340" s="41">
        <v>0</v>
      </c>
      <c r="L340" s="41">
        <v>55</v>
      </c>
      <c r="M340" s="41">
        <v>-1</v>
      </c>
      <c r="N340" s="41">
        <v>4</v>
      </c>
      <c r="O340" s="110" t="s">
        <v>2426</v>
      </c>
      <c r="P340" s="109">
        <v>193781</v>
      </c>
      <c r="Q340" s="107"/>
      <c r="R340" s="111"/>
      <c r="S340" s="110"/>
      <c r="T340"/>
      <c r="U340"/>
      <c r="V340"/>
    </row>
    <row r="341" spans="1:22">
      <c r="A341" s="105">
        <v>1723</v>
      </c>
      <c r="B341" s="41">
        <v>120000000</v>
      </c>
      <c r="C341" s="41">
        <v>5.8999999999999999E-3</v>
      </c>
      <c r="D341" s="41">
        <v>45.254800000000003</v>
      </c>
      <c r="E341" s="41">
        <v>30</v>
      </c>
      <c r="F341" s="41">
        <v>0</v>
      </c>
      <c r="G341" s="41" t="s">
        <v>103</v>
      </c>
      <c r="H341" s="41">
        <v>2</v>
      </c>
      <c r="I341" s="41">
        <v>1</v>
      </c>
      <c r="J341" s="108">
        <v>0</v>
      </c>
      <c r="K341" s="41">
        <v>0</v>
      </c>
      <c r="L341" s="41">
        <v>55</v>
      </c>
      <c r="M341" s="41">
        <v>-1</v>
      </c>
      <c r="N341" s="41">
        <v>4</v>
      </c>
      <c r="O341" s="110" t="s">
        <v>2427</v>
      </c>
      <c r="P341" s="109">
        <v>193781</v>
      </c>
      <c r="Q341" s="107"/>
      <c r="R341" s="111"/>
      <c r="S341" s="110"/>
      <c r="T341"/>
      <c r="U341"/>
      <c r="V341"/>
    </row>
    <row r="342" spans="1:22">
      <c r="A342" s="105">
        <v>1724</v>
      </c>
      <c r="B342" s="41">
        <v>120000000</v>
      </c>
      <c r="C342" s="41">
        <v>6.4000000000000003E-3</v>
      </c>
      <c r="D342" s="41">
        <v>16</v>
      </c>
      <c r="E342" s="41">
        <v>30</v>
      </c>
      <c r="F342" s="41">
        <v>0</v>
      </c>
      <c r="G342" s="41" t="s">
        <v>103</v>
      </c>
      <c r="H342" s="41">
        <v>2</v>
      </c>
      <c r="I342" s="41">
        <v>1</v>
      </c>
      <c r="J342" s="108">
        <v>0</v>
      </c>
      <c r="K342" s="41">
        <v>0</v>
      </c>
      <c r="L342" s="41">
        <v>55</v>
      </c>
      <c r="M342" s="41">
        <v>-1</v>
      </c>
      <c r="N342" s="41">
        <v>4</v>
      </c>
      <c r="O342" s="110" t="s">
        <v>2428</v>
      </c>
      <c r="P342" s="109">
        <v>193781</v>
      </c>
      <c r="Q342" s="107"/>
      <c r="R342" s="111"/>
      <c r="S342" s="110"/>
      <c r="T342"/>
      <c r="U342"/>
      <c r="V342"/>
    </row>
    <row r="343" spans="1:22">
      <c r="A343" s="105">
        <v>1725</v>
      </c>
      <c r="B343" s="41">
        <v>120000000</v>
      </c>
      <c r="C343" s="41">
        <v>6.4000000000000003E-3</v>
      </c>
      <c r="D343" s="41">
        <v>22.627400000000002</v>
      </c>
      <c r="E343" s="41">
        <v>30</v>
      </c>
      <c r="F343" s="41">
        <v>0</v>
      </c>
      <c r="G343" s="41" t="s">
        <v>103</v>
      </c>
      <c r="H343" s="41">
        <v>2</v>
      </c>
      <c r="I343" s="41">
        <v>1</v>
      </c>
      <c r="J343" s="108">
        <v>0</v>
      </c>
      <c r="K343" s="41">
        <v>0</v>
      </c>
      <c r="L343" s="41">
        <v>55</v>
      </c>
      <c r="M343" s="41">
        <v>-1</v>
      </c>
      <c r="N343" s="41">
        <v>4</v>
      </c>
      <c r="O343" s="110" t="s">
        <v>2429</v>
      </c>
      <c r="P343" s="109">
        <v>193781</v>
      </c>
      <c r="Q343" s="107"/>
      <c r="R343" s="111"/>
      <c r="S343" s="110"/>
      <c r="T343"/>
      <c r="U343"/>
      <c r="V343"/>
    </row>
    <row r="344" spans="1:22">
      <c r="A344" s="105">
        <v>1726</v>
      </c>
      <c r="B344" s="41">
        <v>120000000</v>
      </c>
      <c r="C344" s="41">
        <v>6.4000000000000003E-3</v>
      </c>
      <c r="D344" s="41">
        <v>32</v>
      </c>
      <c r="E344" s="41">
        <v>30</v>
      </c>
      <c r="F344" s="41">
        <v>0</v>
      </c>
      <c r="G344" s="41" t="s">
        <v>103</v>
      </c>
      <c r="H344" s="41">
        <v>2</v>
      </c>
      <c r="I344" s="41">
        <v>1</v>
      </c>
      <c r="J344" s="108">
        <v>0</v>
      </c>
      <c r="K344" s="41">
        <v>0</v>
      </c>
      <c r="L344" s="41">
        <v>55</v>
      </c>
      <c r="M344" s="41">
        <v>-1</v>
      </c>
      <c r="N344" s="41">
        <v>4</v>
      </c>
      <c r="O344" s="110" t="s">
        <v>2430</v>
      </c>
      <c r="P344" s="109">
        <v>193781</v>
      </c>
      <c r="Q344" s="107"/>
      <c r="R344" s="111"/>
      <c r="S344" s="110"/>
      <c r="T344"/>
      <c r="U344"/>
      <c r="V344"/>
    </row>
    <row r="345" spans="1:22">
      <c r="A345" s="105">
        <v>1727</v>
      </c>
      <c r="B345" s="41">
        <v>120000000</v>
      </c>
      <c r="C345" s="41">
        <v>6.4000000000000003E-3</v>
      </c>
      <c r="D345" s="41">
        <v>45.254800000000003</v>
      </c>
      <c r="E345" s="41">
        <v>30</v>
      </c>
      <c r="F345" s="41">
        <v>0</v>
      </c>
      <c r="G345" s="41" t="s">
        <v>103</v>
      </c>
      <c r="H345" s="41">
        <v>2</v>
      </c>
      <c r="I345" s="41">
        <v>1</v>
      </c>
      <c r="J345" s="108">
        <v>0</v>
      </c>
      <c r="K345" s="41">
        <v>0</v>
      </c>
      <c r="L345" s="41">
        <v>55</v>
      </c>
      <c r="M345" s="41">
        <v>-1</v>
      </c>
      <c r="N345" s="41">
        <v>4</v>
      </c>
      <c r="O345" s="110" t="s">
        <v>2431</v>
      </c>
      <c r="P345" s="109">
        <v>193781</v>
      </c>
      <c r="Q345" s="107"/>
      <c r="R345" s="111"/>
      <c r="S345" s="110"/>
      <c r="T345"/>
      <c r="U345"/>
      <c r="V345"/>
    </row>
    <row r="346" spans="1:22">
      <c r="A346" s="105">
        <v>1728</v>
      </c>
      <c r="B346" s="41">
        <v>120000000</v>
      </c>
      <c r="C346" s="41">
        <v>7.0000000000000001E-3</v>
      </c>
      <c r="D346" s="41">
        <v>16</v>
      </c>
      <c r="E346" s="41">
        <v>30</v>
      </c>
      <c r="F346" s="41">
        <v>0</v>
      </c>
      <c r="G346" s="41" t="s">
        <v>103</v>
      </c>
      <c r="H346" s="41">
        <v>2</v>
      </c>
      <c r="I346" s="41">
        <v>1</v>
      </c>
      <c r="J346" s="108">
        <v>0</v>
      </c>
      <c r="K346" s="41">
        <v>0</v>
      </c>
      <c r="L346" s="41">
        <v>55</v>
      </c>
      <c r="M346" s="41">
        <v>-1</v>
      </c>
      <c r="N346" s="41">
        <v>4</v>
      </c>
      <c r="O346" s="110" t="s">
        <v>2432</v>
      </c>
      <c r="P346" s="109">
        <v>193781</v>
      </c>
      <c r="Q346" s="107"/>
      <c r="R346" s="111"/>
      <c r="S346" s="110"/>
      <c r="T346"/>
      <c r="U346"/>
      <c r="V346"/>
    </row>
    <row r="347" spans="1:22">
      <c r="A347" s="105">
        <v>1729</v>
      </c>
      <c r="B347" s="41">
        <v>120000000</v>
      </c>
      <c r="C347" s="41">
        <v>7.0000000000000001E-3</v>
      </c>
      <c r="D347" s="41">
        <v>22.627400000000002</v>
      </c>
      <c r="E347" s="41">
        <v>30</v>
      </c>
      <c r="F347" s="41">
        <v>0</v>
      </c>
      <c r="G347" s="41" t="s">
        <v>103</v>
      </c>
      <c r="H347" s="41">
        <v>2</v>
      </c>
      <c r="I347" s="41">
        <v>1</v>
      </c>
      <c r="J347" s="108">
        <v>0</v>
      </c>
      <c r="K347" s="41">
        <v>0</v>
      </c>
      <c r="L347" s="41">
        <v>55</v>
      </c>
      <c r="M347" s="41">
        <v>-1</v>
      </c>
      <c r="N347" s="41">
        <v>4</v>
      </c>
      <c r="O347" s="110" t="s">
        <v>2433</v>
      </c>
      <c r="P347" s="109">
        <v>193781</v>
      </c>
      <c r="Q347" s="107"/>
      <c r="R347" s="111"/>
      <c r="S347" s="110"/>
      <c r="T347"/>
      <c r="U347"/>
      <c r="V347"/>
    </row>
    <row r="348" spans="1:22">
      <c r="A348" s="105">
        <v>1730</v>
      </c>
      <c r="B348" s="41">
        <v>120000000</v>
      </c>
      <c r="C348" s="41">
        <v>7.0000000000000001E-3</v>
      </c>
      <c r="D348" s="41">
        <v>32</v>
      </c>
      <c r="E348" s="41">
        <v>30</v>
      </c>
      <c r="F348" s="41">
        <v>0</v>
      </c>
      <c r="G348" s="41" t="s">
        <v>103</v>
      </c>
      <c r="H348" s="41">
        <v>2</v>
      </c>
      <c r="I348" s="41">
        <v>1</v>
      </c>
      <c r="J348" s="108">
        <v>0</v>
      </c>
      <c r="K348" s="41">
        <v>0</v>
      </c>
      <c r="L348" s="41">
        <v>55</v>
      </c>
      <c r="M348" s="41">
        <v>-1</v>
      </c>
      <c r="N348" s="41">
        <v>4</v>
      </c>
      <c r="O348" s="110" t="s">
        <v>2434</v>
      </c>
      <c r="P348" s="109">
        <v>193781</v>
      </c>
      <c r="Q348" s="107"/>
      <c r="R348" s="111"/>
      <c r="S348" s="110"/>
      <c r="T348"/>
      <c r="U348"/>
      <c r="V348"/>
    </row>
    <row r="349" spans="1:22">
      <c r="A349" s="105">
        <v>1731</v>
      </c>
      <c r="B349" s="41">
        <v>120000000</v>
      </c>
      <c r="C349" s="41">
        <v>7.0000000000000001E-3</v>
      </c>
      <c r="D349" s="41">
        <v>45.254800000000003</v>
      </c>
      <c r="E349" s="41">
        <v>30</v>
      </c>
      <c r="F349" s="41">
        <v>0</v>
      </c>
      <c r="G349" s="41" t="s">
        <v>103</v>
      </c>
      <c r="H349" s="41">
        <v>2</v>
      </c>
      <c r="I349" s="41">
        <v>1</v>
      </c>
      <c r="J349" s="108">
        <v>0</v>
      </c>
      <c r="K349" s="41">
        <v>0</v>
      </c>
      <c r="L349" s="41">
        <v>55</v>
      </c>
      <c r="M349" s="41">
        <v>-1</v>
      </c>
      <c r="N349" s="41">
        <v>4</v>
      </c>
      <c r="O349" s="110" t="s">
        <v>2435</v>
      </c>
      <c r="P349" s="109">
        <v>193781</v>
      </c>
      <c r="Q349" s="107"/>
      <c r="R349" s="111"/>
      <c r="S349" s="110"/>
      <c r="T349"/>
      <c r="U349"/>
      <c r="V349"/>
    </row>
    <row r="350" spans="1:22">
      <c r="A350" s="105">
        <v>1732</v>
      </c>
      <c r="B350" s="41">
        <v>120000000</v>
      </c>
      <c r="C350" s="41">
        <v>7.6E-3</v>
      </c>
      <c r="D350" s="41">
        <v>22.627400000000002</v>
      </c>
      <c r="E350" s="41">
        <v>30</v>
      </c>
      <c r="F350" s="41">
        <v>0</v>
      </c>
      <c r="G350" s="41" t="s">
        <v>103</v>
      </c>
      <c r="H350" s="41">
        <v>2</v>
      </c>
      <c r="I350" s="41">
        <v>1</v>
      </c>
      <c r="J350" s="108">
        <v>0</v>
      </c>
      <c r="K350" s="41">
        <v>0</v>
      </c>
      <c r="L350" s="41">
        <v>55</v>
      </c>
      <c r="M350" s="41">
        <v>-1</v>
      </c>
      <c r="N350" s="41">
        <v>4</v>
      </c>
      <c r="O350" s="110" t="s">
        <v>2436</v>
      </c>
      <c r="P350" s="109">
        <v>193781</v>
      </c>
      <c r="Q350" s="107"/>
      <c r="R350" s="111"/>
      <c r="S350" s="110"/>
      <c r="T350"/>
      <c r="U350"/>
      <c r="V350"/>
    </row>
    <row r="351" spans="1:22">
      <c r="A351" s="105">
        <v>1733</v>
      </c>
      <c r="B351" s="41">
        <v>120000000</v>
      </c>
      <c r="C351" s="41">
        <v>7.6E-3</v>
      </c>
      <c r="D351" s="41">
        <v>32</v>
      </c>
      <c r="E351" s="41">
        <v>30</v>
      </c>
      <c r="F351" s="41">
        <v>0</v>
      </c>
      <c r="G351" s="41" t="s">
        <v>103</v>
      </c>
      <c r="H351" s="41">
        <v>2</v>
      </c>
      <c r="I351" s="41">
        <v>1</v>
      </c>
      <c r="J351" s="108">
        <v>0</v>
      </c>
      <c r="K351" s="41">
        <v>0</v>
      </c>
      <c r="L351" s="41">
        <v>55</v>
      </c>
      <c r="M351" s="41">
        <v>-1</v>
      </c>
      <c r="N351" s="41">
        <v>4</v>
      </c>
      <c r="O351" s="110" t="s">
        <v>2437</v>
      </c>
      <c r="P351" s="109">
        <v>193781</v>
      </c>
      <c r="Q351" s="107"/>
      <c r="R351" s="111"/>
      <c r="S351" s="110"/>
      <c r="T351"/>
      <c r="U351"/>
      <c r="V351"/>
    </row>
    <row r="352" spans="1:22">
      <c r="A352" s="105">
        <v>1734</v>
      </c>
      <c r="B352" s="41">
        <v>120000000</v>
      </c>
      <c r="C352" s="41">
        <v>7.6E-3</v>
      </c>
      <c r="D352" s="41">
        <v>45.254800000000003</v>
      </c>
      <c r="E352" s="41">
        <v>30</v>
      </c>
      <c r="F352" s="41">
        <v>0</v>
      </c>
      <c r="G352" s="41" t="s">
        <v>103</v>
      </c>
      <c r="H352" s="41">
        <v>2</v>
      </c>
      <c r="I352" s="41">
        <v>1</v>
      </c>
      <c r="J352" s="108">
        <v>0</v>
      </c>
      <c r="K352" s="41">
        <v>0</v>
      </c>
      <c r="L352" s="41">
        <v>55</v>
      </c>
      <c r="M352" s="41">
        <v>-1</v>
      </c>
      <c r="N352" s="41">
        <v>4</v>
      </c>
      <c r="O352" s="110" t="s">
        <v>2438</v>
      </c>
      <c r="P352" s="109">
        <v>193781</v>
      </c>
      <c r="Q352" s="107"/>
      <c r="R352" s="111"/>
      <c r="S352" s="110"/>
      <c r="T352"/>
      <c r="U352"/>
      <c r="V352"/>
    </row>
    <row r="353" spans="1:22">
      <c r="A353" s="105">
        <v>1735</v>
      </c>
      <c r="B353" s="41">
        <v>120000000</v>
      </c>
      <c r="C353" s="41">
        <v>8.3000000000000001E-3</v>
      </c>
      <c r="D353" s="41">
        <v>22.627400000000002</v>
      </c>
      <c r="E353" s="41">
        <v>30</v>
      </c>
      <c r="F353" s="41">
        <v>0</v>
      </c>
      <c r="G353" s="41" t="s">
        <v>103</v>
      </c>
      <c r="H353" s="41">
        <v>2</v>
      </c>
      <c r="I353" s="41">
        <v>1</v>
      </c>
      <c r="J353" s="108">
        <v>0</v>
      </c>
      <c r="K353" s="41">
        <v>0</v>
      </c>
      <c r="L353" s="41">
        <v>55</v>
      </c>
      <c r="M353" s="41">
        <v>-1</v>
      </c>
      <c r="N353" s="41">
        <v>4</v>
      </c>
      <c r="O353" s="110" t="s">
        <v>2439</v>
      </c>
      <c r="P353" s="109">
        <v>193781</v>
      </c>
      <c r="Q353" s="107"/>
      <c r="R353" s="111"/>
      <c r="S353" s="110"/>
      <c r="T353"/>
      <c r="U353"/>
      <c r="V353"/>
    </row>
    <row r="354" spans="1:22">
      <c r="A354" s="105">
        <v>1736</v>
      </c>
      <c r="B354" s="41">
        <v>120000000</v>
      </c>
      <c r="C354" s="41">
        <v>8.3000000000000001E-3</v>
      </c>
      <c r="D354" s="41">
        <v>32</v>
      </c>
      <c r="E354" s="41">
        <v>30</v>
      </c>
      <c r="F354" s="41">
        <v>0</v>
      </c>
      <c r="G354" s="41" t="s">
        <v>103</v>
      </c>
      <c r="H354" s="41">
        <v>2</v>
      </c>
      <c r="I354" s="41">
        <v>1</v>
      </c>
      <c r="J354" s="108">
        <v>0</v>
      </c>
      <c r="K354" s="41">
        <v>0</v>
      </c>
      <c r="L354" s="41">
        <v>55</v>
      </c>
      <c r="M354" s="41">
        <v>-1</v>
      </c>
      <c r="N354" s="41">
        <v>4</v>
      </c>
      <c r="O354" s="110" t="s">
        <v>2440</v>
      </c>
      <c r="P354" s="109">
        <v>193781</v>
      </c>
      <c r="Q354" s="107"/>
      <c r="R354" s="111"/>
      <c r="S354" s="110"/>
      <c r="T354"/>
      <c r="U354"/>
      <c r="V354"/>
    </row>
    <row r="355" spans="1:22">
      <c r="A355" s="105">
        <v>1737</v>
      </c>
      <c r="B355" s="41">
        <v>120000000</v>
      </c>
      <c r="C355" s="41">
        <v>8.3000000000000001E-3</v>
      </c>
      <c r="D355" s="41">
        <v>45.254800000000003</v>
      </c>
      <c r="E355" s="41">
        <v>30</v>
      </c>
      <c r="F355" s="41">
        <v>0</v>
      </c>
      <c r="G355" s="41" t="s">
        <v>103</v>
      </c>
      <c r="H355" s="41">
        <v>2</v>
      </c>
      <c r="I355" s="41">
        <v>1</v>
      </c>
      <c r="J355" s="108">
        <v>0</v>
      </c>
      <c r="K355" s="41">
        <v>0</v>
      </c>
      <c r="L355" s="41">
        <v>55</v>
      </c>
      <c r="M355" s="41">
        <v>-1</v>
      </c>
      <c r="N355" s="41">
        <v>4</v>
      </c>
      <c r="O355" s="110" t="s">
        <v>2441</v>
      </c>
      <c r="P355" s="109">
        <v>193781</v>
      </c>
      <c r="Q355" s="107"/>
      <c r="R355" s="111"/>
      <c r="S355" s="110"/>
      <c r="T355"/>
      <c r="U355"/>
      <c r="V355"/>
    </row>
    <row r="356" spans="1:22">
      <c r="A356" s="105">
        <v>1738</v>
      </c>
      <c r="B356" s="41">
        <v>120000000</v>
      </c>
      <c r="C356" s="41">
        <v>9.1000000000000004E-3</v>
      </c>
      <c r="D356" s="41">
        <v>32</v>
      </c>
      <c r="E356" s="41">
        <v>30</v>
      </c>
      <c r="F356" s="41">
        <v>0</v>
      </c>
      <c r="G356" s="41" t="s">
        <v>103</v>
      </c>
      <c r="H356" s="41">
        <v>2</v>
      </c>
      <c r="I356" s="41">
        <v>1</v>
      </c>
      <c r="J356" s="108">
        <v>0</v>
      </c>
      <c r="K356" s="41">
        <v>0</v>
      </c>
      <c r="L356" s="41">
        <v>55</v>
      </c>
      <c r="M356" s="41">
        <v>-1</v>
      </c>
      <c r="N356" s="41">
        <v>4</v>
      </c>
      <c r="O356" s="110" t="s">
        <v>2442</v>
      </c>
      <c r="P356" s="109">
        <v>193781</v>
      </c>
      <c r="Q356" s="107"/>
      <c r="R356" s="111"/>
      <c r="S356" s="110"/>
      <c r="T356"/>
      <c r="U356"/>
      <c r="V356"/>
    </row>
    <row r="357" spans="1:22">
      <c r="A357" s="105">
        <v>1739</v>
      </c>
      <c r="B357" s="41">
        <v>120000000</v>
      </c>
      <c r="C357" s="41">
        <v>9.1000000000000004E-3</v>
      </c>
      <c r="D357" s="41">
        <v>45.254800000000003</v>
      </c>
      <c r="E357" s="41">
        <v>30</v>
      </c>
      <c r="F357" s="41">
        <v>0</v>
      </c>
      <c r="G357" s="41" t="s">
        <v>103</v>
      </c>
      <c r="H357" s="41">
        <v>2</v>
      </c>
      <c r="I357" s="41">
        <v>1</v>
      </c>
      <c r="J357" s="108">
        <v>0</v>
      </c>
      <c r="K357" s="41">
        <v>0</v>
      </c>
      <c r="L357" s="41">
        <v>55</v>
      </c>
      <c r="M357" s="41">
        <v>-1</v>
      </c>
      <c r="N357" s="41">
        <v>4</v>
      </c>
      <c r="O357" s="110" t="s">
        <v>2443</v>
      </c>
      <c r="P357" s="109">
        <v>193781</v>
      </c>
      <c r="Q357" s="107"/>
      <c r="R357" s="111"/>
      <c r="S357" s="110"/>
      <c r="T357"/>
      <c r="U357"/>
      <c r="V357"/>
    </row>
    <row r="358" spans="1:22">
      <c r="A358" s="105">
        <v>1740</v>
      </c>
      <c r="B358" s="41">
        <v>120000000</v>
      </c>
      <c r="C358" s="41">
        <v>9.9000000000000008E-3</v>
      </c>
      <c r="D358" s="41">
        <v>32</v>
      </c>
      <c r="E358" s="41">
        <v>30</v>
      </c>
      <c r="F358" s="41">
        <v>0</v>
      </c>
      <c r="G358" s="41" t="s">
        <v>103</v>
      </c>
      <c r="H358" s="41">
        <v>2</v>
      </c>
      <c r="I358" s="41">
        <v>1</v>
      </c>
      <c r="J358" s="108">
        <v>0</v>
      </c>
      <c r="K358" s="41">
        <v>0</v>
      </c>
      <c r="L358" s="41">
        <v>55</v>
      </c>
      <c r="M358" s="41">
        <v>-1</v>
      </c>
      <c r="N358" s="41">
        <v>4</v>
      </c>
      <c r="O358" s="110" t="s">
        <v>2444</v>
      </c>
      <c r="P358" s="109">
        <v>193781</v>
      </c>
      <c r="Q358" s="107"/>
      <c r="R358" s="111"/>
      <c r="S358" s="110"/>
      <c r="T358"/>
      <c r="U358"/>
      <c r="V358"/>
    </row>
    <row r="359" spans="1:22">
      <c r="A359" s="105">
        <v>1741</v>
      </c>
      <c r="B359" s="41">
        <v>120000000</v>
      </c>
      <c r="C359" s="41">
        <v>9.9000000000000008E-3</v>
      </c>
      <c r="D359" s="41">
        <v>45.254800000000003</v>
      </c>
      <c r="E359" s="41">
        <v>30</v>
      </c>
      <c r="F359" s="41">
        <v>0</v>
      </c>
      <c r="G359" s="41" t="s">
        <v>103</v>
      </c>
      <c r="H359" s="41">
        <v>2</v>
      </c>
      <c r="I359" s="41">
        <v>1</v>
      </c>
      <c r="J359" s="108">
        <v>0</v>
      </c>
      <c r="K359" s="41">
        <v>0</v>
      </c>
      <c r="L359" s="41">
        <v>55</v>
      </c>
      <c r="M359" s="41">
        <v>-1</v>
      </c>
      <c r="N359" s="41">
        <v>4</v>
      </c>
      <c r="O359" s="110" t="s">
        <v>2445</v>
      </c>
      <c r="P359" s="109">
        <v>194248</v>
      </c>
      <c r="Q359" s="107"/>
      <c r="R359" s="111"/>
      <c r="S359" s="110" t="s">
        <v>2267</v>
      </c>
      <c r="T359"/>
      <c r="U359"/>
      <c r="V359"/>
    </row>
    <row r="360" spans="1:22">
      <c r="A360" s="105">
        <v>1742</v>
      </c>
      <c r="B360" s="41">
        <v>120000000</v>
      </c>
      <c r="C360" s="41">
        <v>1.0800000000000001E-2</v>
      </c>
      <c r="D360" s="41">
        <v>45.254800000000003</v>
      </c>
      <c r="E360" s="41">
        <v>30</v>
      </c>
      <c r="F360" s="41">
        <v>0</v>
      </c>
      <c r="G360" s="41" t="s">
        <v>103</v>
      </c>
      <c r="H360" s="41">
        <v>2</v>
      </c>
      <c r="I360" s="41">
        <v>1</v>
      </c>
      <c r="J360" s="108">
        <v>0</v>
      </c>
      <c r="K360" s="41">
        <v>0</v>
      </c>
      <c r="L360" s="41">
        <v>55</v>
      </c>
      <c r="M360" s="41">
        <v>-1</v>
      </c>
      <c r="N360" s="41">
        <v>4</v>
      </c>
      <c r="O360" s="110" t="s">
        <v>2446</v>
      </c>
      <c r="P360" s="109">
        <v>194248</v>
      </c>
      <c r="Q360" s="107"/>
      <c r="R360" s="111"/>
      <c r="S360" s="110"/>
      <c r="T360"/>
      <c r="U360"/>
      <c r="V360"/>
    </row>
    <row r="361" spans="1:22">
      <c r="A361" s="105">
        <v>1743</v>
      </c>
      <c r="B361" s="41">
        <v>120000000</v>
      </c>
      <c r="C361" s="41">
        <v>1.18E-2</v>
      </c>
      <c r="D361" s="41">
        <v>45.254800000000003</v>
      </c>
      <c r="E361" s="41">
        <v>30</v>
      </c>
      <c r="F361" s="41">
        <v>0</v>
      </c>
      <c r="G361" s="41" t="s">
        <v>103</v>
      </c>
      <c r="H361" s="41">
        <v>2</v>
      </c>
      <c r="I361" s="41">
        <v>1</v>
      </c>
      <c r="J361" s="108">
        <v>0</v>
      </c>
      <c r="K361" s="41">
        <v>0</v>
      </c>
      <c r="L361" s="41">
        <v>55</v>
      </c>
      <c r="M361" s="41">
        <v>-1</v>
      </c>
      <c r="N361" s="41">
        <v>4</v>
      </c>
      <c r="O361" s="110" t="s">
        <v>2447</v>
      </c>
      <c r="P361" s="109">
        <v>194248</v>
      </c>
      <c r="Q361" s="107"/>
      <c r="R361" s="111"/>
      <c r="S361" s="110"/>
      <c r="T361"/>
      <c r="U361"/>
      <c r="V361"/>
    </row>
    <row r="362" spans="1:22">
      <c r="A362" s="105">
        <v>1744</v>
      </c>
      <c r="B362" s="41">
        <v>120000000</v>
      </c>
      <c r="C362" s="41">
        <v>1.1999999999999999E-3</v>
      </c>
      <c r="D362" s="41">
        <v>0.5</v>
      </c>
      <c r="E362" s="41">
        <v>30</v>
      </c>
      <c r="F362" s="41">
        <v>0</v>
      </c>
      <c r="G362" s="41" t="s">
        <v>2448</v>
      </c>
      <c r="H362" s="41">
        <v>2</v>
      </c>
      <c r="I362" s="41">
        <v>1</v>
      </c>
      <c r="J362" s="108">
        <v>0</v>
      </c>
      <c r="K362" s="41">
        <v>0</v>
      </c>
      <c r="L362" s="41">
        <v>55</v>
      </c>
      <c r="M362" s="41">
        <v>-1</v>
      </c>
      <c r="N362" s="41">
        <v>4</v>
      </c>
      <c r="O362" s="110" t="s">
        <v>2449</v>
      </c>
      <c r="P362" s="109">
        <v>193524</v>
      </c>
      <c r="Q362" s="107"/>
      <c r="R362" s="111"/>
      <c r="S362" s="110" t="s">
        <v>2267</v>
      </c>
      <c r="T362"/>
      <c r="U362"/>
      <c r="V362"/>
    </row>
    <row r="363" spans="1:22">
      <c r="A363" s="105">
        <v>1745</v>
      </c>
      <c r="B363" s="41">
        <v>120000000</v>
      </c>
      <c r="C363" s="41">
        <v>1.1999999999999999E-3</v>
      </c>
      <c r="D363" s="41">
        <v>0.70709999999999995</v>
      </c>
      <c r="E363" s="41">
        <v>30</v>
      </c>
      <c r="F363" s="41">
        <v>0</v>
      </c>
      <c r="G363" s="41" t="s">
        <v>2448</v>
      </c>
      <c r="H363" s="41">
        <v>2</v>
      </c>
      <c r="I363" s="41">
        <v>1</v>
      </c>
      <c r="J363" s="108">
        <v>0</v>
      </c>
      <c r="K363" s="41">
        <v>0</v>
      </c>
      <c r="L363" s="41">
        <v>55</v>
      </c>
      <c r="M363" s="41">
        <v>-1</v>
      </c>
      <c r="N363" s="41">
        <v>4</v>
      </c>
      <c r="O363" s="110" t="s">
        <v>2450</v>
      </c>
      <c r="P363" s="109">
        <v>193524</v>
      </c>
      <c r="Q363" s="107"/>
      <c r="R363" s="111"/>
      <c r="S363" s="110"/>
      <c r="T363"/>
      <c r="U363"/>
      <c r="V363"/>
    </row>
    <row r="364" spans="1:22">
      <c r="A364" s="105">
        <v>1746</v>
      </c>
      <c r="B364" s="41">
        <v>120000000</v>
      </c>
      <c r="C364" s="41">
        <v>1.1999999999999999E-3</v>
      </c>
      <c r="D364" s="41">
        <v>1</v>
      </c>
      <c r="E364" s="41">
        <v>30</v>
      </c>
      <c r="F364" s="41">
        <v>0</v>
      </c>
      <c r="G364" s="41" t="s">
        <v>2448</v>
      </c>
      <c r="H364" s="41">
        <v>2</v>
      </c>
      <c r="I364" s="41">
        <v>1</v>
      </c>
      <c r="J364" s="108">
        <v>0</v>
      </c>
      <c r="K364" s="41">
        <v>0</v>
      </c>
      <c r="L364" s="41">
        <v>55</v>
      </c>
      <c r="M364" s="41">
        <v>-1</v>
      </c>
      <c r="N364" s="41">
        <v>4</v>
      </c>
      <c r="O364" s="110" t="s">
        <v>2451</v>
      </c>
      <c r="P364" s="109">
        <v>193524</v>
      </c>
      <c r="Q364" s="107"/>
      <c r="R364" s="111"/>
      <c r="S364" s="110"/>
      <c r="T364"/>
      <c r="U364"/>
      <c r="V364"/>
    </row>
    <row r="365" spans="1:22">
      <c r="A365" s="105">
        <v>1747</v>
      </c>
      <c r="B365" s="41">
        <v>120000000</v>
      </c>
      <c r="C365" s="41">
        <v>1.1999999999999999E-3</v>
      </c>
      <c r="D365" s="41">
        <v>1.4141999999999999</v>
      </c>
      <c r="E365" s="41">
        <v>30</v>
      </c>
      <c r="F365" s="41">
        <v>0</v>
      </c>
      <c r="G365" s="41" t="s">
        <v>2448</v>
      </c>
      <c r="H365" s="41">
        <v>2</v>
      </c>
      <c r="I365" s="41">
        <v>1</v>
      </c>
      <c r="J365" s="108">
        <v>0</v>
      </c>
      <c r="K365" s="41">
        <v>0</v>
      </c>
      <c r="L365" s="41">
        <v>55</v>
      </c>
      <c r="M365" s="41">
        <v>-1</v>
      </c>
      <c r="N365" s="41">
        <v>4</v>
      </c>
      <c r="O365" s="110" t="s">
        <v>2452</v>
      </c>
      <c r="P365" s="109">
        <v>193524</v>
      </c>
      <c r="Q365" s="107"/>
      <c r="R365" s="111"/>
      <c r="S365" s="110"/>
      <c r="T365"/>
      <c r="U365"/>
      <c r="V365"/>
    </row>
    <row r="366" spans="1:22">
      <c r="A366" s="105">
        <v>1748</v>
      </c>
      <c r="B366" s="41">
        <v>120000000</v>
      </c>
      <c r="C366" s="41">
        <v>1.1999999999999999E-3</v>
      </c>
      <c r="D366" s="41">
        <v>2</v>
      </c>
      <c r="E366" s="41">
        <v>30</v>
      </c>
      <c r="F366" s="41">
        <v>0</v>
      </c>
      <c r="G366" s="41" t="s">
        <v>2448</v>
      </c>
      <c r="H366" s="41">
        <v>2</v>
      </c>
      <c r="I366" s="41">
        <v>1</v>
      </c>
      <c r="J366" s="108">
        <v>0</v>
      </c>
      <c r="K366" s="41">
        <v>0</v>
      </c>
      <c r="L366" s="41">
        <v>55</v>
      </c>
      <c r="M366" s="41">
        <v>-1</v>
      </c>
      <c r="N366" s="41">
        <v>4</v>
      </c>
      <c r="O366" s="110" t="s">
        <v>2453</v>
      </c>
      <c r="P366" s="109">
        <v>193524</v>
      </c>
      <c r="Q366" s="107"/>
      <c r="R366" s="111"/>
      <c r="S366" s="110"/>
      <c r="T366"/>
      <c r="U366"/>
      <c r="V366"/>
    </row>
    <row r="367" spans="1:22">
      <c r="A367" s="105">
        <v>1749</v>
      </c>
      <c r="B367" s="41">
        <v>120000000</v>
      </c>
      <c r="C367" s="41">
        <v>1.1999999999999999E-3</v>
      </c>
      <c r="D367" s="41">
        <v>2.8283999999999998</v>
      </c>
      <c r="E367" s="41">
        <v>30</v>
      </c>
      <c r="F367" s="41">
        <v>0</v>
      </c>
      <c r="G367" s="41" t="s">
        <v>2448</v>
      </c>
      <c r="H367" s="41">
        <v>2</v>
      </c>
      <c r="I367" s="41">
        <v>1</v>
      </c>
      <c r="J367" s="108">
        <v>0</v>
      </c>
      <c r="K367" s="41">
        <v>0</v>
      </c>
      <c r="L367" s="41">
        <v>55</v>
      </c>
      <c r="M367" s="41">
        <v>-1</v>
      </c>
      <c r="N367" s="41">
        <v>4</v>
      </c>
      <c r="O367" s="110" t="s">
        <v>2454</v>
      </c>
      <c r="P367" s="109">
        <v>193524</v>
      </c>
      <c r="Q367" s="107"/>
      <c r="R367" s="111"/>
      <c r="S367" s="110"/>
      <c r="T367"/>
      <c r="U367"/>
      <c r="V367"/>
    </row>
    <row r="368" spans="1:22">
      <c r="A368" s="105">
        <v>1750</v>
      </c>
      <c r="B368" s="41">
        <v>120000000</v>
      </c>
      <c r="C368" s="41">
        <v>1.1999999999999999E-3</v>
      </c>
      <c r="D368" s="41">
        <v>4</v>
      </c>
      <c r="E368" s="41">
        <v>30</v>
      </c>
      <c r="F368" s="41">
        <v>0</v>
      </c>
      <c r="G368" s="41" t="s">
        <v>2448</v>
      </c>
      <c r="H368" s="41">
        <v>2</v>
      </c>
      <c r="I368" s="41">
        <v>1</v>
      </c>
      <c r="J368" s="108">
        <v>0</v>
      </c>
      <c r="K368" s="41">
        <v>0</v>
      </c>
      <c r="L368" s="41">
        <v>55</v>
      </c>
      <c r="M368" s="41">
        <v>-1</v>
      </c>
      <c r="N368" s="41">
        <v>4</v>
      </c>
      <c r="O368" s="110" t="s">
        <v>2455</v>
      </c>
      <c r="P368" s="109">
        <v>193524</v>
      </c>
      <c r="Q368" s="107"/>
      <c r="R368" s="111"/>
      <c r="S368" s="110"/>
      <c r="T368"/>
      <c r="U368"/>
      <c r="V368"/>
    </row>
    <row r="369" spans="1:22">
      <c r="A369" s="105">
        <v>1751</v>
      </c>
      <c r="B369" s="41">
        <v>120000000</v>
      </c>
      <c r="C369" s="41">
        <v>1.1999999999999999E-3</v>
      </c>
      <c r="D369" s="41">
        <v>5.6569000000000003</v>
      </c>
      <c r="E369" s="41">
        <v>30</v>
      </c>
      <c r="F369" s="41">
        <v>0</v>
      </c>
      <c r="G369" s="41" t="s">
        <v>2448</v>
      </c>
      <c r="H369" s="41">
        <v>2</v>
      </c>
      <c r="I369" s="41">
        <v>1</v>
      </c>
      <c r="J369" s="108">
        <v>0</v>
      </c>
      <c r="K369" s="41">
        <v>0</v>
      </c>
      <c r="L369" s="41">
        <v>55</v>
      </c>
      <c r="M369" s="41">
        <v>-1</v>
      </c>
      <c r="N369" s="41">
        <v>4</v>
      </c>
      <c r="O369" s="110" t="s">
        <v>2456</v>
      </c>
      <c r="P369" s="109">
        <v>193524</v>
      </c>
      <c r="Q369" s="107"/>
      <c r="R369" s="111"/>
      <c r="S369" s="110"/>
      <c r="T369"/>
      <c r="U369"/>
      <c r="V369"/>
    </row>
    <row r="370" spans="1:22">
      <c r="A370" s="105">
        <v>1752</v>
      </c>
      <c r="B370" s="41">
        <v>120000000</v>
      </c>
      <c r="C370" s="41">
        <v>1.1999999999999999E-3</v>
      </c>
      <c r="D370" s="41">
        <v>8</v>
      </c>
      <c r="E370" s="41">
        <v>30</v>
      </c>
      <c r="F370" s="41">
        <v>0</v>
      </c>
      <c r="G370" s="41" t="s">
        <v>2448</v>
      </c>
      <c r="H370" s="41">
        <v>2</v>
      </c>
      <c r="I370" s="41">
        <v>1</v>
      </c>
      <c r="J370" s="108">
        <v>0</v>
      </c>
      <c r="K370" s="41">
        <v>0</v>
      </c>
      <c r="L370" s="41">
        <v>55</v>
      </c>
      <c r="M370" s="41">
        <v>-1</v>
      </c>
      <c r="N370" s="41">
        <v>4</v>
      </c>
      <c r="O370" s="110" t="s">
        <v>2457</v>
      </c>
      <c r="P370" s="109">
        <v>193524</v>
      </c>
      <c r="Q370" s="107"/>
      <c r="R370" s="111"/>
      <c r="S370" s="110"/>
      <c r="T370"/>
      <c r="U370"/>
      <c r="V370"/>
    </row>
    <row r="371" spans="1:22">
      <c r="A371" s="105">
        <v>1753</v>
      </c>
      <c r="B371" s="41">
        <v>120000000</v>
      </c>
      <c r="C371" s="41">
        <v>1.1999999999999999E-3</v>
      </c>
      <c r="D371" s="41">
        <v>11.313700000000001</v>
      </c>
      <c r="E371" s="41">
        <v>30</v>
      </c>
      <c r="F371" s="41">
        <v>0</v>
      </c>
      <c r="G371" s="41" t="s">
        <v>2448</v>
      </c>
      <c r="H371" s="41">
        <v>2</v>
      </c>
      <c r="I371" s="41">
        <v>1</v>
      </c>
      <c r="J371" s="108">
        <v>0</v>
      </c>
      <c r="K371" s="41">
        <v>0</v>
      </c>
      <c r="L371" s="41">
        <v>55</v>
      </c>
      <c r="M371" s="41">
        <v>-1</v>
      </c>
      <c r="N371" s="41">
        <v>4</v>
      </c>
      <c r="O371" s="110" t="s">
        <v>2458</v>
      </c>
      <c r="P371" s="109">
        <v>193524</v>
      </c>
      <c r="Q371" s="107"/>
      <c r="R371" s="111"/>
      <c r="S371" s="110"/>
      <c r="T371"/>
      <c r="U371"/>
      <c r="V371"/>
    </row>
    <row r="372" spans="1:22">
      <c r="A372" s="105">
        <v>1754</v>
      </c>
      <c r="B372" s="41">
        <v>120000000</v>
      </c>
      <c r="C372" s="41">
        <v>1.2999999999999999E-3</v>
      </c>
      <c r="D372" s="41">
        <v>0.70709999999999995</v>
      </c>
      <c r="E372" s="41">
        <v>30</v>
      </c>
      <c r="F372" s="41">
        <v>0</v>
      </c>
      <c r="G372" s="41" t="s">
        <v>2448</v>
      </c>
      <c r="H372" s="41">
        <v>2</v>
      </c>
      <c r="I372" s="41">
        <v>1</v>
      </c>
      <c r="J372" s="108">
        <v>0</v>
      </c>
      <c r="K372" s="41">
        <v>0</v>
      </c>
      <c r="L372" s="41">
        <v>55</v>
      </c>
      <c r="M372" s="41">
        <v>-1</v>
      </c>
      <c r="N372" s="41">
        <v>4</v>
      </c>
      <c r="O372" s="110" t="s">
        <v>2459</v>
      </c>
      <c r="P372" s="109">
        <v>193524</v>
      </c>
      <c r="Q372" s="107"/>
      <c r="R372" s="111"/>
      <c r="S372" s="110"/>
      <c r="T372"/>
      <c r="U372"/>
      <c r="V372"/>
    </row>
    <row r="373" spans="1:22">
      <c r="A373" s="105">
        <v>1755</v>
      </c>
      <c r="B373" s="41">
        <v>120000000</v>
      </c>
      <c r="C373" s="41">
        <v>1.2999999999999999E-3</v>
      </c>
      <c r="D373" s="41">
        <v>1</v>
      </c>
      <c r="E373" s="41">
        <v>30</v>
      </c>
      <c r="F373" s="41">
        <v>0</v>
      </c>
      <c r="G373" s="41" t="s">
        <v>2448</v>
      </c>
      <c r="H373" s="41">
        <v>2</v>
      </c>
      <c r="I373" s="41">
        <v>1</v>
      </c>
      <c r="J373" s="108">
        <v>0</v>
      </c>
      <c r="K373" s="41">
        <v>0</v>
      </c>
      <c r="L373" s="41">
        <v>55</v>
      </c>
      <c r="M373" s="41">
        <v>-1</v>
      </c>
      <c r="N373" s="41">
        <v>4</v>
      </c>
      <c r="O373" s="110" t="s">
        <v>2460</v>
      </c>
      <c r="P373" s="109">
        <v>193524</v>
      </c>
      <c r="Q373" s="107"/>
      <c r="R373" s="111"/>
      <c r="S373" s="110"/>
      <c r="T373"/>
      <c r="U373"/>
      <c r="V373"/>
    </row>
    <row r="374" spans="1:22">
      <c r="A374" s="105">
        <v>1756</v>
      </c>
      <c r="B374" s="41">
        <v>120000000</v>
      </c>
      <c r="C374" s="41">
        <v>1.2999999999999999E-3</v>
      </c>
      <c r="D374" s="41">
        <v>1.4141999999999999</v>
      </c>
      <c r="E374" s="41">
        <v>30</v>
      </c>
      <c r="F374" s="41">
        <v>0</v>
      </c>
      <c r="G374" s="41" t="s">
        <v>2448</v>
      </c>
      <c r="H374" s="41">
        <v>2</v>
      </c>
      <c r="I374" s="41">
        <v>1</v>
      </c>
      <c r="J374" s="108">
        <v>0</v>
      </c>
      <c r="K374" s="41">
        <v>0</v>
      </c>
      <c r="L374" s="41">
        <v>55</v>
      </c>
      <c r="M374" s="41">
        <v>-1</v>
      </c>
      <c r="N374" s="41">
        <v>4</v>
      </c>
      <c r="O374" s="110" t="s">
        <v>2461</v>
      </c>
      <c r="P374" s="109">
        <v>193524</v>
      </c>
      <c r="Q374" s="107"/>
      <c r="R374" s="111"/>
      <c r="S374" s="110"/>
      <c r="T374"/>
      <c r="U374"/>
      <c r="V374"/>
    </row>
    <row r="375" spans="1:22">
      <c r="A375" s="105">
        <v>1757</v>
      </c>
      <c r="B375" s="41">
        <v>120000000</v>
      </c>
      <c r="C375" s="41">
        <v>1.2999999999999999E-3</v>
      </c>
      <c r="D375" s="41">
        <v>2</v>
      </c>
      <c r="E375" s="41">
        <v>30</v>
      </c>
      <c r="F375" s="41">
        <v>0</v>
      </c>
      <c r="G375" s="41" t="s">
        <v>2448</v>
      </c>
      <c r="H375" s="41">
        <v>2</v>
      </c>
      <c r="I375" s="41">
        <v>1</v>
      </c>
      <c r="J375" s="108">
        <v>0</v>
      </c>
      <c r="K375" s="41">
        <v>0</v>
      </c>
      <c r="L375" s="41">
        <v>55</v>
      </c>
      <c r="M375" s="41">
        <v>-1</v>
      </c>
      <c r="N375" s="41">
        <v>4</v>
      </c>
      <c r="O375" s="110" t="s">
        <v>2462</v>
      </c>
      <c r="P375" s="109">
        <v>193524</v>
      </c>
      <c r="Q375" s="107"/>
      <c r="R375" s="111"/>
      <c r="S375" s="110"/>
      <c r="T375"/>
      <c r="U375"/>
      <c r="V375"/>
    </row>
    <row r="376" spans="1:22">
      <c r="A376" s="105">
        <v>1758</v>
      </c>
      <c r="B376" s="41">
        <v>120000000</v>
      </c>
      <c r="C376" s="41">
        <v>1.2999999999999999E-3</v>
      </c>
      <c r="D376" s="41">
        <v>2.8283999999999998</v>
      </c>
      <c r="E376" s="41">
        <v>30</v>
      </c>
      <c r="F376" s="41">
        <v>0</v>
      </c>
      <c r="G376" s="41" t="s">
        <v>2448</v>
      </c>
      <c r="H376" s="41">
        <v>2</v>
      </c>
      <c r="I376" s="41">
        <v>1</v>
      </c>
      <c r="J376" s="108">
        <v>0</v>
      </c>
      <c r="K376" s="41">
        <v>0</v>
      </c>
      <c r="L376" s="41">
        <v>55</v>
      </c>
      <c r="M376" s="41">
        <v>-1</v>
      </c>
      <c r="N376" s="41">
        <v>4</v>
      </c>
      <c r="O376" s="110" t="s">
        <v>2463</v>
      </c>
      <c r="P376" s="109">
        <v>193524</v>
      </c>
      <c r="Q376" s="107"/>
      <c r="R376" s="111"/>
      <c r="S376" s="110"/>
      <c r="T376"/>
      <c r="U376"/>
      <c r="V376"/>
    </row>
    <row r="377" spans="1:22">
      <c r="A377" s="105">
        <v>1759</v>
      </c>
      <c r="B377" s="41">
        <v>120000000</v>
      </c>
      <c r="C377" s="41">
        <v>1.2999999999999999E-3</v>
      </c>
      <c r="D377" s="41">
        <v>4</v>
      </c>
      <c r="E377" s="41">
        <v>30</v>
      </c>
      <c r="F377" s="41">
        <v>0</v>
      </c>
      <c r="G377" s="41" t="s">
        <v>2448</v>
      </c>
      <c r="H377" s="41">
        <v>2</v>
      </c>
      <c r="I377" s="41">
        <v>1</v>
      </c>
      <c r="J377" s="108">
        <v>0</v>
      </c>
      <c r="K377" s="41">
        <v>0</v>
      </c>
      <c r="L377" s="41">
        <v>55</v>
      </c>
      <c r="M377" s="41">
        <v>-1</v>
      </c>
      <c r="N377" s="41">
        <v>4</v>
      </c>
      <c r="O377" s="110" t="s">
        <v>2464</v>
      </c>
      <c r="P377" s="109">
        <v>193524</v>
      </c>
      <c r="Q377" s="107"/>
      <c r="R377" s="111"/>
      <c r="S377" s="110"/>
      <c r="T377"/>
      <c r="U377"/>
      <c r="V377"/>
    </row>
    <row r="378" spans="1:22">
      <c r="A378" s="105">
        <v>1760</v>
      </c>
      <c r="B378" s="41">
        <v>120000000</v>
      </c>
      <c r="C378" s="41">
        <v>1.2999999999999999E-3</v>
      </c>
      <c r="D378" s="41">
        <v>5.6569000000000003</v>
      </c>
      <c r="E378" s="41">
        <v>30</v>
      </c>
      <c r="F378" s="41">
        <v>0</v>
      </c>
      <c r="G378" s="41" t="s">
        <v>2448</v>
      </c>
      <c r="H378" s="41">
        <v>2</v>
      </c>
      <c r="I378" s="41">
        <v>1</v>
      </c>
      <c r="J378" s="108">
        <v>0</v>
      </c>
      <c r="K378" s="41">
        <v>0</v>
      </c>
      <c r="L378" s="41">
        <v>55</v>
      </c>
      <c r="M378" s="41">
        <v>-1</v>
      </c>
      <c r="N378" s="41">
        <v>4</v>
      </c>
      <c r="O378" s="110" t="s">
        <v>2465</v>
      </c>
      <c r="P378" s="109">
        <v>193524</v>
      </c>
      <c r="Q378" s="107"/>
      <c r="R378" s="111"/>
      <c r="S378" s="110"/>
      <c r="T378"/>
      <c r="U378"/>
      <c r="V378"/>
    </row>
    <row r="379" spans="1:22">
      <c r="A379" s="105">
        <v>1761</v>
      </c>
      <c r="B379" s="41">
        <v>120000000</v>
      </c>
      <c r="C379" s="41">
        <v>1.2999999999999999E-3</v>
      </c>
      <c r="D379" s="41">
        <v>8</v>
      </c>
      <c r="E379" s="41">
        <v>30</v>
      </c>
      <c r="F379" s="41">
        <v>0</v>
      </c>
      <c r="G379" s="41" t="s">
        <v>2448</v>
      </c>
      <c r="H379" s="41">
        <v>2</v>
      </c>
      <c r="I379" s="41">
        <v>1</v>
      </c>
      <c r="J379" s="108">
        <v>0</v>
      </c>
      <c r="K379" s="41">
        <v>0</v>
      </c>
      <c r="L379" s="41">
        <v>55</v>
      </c>
      <c r="M379" s="41">
        <v>-1</v>
      </c>
      <c r="N379" s="41">
        <v>4</v>
      </c>
      <c r="O379" s="110" t="s">
        <v>2466</v>
      </c>
      <c r="P379" s="109">
        <v>193524</v>
      </c>
      <c r="Q379" s="107"/>
      <c r="R379" s="111"/>
      <c r="S379" s="110"/>
      <c r="T379"/>
      <c r="U379"/>
      <c r="V379"/>
    </row>
    <row r="380" spans="1:22">
      <c r="A380" s="105">
        <v>1762</v>
      </c>
      <c r="B380" s="41">
        <v>120000000</v>
      </c>
      <c r="C380" s="41">
        <v>1.2999999999999999E-3</v>
      </c>
      <c r="D380" s="41">
        <v>11.313700000000001</v>
      </c>
      <c r="E380" s="41">
        <v>30</v>
      </c>
      <c r="F380" s="41">
        <v>0</v>
      </c>
      <c r="G380" s="41" t="s">
        <v>2448</v>
      </c>
      <c r="H380" s="41">
        <v>2</v>
      </c>
      <c r="I380" s="41">
        <v>1</v>
      </c>
      <c r="J380" s="108">
        <v>0</v>
      </c>
      <c r="K380" s="41">
        <v>0</v>
      </c>
      <c r="L380" s="41">
        <v>55</v>
      </c>
      <c r="M380" s="41">
        <v>-1</v>
      </c>
      <c r="N380" s="41">
        <v>4</v>
      </c>
      <c r="O380" s="110" t="s">
        <v>2467</v>
      </c>
      <c r="P380" s="109">
        <v>193524</v>
      </c>
      <c r="Q380" s="107"/>
      <c r="R380" s="111"/>
      <c r="S380" s="110"/>
      <c r="T380"/>
      <c r="U380"/>
      <c r="V380"/>
    </row>
    <row r="381" spans="1:22">
      <c r="A381" s="105">
        <v>1763</v>
      </c>
      <c r="B381" s="41">
        <v>120000000</v>
      </c>
      <c r="C381" s="41">
        <v>1.2999999999999999E-3</v>
      </c>
      <c r="D381" s="41">
        <v>16</v>
      </c>
      <c r="E381" s="41">
        <v>30</v>
      </c>
      <c r="F381" s="41">
        <v>0</v>
      </c>
      <c r="G381" s="41" t="s">
        <v>2448</v>
      </c>
      <c r="H381" s="41">
        <v>2</v>
      </c>
      <c r="I381" s="41">
        <v>1</v>
      </c>
      <c r="J381" s="108">
        <v>0</v>
      </c>
      <c r="K381" s="41">
        <v>0</v>
      </c>
      <c r="L381" s="41">
        <v>55</v>
      </c>
      <c r="M381" s="41">
        <v>-1</v>
      </c>
      <c r="N381" s="41">
        <v>4</v>
      </c>
      <c r="O381" s="110" t="s">
        <v>2468</v>
      </c>
      <c r="P381" s="109">
        <v>193524</v>
      </c>
      <c r="Q381" s="107"/>
      <c r="R381" s="111"/>
      <c r="S381" s="110"/>
      <c r="T381"/>
      <c r="U381"/>
      <c r="V381"/>
    </row>
    <row r="382" spans="1:22">
      <c r="A382" s="105">
        <v>1764</v>
      </c>
      <c r="B382" s="41">
        <v>120000000</v>
      </c>
      <c r="C382" s="41">
        <v>1.5E-3</v>
      </c>
      <c r="D382" s="41">
        <v>0.70709999999999995</v>
      </c>
      <c r="E382" s="41">
        <v>30</v>
      </c>
      <c r="F382" s="41">
        <v>0</v>
      </c>
      <c r="G382" s="41" t="s">
        <v>2448</v>
      </c>
      <c r="H382" s="41">
        <v>2</v>
      </c>
      <c r="I382" s="41">
        <v>1</v>
      </c>
      <c r="J382" s="108">
        <v>0</v>
      </c>
      <c r="K382" s="41">
        <v>0</v>
      </c>
      <c r="L382" s="41">
        <v>55</v>
      </c>
      <c r="M382" s="41">
        <v>-1</v>
      </c>
      <c r="N382" s="41">
        <v>4</v>
      </c>
      <c r="O382" s="110" t="s">
        <v>2469</v>
      </c>
      <c r="P382" s="109">
        <v>193524</v>
      </c>
      <c r="Q382" s="107"/>
      <c r="R382" s="111"/>
      <c r="S382" s="110"/>
      <c r="T382"/>
      <c r="U382"/>
      <c r="V382"/>
    </row>
    <row r="383" spans="1:22">
      <c r="A383" s="105">
        <v>1765</v>
      </c>
      <c r="B383" s="41">
        <v>120000000</v>
      </c>
      <c r="C383" s="41">
        <v>1.5E-3</v>
      </c>
      <c r="D383" s="41">
        <v>1</v>
      </c>
      <c r="E383" s="41">
        <v>30</v>
      </c>
      <c r="F383" s="41">
        <v>0</v>
      </c>
      <c r="G383" s="41" t="s">
        <v>2448</v>
      </c>
      <c r="H383" s="41">
        <v>2</v>
      </c>
      <c r="I383" s="41">
        <v>1</v>
      </c>
      <c r="J383" s="108">
        <v>0</v>
      </c>
      <c r="K383" s="41">
        <v>0</v>
      </c>
      <c r="L383" s="41">
        <v>55</v>
      </c>
      <c r="M383" s="41">
        <v>-1</v>
      </c>
      <c r="N383" s="41">
        <v>4</v>
      </c>
      <c r="O383" s="110" t="s">
        <v>2470</v>
      </c>
      <c r="P383" s="109">
        <v>193524</v>
      </c>
      <c r="Q383" s="107"/>
      <c r="R383" s="111"/>
      <c r="S383" s="110"/>
      <c r="T383"/>
      <c r="U383"/>
      <c r="V383"/>
    </row>
    <row r="384" spans="1:22">
      <c r="A384" s="105">
        <v>1766</v>
      </c>
      <c r="B384" s="41">
        <v>120000000</v>
      </c>
      <c r="C384" s="41">
        <v>1.5E-3</v>
      </c>
      <c r="D384" s="41">
        <v>1.4141999999999999</v>
      </c>
      <c r="E384" s="41">
        <v>30</v>
      </c>
      <c r="F384" s="41">
        <v>0</v>
      </c>
      <c r="G384" s="41" t="s">
        <v>2448</v>
      </c>
      <c r="H384" s="41">
        <v>2</v>
      </c>
      <c r="I384" s="41">
        <v>1</v>
      </c>
      <c r="J384" s="108">
        <v>0</v>
      </c>
      <c r="K384" s="41">
        <v>0</v>
      </c>
      <c r="L384" s="41">
        <v>55</v>
      </c>
      <c r="M384" s="41">
        <v>-1</v>
      </c>
      <c r="N384" s="41">
        <v>4</v>
      </c>
      <c r="O384" s="110" t="s">
        <v>2471</v>
      </c>
      <c r="P384" s="109">
        <v>193524</v>
      </c>
      <c r="Q384" s="107"/>
      <c r="R384" s="111"/>
      <c r="S384" s="110"/>
      <c r="T384"/>
      <c r="U384"/>
      <c r="V384"/>
    </row>
    <row r="385" spans="1:22">
      <c r="A385" s="105">
        <v>1767</v>
      </c>
      <c r="B385" s="41">
        <v>120000000</v>
      </c>
      <c r="C385" s="41">
        <v>1.5E-3</v>
      </c>
      <c r="D385" s="41">
        <v>2</v>
      </c>
      <c r="E385" s="41">
        <v>30</v>
      </c>
      <c r="F385" s="41">
        <v>0</v>
      </c>
      <c r="G385" s="41" t="s">
        <v>2448</v>
      </c>
      <c r="H385" s="41">
        <v>2</v>
      </c>
      <c r="I385" s="41">
        <v>1</v>
      </c>
      <c r="J385" s="108">
        <v>0</v>
      </c>
      <c r="K385" s="41">
        <v>0</v>
      </c>
      <c r="L385" s="41">
        <v>55</v>
      </c>
      <c r="M385" s="41">
        <v>-1</v>
      </c>
      <c r="N385" s="41">
        <v>4</v>
      </c>
      <c r="O385" s="110" t="s">
        <v>2472</v>
      </c>
      <c r="P385" s="109">
        <v>193524</v>
      </c>
      <c r="Q385" s="107"/>
      <c r="R385" s="111"/>
      <c r="S385" s="110"/>
      <c r="T385"/>
      <c r="U385"/>
      <c r="V385"/>
    </row>
    <row r="386" spans="1:22">
      <c r="A386" s="105">
        <v>1768</v>
      </c>
      <c r="B386" s="41">
        <v>120000000</v>
      </c>
      <c r="C386" s="41">
        <v>1.5E-3</v>
      </c>
      <c r="D386" s="41">
        <v>2.8283999999999998</v>
      </c>
      <c r="E386" s="41">
        <v>30</v>
      </c>
      <c r="F386" s="41">
        <v>0</v>
      </c>
      <c r="G386" s="41" t="s">
        <v>2448</v>
      </c>
      <c r="H386" s="41">
        <v>2</v>
      </c>
      <c r="I386" s="41">
        <v>1</v>
      </c>
      <c r="J386" s="108">
        <v>0</v>
      </c>
      <c r="K386" s="41">
        <v>0</v>
      </c>
      <c r="L386" s="41">
        <v>55</v>
      </c>
      <c r="M386" s="41">
        <v>-1</v>
      </c>
      <c r="N386" s="41">
        <v>4</v>
      </c>
      <c r="O386" s="110" t="s">
        <v>2473</v>
      </c>
      <c r="P386" s="109">
        <v>193524</v>
      </c>
      <c r="Q386" s="107"/>
      <c r="R386" s="111"/>
      <c r="S386" s="110"/>
      <c r="T386"/>
      <c r="U386"/>
      <c r="V386"/>
    </row>
    <row r="387" spans="1:22">
      <c r="A387" s="105">
        <v>1769</v>
      </c>
      <c r="B387" s="41">
        <v>120000000</v>
      </c>
      <c r="C387" s="41">
        <v>1.5E-3</v>
      </c>
      <c r="D387" s="41">
        <v>4</v>
      </c>
      <c r="E387" s="41">
        <v>30</v>
      </c>
      <c r="F387" s="41">
        <v>0</v>
      </c>
      <c r="G387" s="41" t="s">
        <v>2448</v>
      </c>
      <c r="H387" s="41">
        <v>2</v>
      </c>
      <c r="I387" s="41">
        <v>1</v>
      </c>
      <c r="J387" s="108">
        <v>0</v>
      </c>
      <c r="K387" s="41">
        <v>0</v>
      </c>
      <c r="L387" s="41">
        <v>55</v>
      </c>
      <c r="M387" s="41">
        <v>-1</v>
      </c>
      <c r="N387" s="41">
        <v>4</v>
      </c>
      <c r="O387" s="110" t="s">
        <v>2474</v>
      </c>
      <c r="P387" s="109">
        <v>193524</v>
      </c>
      <c r="Q387" s="107"/>
      <c r="R387" s="111"/>
      <c r="S387" s="110"/>
      <c r="T387"/>
      <c r="U387"/>
      <c r="V387"/>
    </row>
    <row r="388" spans="1:22">
      <c r="A388" s="105">
        <v>1770</v>
      </c>
      <c r="B388" s="41">
        <v>120000000</v>
      </c>
      <c r="C388" s="41">
        <v>1.5E-3</v>
      </c>
      <c r="D388" s="41">
        <v>5.6569000000000003</v>
      </c>
      <c r="E388" s="41">
        <v>30</v>
      </c>
      <c r="F388" s="41">
        <v>0</v>
      </c>
      <c r="G388" s="41" t="s">
        <v>2448</v>
      </c>
      <c r="H388" s="41">
        <v>2</v>
      </c>
      <c r="I388" s="41">
        <v>1</v>
      </c>
      <c r="J388" s="108">
        <v>0</v>
      </c>
      <c r="K388" s="41">
        <v>0</v>
      </c>
      <c r="L388" s="41">
        <v>55</v>
      </c>
      <c r="M388" s="41">
        <v>-1</v>
      </c>
      <c r="N388" s="41">
        <v>4</v>
      </c>
      <c r="O388" s="110" t="s">
        <v>2475</v>
      </c>
      <c r="P388" s="109">
        <v>193524</v>
      </c>
      <c r="Q388" s="107"/>
      <c r="R388" s="111"/>
      <c r="S388" s="110"/>
      <c r="T388"/>
      <c r="U388"/>
      <c r="V388"/>
    </row>
    <row r="389" spans="1:22">
      <c r="A389" s="105">
        <v>1771</v>
      </c>
      <c r="B389" s="41">
        <v>120000000</v>
      </c>
      <c r="C389" s="41">
        <v>1.5E-3</v>
      </c>
      <c r="D389" s="41">
        <v>8</v>
      </c>
      <c r="E389" s="41">
        <v>30</v>
      </c>
      <c r="F389" s="41">
        <v>0</v>
      </c>
      <c r="G389" s="41" t="s">
        <v>2448</v>
      </c>
      <c r="H389" s="41">
        <v>2</v>
      </c>
      <c r="I389" s="41">
        <v>1</v>
      </c>
      <c r="J389" s="108">
        <v>0</v>
      </c>
      <c r="K389" s="41">
        <v>0</v>
      </c>
      <c r="L389" s="41">
        <v>55</v>
      </c>
      <c r="M389" s="41">
        <v>-1</v>
      </c>
      <c r="N389" s="41">
        <v>4</v>
      </c>
      <c r="O389" s="110" t="s">
        <v>2476</v>
      </c>
      <c r="P389" s="109">
        <v>193524</v>
      </c>
      <c r="Q389" s="107"/>
      <c r="R389" s="111"/>
      <c r="S389" s="110"/>
      <c r="T389"/>
      <c r="U389"/>
      <c r="V389"/>
    </row>
    <row r="390" spans="1:22">
      <c r="A390" s="105">
        <v>1772</v>
      </c>
      <c r="B390" s="41">
        <v>120000000</v>
      </c>
      <c r="C390" s="41">
        <v>1.5E-3</v>
      </c>
      <c r="D390" s="41">
        <v>11.313700000000001</v>
      </c>
      <c r="E390" s="41">
        <v>30</v>
      </c>
      <c r="F390" s="41">
        <v>0</v>
      </c>
      <c r="G390" s="41" t="s">
        <v>2448</v>
      </c>
      <c r="H390" s="41">
        <v>2</v>
      </c>
      <c r="I390" s="41">
        <v>1</v>
      </c>
      <c r="J390" s="108">
        <v>0</v>
      </c>
      <c r="K390" s="41">
        <v>0</v>
      </c>
      <c r="L390" s="41">
        <v>55</v>
      </c>
      <c r="M390" s="41">
        <v>-1</v>
      </c>
      <c r="N390" s="41">
        <v>4</v>
      </c>
      <c r="O390" s="110" t="s">
        <v>2477</v>
      </c>
      <c r="P390" s="109">
        <v>193524</v>
      </c>
      <c r="Q390" s="107"/>
      <c r="R390" s="111"/>
      <c r="S390" s="110"/>
      <c r="T390"/>
      <c r="U390"/>
      <c r="V390"/>
    </row>
    <row r="391" spans="1:22">
      <c r="A391" s="105">
        <v>1773</v>
      </c>
      <c r="B391" s="41">
        <v>120000000</v>
      </c>
      <c r="C391" s="41">
        <v>1.5E-3</v>
      </c>
      <c r="D391" s="41">
        <v>16</v>
      </c>
      <c r="E391" s="41">
        <v>30</v>
      </c>
      <c r="F391" s="41">
        <v>0</v>
      </c>
      <c r="G391" s="41" t="s">
        <v>2448</v>
      </c>
      <c r="H391" s="41">
        <v>2</v>
      </c>
      <c r="I391" s="41">
        <v>1</v>
      </c>
      <c r="J391" s="108">
        <v>0</v>
      </c>
      <c r="K391" s="41">
        <v>0</v>
      </c>
      <c r="L391" s="41">
        <v>55</v>
      </c>
      <c r="M391" s="41">
        <v>-1</v>
      </c>
      <c r="N391" s="41">
        <v>4</v>
      </c>
      <c r="O391" s="110" t="s">
        <v>2478</v>
      </c>
      <c r="P391" s="109">
        <v>193524</v>
      </c>
      <c r="Q391" s="107"/>
      <c r="R391" s="111"/>
      <c r="S391" s="110"/>
      <c r="T391"/>
      <c r="U391"/>
      <c r="V391"/>
    </row>
    <row r="392" spans="1:22">
      <c r="A392" s="105">
        <v>1774</v>
      </c>
      <c r="B392" s="41">
        <v>120000000</v>
      </c>
      <c r="C392" s="41">
        <v>1.6000000000000001E-3</v>
      </c>
      <c r="D392" s="41">
        <v>1</v>
      </c>
      <c r="E392" s="41">
        <v>30</v>
      </c>
      <c r="F392" s="41">
        <v>0</v>
      </c>
      <c r="G392" s="41" t="s">
        <v>2448</v>
      </c>
      <c r="H392" s="41">
        <v>2</v>
      </c>
      <c r="I392" s="41">
        <v>1</v>
      </c>
      <c r="J392" s="108">
        <v>0</v>
      </c>
      <c r="K392" s="41">
        <v>0</v>
      </c>
      <c r="L392" s="41">
        <v>55</v>
      </c>
      <c r="M392" s="41">
        <v>-1</v>
      </c>
      <c r="N392" s="41">
        <v>4</v>
      </c>
      <c r="O392" s="110" t="s">
        <v>2479</v>
      </c>
      <c r="P392" s="109">
        <v>193524</v>
      </c>
      <c r="Q392" s="107"/>
      <c r="R392" s="111"/>
      <c r="S392" s="110"/>
      <c r="T392"/>
      <c r="U392"/>
      <c r="V392"/>
    </row>
    <row r="393" spans="1:22">
      <c r="A393" s="105">
        <v>1775</v>
      </c>
      <c r="B393" s="41">
        <v>120000000</v>
      </c>
      <c r="C393" s="41">
        <v>1.6000000000000001E-3</v>
      </c>
      <c r="D393" s="41">
        <v>1.4141999999999999</v>
      </c>
      <c r="E393" s="41">
        <v>30</v>
      </c>
      <c r="F393" s="41">
        <v>0</v>
      </c>
      <c r="G393" s="41" t="s">
        <v>2448</v>
      </c>
      <c r="H393" s="41">
        <v>2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2480</v>
      </c>
      <c r="P393" s="109">
        <v>193524</v>
      </c>
      <c r="Q393" s="107"/>
      <c r="R393" s="111"/>
      <c r="S393" s="110"/>
      <c r="T393"/>
      <c r="U393"/>
      <c r="V393"/>
    </row>
    <row r="394" spans="1:22">
      <c r="A394" s="105">
        <v>1776</v>
      </c>
      <c r="B394" s="41">
        <v>120000000</v>
      </c>
      <c r="C394" s="41">
        <v>1.6000000000000001E-3</v>
      </c>
      <c r="D394" s="41">
        <v>2</v>
      </c>
      <c r="E394" s="41">
        <v>30</v>
      </c>
      <c r="F394" s="41">
        <v>0</v>
      </c>
      <c r="G394" s="41" t="s">
        <v>2448</v>
      </c>
      <c r="H394" s="41">
        <v>2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2481</v>
      </c>
      <c r="P394" s="109">
        <v>193524</v>
      </c>
      <c r="Q394" s="107"/>
      <c r="R394" s="111"/>
      <c r="S394" s="110"/>
      <c r="T394"/>
      <c r="U394"/>
      <c r="V394"/>
    </row>
    <row r="395" spans="1:22">
      <c r="A395" s="105">
        <v>1777</v>
      </c>
      <c r="B395" s="41">
        <v>120000000</v>
      </c>
      <c r="C395" s="41">
        <v>1.6000000000000001E-3</v>
      </c>
      <c r="D395" s="41">
        <v>2.8283999999999998</v>
      </c>
      <c r="E395" s="41">
        <v>30</v>
      </c>
      <c r="F395" s="41">
        <v>0</v>
      </c>
      <c r="G395" s="41" t="s">
        <v>2448</v>
      </c>
      <c r="H395" s="41">
        <v>2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2482</v>
      </c>
      <c r="P395" s="109">
        <v>193524</v>
      </c>
      <c r="Q395" s="107"/>
      <c r="R395" s="111"/>
      <c r="S395" s="110"/>
      <c r="T395"/>
      <c r="U395"/>
      <c r="V395"/>
    </row>
    <row r="396" spans="1:22">
      <c r="A396" s="105">
        <v>1778</v>
      </c>
      <c r="B396" s="41">
        <v>120000000</v>
      </c>
      <c r="C396" s="41">
        <v>1.6000000000000001E-3</v>
      </c>
      <c r="D396" s="41">
        <v>4</v>
      </c>
      <c r="E396" s="41">
        <v>30</v>
      </c>
      <c r="F396" s="41">
        <v>0</v>
      </c>
      <c r="G396" s="41" t="s">
        <v>2448</v>
      </c>
      <c r="H396" s="41">
        <v>2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2483</v>
      </c>
      <c r="P396" s="109">
        <v>193524</v>
      </c>
      <c r="Q396" s="107"/>
      <c r="R396" s="111"/>
      <c r="S396" s="110"/>
      <c r="T396"/>
      <c r="U396"/>
      <c r="V396"/>
    </row>
    <row r="397" spans="1:22">
      <c r="A397" s="105">
        <v>1779</v>
      </c>
      <c r="B397" s="41">
        <v>120000000</v>
      </c>
      <c r="C397" s="41">
        <v>1.6000000000000001E-3</v>
      </c>
      <c r="D397" s="41">
        <v>5.6569000000000003</v>
      </c>
      <c r="E397" s="41">
        <v>30</v>
      </c>
      <c r="F397" s="41">
        <v>0</v>
      </c>
      <c r="G397" s="41" t="s">
        <v>2448</v>
      </c>
      <c r="H397" s="41">
        <v>2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2484</v>
      </c>
      <c r="P397" s="109">
        <v>193524</v>
      </c>
      <c r="Q397" s="107"/>
      <c r="R397" s="111"/>
      <c r="S397" s="110"/>
      <c r="T397"/>
      <c r="U397"/>
      <c r="V397"/>
    </row>
    <row r="398" spans="1:22">
      <c r="A398" s="105">
        <v>1780</v>
      </c>
      <c r="B398" s="41">
        <v>120000000</v>
      </c>
      <c r="C398" s="41">
        <v>1.6000000000000001E-3</v>
      </c>
      <c r="D398" s="41">
        <v>8</v>
      </c>
      <c r="E398" s="41">
        <v>30</v>
      </c>
      <c r="F398" s="41">
        <v>0</v>
      </c>
      <c r="G398" s="41" t="s">
        <v>2448</v>
      </c>
      <c r="H398" s="41">
        <v>2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2485</v>
      </c>
      <c r="P398" s="109">
        <v>193524</v>
      </c>
      <c r="Q398" s="107"/>
      <c r="R398" s="111"/>
      <c r="S398" s="110"/>
      <c r="T398"/>
      <c r="U398"/>
      <c r="V398"/>
    </row>
    <row r="399" spans="1:22">
      <c r="A399" s="105">
        <v>1781</v>
      </c>
      <c r="B399" s="41">
        <v>120000000</v>
      </c>
      <c r="C399" s="41">
        <v>1.6000000000000001E-3</v>
      </c>
      <c r="D399" s="41">
        <v>11.313700000000001</v>
      </c>
      <c r="E399" s="41">
        <v>30</v>
      </c>
      <c r="F399" s="41">
        <v>0</v>
      </c>
      <c r="G399" s="41" t="s">
        <v>2448</v>
      </c>
      <c r="H399" s="41">
        <v>2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2486</v>
      </c>
      <c r="P399" s="109">
        <v>193524</v>
      </c>
      <c r="Q399" s="107"/>
      <c r="R399" s="111"/>
      <c r="S399" s="110"/>
      <c r="T399"/>
      <c r="U399"/>
      <c r="V399"/>
    </row>
    <row r="400" spans="1:22">
      <c r="A400" s="105">
        <v>1782</v>
      </c>
      <c r="B400" s="41">
        <v>120000000</v>
      </c>
      <c r="C400" s="41">
        <v>1.6000000000000001E-3</v>
      </c>
      <c r="D400" s="41">
        <v>16</v>
      </c>
      <c r="E400" s="41">
        <v>30</v>
      </c>
      <c r="F400" s="41">
        <v>0</v>
      </c>
      <c r="G400" s="41" t="s">
        <v>2448</v>
      </c>
      <c r="H400" s="41">
        <v>2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2487</v>
      </c>
      <c r="P400" s="109">
        <v>193524</v>
      </c>
      <c r="Q400" s="107"/>
      <c r="R400" s="111"/>
      <c r="S400" s="110"/>
      <c r="T400"/>
      <c r="U400"/>
      <c r="V400"/>
    </row>
    <row r="401" spans="1:22">
      <c r="A401" s="105">
        <v>1783</v>
      </c>
      <c r="B401" s="41">
        <v>120000000</v>
      </c>
      <c r="C401" s="41">
        <v>1.6000000000000001E-3</v>
      </c>
      <c r="D401" s="41">
        <v>22.627400000000002</v>
      </c>
      <c r="E401" s="41">
        <v>30</v>
      </c>
      <c r="F401" s="41">
        <v>0</v>
      </c>
      <c r="G401" s="41" t="s">
        <v>2448</v>
      </c>
      <c r="H401" s="41">
        <v>2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2488</v>
      </c>
      <c r="P401" s="109">
        <v>193524</v>
      </c>
      <c r="Q401" s="107"/>
      <c r="R401" s="111"/>
      <c r="S401" s="110"/>
      <c r="T401"/>
      <c r="U401"/>
      <c r="V401"/>
    </row>
    <row r="402" spans="1:22">
      <c r="A402" s="105">
        <v>1784</v>
      </c>
      <c r="B402" s="41">
        <v>120000000</v>
      </c>
      <c r="C402" s="41">
        <v>1.6999999999999999E-3</v>
      </c>
      <c r="D402" s="41">
        <v>1</v>
      </c>
      <c r="E402" s="41">
        <v>30</v>
      </c>
      <c r="F402" s="41">
        <v>0</v>
      </c>
      <c r="G402" s="41" t="s">
        <v>2448</v>
      </c>
      <c r="H402" s="41">
        <v>2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2489</v>
      </c>
      <c r="P402" s="109">
        <v>193524</v>
      </c>
      <c r="Q402" s="107"/>
      <c r="R402" s="111"/>
      <c r="S402" s="110"/>
      <c r="T402"/>
      <c r="U402"/>
      <c r="V402"/>
    </row>
    <row r="403" spans="1:22">
      <c r="A403" s="105">
        <v>1785</v>
      </c>
      <c r="B403" s="41">
        <v>120000000</v>
      </c>
      <c r="C403" s="41">
        <v>1.6999999999999999E-3</v>
      </c>
      <c r="D403" s="41">
        <v>1.4141999999999999</v>
      </c>
      <c r="E403" s="41">
        <v>30</v>
      </c>
      <c r="F403" s="41">
        <v>0</v>
      </c>
      <c r="G403" s="41" t="s">
        <v>2448</v>
      </c>
      <c r="H403" s="41">
        <v>2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2490</v>
      </c>
      <c r="P403" s="109">
        <v>193524</v>
      </c>
      <c r="Q403" s="107"/>
      <c r="R403" s="111"/>
      <c r="S403" s="110"/>
      <c r="T403"/>
      <c r="U403"/>
      <c r="V403"/>
    </row>
    <row r="404" spans="1:22">
      <c r="A404" s="105">
        <v>1786</v>
      </c>
      <c r="B404" s="41">
        <v>120000000</v>
      </c>
      <c r="C404" s="41">
        <v>1.6999999999999999E-3</v>
      </c>
      <c r="D404" s="41">
        <v>2</v>
      </c>
      <c r="E404" s="41">
        <v>30</v>
      </c>
      <c r="F404" s="41">
        <v>0</v>
      </c>
      <c r="G404" s="41" t="s">
        <v>2448</v>
      </c>
      <c r="H404" s="41">
        <v>2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2491</v>
      </c>
      <c r="P404" s="109">
        <v>193524</v>
      </c>
      <c r="Q404" s="107"/>
      <c r="R404" s="111"/>
      <c r="S404" s="110"/>
      <c r="T404"/>
      <c r="U404"/>
      <c r="V404"/>
    </row>
    <row r="405" spans="1:22">
      <c r="A405" s="105">
        <v>1787</v>
      </c>
      <c r="B405" s="41">
        <v>120000000</v>
      </c>
      <c r="C405" s="41">
        <v>1.6999999999999999E-3</v>
      </c>
      <c r="D405" s="41">
        <v>2.8283999999999998</v>
      </c>
      <c r="E405" s="41">
        <v>30</v>
      </c>
      <c r="F405" s="41">
        <v>0</v>
      </c>
      <c r="G405" s="41" t="s">
        <v>2448</v>
      </c>
      <c r="H405" s="41">
        <v>2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2492</v>
      </c>
      <c r="P405" s="109">
        <v>193524</v>
      </c>
      <c r="Q405" s="107"/>
      <c r="R405" s="111"/>
      <c r="S405" s="110"/>
      <c r="T405"/>
      <c r="U405"/>
      <c r="V405"/>
    </row>
    <row r="406" spans="1:22">
      <c r="A406" s="105">
        <v>1788</v>
      </c>
      <c r="B406" s="41">
        <v>120000000</v>
      </c>
      <c r="C406" s="41">
        <v>1.6999999999999999E-3</v>
      </c>
      <c r="D406" s="41">
        <v>4</v>
      </c>
      <c r="E406" s="41">
        <v>30</v>
      </c>
      <c r="F406" s="41">
        <v>0</v>
      </c>
      <c r="G406" s="41" t="s">
        <v>2448</v>
      </c>
      <c r="H406" s="41">
        <v>2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2493</v>
      </c>
      <c r="P406" s="109">
        <v>193524</v>
      </c>
      <c r="Q406" s="107"/>
      <c r="R406" s="111"/>
      <c r="S406" s="110"/>
      <c r="T406"/>
      <c r="U406"/>
      <c r="V406"/>
    </row>
    <row r="407" spans="1:22">
      <c r="A407" s="105">
        <v>1789</v>
      </c>
      <c r="B407" s="41">
        <v>120000000</v>
      </c>
      <c r="C407" s="41">
        <v>1.6999999999999999E-3</v>
      </c>
      <c r="D407" s="41">
        <v>5.6569000000000003</v>
      </c>
      <c r="E407" s="41">
        <v>30</v>
      </c>
      <c r="F407" s="41">
        <v>0</v>
      </c>
      <c r="G407" s="41" t="s">
        <v>2448</v>
      </c>
      <c r="H407" s="41">
        <v>2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2494</v>
      </c>
      <c r="P407" s="109">
        <v>193524</v>
      </c>
      <c r="Q407" s="107"/>
      <c r="R407" s="111"/>
      <c r="S407" s="110"/>
      <c r="T407"/>
      <c r="U407"/>
      <c r="V407"/>
    </row>
    <row r="408" spans="1:22">
      <c r="A408" s="105">
        <v>1790</v>
      </c>
      <c r="B408" s="41">
        <v>120000000</v>
      </c>
      <c r="C408" s="41">
        <v>1.6999999999999999E-3</v>
      </c>
      <c r="D408" s="41">
        <v>8</v>
      </c>
      <c r="E408" s="41">
        <v>30</v>
      </c>
      <c r="F408" s="41">
        <v>0</v>
      </c>
      <c r="G408" s="41" t="s">
        <v>2448</v>
      </c>
      <c r="H408" s="41">
        <v>2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2495</v>
      </c>
      <c r="P408" s="109">
        <v>193524</v>
      </c>
      <c r="Q408" s="107"/>
      <c r="R408" s="111"/>
      <c r="S408" s="110"/>
      <c r="T408"/>
      <c r="U408"/>
      <c r="V408"/>
    </row>
    <row r="409" spans="1:22">
      <c r="A409" s="105">
        <v>1791</v>
      </c>
      <c r="B409" s="41">
        <v>120000000</v>
      </c>
      <c r="C409" s="41">
        <v>1.6999999999999999E-3</v>
      </c>
      <c r="D409" s="41">
        <v>11.313700000000001</v>
      </c>
      <c r="E409" s="41">
        <v>30</v>
      </c>
      <c r="F409" s="41">
        <v>0</v>
      </c>
      <c r="G409" s="41" t="s">
        <v>2448</v>
      </c>
      <c r="H409" s="41">
        <v>2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2496</v>
      </c>
      <c r="P409" s="109">
        <v>193524</v>
      </c>
      <c r="Q409" s="107"/>
      <c r="R409" s="111"/>
      <c r="S409" s="110"/>
      <c r="T409"/>
      <c r="U409"/>
      <c r="V409"/>
    </row>
    <row r="410" spans="1:22">
      <c r="A410" s="105">
        <v>1792</v>
      </c>
      <c r="B410" s="41">
        <v>120000000</v>
      </c>
      <c r="C410" s="41">
        <v>1.6999999999999999E-3</v>
      </c>
      <c r="D410" s="41">
        <v>16</v>
      </c>
      <c r="E410" s="41">
        <v>30</v>
      </c>
      <c r="F410" s="41">
        <v>0</v>
      </c>
      <c r="G410" s="41" t="s">
        <v>2448</v>
      </c>
      <c r="H410" s="41">
        <v>2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2497</v>
      </c>
      <c r="P410" s="109">
        <v>193524</v>
      </c>
      <c r="Q410" s="107"/>
      <c r="R410" s="111"/>
      <c r="S410" s="110"/>
      <c r="T410"/>
      <c r="U410"/>
      <c r="V410"/>
    </row>
    <row r="411" spans="1:22">
      <c r="A411" s="105">
        <v>1793</v>
      </c>
      <c r="B411" s="41">
        <v>120000000</v>
      </c>
      <c r="C411" s="41">
        <v>1.6999999999999999E-3</v>
      </c>
      <c r="D411" s="41">
        <v>22.627400000000002</v>
      </c>
      <c r="E411" s="41">
        <v>30</v>
      </c>
      <c r="F411" s="41">
        <v>0</v>
      </c>
      <c r="G411" s="41" t="s">
        <v>2448</v>
      </c>
      <c r="H411" s="41">
        <v>2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2498</v>
      </c>
      <c r="P411" s="109">
        <v>193786</v>
      </c>
      <c r="Q411" s="107"/>
      <c r="R411" s="111"/>
      <c r="S411" s="110" t="s">
        <v>2267</v>
      </c>
      <c r="T411"/>
      <c r="U411"/>
      <c r="V411"/>
    </row>
    <row r="412" spans="1:22">
      <c r="A412" s="105">
        <v>1794</v>
      </c>
      <c r="B412" s="41">
        <v>120000000</v>
      </c>
      <c r="C412" s="41">
        <v>1.9E-3</v>
      </c>
      <c r="D412" s="41">
        <v>1.4141999999999999</v>
      </c>
      <c r="E412" s="41">
        <v>30</v>
      </c>
      <c r="F412" s="41">
        <v>0</v>
      </c>
      <c r="G412" s="41" t="s">
        <v>2448</v>
      </c>
      <c r="H412" s="41">
        <v>2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2499</v>
      </c>
      <c r="P412" s="109">
        <v>193786</v>
      </c>
      <c r="Q412" s="107"/>
      <c r="R412" s="111"/>
      <c r="S412" s="110"/>
      <c r="T412"/>
      <c r="U412"/>
      <c r="V412"/>
    </row>
    <row r="413" spans="1:22">
      <c r="A413" s="105">
        <v>1795</v>
      </c>
      <c r="B413" s="41">
        <v>120000000</v>
      </c>
      <c r="C413" s="41">
        <v>1.9E-3</v>
      </c>
      <c r="D413" s="41">
        <v>2</v>
      </c>
      <c r="E413" s="41">
        <v>30</v>
      </c>
      <c r="F413" s="41">
        <v>0</v>
      </c>
      <c r="G413" s="41" t="s">
        <v>2448</v>
      </c>
      <c r="H413" s="41">
        <v>2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2500</v>
      </c>
      <c r="P413" s="109">
        <v>193786</v>
      </c>
      <c r="Q413" s="107"/>
      <c r="R413" s="111"/>
      <c r="S413" s="110"/>
      <c r="T413"/>
      <c r="U413"/>
      <c r="V413"/>
    </row>
    <row r="414" spans="1:22">
      <c r="A414" s="105">
        <v>1796</v>
      </c>
      <c r="B414" s="41">
        <v>120000000</v>
      </c>
      <c r="C414" s="41">
        <v>1.9E-3</v>
      </c>
      <c r="D414" s="41">
        <v>2.8283999999999998</v>
      </c>
      <c r="E414" s="41">
        <v>30</v>
      </c>
      <c r="F414" s="41">
        <v>0</v>
      </c>
      <c r="G414" s="41" t="s">
        <v>2448</v>
      </c>
      <c r="H414" s="41">
        <v>2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2501</v>
      </c>
      <c r="P414" s="109">
        <v>193786</v>
      </c>
      <c r="Q414" s="107"/>
      <c r="R414" s="111"/>
      <c r="S414" s="110"/>
      <c r="T414"/>
      <c r="U414"/>
      <c r="V414"/>
    </row>
    <row r="415" spans="1:22">
      <c r="A415" s="105">
        <v>1797</v>
      </c>
      <c r="B415" s="41">
        <v>120000000</v>
      </c>
      <c r="C415" s="41">
        <v>1.9E-3</v>
      </c>
      <c r="D415" s="41">
        <v>4</v>
      </c>
      <c r="E415" s="41">
        <v>30</v>
      </c>
      <c r="F415" s="41">
        <v>0</v>
      </c>
      <c r="G415" s="41" t="s">
        <v>2448</v>
      </c>
      <c r="H415" s="41">
        <v>2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2502</v>
      </c>
      <c r="P415" s="109">
        <v>193786</v>
      </c>
      <c r="Q415" s="107"/>
      <c r="R415" s="111"/>
      <c r="S415" s="110"/>
      <c r="T415"/>
      <c r="U415"/>
      <c r="V415"/>
    </row>
    <row r="416" spans="1:22">
      <c r="A416" s="105">
        <v>1798</v>
      </c>
      <c r="B416" s="41">
        <v>120000000</v>
      </c>
      <c r="C416" s="41">
        <v>1.9E-3</v>
      </c>
      <c r="D416" s="41">
        <v>5.6569000000000003</v>
      </c>
      <c r="E416" s="41">
        <v>30</v>
      </c>
      <c r="F416" s="41">
        <v>0</v>
      </c>
      <c r="G416" s="41" t="s">
        <v>2448</v>
      </c>
      <c r="H416" s="41">
        <v>2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2503</v>
      </c>
      <c r="P416" s="109">
        <v>193786</v>
      </c>
      <c r="Q416" s="107"/>
      <c r="R416" s="111"/>
      <c r="S416" s="110"/>
      <c r="T416"/>
      <c r="U416"/>
      <c r="V416"/>
    </row>
    <row r="417" spans="1:22">
      <c r="A417" s="105">
        <v>1799</v>
      </c>
      <c r="B417" s="41">
        <v>120000000</v>
      </c>
      <c r="C417" s="41">
        <v>1.9E-3</v>
      </c>
      <c r="D417" s="41">
        <v>8</v>
      </c>
      <c r="E417" s="41">
        <v>30</v>
      </c>
      <c r="F417" s="41">
        <v>0</v>
      </c>
      <c r="G417" s="41" t="s">
        <v>2448</v>
      </c>
      <c r="H417" s="41">
        <v>2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2504</v>
      </c>
      <c r="P417" s="109">
        <v>193786</v>
      </c>
      <c r="Q417" s="107"/>
      <c r="R417" s="111"/>
      <c r="S417" s="110"/>
      <c r="T417"/>
      <c r="U417"/>
      <c r="V417"/>
    </row>
    <row r="418" spans="1:22">
      <c r="A418" s="105">
        <v>1800</v>
      </c>
      <c r="B418" s="41">
        <v>120000000</v>
      </c>
      <c r="C418" s="41">
        <v>1.9E-3</v>
      </c>
      <c r="D418" s="41">
        <v>11.313700000000001</v>
      </c>
      <c r="E418" s="41">
        <v>30</v>
      </c>
      <c r="F418" s="41">
        <v>0</v>
      </c>
      <c r="G418" s="41" t="s">
        <v>2448</v>
      </c>
      <c r="H418" s="41">
        <v>2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2505</v>
      </c>
      <c r="P418" s="109">
        <v>193786</v>
      </c>
      <c r="Q418" s="107"/>
      <c r="R418" s="111"/>
      <c r="S418" s="110"/>
      <c r="T418"/>
      <c r="U418"/>
      <c r="V418"/>
    </row>
    <row r="419" spans="1:22">
      <c r="A419" s="105">
        <v>1801</v>
      </c>
      <c r="B419" s="41">
        <v>120000000</v>
      </c>
      <c r="C419" s="41">
        <v>1.9E-3</v>
      </c>
      <c r="D419" s="41">
        <v>16</v>
      </c>
      <c r="E419" s="41">
        <v>30</v>
      </c>
      <c r="F419" s="41">
        <v>0</v>
      </c>
      <c r="G419" s="41" t="s">
        <v>2448</v>
      </c>
      <c r="H419" s="41">
        <v>2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2506</v>
      </c>
      <c r="P419" s="109">
        <v>193786</v>
      </c>
      <c r="Q419" s="107"/>
      <c r="R419" s="111"/>
      <c r="S419" s="110"/>
      <c r="T419"/>
      <c r="U419"/>
      <c r="V419"/>
    </row>
    <row r="420" spans="1:22">
      <c r="A420" s="105">
        <v>1802</v>
      </c>
      <c r="B420" s="41">
        <v>120000000</v>
      </c>
      <c r="C420" s="41">
        <v>1.9E-3</v>
      </c>
      <c r="D420" s="41">
        <v>22.627400000000002</v>
      </c>
      <c r="E420" s="41">
        <v>30</v>
      </c>
      <c r="F420" s="41">
        <v>0</v>
      </c>
      <c r="G420" s="41" t="s">
        <v>2448</v>
      </c>
      <c r="H420" s="41">
        <v>2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2507</v>
      </c>
      <c r="P420" s="109">
        <v>193786</v>
      </c>
      <c r="Q420" s="107"/>
      <c r="R420" s="111"/>
      <c r="S420" s="110"/>
      <c r="T420"/>
      <c r="U420"/>
      <c r="V420"/>
    </row>
    <row r="421" spans="1:22">
      <c r="A421" s="105">
        <v>1803</v>
      </c>
      <c r="B421" s="41">
        <v>120000000</v>
      </c>
      <c r="C421" s="41">
        <v>1.9E-3</v>
      </c>
      <c r="D421" s="41">
        <v>32</v>
      </c>
      <c r="E421" s="41">
        <v>30</v>
      </c>
      <c r="F421" s="41">
        <v>0</v>
      </c>
      <c r="G421" s="41" t="s">
        <v>2448</v>
      </c>
      <c r="H421" s="41">
        <v>2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2508</v>
      </c>
      <c r="P421" s="109">
        <v>193786</v>
      </c>
      <c r="Q421" s="107"/>
      <c r="R421" s="111"/>
      <c r="S421" s="110"/>
      <c r="T421"/>
      <c r="U421"/>
      <c r="V421"/>
    </row>
    <row r="422" spans="1:22">
      <c r="A422" s="105">
        <v>1804</v>
      </c>
      <c r="B422" s="41">
        <v>120000000</v>
      </c>
      <c r="C422" s="41">
        <v>2.0999999999999999E-3</v>
      </c>
      <c r="D422" s="41">
        <v>1.4141999999999999</v>
      </c>
      <c r="E422" s="41">
        <v>30</v>
      </c>
      <c r="F422" s="41">
        <v>0</v>
      </c>
      <c r="G422" s="41" t="s">
        <v>2448</v>
      </c>
      <c r="H422" s="41">
        <v>2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2509</v>
      </c>
      <c r="P422" s="109">
        <v>193786</v>
      </c>
      <c r="Q422" s="107"/>
      <c r="R422" s="111"/>
      <c r="S422" s="110"/>
      <c r="T422"/>
      <c r="U422"/>
      <c r="V422"/>
    </row>
    <row r="423" spans="1:22">
      <c r="A423" s="105">
        <v>1805</v>
      </c>
      <c r="B423" s="41">
        <v>120000000</v>
      </c>
      <c r="C423" s="41">
        <v>2.0999999999999999E-3</v>
      </c>
      <c r="D423" s="41">
        <v>2</v>
      </c>
      <c r="E423" s="41">
        <v>30</v>
      </c>
      <c r="F423" s="41">
        <v>0</v>
      </c>
      <c r="G423" s="41" t="s">
        <v>2448</v>
      </c>
      <c r="H423" s="41">
        <v>2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2510</v>
      </c>
      <c r="P423" s="109">
        <v>193786</v>
      </c>
      <c r="Q423" s="107"/>
      <c r="R423" s="111"/>
      <c r="S423" s="110"/>
      <c r="T423"/>
      <c r="U423"/>
      <c r="V423"/>
    </row>
    <row r="424" spans="1:22">
      <c r="A424" s="105">
        <v>1806</v>
      </c>
      <c r="B424" s="41">
        <v>120000000</v>
      </c>
      <c r="C424" s="41">
        <v>2.0999999999999999E-3</v>
      </c>
      <c r="D424" s="41">
        <v>2.8283999999999998</v>
      </c>
      <c r="E424" s="41">
        <v>30</v>
      </c>
      <c r="F424" s="41">
        <v>0</v>
      </c>
      <c r="G424" s="41" t="s">
        <v>2448</v>
      </c>
      <c r="H424" s="41">
        <v>2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2511</v>
      </c>
      <c r="P424" s="109">
        <v>193786</v>
      </c>
      <c r="Q424" s="107"/>
      <c r="R424" s="111"/>
      <c r="S424" s="110"/>
      <c r="T424"/>
      <c r="U424"/>
      <c r="V424"/>
    </row>
    <row r="425" spans="1:22">
      <c r="A425" s="105">
        <v>1807</v>
      </c>
      <c r="B425" s="41">
        <v>120000000</v>
      </c>
      <c r="C425" s="41">
        <v>2.0999999999999999E-3</v>
      </c>
      <c r="D425" s="41">
        <v>4</v>
      </c>
      <c r="E425" s="41">
        <v>30</v>
      </c>
      <c r="F425" s="41">
        <v>0</v>
      </c>
      <c r="G425" s="41" t="s">
        <v>2448</v>
      </c>
      <c r="H425" s="41">
        <v>2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2512</v>
      </c>
      <c r="P425" s="109">
        <v>194161</v>
      </c>
      <c r="Q425" s="107"/>
      <c r="R425" s="111"/>
      <c r="S425" s="110" t="s">
        <v>2267</v>
      </c>
      <c r="T425"/>
      <c r="U425"/>
      <c r="V425"/>
    </row>
    <row r="426" spans="1:22">
      <c r="A426" s="105">
        <v>1808</v>
      </c>
      <c r="B426" s="41">
        <v>120000000</v>
      </c>
      <c r="C426" s="41">
        <v>2.0999999999999999E-3</v>
      </c>
      <c r="D426" s="41">
        <v>5.6569000000000003</v>
      </c>
      <c r="E426" s="41">
        <v>30</v>
      </c>
      <c r="F426" s="41">
        <v>0</v>
      </c>
      <c r="G426" s="41" t="s">
        <v>2448</v>
      </c>
      <c r="H426" s="41">
        <v>2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2513</v>
      </c>
      <c r="P426" s="109">
        <v>194161</v>
      </c>
      <c r="Q426" s="107"/>
      <c r="R426" s="111"/>
      <c r="S426" s="110"/>
      <c r="T426"/>
      <c r="U426"/>
      <c r="V426"/>
    </row>
    <row r="427" spans="1:22">
      <c r="A427" s="105">
        <v>1809</v>
      </c>
      <c r="B427" s="41">
        <v>120000000</v>
      </c>
      <c r="C427" s="41">
        <v>2.0999999999999999E-3</v>
      </c>
      <c r="D427" s="41">
        <v>8</v>
      </c>
      <c r="E427" s="41">
        <v>30</v>
      </c>
      <c r="F427" s="41">
        <v>0</v>
      </c>
      <c r="G427" s="41" t="s">
        <v>2448</v>
      </c>
      <c r="H427" s="41">
        <v>2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2514</v>
      </c>
      <c r="P427" s="109">
        <v>194161</v>
      </c>
      <c r="Q427" s="107"/>
      <c r="R427" s="111"/>
      <c r="S427" s="110"/>
      <c r="T427"/>
      <c r="U427"/>
      <c r="V427"/>
    </row>
    <row r="428" spans="1:22">
      <c r="A428" s="105">
        <v>1810</v>
      </c>
      <c r="B428" s="41">
        <v>120000000</v>
      </c>
      <c r="C428" s="41">
        <v>2.0999999999999999E-3</v>
      </c>
      <c r="D428" s="41">
        <v>11.313700000000001</v>
      </c>
      <c r="E428" s="41">
        <v>30</v>
      </c>
      <c r="F428" s="41">
        <v>0</v>
      </c>
      <c r="G428" s="41" t="s">
        <v>2448</v>
      </c>
      <c r="H428" s="41">
        <v>2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2515</v>
      </c>
      <c r="P428" s="109">
        <v>194161</v>
      </c>
      <c r="Q428" s="107"/>
      <c r="R428" s="111"/>
      <c r="S428" s="110"/>
      <c r="T428"/>
      <c r="U428"/>
      <c r="V428"/>
    </row>
    <row r="429" spans="1:22">
      <c r="A429" s="105">
        <v>1811</v>
      </c>
      <c r="B429" s="41">
        <v>120000000</v>
      </c>
      <c r="C429" s="41">
        <v>2.0999999999999999E-3</v>
      </c>
      <c r="D429" s="41">
        <v>16</v>
      </c>
      <c r="E429" s="41">
        <v>30</v>
      </c>
      <c r="F429" s="41">
        <v>0</v>
      </c>
      <c r="G429" s="41" t="s">
        <v>2448</v>
      </c>
      <c r="H429" s="41">
        <v>2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2516</v>
      </c>
      <c r="P429" s="109">
        <v>194161</v>
      </c>
      <c r="Q429" s="107"/>
      <c r="R429" s="111"/>
      <c r="S429" s="110"/>
      <c r="T429"/>
      <c r="U429"/>
      <c r="V429"/>
    </row>
    <row r="430" spans="1:22">
      <c r="A430" s="105">
        <v>1812</v>
      </c>
      <c r="B430" s="41">
        <v>120000000</v>
      </c>
      <c r="C430" s="41">
        <v>2.0999999999999999E-3</v>
      </c>
      <c r="D430" s="41">
        <v>22.627400000000002</v>
      </c>
      <c r="E430" s="41">
        <v>30</v>
      </c>
      <c r="F430" s="41">
        <v>0</v>
      </c>
      <c r="G430" s="41" t="s">
        <v>2448</v>
      </c>
      <c r="H430" s="41">
        <v>2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2517</v>
      </c>
      <c r="P430" s="109">
        <v>194161</v>
      </c>
      <c r="Q430" s="107"/>
      <c r="R430" s="111"/>
      <c r="S430" s="110"/>
      <c r="T430"/>
      <c r="U430"/>
      <c r="V430"/>
    </row>
    <row r="431" spans="1:22">
      <c r="A431" s="105">
        <v>1813</v>
      </c>
      <c r="B431" s="41">
        <v>120000000</v>
      </c>
      <c r="C431" s="41">
        <v>2.0999999999999999E-3</v>
      </c>
      <c r="D431" s="41">
        <v>32</v>
      </c>
      <c r="E431" s="41">
        <v>30</v>
      </c>
      <c r="F431" s="41">
        <v>0</v>
      </c>
      <c r="G431" s="41" t="s">
        <v>2448</v>
      </c>
      <c r="H431" s="41">
        <v>2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2518</v>
      </c>
      <c r="P431" s="109">
        <v>194161</v>
      </c>
      <c r="Q431" s="107"/>
      <c r="R431" s="111"/>
      <c r="S431" s="110"/>
      <c r="T431"/>
      <c r="U431"/>
      <c r="V431"/>
    </row>
    <row r="432" spans="1:22">
      <c r="A432" s="105">
        <v>1814</v>
      </c>
      <c r="B432" s="41">
        <v>120000000</v>
      </c>
      <c r="C432" s="41">
        <v>2.3E-3</v>
      </c>
      <c r="D432" s="41">
        <v>2</v>
      </c>
      <c r="E432" s="41">
        <v>30</v>
      </c>
      <c r="F432" s="41">
        <v>0</v>
      </c>
      <c r="G432" s="41" t="s">
        <v>2448</v>
      </c>
      <c r="H432" s="41">
        <v>2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2519</v>
      </c>
      <c r="P432" s="109">
        <v>194161</v>
      </c>
      <c r="Q432" s="107"/>
      <c r="R432" s="111"/>
      <c r="S432" s="110"/>
      <c r="T432"/>
      <c r="U432"/>
      <c r="V432"/>
    </row>
    <row r="433" spans="1:22">
      <c r="A433" s="105">
        <v>1815</v>
      </c>
      <c r="B433" s="41">
        <v>120000000</v>
      </c>
      <c r="C433" s="41">
        <v>2.3E-3</v>
      </c>
      <c r="D433" s="41">
        <v>2.8283999999999998</v>
      </c>
      <c r="E433" s="41">
        <v>30</v>
      </c>
      <c r="F433" s="41">
        <v>0</v>
      </c>
      <c r="G433" s="41" t="s">
        <v>2448</v>
      </c>
      <c r="H433" s="41">
        <v>2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2520</v>
      </c>
      <c r="P433" s="109">
        <v>194161</v>
      </c>
      <c r="Q433" s="107"/>
      <c r="R433" s="111"/>
      <c r="S433" s="110"/>
      <c r="T433"/>
      <c r="U433"/>
      <c r="V433"/>
    </row>
    <row r="434" spans="1:22">
      <c r="A434" s="105">
        <v>1816</v>
      </c>
      <c r="B434" s="41">
        <v>120000000</v>
      </c>
      <c r="C434" s="41">
        <v>2.3E-3</v>
      </c>
      <c r="D434" s="41">
        <v>4</v>
      </c>
      <c r="E434" s="41">
        <v>30</v>
      </c>
      <c r="F434" s="41">
        <v>0</v>
      </c>
      <c r="G434" s="41" t="s">
        <v>2448</v>
      </c>
      <c r="H434" s="41">
        <v>2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2521</v>
      </c>
      <c r="P434" s="109">
        <v>194161</v>
      </c>
      <c r="Q434" s="107"/>
      <c r="R434" s="111"/>
      <c r="S434" s="110"/>
      <c r="T434"/>
      <c r="U434"/>
      <c r="V434"/>
    </row>
    <row r="435" spans="1:22">
      <c r="A435" s="105">
        <v>1817</v>
      </c>
      <c r="B435" s="41">
        <v>120000000</v>
      </c>
      <c r="C435" s="41">
        <v>2.3E-3</v>
      </c>
      <c r="D435" s="41">
        <v>5.6569000000000003</v>
      </c>
      <c r="E435" s="41">
        <v>30</v>
      </c>
      <c r="F435" s="41">
        <v>0</v>
      </c>
      <c r="G435" s="41" t="s">
        <v>2448</v>
      </c>
      <c r="H435" s="41">
        <v>2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2522</v>
      </c>
      <c r="P435" s="109">
        <v>194161</v>
      </c>
      <c r="Q435" s="107"/>
      <c r="R435" s="111"/>
      <c r="S435" s="110"/>
      <c r="T435"/>
      <c r="U435"/>
      <c r="V435"/>
    </row>
    <row r="436" spans="1:22">
      <c r="A436" s="105">
        <v>1818</v>
      </c>
      <c r="B436" s="41">
        <v>120000000</v>
      </c>
      <c r="C436" s="41">
        <v>2.3E-3</v>
      </c>
      <c r="D436" s="41">
        <v>8</v>
      </c>
      <c r="E436" s="41">
        <v>30</v>
      </c>
      <c r="F436" s="41">
        <v>0</v>
      </c>
      <c r="G436" s="41" t="s">
        <v>2448</v>
      </c>
      <c r="H436" s="41">
        <v>2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2523</v>
      </c>
      <c r="P436" s="109">
        <v>194161</v>
      </c>
      <c r="Q436" s="107"/>
      <c r="R436" s="111"/>
      <c r="S436" s="110"/>
      <c r="T436"/>
      <c r="U436"/>
      <c r="V436"/>
    </row>
    <row r="437" spans="1:22">
      <c r="A437" s="105">
        <v>1819</v>
      </c>
      <c r="B437" s="41">
        <v>120000000</v>
      </c>
      <c r="C437" s="41">
        <v>2.3E-3</v>
      </c>
      <c r="D437" s="41">
        <v>11.313700000000001</v>
      </c>
      <c r="E437" s="41">
        <v>30</v>
      </c>
      <c r="F437" s="41">
        <v>0</v>
      </c>
      <c r="G437" s="41" t="s">
        <v>2448</v>
      </c>
      <c r="H437" s="41">
        <v>2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2524</v>
      </c>
      <c r="P437" s="109">
        <v>194161</v>
      </c>
      <c r="Q437" s="107"/>
      <c r="R437" s="111"/>
      <c r="S437" s="110"/>
      <c r="T437"/>
      <c r="U437"/>
      <c r="V437"/>
    </row>
    <row r="438" spans="1:22">
      <c r="A438" s="105">
        <v>1820</v>
      </c>
      <c r="B438" s="41">
        <v>120000000</v>
      </c>
      <c r="C438" s="41">
        <v>2.3E-3</v>
      </c>
      <c r="D438" s="41">
        <v>16</v>
      </c>
      <c r="E438" s="41">
        <v>30</v>
      </c>
      <c r="F438" s="41">
        <v>0</v>
      </c>
      <c r="G438" s="41" t="s">
        <v>2448</v>
      </c>
      <c r="H438" s="41">
        <v>2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2525</v>
      </c>
      <c r="P438" s="109">
        <v>194161</v>
      </c>
      <c r="Q438" s="107"/>
      <c r="R438" s="111"/>
      <c r="S438" s="110"/>
      <c r="T438"/>
      <c r="U438"/>
      <c r="V438"/>
    </row>
    <row r="439" spans="1:22">
      <c r="A439" s="105">
        <v>1821</v>
      </c>
      <c r="B439" s="41">
        <v>120000000</v>
      </c>
      <c r="C439" s="41">
        <v>2.3E-3</v>
      </c>
      <c r="D439" s="41">
        <v>22.627400000000002</v>
      </c>
      <c r="E439" s="41">
        <v>30</v>
      </c>
      <c r="F439" s="41">
        <v>0</v>
      </c>
      <c r="G439" s="41" t="s">
        <v>2448</v>
      </c>
      <c r="H439" s="41">
        <v>2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2526</v>
      </c>
      <c r="P439" s="109">
        <v>194161</v>
      </c>
      <c r="Q439" s="107"/>
      <c r="R439" s="111"/>
      <c r="S439" s="110"/>
      <c r="T439"/>
      <c r="U439"/>
      <c r="V439"/>
    </row>
    <row r="440" spans="1:22">
      <c r="A440" s="105">
        <v>1822</v>
      </c>
      <c r="B440" s="41">
        <v>120000000</v>
      </c>
      <c r="C440" s="41">
        <v>2.3E-3</v>
      </c>
      <c r="D440" s="41">
        <v>32</v>
      </c>
      <c r="E440" s="41">
        <v>30</v>
      </c>
      <c r="F440" s="41">
        <v>0</v>
      </c>
      <c r="G440" s="41" t="s">
        <v>2448</v>
      </c>
      <c r="H440" s="41">
        <v>2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2527</v>
      </c>
      <c r="P440" s="109">
        <v>194161</v>
      </c>
      <c r="Q440" s="107"/>
      <c r="R440" s="111"/>
      <c r="S440" s="110"/>
      <c r="T440"/>
      <c r="U440"/>
      <c r="V440"/>
    </row>
    <row r="441" spans="1:22">
      <c r="A441" s="105">
        <v>1823</v>
      </c>
      <c r="B441" s="41">
        <v>120000000</v>
      </c>
      <c r="C441" s="41">
        <v>2.3E-3</v>
      </c>
      <c r="D441" s="41">
        <v>45.254800000000003</v>
      </c>
      <c r="E441" s="41">
        <v>30</v>
      </c>
      <c r="F441" s="41">
        <v>0</v>
      </c>
      <c r="G441" s="41" t="s">
        <v>2448</v>
      </c>
      <c r="H441" s="41">
        <v>2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2528</v>
      </c>
      <c r="P441" s="109">
        <v>194161</v>
      </c>
      <c r="Q441" s="107"/>
      <c r="R441" s="111"/>
      <c r="S441" s="110"/>
      <c r="T441"/>
      <c r="U441"/>
      <c r="V441"/>
    </row>
    <row r="442" spans="1:22">
      <c r="A442" s="105">
        <v>1824</v>
      </c>
      <c r="B442" s="41">
        <v>120000000</v>
      </c>
      <c r="C442" s="41">
        <v>2.5000000000000001E-3</v>
      </c>
      <c r="D442" s="41">
        <v>2</v>
      </c>
      <c r="E442" s="41">
        <v>30</v>
      </c>
      <c r="F442" s="41">
        <v>0</v>
      </c>
      <c r="G442" s="41" t="s">
        <v>2448</v>
      </c>
      <c r="H442" s="41">
        <v>2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2529</v>
      </c>
      <c r="P442" s="109">
        <v>194161</v>
      </c>
      <c r="Q442" s="107"/>
      <c r="R442" s="111"/>
      <c r="S442" s="110"/>
      <c r="T442"/>
      <c r="U442"/>
      <c r="V442"/>
    </row>
    <row r="443" spans="1:22">
      <c r="A443" s="105">
        <v>1825</v>
      </c>
      <c r="B443" s="41">
        <v>120000000</v>
      </c>
      <c r="C443" s="41">
        <v>2.5000000000000001E-3</v>
      </c>
      <c r="D443" s="41">
        <v>2.8283999999999998</v>
      </c>
      <c r="E443" s="41">
        <v>30</v>
      </c>
      <c r="F443" s="41">
        <v>0</v>
      </c>
      <c r="G443" s="41" t="s">
        <v>2448</v>
      </c>
      <c r="H443" s="41">
        <v>2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2530</v>
      </c>
      <c r="P443" s="109">
        <v>194161</v>
      </c>
      <c r="Q443" s="107"/>
      <c r="R443" s="111"/>
      <c r="S443" s="110"/>
      <c r="T443"/>
      <c r="U443"/>
      <c r="V443"/>
    </row>
    <row r="444" spans="1:22">
      <c r="A444" s="105">
        <v>1826</v>
      </c>
      <c r="B444" s="41">
        <v>120000000</v>
      </c>
      <c r="C444" s="41">
        <v>2.5000000000000001E-3</v>
      </c>
      <c r="D444" s="41">
        <v>4</v>
      </c>
      <c r="E444" s="41">
        <v>30</v>
      </c>
      <c r="F444" s="41">
        <v>0</v>
      </c>
      <c r="G444" s="41" t="s">
        <v>2448</v>
      </c>
      <c r="H444" s="41">
        <v>2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2531</v>
      </c>
      <c r="P444" s="109">
        <v>194161</v>
      </c>
      <c r="Q444" s="107"/>
      <c r="R444" s="111"/>
      <c r="S444" s="110"/>
      <c r="T444"/>
      <c r="U444"/>
      <c r="V444"/>
    </row>
    <row r="445" spans="1:22">
      <c r="A445" s="105">
        <v>1827</v>
      </c>
      <c r="B445" s="41">
        <v>120000000</v>
      </c>
      <c r="C445" s="41">
        <v>2.5000000000000001E-3</v>
      </c>
      <c r="D445" s="41">
        <v>5.6569000000000003</v>
      </c>
      <c r="E445" s="41">
        <v>30</v>
      </c>
      <c r="F445" s="41">
        <v>0</v>
      </c>
      <c r="G445" s="41" t="s">
        <v>2448</v>
      </c>
      <c r="H445" s="41">
        <v>2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2532</v>
      </c>
      <c r="P445" s="109">
        <v>194161</v>
      </c>
      <c r="Q445" s="107"/>
      <c r="R445" s="111"/>
      <c r="S445" s="110"/>
      <c r="T445"/>
      <c r="U445"/>
      <c r="V445"/>
    </row>
    <row r="446" spans="1:22">
      <c r="A446" s="105">
        <v>1828</v>
      </c>
      <c r="B446" s="41">
        <v>120000000</v>
      </c>
      <c r="C446" s="41">
        <v>2.5000000000000001E-3</v>
      </c>
      <c r="D446" s="41">
        <v>8</v>
      </c>
      <c r="E446" s="41">
        <v>30</v>
      </c>
      <c r="F446" s="41">
        <v>0</v>
      </c>
      <c r="G446" s="41" t="s">
        <v>2448</v>
      </c>
      <c r="H446" s="41">
        <v>2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2533</v>
      </c>
      <c r="P446" s="109">
        <v>194161</v>
      </c>
      <c r="Q446" s="107"/>
      <c r="R446" s="111"/>
      <c r="S446" s="110"/>
      <c r="T446"/>
      <c r="U446"/>
      <c r="V446"/>
    </row>
    <row r="447" spans="1:22">
      <c r="A447" s="105">
        <v>1829</v>
      </c>
      <c r="B447" s="41">
        <v>120000000</v>
      </c>
      <c r="C447" s="41">
        <v>2.5000000000000001E-3</v>
      </c>
      <c r="D447" s="41">
        <v>11.313700000000001</v>
      </c>
      <c r="E447" s="41">
        <v>30</v>
      </c>
      <c r="F447" s="41">
        <v>0</v>
      </c>
      <c r="G447" s="41" t="s">
        <v>2448</v>
      </c>
      <c r="H447" s="41">
        <v>2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2534</v>
      </c>
      <c r="P447" s="109">
        <v>194161</v>
      </c>
      <c r="Q447" s="107"/>
      <c r="R447" s="111"/>
      <c r="S447" s="110"/>
      <c r="T447"/>
      <c r="U447"/>
      <c r="V447"/>
    </row>
    <row r="448" spans="1:22">
      <c r="A448" s="105">
        <v>1830</v>
      </c>
      <c r="B448" s="41">
        <v>120000000</v>
      </c>
      <c r="C448" s="41">
        <v>2.5000000000000001E-3</v>
      </c>
      <c r="D448" s="41">
        <v>16</v>
      </c>
      <c r="E448" s="41">
        <v>30</v>
      </c>
      <c r="F448" s="41">
        <v>0</v>
      </c>
      <c r="G448" s="41" t="s">
        <v>2448</v>
      </c>
      <c r="H448" s="41">
        <v>2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2535</v>
      </c>
      <c r="P448" s="109">
        <v>194161</v>
      </c>
      <c r="Q448" s="107"/>
      <c r="R448" s="111"/>
      <c r="S448" s="110"/>
      <c r="T448"/>
      <c r="U448"/>
      <c r="V448"/>
    </row>
    <row r="449" spans="1:22">
      <c r="A449" s="105">
        <v>1831</v>
      </c>
      <c r="B449" s="41">
        <v>120000000</v>
      </c>
      <c r="C449" s="41">
        <v>2.5000000000000001E-3</v>
      </c>
      <c r="D449" s="41">
        <v>22.627400000000002</v>
      </c>
      <c r="E449" s="41">
        <v>30</v>
      </c>
      <c r="F449" s="41">
        <v>0</v>
      </c>
      <c r="G449" s="41" t="s">
        <v>2448</v>
      </c>
      <c r="H449" s="41">
        <v>2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2536</v>
      </c>
      <c r="P449" s="109">
        <v>194161</v>
      </c>
      <c r="Q449" s="107"/>
      <c r="R449" s="111"/>
      <c r="S449" s="110"/>
      <c r="T449"/>
      <c r="U449"/>
      <c r="V449"/>
    </row>
    <row r="450" spans="1:22">
      <c r="A450" s="105">
        <v>1832</v>
      </c>
      <c r="B450" s="41">
        <v>120000000</v>
      </c>
      <c r="C450" s="41">
        <v>2.5000000000000001E-3</v>
      </c>
      <c r="D450" s="41">
        <v>32</v>
      </c>
      <c r="E450" s="41">
        <v>30</v>
      </c>
      <c r="F450" s="41">
        <v>0</v>
      </c>
      <c r="G450" s="41" t="s">
        <v>2448</v>
      </c>
      <c r="H450" s="41">
        <v>2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2537</v>
      </c>
      <c r="P450" s="109">
        <v>194161</v>
      </c>
      <c r="Q450" s="107"/>
      <c r="R450" s="111"/>
      <c r="S450" s="110"/>
      <c r="T450"/>
      <c r="U450"/>
      <c r="V450"/>
    </row>
    <row r="451" spans="1:22">
      <c r="A451" s="105">
        <v>1833</v>
      </c>
      <c r="B451" s="41">
        <v>120000000</v>
      </c>
      <c r="C451" s="41">
        <v>2.5000000000000001E-3</v>
      </c>
      <c r="D451" s="41">
        <v>45.254800000000003</v>
      </c>
      <c r="E451" s="41">
        <v>30</v>
      </c>
      <c r="F451" s="41">
        <v>0</v>
      </c>
      <c r="G451" s="41" t="s">
        <v>2448</v>
      </c>
      <c r="H451" s="41">
        <v>2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2538</v>
      </c>
      <c r="P451" s="109">
        <v>194161</v>
      </c>
      <c r="Q451" s="107"/>
      <c r="R451" s="111"/>
      <c r="S451" s="110"/>
      <c r="T451"/>
      <c r="U451"/>
      <c r="V451"/>
    </row>
    <row r="452" spans="1:22">
      <c r="A452" s="105">
        <v>1834</v>
      </c>
      <c r="B452" s="41">
        <v>120000000</v>
      </c>
      <c r="C452" s="41">
        <v>2.7000000000000001E-3</v>
      </c>
      <c r="D452" s="41">
        <v>2.8283999999999998</v>
      </c>
      <c r="E452" s="41">
        <v>30</v>
      </c>
      <c r="F452" s="41">
        <v>0</v>
      </c>
      <c r="G452" s="41" t="s">
        <v>2448</v>
      </c>
      <c r="H452" s="41">
        <v>2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2539</v>
      </c>
      <c r="P452" s="109">
        <v>194356</v>
      </c>
      <c r="Q452" s="107"/>
      <c r="R452" s="111"/>
      <c r="S452" s="110"/>
      <c r="T452"/>
      <c r="U452"/>
      <c r="V452"/>
    </row>
    <row r="453" spans="1:22">
      <c r="A453" s="105">
        <v>1835</v>
      </c>
      <c r="B453" s="41">
        <v>120000000</v>
      </c>
      <c r="C453" s="41">
        <v>2.7000000000000001E-3</v>
      </c>
      <c r="D453" s="41">
        <v>4</v>
      </c>
      <c r="E453" s="41">
        <v>30</v>
      </c>
      <c r="F453" s="41">
        <v>0</v>
      </c>
      <c r="G453" s="41" t="s">
        <v>2448</v>
      </c>
      <c r="H453" s="41">
        <v>2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2540</v>
      </c>
      <c r="P453" s="109">
        <v>194356</v>
      </c>
      <c r="Q453" s="107"/>
      <c r="R453" s="111"/>
      <c r="S453" s="110"/>
      <c r="T453"/>
      <c r="U453"/>
      <c r="V453"/>
    </row>
    <row r="454" spans="1:22">
      <c r="A454" s="105">
        <v>1836</v>
      </c>
      <c r="B454" s="41">
        <v>120000000</v>
      </c>
      <c r="C454" s="41">
        <v>2.7000000000000001E-3</v>
      </c>
      <c r="D454" s="41">
        <v>5.6569000000000003</v>
      </c>
      <c r="E454" s="41">
        <v>30</v>
      </c>
      <c r="F454" s="41">
        <v>0</v>
      </c>
      <c r="G454" s="41" t="s">
        <v>2448</v>
      </c>
      <c r="H454" s="41">
        <v>2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2541</v>
      </c>
      <c r="P454" s="109">
        <v>194356</v>
      </c>
      <c r="Q454" s="107"/>
      <c r="R454" s="111"/>
      <c r="S454" s="110"/>
      <c r="T454"/>
      <c r="U454"/>
      <c r="V454"/>
    </row>
    <row r="455" spans="1:22">
      <c r="A455" s="105">
        <v>1837</v>
      </c>
      <c r="B455" s="41">
        <v>120000000</v>
      </c>
      <c r="C455" s="41">
        <v>2.7000000000000001E-3</v>
      </c>
      <c r="D455" s="41">
        <v>8</v>
      </c>
      <c r="E455" s="41">
        <v>30</v>
      </c>
      <c r="F455" s="41">
        <v>0</v>
      </c>
      <c r="G455" s="41" t="s">
        <v>2448</v>
      </c>
      <c r="H455" s="41">
        <v>2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2542</v>
      </c>
      <c r="P455" s="109">
        <v>194356</v>
      </c>
      <c r="Q455" s="107"/>
      <c r="R455" s="111"/>
      <c r="S455" s="110"/>
      <c r="T455"/>
      <c r="U455"/>
      <c r="V455"/>
    </row>
    <row r="456" spans="1:22">
      <c r="A456" s="105">
        <v>1838</v>
      </c>
      <c r="B456" s="41">
        <v>120000000</v>
      </c>
      <c r="C456" s="41">
        <v>2.7000000000000001E-3</v>
      </c>
      <c r="D456" s="41">
        <v>11.313700000000001</v>
      </c>
      <c r="E456" s="41">
        <v>30</v>
      </c>
      <c r="F456" s="41">
        <v>0</v>
      </c>
      <c r="G456" s="41" t="s">
        <v>2448</v>
      </c>
      <c r="H456" s="41">
        <v>2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2543</v>
      </c>
      <c r="P456" s="109">
        <v>194356</v>
      </c>
      <c r="Q456" s="107"/>
      <c r="R456" s="111"/>
      <c r="S456" s="110"/>
      <c r="T456"/>
      <c r="U456"/>
      <c r="V456"/>
    </row>
    <row r="457" spans="1:22">
      <c r="A457" s="105">
        <v>1839</v>
      </c>
      <c r="B457" s="41">
        <v>120000000</v>
      </c>
      <c r="C457" s="41">
        <v>2.7000000000000001E-3</v>
      </c>
      <c r="D457" s="41">
        <v>16</v>
      </c>
      <c r="E457" s="41">
        <v>30</v>
      </c>
      <c r="F457" s="41">
        <v>0</v>
      </c>
      <c r="G457" s="41" t="s">
        <v>2448</v>
      </c>
      <c r="H457" s="41">
        <v>2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2544</v>
      </c>
      <c r="P457" s="109">
        <v>194356</v>
      </c>
      <c r="Q457" s="107"/>
      <c r="R457" s="111"/>
      <c r="S457" s="110"/>
      <c r="T457"/>
      <c r="U457"/>
      <c r="V457"/>
    </row>
    <row r="458" spans="1:22">
      <c r="A458" s="105">
        <v>1840</v>
      </c>
      <c r="B458" s="41">
        <v>120000000</v>
      </c>
      <c r="C458" s="41">
        <v>2.7000000000000001E-3</v>
      </c>
      <c r="D458" s="41">
        <v>22.627400000000002</v>
      </c>
      <c r="E458" s="41">
        <v>30</v>
      </c>
      <c r="F458" s="41">
        <v>0</v>
      </c>
      <c r="G458" s="41" t="s">
        <v>2448</v>
      </c>
      <c r="H458" s="41">
        <v>2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2545</v>
      </c>
      <c r="P458" s="109">
        <v>194356</v>
      </c>
      <c r="Q458" s="107"/>
      <c r="R458" s="111"/>
      <c r="S458" s="110"/>
      <c r="T458"/>
      <c r="U458"/>
      <c r="V458"/>
    </row>
    <row r="459" spans="1:22">
      <c r="A459" s="105">
        <v>1841</v>
      </c>
      <c r="B459" s="41">
        <v>120000000</v>
      </c>
      <c r="C459" s="41">
        <v>2.7000000000000001E-3</v>
      </c>
      <c r="D459" s="41">
        <v>32</v>
      </c>
      <c r="E459" s="41">
        <v>30</v>
      </c>
      <c r="F459" s="41">
        <v>0</v>
      </c>
      <c r="G459" s="41" t="s">
        <v>2448</v>
      </c>
      <c r="H459" s="41">
        <v>2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2546</v>
      </c>
      <c r="P459" s="109">
        <v>194356</v>
      </c>
      <c r="Q459" s="107"/>
      <c r="R459" s="111"/>
      <c r="S459" s="110"/>
      <c r="T459"/>
      <c r="U459"/>
      <c r="V459"/>
    </row>
    <row r="460" spans="1:22">
      <c r="A460" s="105">
        <v>1842</v>
      </c>
      <c r="B460" s="41">
        <v>120000000</v>
      </c>
      <c r="C460" s="41">
        <v>2.7000000000000001E-3</v>
      </c>
      <c r="D460" s="41">
        <v>45.254800000000003</v>
      </c>
      <c r="E460" s="41">
        <v>30</v>
      </c>
      <c r="F460" s="41">
        <v>0</v>
      </c>
      <c r="G460" s="41" t="s">
        <v>2448</v>
      </c>
      <c r="H460" s="41">
        <v>2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2547</v>
      </c>
      <c r="P460" s="109">
        <v>194356</v>
      </c>
      <c r="Q460" s="107"/>
      <c r="R460" s="111"/>
      <c r="S460" s="110"/>
      <c r="T460"/>
      <c r="U460"/>
      <c r="V460"/>
    </row>
    <row r="461" spans="1:22">
      <c r="A461" s="105">
        <v>1843</v>
      </c>
      <c r="B461" s="41">
        <v>120000000</v>
      </c>
      <c r="C461" s="41">
        <v>2.8999999999999998E-3</v>
      </c>
      <c r="D461" s="41">
        <v>2.8283999999999998</v>
      </c>
      <c r="E461" s="41">
        <v>30</v>
      </c>
      <c r="F461" s="41">
        <v>0</v>
      </c>
      <c r="G461" s="41" t="s">
        <v>2448</v>
      </c>
      <c r="H461" s="41">
        <v>2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2548</v>
      </c>
      <c r="P461" s="109">
        <v>194356</v>
      </c>
      <c r="Q461" s="107"/>
      <c r="R461" s="111"/>
      <c r="S461" s="110"/>
      <c r="T461"/>
      <c r="U461"/>
      <c r="V461"/>
    </row>
    <row r="462" spans="1:22">
      <c r="A462" s="105">
        <v>1844</v>
      </c>
      <c r="B462" s="41">
        <v>120000000</v>
      </c>
      <c r="C462" s="41">
        <v>2.8999999999999998E-3</v>
      </c>
      <c r="D462" s="41">
        <v>4</v>
      </c>
      <c r="E462" s="41">
        <v>30</v>
      </c>
      <c r="F462" s="41">
        <v>0</v>
      </c>
      <c r="G462" s="41" t="s">
        <v>2448</v>
      </c>
      <c r="H462" s="41">
        <v>2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2549</v>
      </c>
      <c r="P462" s="109">
        <v>194356</v>
      </c>
      <c r="Q462" s="107"/>
      <c r="R462" s="111"/>
      <c r="S462" s="110"/>
      <c r="T462"/>
      <c r="U462"/>
      <c r="V462"/>
    </row>
    <row r="463" spans="1:22">
      <c r="A463" s="105">
        <v>1845</v>
      </c>
      <c r="B463" s="41">
        <v>120000000</v>
      </c>
      <c r="C463" s="41">
        <v>2.8999999999999998E-3</v>
      </c>
      <c r="D463" s="41">
        <v>5.6569000000000003</v>
      </c>
      <c r="E463" s="41">
        <v>30</v>
      </c>
      <c r="F463" s="41">
        <v>0</v>
      </c>
      <c r="G463" s="41" t="s">
        <v>2448</v>
      </c>
      <c r="H463" s="41">
        <v>2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2550</v>
      </c>
      <c r="P463" s="109">
        <v>194356</v>
      </c>
      <c r="Q463" s="107"/>
      <c r="R463" s="111"/>
      <c r="S463" s="110"/>
      <c r="T463"/>
      <c r="U463"/>
      <c r="V463"/>
    </row>
    <row r="464" spans="1:22">
      <c r="A464" s="105">
        <v>1846</v>
      </c>
      <c r="B464" s="41">
        <v>120000000</v>
      </c>
      <c r="C464" s="41">
        <v>2.8999999999999998E-3</v>
      </c>
      <c r="D464" s="41">
        <v>8</v>
      </c>
      <c r="E464" s="41">
        <v>30</v>
      </c>
      <c r="F464" s="41">
        <v>0</v>
      </c>
      <c r="G464" s="41" t="s">
        <v>2448</v>
      </c>
      <c r="H464" s="41">
        <v>2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2551</v>
      </c>
      <c r="P464" s="109">
        <v>194356</v>
      </c>
      <c r="Q464" s="107"/>
      <c r="R464" s="111"/>
      <c r="S464" s="110"/>
      <c r="T464"/>
      <c r="U464"/>
      <c r="V464"/>
    </row>
    <row r="465" spans="1:22">
      <c r="A465" s="105">
        <v>1847</v>
      </c>
      <c r="B465" s="41">
        <v>120000000</v>
      </c>
      <c r="C465" s="41">
        <v>2.8999999999999998E-3</v>
      </c>
      <c r="D465" s="41">
        <v>11.313700000000001</v>
      </c>
      <c r="E465" s="41">
        <v>30</v>
      </c>
      <c r="F465" s="41">
        <v>0</v>
      </c>
      <c r="G465" s="41" t="s">
        <v>2448</v>
      </c>
      <c r="H465" s="41">
        <v>2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2552</v>
      </c>
      <c r="P465" s="109">
        <v>194356</v>
      </c>
      <c r="Q465" s="107"/>
      <c r="R465" s="111"/>
      <c r="S465" s="110"/>
      <c r="T465"/>
      <c r="U465"/>
      <c r="V465"/>
    </row>
    <row r="466" spans="1:22">
      <c r="A466" s="105">
        <v>1848</v>
      </c>
      <c r="B466" s="41">
        <v>120000000</v>
      </c>
      <c r="C466" s="41">
        <v>2.8999999999999998E-3</v>
      </c>
      <c r="D466" s="41">
        <v>16</v>
      </c>
      <c r="E466" s="41">
        <v>30</v>
      </c>
      <c r="F466" s="41">
        <v>0</v>
      </c>
      <c r="G466" s="41" t="s">
        <v>2448</v>
      </c>
      <c r="H466" s="41">
        <v>2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2553</v>
      </c>
      <c r="P466" s="109">
        <v>194356</v>
      </c>
      <c r="Q466" s="107"/>
      <c r="R466" s="111"/>
      <c r="S466" s="110"/>
      <c r="T466"/>
      <c r="U466"/>
      <c r="V466"/>
    </row>
    <row r="467" spans="1:22">
      <c r="A467" s="105">
        <v>1849</v>
      </c>
      <c r="B467" s="41">
        <v>120000000</v>
      </c>
      <c r="C467" s="41">
        <v>2.8999999999999998E-3</v>
      </c>
      <c r="D467" s="41">
        <v>22.627400000000002</v>
      </c>
      <c r="E467" s="41">
        <v>30</v>
      </c>
      <c r="F467" s="41">
        <v>0</v>
      </c>
      <c r="G467" s="41" t="s">
        <v>2448</v>
      </c>
      <c r="H467" s="41">
        <v>2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2554</v>
      </c>
      <c r="P467" s="109">
        <v>194356</v>
      </c>
      <c r="Q467" s="107"/>
      <c r="R467" s="111"/>
      <c r="S467" s="110"/>
      <c r="T467"/>
      <c r="U467"/>
      <c r="V467"/>
    </row>
    <row r="468" spans="1:22">
      <c r="A468" s="105">
        <v>1850</v>
      </c>
      <c r="B468" s="41">
        <v>120000000</v>
      </c>
      <c r="C468" s="41">
        <v>2.8999999999999998E-3</v>
      </c>
      <c r="D468" s="41">
        <v>32</v>
      </c>
      <c r="E468" s="41">
        <v>30</v>
      </c>
      <c r="F468" s="41">
        <v>0</v>
      </c>
      <c r="G468" s="41" t="s">
        <v>2448</v>
      </c>
      <c r="H468" s="41">
        <v>2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2555</v>
      </c>
      <c r="P468" s="109">
        <v>194356</v>
      </c>
      <c r="Q468" s="107"/>
      <c r="R468" s="111"/>
      <c r="S468" s="110"/>
      <c r="T468"/>
      <c r="U468"/>
      <c r="V468"/>
    </row>
    <row r="469" spans="1:22">
      <c r="A469" s="105">
        <v>1851</v>
      </c>
      <c r="B469" s="41">
        <v>120000000</v>
      </c>
      <c r="C469" s="41">
        <v>2.8999999999999998E-3</v>
      </c>
      <c r="D469" s="41">
        <v>45.254800000000003</v>
      </c>
      <c r="E469" s="41">
        <v>30</v>
      </c>
      <c r="F469" s="41">
        <v>0</v>
      </c>
      <c r="G469" s="41" t="s">
        <v>2448</v>
      </c>
      <c r="H469" s="41">
        <v>2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2556</v>
      </c>
      <c r="P469" s="109">
        <v>194356</v>
      </c>
      <c r="Q469" s="107"/>
      <c r="R469" s="111"/>
      <c r="S469" s="110"/>
      <c r="T469"/>
      <c r="U469"/>
      <c r="V469"/>
    </row>
    <row r="470" spans="1:22">
      <c r="A470" s="105">
        <v>1852</v>
      </c>
      <c r="B470" s="41">
        <v>120000000</v>
      </c>
      <c r="C470" s="41">
        <v>3.2000000000000002E-3</v>
      </c>
      <c r="D470" s="41">
        <v>4</v>
      </c>
      <c r="E470" s="41">
        <v>30</v>
      </c>
      <c r="F470" s="41">
        <v>0</v>
      </c>
      <c r="G470" s="41" t="s">
        <v>2448</v>
      </c>
      <c r="H470" s="41">
        <v>2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2557</v>
      </c>
      <c r="P470" s="109">
        <v>194356</v>
      </c>
      <c r="Q470" s="107"/>
      <c r="R470" s="111"/>
      <c r="S470" s="110"/>
      <c r="T470"/>
      <c r="U470"/>
      <c r="V470"/>
    </row>
    <row r="471" spans="1:22">
      <c r="A471" s="105">
        <v>1853</v>
      </c>
      <c r="B471" s="41">
        <v>120000000</v>
      </c>
      <c r="C471" s="41">
        <v>3.2000000000000002E-3</v>
      </c>
      <c r="D471" s="41">
        <v>5.6569000000000003</v>
      </c>
      <c r="E471" s="41">
        <v>30</v>
      </c>
      <c r="F471" s="41">
        <v>0</v>
      </c>
      <c r="G471" s="41" t="s">
        <v>2448</v>
      </c>
      <c r="H471" s="41">
        <v>2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2558</v>
      </c>
      <c r="P471" s="109">
        <v>194356</v>
      </c>
      <c r="Q471" s="107"/>
      <c r="R471" s="111"/>
      <c r="S471" s="110"/>
      <c r="T471"/>
      <c r="U471"/>
      <c r="V471"/>
    </row>
    <row r="472" spans="1:22">
      <c r="A472" s="105">
        <v>1854</v>
      </c>
      <c r="B472" s="41">
        <v>120000000</v>
      </c>
      <c r="C472" s="41">
        <v>3.2000000000000002E-3</v>
      </c>
      <c r="D472" s="41">
        <v>8</v>
      </c>
      <c r="E472" s="41">
        <v>30</v>
      </c>
      <c r="F472" s="41">
        <v>0</v>
      </c>
      <c r="G472" s="41" t="s">
        <v>2448</v>
      </c>
      <c r="H472" s="41">
        <v>2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2559</v>
      </c>
      <c r="P472" s="109">
        <v>194356</v>
      </c>
      <c r="Q472" s="107"/>
      <c r="R472" s="111"/>
      <c r="S472" s="110"/>
      <c r="T472"/>
      <c r="U472"/>
      <c r="V472"/>
    </row>
    <row r="473" spans="1:22">
      <c r="A473" s="105">
        <v>1855</v>
      </c>
      <c r="B473" s="41">
        <v>120000000</v>
      </c>
      <c r="C473" s="41">
        <v>3.2000000000000002E-3</v>
      </c>
      <c r="D473" s="41">
        <v>11.313700000000001</v>
      </c>
      <c r="E473" s="41">
        <v>30</v>
      </c>
      <c r="F473" s="41">
        <v>0</v>
      </c>
      <c r="G473" s="41" t="s">
        <v>2448</v>
      </c>
      <c r="H473" s="41">
        <v>2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2560</v>
      </c>
      <c r="P473" s="109">
        <v>194356</v>
      </c>
      <c r="Q473" s="107"/>
      <c r="R473" s="111"/>
      <c r="S473" s="110"/>
      <c r="T473"/>
      <c r="U473"/>
      <c r="V473"/>
    </row>
    <row r="474" spans="1:22">
      <c r="A474" s="105">
        <v>1856</v>
      </c>
      <c r="B474" s="41">
        <v>120000000</v>
      </c>
      <c r="C474" s="41">
        <v>3.2000000000000002E-3</v>
      </c>
      <c r="D474" s="41">
        <v>16</v>
      </c>
      <c r="E474" s="41">
        <v>30</v>
      </c>
      <c r="F474" s="41">
        <v>0</v>
      </c>
      <c r="G474" s="41" t="s">
        <v>2448</v>
      </c>
      <c r="H474" s="41">
        <v>2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2561</v>
      </c>
      <c r="P474" s="109">
        <v>194356</v>
      </c>
      <c r="Q474" s="107"/>
      <c r="R474" s="111"/>
      <c r="S474" s="110"/>
      <c r="T474"/>
      <c r="U474"/>
      <c r="V474"/>
    </row>
    <row r="475" spans="1:22">
      <c r="A475" s="105">
        <v>1857</v>
      </c>
      <c r="B475" s="41">
        <v>120000000</v>
      </c>
      <c r="C475" s="41">
        <v>3.2000000000000002E-3</v>
      </c>
      <c r="D475" s="41">
        <v>22.627400000000002</v>
      </c>
      <c r="E475" s="41">
        <v>30</v>
      </c>
      <c r="F475" s="41">
        <v>0</v>
      </c>
      <c r="G475" s="41" t="s">
        <v>2448</v>
      </c>
      <c r="H475" s="41">
        <v>2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2562</v>
      </c>
      <c r="P475" s="109">
        <v>194356</v>
      </c>
      <c r="Q475" s="107"/>
      <c r="R475" s="111"/>
      <c r="S475" s="110"/>
      <c r="T475"/>
      <c r="U475"/>
      <c r="V475"/>
    </row>
    <row r="476" spans="1:22">
      <c r="A476" s="105">
        <v>1858</v>
      </c>
      <c r="B476" s="41">
        <v>120000000</v>
      </c>
      <c r="C476" s="41">
        <v>3.2000000000000002E-3</v>
      </c>
      <c r="D476" s="41">
        <v>32</v>
      </c>
      <c r="E476" s="41">
        <v>30</v>
      </c>
      <c r="F476" s="41">
        <v>0</v>
      </c>
      <c r="G476" s="41" t="s">
        <v>2448</v>
      </c>
      <c r="H476" s="41">
        <v>2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2563</v>
      </c>
      <c r="P476" s="109">
        <v>194356</v>
      </c>
      <c r="Q476" s="107"/>
      <c r="R476" s="111"/>
      <c r="S476" s="110"/>
      <c r="T476"/>
      <c r="U476"/>
      <c r="V476"/>
    </row>
    <row r="477" spans="1:22">
      <c r="A477" s="105">
        <v>1859</v>
      </c>
      <c r="B477" s="41">
        <v>120000000</v>
      </c>
      <c r="C477" s="41">
        <v>3.2000000000000002E-3</v>
      </c>
      <c r="D477" s="41">
        <v>45.254800000000003</v>
      </c>
      <c r="E477" s="41">
        <v>30</v>
      </c>
      <c r="F477" s="41">
        <v>0</v>
      </c>
      <c r="G477" s="41" t="s">
        <v>2448</v>
      </c>
      <c r="H477" s="41">
        <v>2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2564</v>
      </c>
      <c r="P477" s="109">
        <v>194356</v>
      </c>
      <c r="Q477" s="107"/>
      <c r="R477" s="111"/>
      <c r="S477" s="110"/>
      <c r="T477"/>
      <c r="U477"/>
      <c r="V477"/>
    </row>
    <row r="478" spans="1:22">
      <c r="A478" s="105">
        <v>1860</v>
      </c>
      <c r="B478" s="41">
        <v>120000000</v>
      </c>
      <c r="C478" s="41">
        <v>3.5000000000000001E-3</v>
      </c>
      <c r="D478" s="41">
        <v>4</v>
      </c>
      <c r="E478" s="41">
        <v>30</v>
      </c>
      <c r="F478" s="41">
        <v>0</v>
      </c>
      <c r="G478" s="41" t="s">
        <v>2448</v>
      </c>
      <c r="H478" s="41">
        <v>2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2565</v>
      </c>
      <c r="P478" s="109">
        <v>194356</v>
      </c>
      <c r="Q478" s="107"/>
      <c r="R478" s="111"/>
      <c r="S478" s="110"/>
      <c r="T478"/>
      <c r="U478"/>
      <c r="V478"/>
    </row>
    <row r="479" spans="1:22">
      <c r="A479" s="105">
        <v>1861</v>
      </c>
      <c r="B479" s="41">
        <v>120000000</v>
      </c>
      <c r="C479" s="41">
        <v>3.5000000000000001E-3</v>
      </c>
      <c r="D479" s="41">
        <v>5.6569000000000003</v>
      </c>
      <c r="E479" s="41">
        <v>30</v>
      </c>
      <c r="F479" s="41">
        <v>0</v>
      </c>
      <c r="G479" s="41" t="s">
        <v>2448</v>
      </c>
      <c r="H479" s="41">
        <v>2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2566</v>
      </c>
      <c r="P479" s="109">
        <v>194356</v>
      </c>
      <c r="Q479" s="107"/>
      <c r="R479" s="111"/>
      <c r="S479" s="110"/>
      <c r="T479"/>
      <c r="U479"/>
      <c r="V479"/>
    </row>
    <row r="480" spans="1:22">
      <c r="A480" s="105">
        <v>1862</v>
      </c>
      <c r="B480" s="41">
        <v>120000000</v>
      </c>
      <c r="C480" s="41">
        <v>3.5000000000000001E-3</v>
      </c>
      <c r="D480" s="41">
        <v>8</v>
      </c>
      <c r="E480" s="41">
        <v>30</v>
      </c>
      <c r="F480" s="41">
        <v>0</v>
      </c>
      <c r="G480" s="41" t="s">
        <v>2448</v>
      </c>
      <c r="H480" s="41">
        <v>2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2567</v>
      </c>
      <c r="P480" s="109">
        <v>194356</v>
      </c>
      <c r="Q480" s="107"/>
      <c r="R480" s="111"/>
      <c r="S480" s="110"/>
      <c r="T480"/>
      <c r="U480"/>
      <c r="V480"/>
    </row>
    <row r="481" spans="1:22">
      <c r="A481" s="105">
        <v>1863</v>
      </c>
      <c r="B481" s="41">
        <v>120000000</v>
      </c>
      <c r="C481" s="41">
        <v>3.5000000000000001E-3</v>
      </c>
      <c r="D481" s="41">
        <v>11.313700000000001</v>
      </c>
      <c r="E481" s="41">
        <v>30</v>
      </c>
      <c r="F481" s="41">
        <v>0</v>
      </c>
      <c r="G481" s="41" t="s">
        <v>2448</v>
      </c>
      <c r="H481" s="41">
        <v>2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2568</v>
      </c>
      <c r="P481" s="109">
        <v>194356</v>
      </c>
      <c r="Q481" s="107"/>
      <c r="R481" s="111"/>
      <c r="S481" s="110"/>
      <c r="T481"/>
      <c r="U481"/>
      <c r="V481"/>
    </row>
    <row r="482" spans="1:22">
      <c r="A482" s="105">
        <v>1864</v>
      </c>
      <c r="B482" s="41">
        <v>120000000</v>
      </c>
      <c r="C482" s="41">
        <v>3.5000000000000001E-3</v>
      </c>
      <c r="D482" s="41">
        <v>16</v>
      </c>
      <c r="E482" s="41">
        <v>30</v>
      </c>
      <c r="F482" s="41">
        <v>0</v>
      </c>
      <c r="G482" s="41" t="s">
        <v>2448</v>
      </c>
      <c r="H482" s="41">
        <v>2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2569</v>
      </c>
      <c r="P482" s="109">
        <v>194356</v>
      </c>
      <c r="Q482" s="107"/>
      <c r="R482" s="111"/>
      <c r="S482" s="110"/>
      <c r="T482"/>
      <c r="U482"/>
      <c r="V482"/>
    </row>
    <row r="483" spans="1:22">
      <c r="A483" s="105">
        <v>1865</v>
      </c>
      <c r="B483" s="41">
        <v>120000000</v>
      </c>
      <c r="C483" s="41">
        <v>3.5000000000000001E-3</v>
      </c>
      <c r="D483" s="41">
        <v>22.627400000000002</v>
      </c>
      <c r="E483" s="41">
        <v>30</v>
      </c>
      <c r="F483" s="41">
        <v>0</v>
      </c>
      <c r="G483" s="41" t="s">
        <v>2448</v>
      </c>
      <c r="H483" s="41">
        <v>2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2570</v>
      </c>
      <c r="P483" s="109">
        <v>194356</v>
      </c>
      <c r="Q483" s="107"/>
      <c r="R483" s="111"/>
      <c r="S483" s="110"/>
      <c r="T483"/>
      <c r="U483"/>
      <c r="V483"/>
    </row>
    <row r="484" spans="1:22">
      <c r="A484" s="105">
        <v>1866</v>
      </c>
      <c r="B484" s="41">
        <v>120000000</v>
      </c>
      <c r="C484" s="41">
        <v>3.5000000000000001E-3</v>
      </c>
      <c r="D484" s="41">
        <v>32</v>
      </c>
      <c r="E484" s="41">
        <v>30</v>
      </c>
      <c r="F484" s="41">
        <v>0</v>
      </c>
      <c r="G484" s="41" t="s">
        <v>2448</v>
      </c>
      <c r="H484" s="41">
        <v>2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2571</v>
      </c>
      <c r="P484" s="109">
        <v>194356</v>
      </c>
      <c r="Q484" s="107"/>
      <c r="R484" s="111"/>
      <c r="S484" s="110"/>
      <c r="T484"/>
      <c r="U484"/>
      <c r="V484"/>
    </row>
    <row r="485" spans="1:22">
      <c r="A485" s="105">
        <v>1867</v>
      </c>
      <c r="B485" s="41">
        <v>120000000</v>
      </c>
      <c r="C485" s="41">
        <v>3.5000000000000001E-3</v>
      </c>
      <c r="D485" s="41">
        <v>45.254800000000003</v>
      </c>
      <c r="E485" s="41">
        <v>30</v>
      </c>
      <c r="F485" s="41">
        <v>0</v>
      </c>
      <c r="G485" s="41" t="s">
        <v>2448</v>
      </c>
      <c r="H485" s="41">
        <v>2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2572</v>
      </c>
      <c r="P485" s="109">
        <v>194356</v>
      </c>
      <c r="Q485" s="107"/>
      <c r="R485" s="111"/>
      <c r="S485" s="110"/>
      <c r="T485"/>
      <c r="U485"/>
      <c r="V485"/>
    </row>
    <row r="486" spans="1:22">
      <c r="A486" s="105">
        <v>1868</v>
      </c>
      <c r="B486" s="41">
        <v>120000000</v>
      </c>
      <c r="C486" s="41">
        <v>3.8E-3</v>
      </c>
      <c r="D486" s="41">
        <v>5.6569000000000003</v>
      </c>
      <c r="E486" s="41">
        <v>30</v>
      </c>
      <c r="F486" s="41">
        <v>0</v>
      </c>
      <c r="G486" s="41" t="s">
        <v>2448</v>
      </c>
      <c r="H486" s="41">
        <v>2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2573</v>
      </c>
      <c r="P486" s="109">
        <v>194356</v>
      </c>
      <c r="Q486" s="107"/>
      <c r="R486" s="111"/>
      <c r="S486" s="110"/>
      <c r="T486"/>
      <c r="U486"/>
      <c r="V486"/>
    </row>
    <row r="487" spans="1:22">
      <c r="A487" s="105">
        <v>1869</v>
      </c>
      <c r="B487" s="41">
        <v>120000000</v>
      </c>
      <c r="C487" s="41">
        <v>3.8E-3</v>
      </c>
      <c r="D487" s="41">
        <v>8</v>
      </c>
      <c r="E487" s="41">
        <v>30</v>
      </c>
      <c r="F487" s="41">
        <v>0</v>
      </c>
      <c r="G487" s="41" t="s">
        <v>2448</v>
      </c>
      <c r="H487" s="41">
        <v>2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2574</v>
      </c>
      <c r="P487" s="109">
        <v>194356</v>
      </c>
      <c r="Q487" s="107"/>
      <c r="R487" s="111"/>
      <c r="S487" s="110"/>
      <c r="T487"/>
      <c r="U487"/>
      <c r="V487"/>
    </row>
    <row r="488" spans="1:22">
      <c r="A488" s="105">
        <v>1870</v>
      </c>
      <c r="B488" s="41">
        <v>120000000</v>
      </c>
      <c r="C488" s="41">
        <v>3.8E-3</v>
      </c>
      <c r="D488" s="41">
        <v>11.313700000000001</v>
      </c>
      <c r="E488" s="41">
        <v>30</v>
      </c>
      <c r="F488" s="41">
        <v>0</v>
      </c>
      <c r="G488" s="41" t="s">
        <v>2448</v>
      </c>
      <c r="H488" s="41">
        <v>2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2575</v>
      </c>
      <c r="P488" s="109">
        <v>194356</v>
      </c>
      <c r="Q488" s="107"/>
      <c r="R488" s="111"/>
      <c r="S488" s="110"/>
      <c r="T488"/>
      <c r="U488"/>
      <c r="V488"/>
    </row>
    <row r="489" spans="1:22">
      <c r="A489" s="105">
        <v>1871</v>
      </c>
      <c r="B489" s="41">
        <v>120000000</v>
      </c>
      <c r="C489" s="41">
        <v>3.8E-3</v>
      </c>
      <c r="D489" s="41">
        <v>16</v>
      </c>
      <c r="E489" s="41">
        <v>30</v>
      </c>
      <c r="F489" s="41">
        <v>0</v>
      </c>
      <c r="G489" s="41" t="s">
        <v>2448</v>
      </c>
      <c r="H489" s="41">
        <v>2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2576</v>
      </c>
      <c r="P489" s="109">
        <v>194356</v>
      </c>
      <c r="Q489" s="107"/>
      <c r="R489" s="111"/>
      <c r="S489" s="110"/>
      <c r="T489"/>
      <c r="U489"/>
      <c r="V489"/>
    </row>
    <row r="490" spans="1:22">
      <c r="A490" s="105">
        <v>1872</v>
      </c>
      <c r="B490" s="41">
        <v>120000000</v>
      </c>
      <c r="C490" s="41">
        <v>3.8E-3</v>
      </c>
      <c r="D490" s="41">
        <v>22.627400000000002</v>
      </c>
      <c r="E490" s="41">
        <v>30</v>
      </c>
      <c r="F490" s="41">
        <v>0</v>
      </c>
      <c r="G490" s="41" t="s">
        <v>2448</v>
      </c>
      <c r="H490" s="41">
        <v>2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2577</v>
      </c>
      <c r="P490" s="109">
        <v>194356</v>
      </c>
      <c r="Q490" s="107"/>
      <c r="R490" s="111"/>
      <c r="S490" s="110"/>
      <c r="T490"/>
      <c r="U490"/>
      <c r="V490"/>
    </row>
    <row r="491" spans="1:22">
      <c r="A491" s="105">
        <v>1873</v>
      </c>
      <c r="B491" s="41">
        <v>120000000</v>
      </c>
      <c r="C491" s="41">
        <v>3.8E-3</v>
      </c>
      <c r="D491" s="41">
        <v>32</v>
      </c>
      <c r="E491" s="41">
        <v>30</v>
      </c>
      <c r="F491" s="41">
        <v>0</v>
      </c>
      <c r="G491" s="41" t="s">
        <v>2448</v>
      </c>
      <c r="H491" s="41">
        <v>2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2578</v>
      </c>
      <c r="P491" s="109">
        <v>194356</v>
      </c>
      <c r="Q491" s="107"/>
      <c r="R491" s="111"/>
      <c r="S491" s="110"/>
      <c r="T491"/>
      <c r="U491"/>
      <c r="V491"/>
    </row>
    <row r="492" spans="1:22">
      <c r="A492" s="105">
        <v>1874</v>
      </c>
      <c r="B492" s="41">
        <v>120000000</v>
      </c>
      <c r="C492" s="41">
        <v>3.8E-3</v>
      </c>
      <c r="D492" s="41">
        <v>45.254800000000003</v>
      </c>
      <c r="E492" s="41">
        <v>30</v>
      </c>
      <c r="F492" s="41">
        <v>0</v>
      </c>
      <c r="G492" s="41" t="s">
        <v>2448</v>
      </c>
      <c r="H492" s="41">
        <v>2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2579</v>
      </c>
      <c r="P492" s="109">
        <v>194357</v>
      </c>
      <c r="Q492" s="107"/>
      <c r="R492" s="111"/>
      <c r="S492" s="110"/>
      <c r="T492"/>
      <c r="U492"/>
      <c r="V492"/>
    </row>
    <row r="493" spans="1:22">
      <c r="A493" s="105">
        <v>1875</v>
      </c>
      <c r="B493" s="41">
        <v>120000000</v>
      </c>
      <c r="C493" s="41">
        <v>4.1999999999999997E-3</v>
      </c>
      <c r="D493" s="41">
        <v>5.6569000000000003</v>
      </c>
      <c r="E493" s="41">
        <v>30</v>
      </c>
      <c r="F493" s="41">
        <v>0</v>
      </c>
      <c r="G493" s="41" t="s">
        <v>2448</v>
      </c>
      <c r="H493" s="41">
        <v>2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2580</v>
      </c>
      <c r="P493" s="109">
        <v>194357</v>
      </c>
      <c r="Q493" s="107"/>
      <c r="R493" s="111"/>
      <c r="S493" s="110"/>
      <c r="T493"/>
      <c r="U493"/>
      <c r="V493"/>
    </row>
    <row r="494" spans="1:22">
      <c r="A494" s="105">
        <v>1876</v>
      </c>
      <c r="B494" s="41">
        <v>120000000</v>
      </c>
      <c r="C494" s="41">
        <v>4.1999999999999997E-3</v>
      </c>
      <c r="D494" s="41">
        <v>8</v>
      </c>
      <c r="E494" s="41">
        <v>30</v>
      </c>
      <c r="F494" s="41">
        <v>0</v>
      </c>
      <c r="G494" s="41" t="s">
        <v>2448</v>
      </c>
      <c r="H494" s="41">
        <v>2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2581</v>
      </c>
      <c r="P494" s="109">
        <v>194357</v>
      </c>
      <c r="Q494" s="107"/>
      <c r="R494" s="111"/>
      <c r="S494" s="110"/>
      <c r="T494"/>
      <c r="U494"/>
      <c r="V494"/>
    </row>
    <row r="495" spans="1:22">
      <c r="A495" s="105">
        <v>1877</v>
      </c>
      <c r="B495" s="41">
        <v>120000000</v>
      </c>
      <c r="C495" s="41">
        <v>4.1999999999999997E-3</v>
      </c>
      <c r="D495" s="41">
        <v>11.313700000000001</v>
      </c>
      <c r="E495" s="41">
        <v>30</v>
      </c>
      <c r="F495" s="41">
        <v>0</v>
      </c>
      <c r="G495" s="41" t="s">
        <v>2448</v>
      </c>
      <c r="H495" s="41">
        <v>2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2582</v>
      </c>
      <c r="P495" s="109">
        <v>194357</v>
      </c>
      <c r="Q495" s="107"/>
      <c r="R495" s="111"/>
      <c r="S495" s="110"/>
      <c r="T495"/>
      <c r="U495"/>
      <c r="V495"/>
    </row>
    <row r="496" spans="1:22">
      <c r="A496" s="105">
        <v>1878</v>
      </c>
      <c r="B496" s="41">
        <v>120000000</v>
      </c>
      <c r="C496" s="41">
        <v>4.1999999999999997E-3</v>
      </c>
      <c r="D496" s="41">
        <v>16</v>
      </c>
      <c r="E496" s="41">
        <v>30</v>
      </c>
      <c r="F496" s="41">
        <v>0</v>
      </c>
      <c r="G496" s="41" t="s">
        <v>2448</v>
      </c>
      <c r="H496" s="41">
        <v>2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2583</v>
      </c>
      <c r="P496" s="109">
        <v>194357</v>
      </c>
      <c r="Q496" s="107"/>
      <c r="R496" s="111"/>
      <c r="S496" s="110"/>
      <c r="T496"/>
      <c r="U496"/>
      <c r="V496"/>
    </row>
    <row r="497" spans="1:22">
      <c r="A497" s="105">
        <v>1879</v>
      </c>
      <c r="B497" s="41">
        <v>120000000</v>
      </c>
      <c r="C497" s="41">
        <v>4.1999999999999997E-3</v>
      </c>
      <c r="D497" s="41">
        <v>22.627400000000002</v>
      </c>
      <c r="E497" s="41">
        <v>30</v>
      </c>
      <c r="F497" s="41">
        <v>0</v>
      </c>
      <c r="G497" s="41" t="s">
        <v>2448</v>
      </c>
      <c r="H497" s="41">
        <v>2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2584</v>
      </c>
      <c r="P497" s="109">
        <v>194357</v>
      </c>
      <c r="Q497" s="107"/>
      <c r="R497" s="111"/>
      <c r="S497" s="110"/>
      <c r="T497"/>
      <c r="U497"/>
      <c r="V497"/>
    </row>
    <row r="498" spans="1:22">
      <c r="A498" s="105">
        <v>1880</v>
      </c>
      <c r="B498" s="41">
        <v>120000000</v>
      </c>
      <c r="C498" s="41">
        <v>4.1999999999999997E-3</v>
      </c>
      <c r="D498" s="41">
        <v>32</v>
      </c>
      <c r="E498" s="41">
        <v>30</v>
      </c>
      <c r="F498" s="41">
        <v>0</v>
      </c>
      <c r="G498" s="41" t="s">
        <v>2448</v>
      </c>
      <c r="H498" s="41">
        <v>2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2585</v>
      </c>
      <c r="P498" s="109">
        <v>194357</v>
      </c>
      <c r="Q498" s="107"/>
      <c r="R498" s="111"/>
      <c r="S498" s="110"/>
      <c r="T498"/>
      <c r="U498"/>
      <c r="V498"/>
    </row>
    <row r="499" spans="1:22">
      <c r="A499" s="105">
        <v>1881</v>
      </c>
      <c r="B499" s="41">
        <v>120000000</v>
      </c>
      <c r="C499" s="41">
        <v>4.1999999999999997E-3</v>
      </c>
      <c r="D499" s="41">
        <v>45.254800000000003</v>
      </c>
      <c r="E499" s="41">
        <v>30</v>
      </c>
      <c r="F499" s="41">
        <v>0</v>
      </c>
      <c r="G499" s="41" t="s">
        <v>2448</v>
      </c>
      <c r="H499" s="41">
        <v>2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2586</v>
      </c>
      <c r="P499" s="109">
        <v>194357</v>
      </c>
      <c r="Q499" s="107"/>
      <c r="R499" s="111"/>
      <c r="S499" s="110"/>
      <c r="T499"/>
      <c r="U499"/>
      <c r="V499"/>
    </row>
    <row r="500" spans="1:22">
      <c r="A500" s="105">
        <v>1882</v>
      </c>
      <c r="B500" s="41">
        <v>120000000</v>
      </c>
      <c r="C500" s="41">
        <v>4.4999999999999997E-3</v>
      </c>
      <c r="D500" s="41">
        <v>8</v>
      </c>
      <c r="E500" s="41">
        <v>30</v>
      </c>
      <c r="F500" s="41">
        <v>0</v>
      </c>
      <c r="G500" s="41" t="s">
        <v>2448</v>
      </c>
      <c r="H500" s="41">
        <v>2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2587</v>
      </c>
      <c r="P500" s="109">
        <v>194357</v>
      </c>
      <c r="Q500" s="107"/>
      <c r="R500" s="111"/>
      <c r="S500" s="110"/>
      <c r="T500"/>
      <c r="U500"/>
      <c r="V500"/>
    </row>
    <row r="501" spans="1:22">
      <c r="A501" s="105">
        <v>1883</v>
      </c>
      <c r="B501" s="41">
        <v>120000000</v>
      </c>
      <c r="C501" s="41">
        <v>4.4999999999999997E-3</v>
      </c>
      <c r="D501" s="41">
        <v>11.313700000000001</v>
      </c>
      <c r="E501" s="41">
        <v>30</v>
      </c>
      <c r="F501" s="41">
        <v>0</v>
      </c>
      <c r="G501" s="41" t="s">
        <v>2448</v>
      </c>
      <c r="H501" s="41">
        <v>2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2588</v>
      </c>
      <c r="P501" s="109">
        <v>194357</v>
      </c>
      <c r="Q501" s="107"/>
      <c r="R501" s="111"/>
      <c r="S501" s="110"/>
      <c r="T501"/>
      <c r="U501"/>
      <c r="V501"/>
    </row>
    <row r="502" spans="1:22">
      <c r="A502" s="105">
        <v>1884</v>
      </c>
      <c r="B502" s="41">
        <v>120000000</v>
      </c>
      <c r="C502" s="41">
        <v>4.4999999999999997E-3</v>
      </c>
      <c r="D502" s="41">
        <v>16</v>
      </c>
      <c r="E502" s="41">
        <v>30</v>
      </c>
      <c r="F502" s="41">
        <v>0</v>
      </c>
      <c r="G502" s="41" t="s">
        <v>2448</v>
      </c>
      <c r="H502" s="41">
        <v>2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2589</v>
      </c>
      <c r="P502" s="109">
        <v>194357</v>
      </c>
      <c r="Q502" s="107"/>
      <c r="R502" s="111"/>
      <c r="S502" s="110"/>
      <c r="T502"/>
      <c r="U502"/>
      <c r="V502"/>
    </row>
    <row r="503" spans="1:22">
      <c r="A503" s="105">
        <v>1885</v>
      </c>
      <c r="B503" s="41">
        <v>120000000</v>
      </c>
      <c r="C503" s="41">
        <v>4.4999999999999997E-3</v>
      </c>
      <c r="D503" s="41">
        <v>22.627400000000002</v>
      </c>
      <c r="E503" s="41">
        <v>30</v>
      </c>
      <c r="F503" s="41">
        <v>0</v>
      </c>
      <c r="G503" s="41" t="s">
        <v>2448</v>
      </c>
      <c r="H503" s="41">
        <v>2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2590</v>
      </c>
      <c r="P503" s="109">
        <v>194357</v>
      </c>
      <c r="Q503" s="107"/>
      <c r="R503" s="111"/>
      <c r="S503" s="110"/>
      <c r="T503"/>
      <c r="U503"/>
      <c r="V503"/>
    </row>
    <row r="504" spans="1:22">
      <c r="A504" s="105">
        <v>1886</v>
      </c>
      <c r="B504" s="41">
        <v>120000000</v>
      </c>
      <c r="C504" s="41">
        <v>4.4999999999999997E-3</v>
      </c>
      <c r="D504" s="41">
        <v>32</v>
      </c>
      <c r="E504" s="41">
        <v>30</v>
      </c>
      <c r="F504" s="41">
        <v>0</v>
      </c>
      <c r="G504" s="41" t="s">
        <v>2448</v>
      </c>
      <c r="H504" s="41">
        <v>2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2591</v>
      </c>
      <c r="P504" s="109">
        <v>194357</v>
      </c>
      <c r="Q504" s="107"/>
      <c r="R504" s="111"/>
      <c r="S504" s="110"/>
      <c r="T504"/>
      <c r="U504"/>
      <c r="V504"/>
    </row>
    <row r="505" spans="1:22">
      <c r="A505" s="105">
        <v>1887</v>
      </c>
      <c r="B505" s="41">
        <v>120000000</v>
      </c>
      <c r="C505" s="41">
        <v>4.4999999999999997E-3</v>
      </c>
      <c r="D505" s="41">
        <v>45.254800000000003</v>
      </c>
      <c r="E505" s="41">
        <v>30</v>
      </c>
      <c r="F505" s="41">
        <v>0</v>
      </c>
      <c r="G505" s="41" t="s">
        <v>2448</v>
      </c>
      <c r="H505" s="41">
        <v>2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2592</v>
      </c>
      <c r="P505" s="109">
        <v>194357</v>
      </c>
      <c r="Q505" s="107"/>
      <c r="R505" s="111"/>
      <c r="S505" s="110"/>
      <c r="T505"/>
      <c r="U505"/>
      <c r="V505"/>
    </row>
    <row r="506" spans="1:22">
      <c r="A506" s="105">
        <v>1888</v>
      </c>
      <c r="B506" s="41">
        <v>120000000</v>
      </c>
      <c r="C506" s="41">
        <v>4.8999999999999998E-3</v>
      </c>
      <c r="D506" s="41">
        <v>8</v>
      </c>
      <c r="E506" s="41">
        <v>30</v>
      </c>
      <c r="F506" s="41">
        <v>0</v>
      </c>
      <c r="G506" s="41" t="s">
        <v>2448</v>
      </c>
      <c r="H506" s="41">
        <v>2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2593</v>
      </c>
      <c r="P506" s="109">
        <v>194357</v>
      </c>
      <c r="Q506" s="107"/>
      <c r="R506" s="111"/>
      <c r="S506" s="110"/>
      <c r="T506"/>
      <c r="U506"/>
      <c r="V506"/>
    </row>
    <row r="507" spans="1:22">
      <c r="A507" s="105">
        <v>1889</v>
      </c>
      <c r="B507" s="41">
        <v>120000000</v>
      </c>
      <c r="C507" s="41">
        <v>4.8999999999999998E-3</v>
      </c>
      <c r="D507" s="41">
        <v>11.313700000000001</v>
      </c>
      <c r="E507" s="41">
        <v>30</v>
      </c>
      <c r="F507" s="41">
        <v>0</v>
      </c>
      <c r="G507" s="41" t="s">
        <v>2448</v>
      </c>
      <c r="H507" s="41">
        <v>2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2594</v>
      </c>
      <c r="P507" s="109">
        <v>194357</v>
      </c>
      <c r="Q507" s="107"/>
      <c r="R507" s="111"/>
      <c r="S507" s="110"/>
      <c r="T507"/>
      <c r="U507"/>
      <c r="V507"/>
    </row>
    <row r="508" spans="1:22">
      <c r="A508" s="105">
        <v>1890</v>
      </c>
      <c r="B508" s="41">
        <v>120000000</v>
      </c>
      <c r="C508" s="41">
        <v>4.8999999999999998E-3</v>
      </c>
      <c r="D508" s="41">
        <v>16</v>
      </c>
      <c r="E508" s="41">
        <v>30</v>
      </c>
      <c r="F508" s="41">
        <v>0</v>
      </c>
      <c r="G508" s="41" t="s">
        <v>2448</v>
      </c>
      <c r="H508" s="41">
        <v>2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2595</v>
      </c>
      <c r="P508" s="109">
        <v>194357</v>
      </c>
      <c r="Q508" s="107"/>
      <c r="R508" s="111"/>
      <c r="S508" s="110"/>
      <c r="T508"/>
      <c r="U508"/>
      <c r="V508"/>
    </row>
    <row r="509" spans="1:22">
      <c r="A509" s="105">
        <v>1891</v>
      </c>
      <c r="B509" s="41">
        <v>120000000</v>
      </c>
      <c r="C509" s="41">
        <v>4.8999999999999998E-3</v>
      </c>
      <c r="D509" s="41">
        <v>22.627400000000002</v>
      </c>
      <c r="E509" s="41">
        <v>30</v>
      </c>
      <c r="F509" s="41">
        <v>0</v>
      </c>
      <c r="G509" s="41" t="s">
        <v>2448</v>
      </c>
      <c r="H509" s="41">
        <v>2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2596</v>
      </c>
      <c r="P509" s="109">
        <v>194357</v>
      </c>
      <c r="Q509" s="107"/>
      <c r="R509" s="111"/>
      <c r="S509" s="110"/>
      <c r="T509"/>
      <c r="U509"/>
      <c r="V509"/>
    </row>
    <row r="510" spans="1:22">
      <c r="A510" s="105">
        <v>1892</v>
      </c>
      <c r="B510" s="41">
        <v>120000000</v>
      </c>
      <c r="C510" s="41">
        <v>4.8999999999999998E-3</v>
      </c>
      <c r="D510" s="41">
        <v>32</v>
      </c>
      <c r="E510" s="41">
        <v>30</v>
      </c>
      <c r="F510" s="41">
        <v>0</v>
      </c>
      <c r="G510" s="41" t="s">
        <v>2448</v>
      </c>
      <c r="H510" s="41">
        <v>2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2597</v>
      </c>
      <c r="P510" s="109">
        <v>194357</v>
      </c>
      <c r="Q510" s="107"/>
      <c r="R510" s="111"/>
      <c r="S510" s="110"/>
      <c r="T510"/>
      <c r="U510"/>
      <c r="V510"/>
    </row>
    <row r="511" spans="1:22">
      <c r="A511" s="105">
        <v>1893</v>
      </c>
      <c r="B511" s="41">
        <v>120000000</v>
      </c>
      <c r="C511" s="41">
        <v>4.8999999999999998E-3</v>
      </c>
      <c r="D511" s="41">
        <v>45.254800000000003</v>
      </c>
      <c r="E511" s="41">
        <v>30</v>
      </c>
      <c r="F511" s="41">
        <v>0</v>
      </c>
      <c r="G511" s="41" t="s">
        <v>2448</v>
      </c>
      <c r="H511" s="41">
        <v>2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2598</v>
      </c>
      <c r="P511" s="109">
        <v>194357</v>
      </c>
      <c r="Q511" s="107"/>
      <c r="R511" s="111"/>
      <c r="S511" s="110"/>
      <c r="T511"/>
      <c r="U511"/>
      <c r="V511"/>
    </row>
    <row r="512" spans="1:22">
      <c r="A512" s="105">
        <v>1894</v>
      </c>
      <c r="B512" s="41">
        <v>120000000</v>
      </c>
      <c r="C512" s="41">
        <v>5.4000000000000003E-3</v>
      </c>
      <c r="D512" s="41">
        <v>11.313700000000001</v>
      </c>
      <c r="E512" s="41">
        <v>30</v>
      </c>
      <c r="F512" s="41">
        <v>0</v>
      </c>
      <c r="G512" s="41" t="s">
        <v>2448</v>
      </c>
      <c r="H512" s="41">
        <v>2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2599</v>
      </c>
      <c r="P512" s="109">
        <v>194357</v>
      </c>
      <c r="Q512" s="107"/>
      <c r="R512" s="111"/>
      <c r="S512" s="110"/>
      <c r="T512"/>
      <c r="U512"/>
      <c r="V512"/>
    </row>
    <row r="513" spans="1:22">
      <c r="A513" s="105">
        <v>1895</v>
      </c>
      <c r="B513" s="41">
        <v>120000000</v>
      </c>
      <c r="C513" s="41">
        <v>5.4000000000000003E-3</v>
      </c>
      <c r="D513" s="41">
        <v>16</v>
      </c>
      <c r="E513" s="41">
        <v>30</v>
      </c>
      <c r="F513" s="41">
        <v>0</v>
      </c>
      <c r="G513" s="41" t="s">
        <v>2448</v>
      </c>
      <c r="H513" s="41">
        <v>2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2600</v>
      </c>
      <c r="P513" s="109">
        <v>194357</v>
      </c>
      <c r="Q513" s="107"/>
      <c r="R513" s="111"/>
      <c r="S513" s="110"/>
      <c r="T513"/>
      <c r="U513"/>
      <c r="V513"/>
    </row>
    <row r="514" spans="1:22">
      <c r="A514" s="105">
        <v>1896</v>
      </c>
      <c r="B514" s="41">
        <v>120000000</v>
      </c>
      <c r="C514" s="41">
        <v>5.4000000000000003E-3</v>
      </c>
      <c r="D514" s="41">
        <v>22.627400000000002</v>
      </c>
      <c r="E514" s="41">
        <v>30</v>
      </c>
      <c r="F514" s="41">
        <v>0</v>
      </c>
      <c r="G514" s="41" t="s">
        <v>2448</v>
      </c>
      <c r="H514" s="41">
        <v>2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2601</v>
      </c>
      <c r="P514" s="109">
        <v>194357</v>
      </c>
      <c r="Q514" s="107"/>
      <c r="R514" s="111"/>
      <c r="S514" s="110"/>
      <c r="T514"/>
      <c r="U514"/>
      <c r="V514"/>
    </row>
    <row r="515" spans="1:22">
      <c r="A515" s="105">
        <v>1897</v>
      </c>
      <c r="B515" s="41">
        <v>120000000</v>
      </c>
      <c r="C515" s="41">
        <v>5.4000000000000003E-3</v>
      </c>
      <c r="D515" s="41">
        <v>32</v>
      </c>
      <c r="E515" s="41">
        <v>30</v>
      </c>
      <c r="F515" s="41">
        <v>0</v>
      </c>
      <c r="G515" s="41" t="s">
        <v>2448</v>
      </c>
      <c r="H515" s="41">
        <v>2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2602</v>
      </c>
      <c r="P515" s="109">
        <v>194357</v>
      </c>
      <c r="Q515" s="107"/>
      <c r="R515" s="111"/>
      <c r="S515" s="110"/>
      <c r="T515"/>
      <c r="U515"/>
      <c r="V515"/>
    </row>
    <row r="516" spans="1:22">
      <c r="A516" s="105">
        <v>1898</v>
      </c>
      <c r="B516" s="41">
        <v>120000000</v>
      </c>
      <c r="C516" s="41">
        <v>5.4000000000000003E-3</v>
      </c>
      <c r="D516" s="41">
        <v>45.254800000000003</v>
      </c>
      <c r="E516" s="41">
        <v>30</v>
      </c>
      <c r="F516" s="41">
        <v>0</v>
      </c>
      <c r="G516" s="41" t="s">
        <v>2448</v>
      </c>
      <c r="H516" s="41">
        <v>2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2603</v>
      </c>
      <c r="P516" s="109">
        <v>194357</v>
      </c>
      <c r="Q516" s="107"/>
      <c r="R516" s="111"/>
      <c r="S516" s="110"/>
      <c r="T516"/>
      <c r="U516"/>
      <c r="V516"/>
    </row>
    <row r="517" spans="1:22">
      <c r="A517" s="105">
        <v>1899</v>
      </c>
      <c r="B517" s="41">
        <v>120000000</v>
      </c>
      <c r="C517" s="41">
        <v>5.8999999999999999E-3</v>
      </c>
      <c r="D517" s="41">
        <v>11.313700000000001</v>
      </c>
      <c r="E517" s="41">
        <v>30</v>
      </c>
      <c r="F517" s="41">
        <v>0</v>
      </c>
      <c r="G517" s="41" t="s">
        <v>2448</v>
      </c>
      <c r="H517" s="41">
        <v>2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2604</v>
      </c>
      <c r="P517" s="109">
        <v>194357</v>
      </c>
      <c r="Q517" s="107"/>
      <c r="R517" s="111"/>
      <c r="S517" s="110"/>
      <c r="T517"/>
      <c r="U517"/>
      <c r="V517"/>
    </row>
    <row r="518" spans="1:22">
      <c r="A518" s="105">
        <v>1900</v>
      </c>
      <c r="B518" s="41">
        <v>120000000</v>
      </c>
      <c r="C518" s="41">
        <v>5.8999999999999999E-3</v>
      </c>
      <c r="D518" s="41">
        <v>16</v>
      </c>
      <c r="E518" s="41">
        <v>30</v>
      </c>
      <c r="F518" s="41">
        <v>0</v>
      </c>
      <c r="G518" s="41" t="s">
        <v>2448</v>
      </c>
      <c r="H518" s="41">
        <v>2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2605</v>
      </c>
      <c r="P518" s="109">
        <v>194357</v>
      </c>
      <c r="Q518" s="107"/>
      <c r="R518" s="111"/>
      <c r="S518" s="110"/>
      <c r="T518"/>
      <c r="U518"/>
      <c r="V518"/>
    </row>
    <row r="519" spans="1:22">
      <c r="A519" s="105">
        <v>1901</v>
      </c>
      <c r="B519" s="41">
        <v>120000000</v>
      </c>
      <c r="C519" s="41">
        <v>5.8999999999999999E-3</v>
      </c>
      <c r="D519" s="41">
        <v>22.627400000000002</v>
      </c>
      <c r="E519" s="41">
        <v>30</v>
      </c>
      <c r="F519" s="41">
        <v>0</v>
      </c>
      <c r="G519" s="41" t="s">
        <v>2448</v>
      </c>
      <c r="H519" s="41">
        <v>2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2606</v>
      </c>
      <c r="P519" s="109">
        <v>194357</v>
      </c>
      <c r="Q519" s="107"/>
      <c r="R519" s="111"/>
      <c r="S519" s="110"/>
      <c r="T519"/>
      <c r="U519"/>
      <c r="V519"/>
    </row>
    <row r="520" spans="1:22">
      <c r="A520" s="105">
        <v>1902</v>
      </c>
      <c r="B520" s="41">
        <v>120000000</v>
      </c>
      <c r="C520" s="41">
        <v>5.8999999999999999E-3</v>
      </c>
      <c r="D520" s="41">
        <v>32</v>
      </c>
      <c r="E520" s="41">
        <v>30</v>
      </c>
      <c r="F520" s="41">
        <v>0</v>
      </c>
      <c r="G520" s="41" t="s">
        <v>2448</v>
      </c>
      <c r="H520" s="41">
        <v>2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2607</v>
      </c>
      <c r="P520" s="109">
        <v>194357</v>
      </c>
      <c r="Q520" s="107"/>
      <c r="R520" s="111"/>
      <c r="S520" s="110"/>
      <c r="T520"/>
      <c r="U520"/>
      <c r="V520"/>
    </row>
    <row r="521" spans="1:22">
      <c r="A521" s="105">
        <v>1903</v>
      </c>
      <c r="B521" s="41">
        <v>120000000</v>
      </c>
      <c r="C521" s="41">
        <v>5.8999999999999999E-3</v>
      </c>
      <c r="D521" s="41">
        <v>45.254800000000003</v>
      </c>
      <c r="E521" s="41">
        <v>30</v>
      </c>
      <c r="F521" s="41">
        <v>0</v>
      </c>
      <c r="G521" s="41" t="s">
        <v>2448</v>
      </c>
      <c r="H521" s="41">
        <v>2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2608</v>
      </c>
      <c r="P521" s="109">
        <v>194357</v>
      </c>
      <c r="Q521" s="107"/>
      <c r="R521" s="111"/>
      <c r="S521" s="110"/>
      <c r="T521"/>
      <c r="U521"/>
      <c r="V521"/>
    </row>
    <row r="522" spans="1:22">
      <c r="A522" s="105">
        <v>1904</v>
      </c>
      <c r="B522" s="41">
        <v>120000000</v>
      </c>
      <c r="C522" s="41">
        <v>6.4000000000000003E-3</v>
      </c>
      <c r="D522" s="41">
        <v>16</v>
      </c>
      <c r="E522" s="41">
        <v>30</v>
      </c>
      <c r="F522" s="41">
        <v>0</v>
      </c>
      <c r="G522" s="41" t="s">
        <v>2448</v>
      </c>
      <c r="H522" s="41">
        <v>2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2609</v>
      </c>
      <c r="P522" s="109">
        <v>194357</v>
      </c>
      <c r="Q522" s="107"/>
      <c r="R522" s="111"/>
      <c r="S522" s="110"/>
      <c r="T522"/>
      <c r="U522"/>
      <c r="V522"/>
    </row>
    <row r="523" spans="1:22">
      <c r="A523" s="105">
        <v>1905</v>
      </c>
      <c r="B523" s="41">
        <v>120000000</v>
      </c>
      <c r="C523" s="41">
        <v>6.4000000000000003E-3</v>
      </c>
      <c r="D523" s="41">
        <v>22.627400000000002</v>
      </c>
      <c r="E523" s="41">
        <v>30</v>
      </c>
      <c r="F523" s="41">
        <v>0</v>
      </c>
      <c r="G523" s="41" t="s">
        <v>2448</v>
      </c>
      <c r="H523" s="41">
        <v>2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2610</v>
      </c>
      <c r="P523" s="109">
        <v>194357</v>
      </c>
      <c r="Q523" s="107"/>
      <c r="R523" s="111"/>
      <c r="S523" s="110"/>
      <c r="T523"/>
      <c r="U523"/>
      <c r="V523"/>
    </row>
    <row r="524" spans="1:22">
      <c r="A524" s="105">
        <v>1906</v>
      </c>
      <c r="B524" s="41">
        <v>120000000</v>
      </c>
      <c r="C524" s="41">
        <v>6.4000000000000003E-3</v>
      </c>
      <c r="D524" s="41">
        <v>32</v>
      </c>
      <c r="E524" s="41">
        <v>30</v>
      </c>
      <c r="F524" s="41">
        <v>0</v>
      </c>
      <c r="G524" s="41" t="s">
        <v>2448</v>
      </c>
      <c r="H524" s="41">
        <v>2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2611</v>
      </c>
      <c r="P524" s="109">
        <v>194357</v>
      </c>
      <c r="Q524" s="107"/>
      <c r="R524" s="111"/>
      <c r="S524" s="110"/>
      <c r="T524"/>
      <c r="U524"/>
      <c r="V524"/>
    </row>
    <row r="525" spans="1:22">
      <c r="A525" s="105">
        <v>1907</v>
      </c>
      <c r="B525" s="41">
        <v>120000000</v>
      </c>
      <c r="C525" s="41">
        <v>6.4000000000000003E-3</v>
      </c>
      <c r="D525" s="41">
        <v>45.254800000000003</v>
      </c>
      <c r="E525" s="41">
        <v>30</v>
      </c>
      <c r="F525" s="41">
        <v>0</v>
      </c>
      <c r="G525" s="41" t="s">
        <v>2448</v>
      </c>
      <c r="H525" s="41">
        <v>2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2612</v>
      </c>
      <c r="P525" s="109">
        <v>194357</v>
      </c>
      <c r="Q525" s="107"/>
      <c r="R525" s="111"/>
      <c r="S525" s="110"/>
      <c r="T525"/>
      <c r="U525"/>
      <c r="V525"/>
    </row>
    <row r="526" spans="1:22">
      <c r="A526" s="105">
        <v>1908</v>
      </c>
      <c r="B526" s="41">
        <v>120000000</v>
      </c>
      <c r="C526" s="41">
        <v>7.0000000000000001E-3</v>
      </c>
      <c r="D526" s="41">
        <v>16</v>
      </c>
      <c r="E526" s="41">
        <v>30</v>
      </c>
      <c r="F526" s="41">
        <v>0</v>
      </c>
      <c r="G526" s="41" t="s">
        <v>2448</v>
      </c>
      <c r="H526" s="41">
        <v>2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2613</v>
      </c>
      <c r="P526" s="109">
        <v>194357</v>
      </c>
      <c r="Q526" s="107"/>
      <c r="R526" s="111"/>
      <c r="S526" s="110"/>
      <c r="T526"/>
      <c r="U526"/>
      <c r="V526"/>
    </row>
    <row r="527" spans="1:22">
      <c r="A527" s="105">
        <v>1909</v>
      </c>
      <c r="B527" s="41">
        <v>120000000</v>
      </c>
      <c r="C527" s="41">
        <v>7.0000000000000001E-3</v>
      </c>
      <c r="D527" s="41">
        <v>22.627400000000002</v>
      </c>
      <c r="E527" s="41">
        <v>30</v>
      </c>
      <c r="F527" s="41">
        <v>0</v>
      </c>
      <c r="G527" s="41" t="s">
        <v>2448</v>
      </c>
      <c r="H527" s="41">
        <v>2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2614</v>
      </c>
      <c r="P527" s="109">
        <v>194357</v>
      </c>
      <c r="Q527" s="107"/>
      <c r="R527" s="111"/>
      <c r="S527" s="110"/>
      <c r="T527"/>
      <c r="U527"/>
      <c r="V527"/>
    </row>
    <row r="528" spans="1:22">
      <c r="A528" s="105">
        <v>1910</v>
      </c>
      <c r="B528" s="41">
        <v>120000000</v>
      </c>
      <c r="C528" s="41">
        <v>7.0000000000000001E-3</v>
      </c>
      <c r="D528" s="41">
        <v>32</v>
      </c>
      <c r="E528" s="41">
        <v>30</v>
      </c>
      <c r="F528" s="41">
        <v>0</v>
      </c>
      <c r="G528" s="41" t="s">
        <v>2448</v>
      </c>
      <c r="H528" s="41">
        <v>2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2615</v>
      </c>
      <c r="P528" s="109">
        <v>194357</v>
      </c>
      <c r="Q528" s="107"/>
      <c r="R528" s="111"/>
      <c r="S528" s="110"/>
      <c r="T528"/>
      <c r="U528"/>
      <c r="V528"/>
    </row>
    <row r="529" spans="1:22">
      <c r="A529" s="105">
        <v>1911</v>
      </c>
      <c r="B529" s="41">
        <v>120000000</v>
      </c>
      <c r="C529" s="41">
        <v>7.0000000000000001E-3</v>
      </c>
      <c r="D529" s="41">
        <v>45.254800000000003</v>
      </c>
      <c r="E529" s="41">
        <v>30</v>
      </c>
      <c r="F529" s="41">
        <v>0</v>
      </c>
      <c r="G529" s="41" t="s">
        <v>2448</v>
      </c>
      <c r="H529" s="41">
        <v>2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2616</v>
      </c>
      <c r="P529" s="109">
        <v>194357</v>
      </c>
      <c r="Q529" s="107"/>
      <c r="R529" s="111"/>
      <c r="S529" s="110"/>
      <c r="T529"/>
      <c r="U529"/>
      <c r="V529"/>
    </row>
    <row r="530" spans="1:22">
      <c r="A530" s="105">
        <v>1912</v>
      </c>
      <c r="B530" s="41">
        <v>120000000</v>
      </c>
      <c r="C530" s="41">
        <v>7.6E-3</v>
      </c>
      <c r="D530" s="41">
        <v>22.627400000000002</v>
      </c>
      <c r="E530" s="41">
        <v>30</v>
      </c>
      <c r="F530" s="41">
        <v>0</v>
      </c>
      <c r="G530" s="41" t="s">
        <v>2448</v>
      </c>
      <c r="H530" s="41">
        <v>2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2617</v>
      </c>
      <c r="P530" s="109">
        <v>194357</v>
      </c>
      <c r="Q530" s="107"/>
      <c r="R530" s="111"/>
      <c r="S530" s="110"/>
      <c r="T530"/>
      <c r="U530"/>
      <c r="V530"/>
    </row>
    <row r="531" spans="1:22">
      <c r="A531" s="105">
        <v>1913</v>
      </c>
      <c r="B531" s="41">
        <v>120000000</v>
      </c>
      <c r="C531" s="41">
        <v>7.6E-3</v>
      </c>
      <c r="D531" s="41">
        <v>32</v>
      </c>
      <c r="E531" s="41">
        <v>30</v>
      </c>
      <c r="F531" s="41">
        <v>0</v>
      </c>
      <c r="G531" s="41" t="s">
        <v>2448</v>
      </c>
      <c r="H531" s="41">
        <v>2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2618</v>
      </c>
      <c r="P531" s="109">
        <v>194357</v>
      </c>
      <c r="Q531" s="107"/>
      <c r="R531" s="111"/>
      <c r="S531" s="110"/>
      <c r="T531"/>
      <c r="U531"/>
      <c r="V531"/>
    </row>
    <row r="532" spans="1:22">
      <c r="A532" s="105">
        <v>1914</v>
      </c>
      <c r="B532" s="41">
        <v>120000000</v>
      </c>
      <c r="C532" s="41">
        <v>7.6E-3</v>
      </c>
      <c r="D532" s="41">
        <v>45.254800000000003</v>
      </c>
      <c r="E532" s="41">
        <v>30</v>
      </c>
      <c r="F532" s="41">
        <v>0</v>
      </c>
      <c r="G532" s="41" t="s">
        <v>2448</v>
      </c>
      <c r="H532" s="41">
        <v>2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2619</v>
      </c>
      <c r="P532" s="109">
        <v>194378</v>
      </c>
      <c r="Q532" s="107"/>
      <c r="R532" s="111"/>
      <c r="S532" s="110"/>
      <c r="T532"/>
      <c r="U532"/>
      <c r="V532"/>
    </row>
    <row r="533" spans="1:22">
      <c r="A533" s="105">
        <v>1915</v>
      </c>
      <c r="B533" s="41">
        <v>120000000</v>
      </c>
      <c r="C533" s="41">
        <v>8.3000000000000001E-3</v>
      </c>
      <c r="D533" s="41">
        <v>22.627400000000002</v>
      </c>
      <c r="E533" s="41">
        <v>30</v>
      </c>
      <c r="F533" s="41">
        <v>0</v>
      </c>
      <c r="G533" s="41" t="s">
        <v>2448</v>
      </c>
      <c r="H533" s="41">
        <v>2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2620</v>
      </c>
      <c r="P533" s="109">
        <v>194378</v>
      </c>
      <c r="Q533" s="107"/>
      <c r="R533" s="111"/>
      <c r="S533" s="110"/>
      <c r="T533"/>
      <c r="U533"/>
      <c r="V533"/>
    </row>
    <row r="534" spans="1:22">
      <c r="A534" s="105">
        <v>1916</v>
      </c>
      <c r="B534" s="41">
        <v>120000000</v>
      </c>
      <c r="C534" s="41">
        <v>8.3000000000000001E-3</v>
      </c>
      <c r="D534" s="41">
        <v>32</v>
      </c>
      <c r="E534" s="41">
        <v>30</v>
      </c>
      <c r="F534" s="41">
        <v>0</v>
      </c>
      <c r="G534" s="41" t="s">
        <v>2448</v>
      </c>
      <c r="H534" s="41">
        <v>2</v>
      </c>
      <c r="I534" s="41">
        <v>1</v>
      </c>
      <c r="J534" s="108">
        <v>0</v>
      </c>
      <c r="K534" s="41">
        <v>0</v>
      </c>
      <c r="L534" s="41">
        <v>55</v>
      </c>
      <c r="M534" s="41">
        <v>-1</v>
      </c>
      <c r="N534" s="41">
        <v>4</v>
      </c>
      <c r="O534" s="110" t="s">
        <v>2621</v>
      </c>
      <c r="P534" s="109">
        <v>194378</v>
      </c>
      <c r="Q534" s="107"/>
      <c r="R534" s="111"/>
      <c r="S534" s="110"/>
      <c r="T534"/>
      <c r="U534"/>
      <c r="V534"/>
    </row>
    <row r="535" spans="1:22">
      <c r="A535" s="105">
        <v>1917</v>
      </c>
      <c r="B535" s="41">
        <v>120000000</v>
      </c>
      <c r="C535" s="41">
        <v>8.3000000000000001E-3</v>
      </c>
      <c r="D535" s="41">
        <v>45.254800000000003</v>
      </c>
      <c r="E535" s="41">
        <v>30</v>
      </c>
      <c r="F535" s="41">
        <v>0</v>
      </c>
      <c r="G535" s="41" t="s">
        <v>2448</v>
      </c>
      <c r="H535" s="41">
        <v>2</v>
      </c>
      <c r="I535" s="41">
        <v>1</v>
      </c>
      <c r="J535" s="108">
        <v>0</v>
      </c>
      <c r="K535" s="41">
        <v>0</v>
      </c>
      <c r="L535" s="41">
        <v>55</v>
      </c>
      <c r="M535" s="41">
        <v>-1</v>
      </c>
      <c r="N535" s="41">
        <v>4</v>
      </c>
      <c r="O535" s="110" t="s">
        <v>2622</v>
      </c>
      <c r="P535" s="109">
        <v>194378</v>
      </c>
      <c r="Q535" s="107"/>
      <c r="R535" s="111"/>
      <c r="S535" s="110"/>
      <c r="T535"/>
      <c r="U535"/>
      <c r="V535"/>
    </row>
    <row r="536" spans="1:22">
      <c r="A536" s="105">
        <v>1918</v>
      </c>
      <c r="B536" s="41">
        <v>120000000</v>
      </c>
      <c r="C536" s="41">
        <v>9.1000000000000004E-3</v>
      </c>
      <c r="D536" s="41">
        <v>32</v>
      </c>
      <c r="E536" s="41">
        <v>30</v>
      </c>
      <c r="F536" s="41">
        <v>0</v>
      </c>
      <c r="G536" s="41" t="s">
        <v>2448</v>
      </c>
      <c r="H536" s="41">
        <v>2</v>
      </c>
      <c r="I536" s="41">
        <v>1</v>
      </c>
      <c r="J536" s="108">
        <v>0</v>
      </c>
      <c r="K536" s="41">
        <v>0</v>
      </c>
      <c r="L536" s="41">
        <v>55</v>
      </c>
      <c r="M536" s="41">
        <v>-1</v>
      </c>
      <c r="N536" s="41">
        <v>4</v>
      </c>
      <c r="O536" s="110" t="s">
        <v>2623</v>
      </c>
      <c r="P536" s="109">
        <v>194378</v>
      </c>
      <c r="Q536" s="107"/>
      <c r="R536" s="111"/>
      <c r="S536" s="110"/>
      <c r="T536"/>
      <c r="U536"/>
      <c r="V536"/>
    </row>
    <row r="537" spans="1:22">
      <c r="A537" s="105">
        <v>1919</v>
      </c>
      <c r="B537" s="41">
        <v>120000000</v>
      </c>
      <c r="C537" s="41">
        <v>9.1000000000000004E-3</v>
      </c>
      <c r="D537" s="41">
        <v>45.254800000000003</v>
      </c>
      <c r="E537" s="41">
        <v>30</v>
      </c>
      <c r="F537" s="41">
        <v>0</v>
      </c>
      <c r="G537" s="41" t="s">
        <v>2448</v>
      </c>
      <c r="H537" s="41">
        <v>2</v>
      </c>
      <c r="I537" s="41">
        <v>1</v>
      </c>
      <c r="J537" s="108">
        <v>0</v>
      </c>
      <c r="K537" s="41">
        <v>0</v>
      </c>
      <c r="L537" s="41">
        <v>55</v>
      </c>
      <c r="M537" s="41">
        <v>-1</v>
      </c>
      <c r="N537" s="41">
        <v>4</v>
      </c>
      <c r="O537" s="110" t="s">
        <v>2624</v>
      </c>
      <c r="P537" s="109">
        <v>194378</v>
      </c>
      <c r="Q537" s="107"/>
      <c r="R537" s="111"/>
      <c r="S537" s="110"/>
      <c r="T537"/>
      <c r="U537"/>
      <c r="V537"/>
    </row>
    <row r="538" spans="1:22">
      <c r="A538" s="105">
        <v>1920</v>
      </c>
      <c r="B538" s="41">
        <v>120000000</v>
      </c>
      <c r="C538" s="41">
        <v>9.9000000000000008E-3</v>
      </c>
      <c r="D538" s="41">
        <v>32</v>
      </c>
      <c r="E538" s="41">
        <v>30</v>
      </c>
      <c r="F538" s="41">
        <v>0</v>
      </c>
      <c r="G538" s="41" t="s">
        <v>2448</v>
      </c>
      <c r="H538" s="41">
        <v>2</v>
      </c>
      <c r="I538" s="41">
        <v>1</v>
      </c>
      <c r="J538" s="108">
        <v>0</v>
      </c>
      <c r="K538" s="41">
        <v>0</v>
      </c>
      <c r="L538" s="41">
        <v>55</v>
      </c>
      <c r="M538" s="41">
        <v>-1</v>
      </c>
      <c r="N538" s="41">
        <v>4</v>
      </c>
      <c r="O538" s="110" t="s">
        <v>2625</v>
      </c>
      <c r="P538" s="109">
        <v>194378</v>
      </c>
      <c r="Q538" s="107"/>
      <c r="R538" s="111"/>
      <c r="S538" s="110"/>
      <c r="T538"/>
      <c r="U538"/>
      <c r="V538"/>
    </row>
    <row r="539" spans="1:22">
      <c r="A539" s="105">
        <v>1921</v>
      </c>
      <c r="B539" s="41">
        <v>120000000</v>
      </c>
      <c r="C539" s="41">
        <v>9.9000000000000008E-3</v>
      </c>
      <c r="D539" s="41">
        <v>45.254800000000003</v>
      </c>
      <c r="E539" s="41">
        <v>30</v>
      </c>
      <c r="F539" s="41">
        <v>0</v>
      </c>
      <c r="G539" s="41" t="s">
        <v>2448</v>
      </c>
      <c r="H539" s="41">
        <v>2</v>
      </c>
      <c r="I539" s="41">
        <v>1</v>
      </c>
      <c r="J539" s="108">
        <v>0</v>
      </c>
      <c r="K539" s="41">
        <v>0</v>
      </c>
      <c r="L539" s="41">
        <v>55</v>
      </c>
      <c r="M539" s="41">
        <v>-1</v>
      </c>
      <c r="N539" s="41">
        <v>4</v>
      </c>
      <c r="O539" s="110" t="s">
        <v>2626</v>
      </c>
      <c r="P539" s="109">
        <v>194378</v>
      </c>
      <c r="Q539" s="107"/>
      <c r="R539" s="111"/>
      <c r="S539" s="110"/>
      <c r="T539"/>
      <c r="U539"/>
      <c r="V539"/>
    </row>
    <row r="540" spans="1:22">
      <c r="A540" s="105">
        <v>1922</v>
      </c>
      <c r="B540" s="41">
        <v>120000000</v>
      </c>
      <c r="C540" s="41">
        <v>1.0800000000000001E-2</v>
      </c>
      <c r="D540" s="41">
        <v>45.254800000000003</v>
      </c>
      <c r="E540" s="41">
        <v>30</v>
      </c>
      <c r="F540" s="41">
        <v>0</v>
      </c>
      <c r="G540" s="41" t="s">
        <v>2448</v>
      </c>
      <c r="H540" s="41">
        <v>2</v>
      </c>
      <c r="I540" s="41">
        <v>1</v>
      </c>
      <c r="J540" s="108">
        <v>0</v>
      </c>
      <c r="K540" s="41">
        <v>0</v>
      </c>
      <c r="L540" s="41">
        <v>55</v>
      </c>
      <c r="M540" s="41">
        <v>-1</v>
      </c>
      <c r="N540" s="41">
        <v>4</v>
      </c>
      <c r="O540" s="110" t="s">
        <v>2627</v>
      </c>
      <c r="P540" s="109">
        <v>194378</v>
      </c>
      <c r="Q540" s="107"/>
      <c r="R540" s="111"/>
      <c r="S540" s="110"/>
      <c r="T540"/>
      <c r="U540"/>
      <c r="V540"/>
    </row>
    <row r="541" spans="1:22">
      <c r="A541" s="105">
        <v>1923</v>
      </c>
      <c r="B541" s="41">
        <v>120000000</v>
      </c>
      <c r="C541" s="41">
        <v>1.18E-2</v>
      </c>
      <c r="D541" s="41">
        <v>45.254800000000003</v>
      </c>
      <c r="E541" s="41">
        <v>30</v>
      </c>
      <c r="F541" s="41">
        <v>0</v>
      </c>
      <c r="G541" s="41" t="s">
        <v>2448</v>
      </c>
      <c r="H541" s="41">
        <v>2</v>
      </c>
      <c r="I541" s="41">
        <v>1</v>
      </c>
      <c r="J541" s="108">
        <v>0</v>
      </c>
      <c r="K541" s="41">
        <v>0</v>
      </c>
      <c r="L541" s="41">
        <v>55</v>
      </c>
      <c r="M541" s="41">
        <v>-1</v>
      </c>
      <c r="N541" s="41">
        <v>4</v>
      </c>
      <c r="O541" s="110" t="s">
        <v>2628</v>
      </c>
      <c r="P541" s="109">
        <v>194378</v>
      </c>
      <c r="Q541" s="107"/>
      <c r="R541" s="111"/>
      <c r="S541" s="110"/>
      <c r="T541"/>
      <c r="U541"/>
      <c r="V541"/>
    </row>
    <row r="542" spans="1:22">
      <c r="A542" s="105">
        <v>1924</v>
      </c>
      <c r="B542" s="41">
        <v>120000000</v>
      </c>
      <c r="C542" s="41">
        <v>1.1999999999999999E-3</v>
      </c>
      <c r="D542" s="41">
        <v>0.5</v>
      </c>
      <c r="E542" s="41">
        <v>30</v>
      </c>
      <c r="F542" s="41">
        <v>0</v>
      </c>
      <c r="G542" s="41" t="s">
        <v>505</v>
      </c>
      <c r="H542" s="41">
        <v>2</v>
      </c>
      <c r="I542" s="41">
        <v>1</v>
      </c>
      <c r="J542" s="108">
        <v>0</v>
      </c>
      <c r="K542" s="41">
        <v>0</v>
      </c>
      <c r="L542" s="41">
        <v>55</v>
      </c>
      <c r="M542" s="41">
        <v>-1</v>
      </c>
      <c r="N542" s="41">
        <v>4</v>
      </c>
      <c r="O542" s="110" t="s">
        <v>2629</v>
      </c>
      <c r="P542" s="109">
        <v>194220</v>
      </c>
      <c r="Q542" s="107"/>
      <c r="R542" s="111"/>
      <c r="S542" s="110" t="s">
        <v>2267</v>
      </c>
      <c r="T542"/>
      <c r="U542"/>
      <c r="V542"/>
    </row>
    <row r="543" spans="1:22">
      <c r="A543" s="105">
        <v>1925</v>
      </c>
      <c r="B543" s="41">
        <v>120000000</v>
      </c>
      <c r="C543" s="41">
        <v>1.1999999999999999E-3</v>
      </c>
      <c r="D543" s="41">
        <v>0.70709999999999995</v>
      </c>
      <c r="E543" s="41">
        <v>30</v>
      </c>
      <c r="F543" s="41">
        <v>0</v>
      </c>
      <c r="G543" s="41" t="s">
        <v>505</v>
      </c>
      <c r="H543" s="41">
        <v>2</v>
      </c>
      <c r="I543" s="41">
        <v>1</v>
      </c>
      <c r="J543" s="108">
        <v>0</v>
      </c>
      <c r="K543" s="41">
        <v>0</v>
      </c>
      <c r="L543" s="41">
        <v>55</v>
      </c>
      <c r="M543" s="41">
        <v>-1</v>
      </c>
      <c r="N543" s="41">
        <v>4</v>
      </c>
      <c r="O543" s="110" t="s">
        <v>2630</v>
      </c>
      <c r="P543" s="109">
        <v>194220</v>
      </c>
      <c r="Q543" s="107"/>
      <c r="R543" s="111"/>
      <c r="S543" s="110"/>
      <c r="T543"/>
      <c r="U543"/>
      <c r="V543"/>
    </row>
    <row r="544" spans="1:22">
      <c r="A544" s="105">
        <v>1926</v>
      </c>
      <c r="B544" s="41">
        <v>120000000</v>
      </c>
      <c r="C544" s="41">
        <v>1.1999999999999999E-3</v>
      </c>
      <c r="D544" s="41">
        <v>1</v>
      </c>
      <c r="E544" s="41">
        <v>30</v>
      </c>
      <c r="F544" s="41">
        <v>0</v>
      </c>
      <c r="G544" s="41" t="s">
        <v>505</v>
      </c>
      <c r="H544" s="41">
        <v>2</v>
      </c>
      <c r="I544" s="41">
        <v>1</v>
      </c>
      <c r="J544" s="108">
        <v>0</v>
      </c>
      <c r="K544" s="41">
        <v>0</v>
      </c>
      <c r="L544" s="41">
        <v>55</v>
      </c>
      <c r="M544" s="41">
        <v>-1</v>
      </c>
      <c r="N544" s="41">
        <v>4</v>
      </c>
      <c r="O544" s="110" t="s">
        <v>2631</v>
      </c>
      <c r="P544" s="109">
        <v>194220</v>
      </c>
      <c r="Q544" s="107"/>
      <c r="R544" s="111"/>
      <c r="S544" s="110"/>
      <c r="T544"/>
      <c r="U544"/>
      <c r="V544"/>
    </row>
    <row r="545" spans="1:22">
      <c r="A545" s="105">
        <v>1927</v>
      </c>
      <c r="B545" s="41">
        <v>120000000</v>
      </c>
      <c r="C545" s="41">
        <v>1.1999999999999999E-3</v>
      </c>
      <c r="D545" s="41">
        <v>1.4141999999999999</v>
      </c>
      <c r="E545" s="41">
        <v>30</v>
      </c>
      <c r="F545" s="41">
        <v>0</v>
      </c>
      <c r="G545" s="41" t="s">
        <v>505</v>
      </c>
      <c r="H545" s="41">
        <v>2</v>
      </c>
      <c r="I545" s="41">
        <v>1</v>
      </c>
      <c r="J545" s="108">
        <v>0</v>
      </c>
      <c r="K545" s="41">
        <v>0</v>
      </c>
      <c r="L545" s="41">
        <v>55</v>
      </c>
      <c r="M545" s="41">
        <v>-1</v>
      </c>
      <c r="N545" s="41">
        <v>4</v>
      </c>
      <c r="O545" s="110" t="s">
        <v>2632</v>
      </c>
      <c r="P545" s="109">
        <v>194220</v>
      </c>
      <c r="Q545" s="107"/>
      <c r="R545" s="111"/>
      <c r="S545" s="110"/>
      <c r="T545"/>
      <c r="U545"/>
      <c r="V545"/>
    </row>
    <row r="546" spans="1:22">
      <c r="A546" s="105">
        <v>1928</v>
      </c>
      <c r="B546" s="41">
        <v>120000000</v>
      </c>
      <c r="C546" s="41">
        <v>1.1999999999999999E-3</v>
      </c>
      <c r="D546" s="41">
        <v>2</v>
      </c>
      <c r="E546" s="41">
        <v>30</v>
      </c>
      <c r="F546" s="41">
        <v>0</v>
      </c>
      <c r="G546" s="41" t="s">
        <v>505</v>
      </c>
      <c r="H546" s="41">
        <v>2</v>
      </c>
      <c r="I546" s="41">
        <v>1</v>
      </c>
      <c r="J546" s="108">
        <v>0</v>
      </c>
      <c r="K546" s="41">
        <v>0</v>
      </c>
      <c r="L546" s="41">
        <v>55</v>
      </c>
      <c r="M546" s="41">
        <v>-1</v>
      </c>
      <c r="N546" s="41">
        <v>4</v>
      </c>
      <c r="O546" s="110" t="s">
        <v>2633</v>
      </c>
      <c r="P546" s="109">
        <v>194220</v>
      </c>
      <c r="Q546" s="107"/>
      <c r="R546" s="111"/>
      <c r="S546" s="110"/>
      <c r="T546"/>
      <c r="U546"/>
      <c r="V546"/>
    </row>
    <row r="547" spans="1:22">
      <c r="A547" s="105">
        <v>1929</v>
      </c>
      <c r="B547" s="41">
        <v>120000000</v>
      </c>
      <c r="C547" s="41">
        <v>1.1999999999999999E-3</v>
      </c>
      <c r="D547" s="41">
        <v>2.8283999999999998</v>
      </c>
      <c r="E547" s="41">
        <v>30</v>
      </c>
      <c r="F547" s="41">
        <v>0</v>
      </c>
      <c r="G547" s="41" t="s">
        <v>505</v>
      </c>
      <c r="H547" s="41">
        <v>2</v>
      </c>
      <c r="I547" s="41">
        <v>1</v>
      </c>
      <c r="J547" s="108">
        <v>0</v>
      </c>
      <c r="K547" s="41">
        <v>0</v>
      </c>
      <c r="L547" s="41">
        <v>55</v>
      </c>
      <c r="M547" s="41">
        <v>-1</v>
      </c>
      <c r="N547" s="41">
        <v>4</v>
      </c>
      <c r="O547" s="110" t="s">
        <v>2634</v>
      </c>
      <c r="P547" s="109">
        <v>194220</v>
      </c>
      <c r="Q547" s="107"/>
      <c r="R547" s="111"/>
      <c r="S547" s="110"/>
      <c r="T547"/>
      <c r="U547"/>
      <c r="V547"/>
    </row>
    <row r="548" spans="1:22">
      <c r="A548" s="105">
        <v>1930</v>
      </c>
      <c r="B548" s="41">
        <v>120000000</v>
      </c>
      <c r="C548" s="41">
        <v>1.1999999999999999E-3</v>
      </c>
      <c r="D548" s="41">
        <v>4</v>
      </c>
      <c r="E548" s="41">
        <v>30</v>
      </c>
      <c r="F548" s="41">
        <v>0</v>
      </c>
      <c r="G548" s="41" t="s">
        <v>505</v>
      </c>
      <c r="H548" s="41">
        <v>2</v>
      </c>
      <c r="I548" s="41">
        <v>1</v>
      </c>
      <c r="J548" s="108">
        <v>0</v>
      </c>
      <c r="K548" s="41">
        <v>0</v>
      </c>
      <c r="L548" s="41">
        <v>55</v>
      </c>
      <c r="M548" s="41">
        <v>-1</v>
      </c>
      <c r="N548" s="41">
        <v>4</v>
      </c>
      <c r="O548" s="110" t="s">
        <v>2635</v>
      </c>
      <c r="P548" s="109">
        <v>194220</v>
      </c>
      <c r="Q548" s="107"/>
      <c r="R548" s="111"/>
      <c r="S548" s="110"/>
      <c r="T548"/>
      <c r="U548"/>
      <c r="V548"/>
    </row>
    <row r="549" spans="1:22">
      <c r="A549" s="105">
        <v>1931</v>
      </c>
      <c r="B549" s="41">
        <v>120000000</v>
      </c>
      <c r="C549" s="41">
        <v>1.1999999999999999E-3</v>
      </c>
      <c r="D549" s="41">
        <v>5.6569000000000003</v>
      </c>
      <c r="E549" s="41">
        <v>30</v>
      </c>
      <c r="F549" s="41">
        <v>0</v>
      </c>
      <c r="G549" s="41" t="s">
        <v>505</v>
      </c>
      <c r="H549" s="41">
        <v>2</v>
      </c>
      <c r="I549" s="41">
        <v>1</v>
      </c>
      <c r="J549" s="108">
        <v>0</v>
      </c>
      <c r="K549" s="41">
        <v>0</v>
      </c>
      <c r="L549" s="41">
        <v>55</v>
      </c>
      <c r="M549" s="41">
        <v>-1</v>
      </c>
      <c r="N549" s="41">
        <v>4</v>
      </c>
      <c r="O549" s="110" t="s">
        <v>2636</v>
      </c>
      <c r="P549" s="109">
        <v>194220</v>
      </c>
      <c r="Q549" s="107"/>
      <c r="R549" s="111"/>
      <c r="S549" s="110"/>
      <c r="T549"/>
      <c r="U549"/>
      <c r="V549"/>
    </row>
    <row r="550" spans="1:22">
      <c r="A550" s="105">
        <v>1932</v>
      </c>
      <c r="B550" s="41">
        <v>120000000</v>
      </c>
      <c r="C550" s="41">
        <v>1.1999999999999999E-3</v>
      </c>
      <c r="D550" s="41">
        <v>8</v>
      </c>
      <c r="E550" s="41">
        <v>30</v>
      </c>
      <c r="F550" s="41">
        <v>0</v>
      </c>
      <c r="G550" s="41" t="s">
        <v>505</v>
      </c>
      <c r="H550" s="41">
        <v>2</v>
      </c>
      <c r="I550" s="41">
        <v>1</v>
      </c>
      <c r="J550" s="108">
        <v>0</v>
      </c>
      <c r="K550" s="41">
        <v>0</v>
      </c>
      <c r="L550" s="41">
        <v>55</v>
      </c>
      <c r="M550" s="41">
        <v>-1</v>
      </c>
      <c r="N550" s="41">
        <v>4</v>
      </c>
      <c r="O550" s="110" t="s">
        <v>2637</v>
      </c>
      <c r="P550" s="109">
        <v>194220</v>
      </c>
      <c r="Q550" s="107"/>
      <c r="R550" s="111"/>
      <c r="S550" s="110"/>
      <c r="T550"/>
      <c r="U550"/>
      <c r="V550"/>
    </row>
    <row r="551" spans="1:22">
      <c r="A551" s="105">
        <v>1933</v>
      </c>
      <c r="B551" s="41">
        <v>120000000</v>
      </c>
      <c r="C551" s="41">
        <v>1.1999999999999999E-3</v>
      </c>
      <c r="D551" s="41">
        <v>11.313700000000001</v>
      </c>
      <c r="E551" s="41">
        <v>30</v>
      </c>
      <c r="F551" s="41">
        <v>0</v>
      </c>
      <c r="G551" s="41" t="s">
        <v>505</v>
      </c>
      <c r="H551" s="41">
        <v>2</v>
      </c>
      <c r="I551" s="41">
        <v>1</v>
      </c>
      <c r="J551" s="108">
        <v>0</v>
      </c>
      <c r="K551" s="41">
        <v>0</v>
      </c>
      <c r="L551" s="41">
        <v>55</v>
      </c>
      <c r="M551" s="41">
        <v>-1</v>
      </c>
      <c r="N551" s="41">
        <v>4</v>
      </c>
      <c r="O551" s="110" t="s">
        <v>2638</v>
      </c>
      <c r="P551" s="109">
        <v>194220</v>
      </c>
      <c r="Q551" s="107"/>
      <c r="R551" s="111"/>
      <c r="S551" s="110"/>
      <c r="T551"/>
      <c r="U551"/>
      <c r="V551"/>
    </row>
    <row r="552" spans="1:22">
      <c r="A552" s="105">
        <v>1934</v>
      </c>
      <c r="B552" s="41">
        <v>120000000</v>
      </c>
      <c r="C552" s="41">
        <v>1.2999999999999999E-3</v>
      </c>
      <c r="D552" s="41">
        <v>0.70709999999999995</v>
      </c>
      <c r="E552" s="41">
        <v>30</v>
      </c>
      <c r="F552" s="41">
        <v>0</v>
      </c>
      <c r="G552" s="41" t="s">
        <v>505</v>
      </c>
      <c r="H552" s="41">
        <v>2</v>
      </c>
      <c r="I552" s="41">
        <v>1</v>
      </c>
      <c r="J552" s="108">
        <v>0</v>
      </c>
      <c r="K552" s="41">
        <v>0</v>
      </c>
      <c r="L552" s="41">
        <v>55</v>
      </c>
      <c r="M552" s="41">
        <v>-1</v>
      </c>
      <c r="N552" s="41">
        <v>4</v>
      </c>
      <c r="O552" s="110" t="s">
        <v>2639</v>
      </c>
      <c r="P552" s="109">
        <v>194220</v>
      </c>
      <c r="Q552" s="107"/>
      <c r="R552" s="111"/>
      <c r="S552" s="110"/>
      <c r="T552"/>
      <c r="U552"/>
      <c r="V552"/>
    </row>
    <row r="553" spans="1:22">
      <c r="A553" s="105">
        <v>1935</v>
      </c>
      <c r="B553" s="41">
        <v>120000000</v>
      </c>
      <c r="C553" s="41">
        <v>1.2999999999999999E-3</v>
      </c>
      <c r="D553" s="41">
        <v>1</v>
      </c>
      <c r="E553" s="41">
        <v>30</v>
      </c>
      <c r="F553" s="41">
        <v>0</v>
      </c>
      <c r="G553" s="41" t="s">
        <v>505</v>
      </c>
      <c r="H553" s="41">
        <v>2</v>
      </c>
      <c r="I553" s="41">
        <v>1</v>
      </c>
      <c r="J553" s="108">
        <v>0</v>
      </c>
      <c r="K553" s="41">
        <v>0</v>
      </c>
      <c r="L553" s="41">
        <v>55</v>
      </c>
      <c r="M553" s="41">
        <v>-1</v>
      </c>
      <c r="N553" s="41">
        <v>4</v>
      </c>
      <c r="O553" s="110" t="s">
        <v>2640</v>
      </c>
      <c r="P553" s="109">
        <v>194220</v>
      </c>
      <c r="Q553" s="107"/>
      <c r="R553" s="111"/>
      <c r="S553" s="110"/>
      <c r="T553"/>
      <c r="U553"/>
      <c r="V553"/>
    </row>
    <row r="554" spans="1:22">
      <c r="A554" s="105">
        <v>1936</v>
      </c>
      <c r="B554" s="41">
        <v>120000000</v>
      </c>
      <c r="C554" s="41">
        <v>1.2999999999999999E-3</v>
      </c>
      <c r="D554" s="41">
        <v>1.4141999999999999</v>
      </c>
      <c r="E554" s="41">
        <v>30</v>
      </c>
      <c r="F554" s="41">
        <v>0</v>
      </c>
      <c r="G554" s="41" t="s">
        <v>505</v>
      </c>
      <c r="H554" s="41">
        <v>2</v>
      </c>
      <c r="I554" s="41">
        <v>1</v>
      </c>
      <c r="J554" s="108">
        <v>0</v>
      </c>
      <c r="K554" s="41">
        <v>0</v>
      </c>
      <c r="L554" s="41">
        <v>55</v>
      </c>
      <c r="M554" s="41">
        <v>-1</v>
      </c>
      <c r="N554" s="41">
        <v>4</v>
      </c>
      <c r="O554" s="110" t="s">
        <v>2641</v>
      </c>
      <c r="P554" s="109">
        <v>194220</v>
      </c>
      <c r="Q554" s="107"/>
      <c r="R554" s="111"/>
      <c r="S554" s="110"/>
      <c r="T554"/>
      <c r="U554"/>
      <c r="V554"/>
    </row>
    <row r="555" spans="1:22">
      <c r="A555" s="105">
        <v>1937</v>
      </c>
      <c r="B555" s="41">
        <v>120000000</v>
      </c>
      <c r="C555" s="41">
        <v>1.2999999999999999E-3</v>
      </c>
      <c r="D555" s="41">
        <v>2</v>
      </c>
      <c r="E555" s="41">
        <v>30</v>
      </c>
      <c r="F555" s="41">
        <v>0</v>
      </c>
      <c r="G555" s="41" t="s">
        <v>505</v>
      </c>
      <c r="H555" s="41">
        <v>2</v>
      </c>
      <c r="I555" s="41">
        <v>1</v>
      </c>
      <c r="J555" s="108">
        <v>0</v>
      </c>
      <c r="K555" s="41">
        <v>0</v>
      </c>
      <c r="L555" s="41">
        <v>55</v>
      </c>
      <c r="M555" s="41">
        <v>-1</v>
      </c>
      <c r="N555" s="41">
        <v>4</v>
      </c>
      <c r="O555" s="110" t="s">
        <v>2642</v>
      </c>
      <c r="P555" s="109">
        <v>194220</v>
      </c>
      <c r="Q555" s="107"/>
      <c r="R555" s="111"/>
      <c r="S555" s="110"/>
      <c r="T555"/>
      <c r="U555"/>
      <c r="V555"/>
    </row>
    <row r="556" spans="1:22">
      <c r="A556" s="105">
        <v>1938</v>
      </c>
      <c r="B556" s="41">
        <v>120000000</v>
      </c>
      <c r="C556" s="41">
        <v>1.2999999999999999E-3</v>
      </c>
      <c r="D556" s="41">
        <v>2.8283999999999998</v>
      </c>
      <c r="E556" s="41">
        <v>30</v>
      </c>
      <c r="F556" s="41">
        <v>0</v>
      </c>
      <c r="G556" s="41" t="s">
        <v>505</v>
      </c>
      <c r="H556" s="41">
        <v>2</v>
      </c>
      <c r="I556" s="41">
        <v>1</v>
      </c>
      <c r="J556" s="108">
        <v>0</v>
      </c>
      <c r="K556" s="41">
        <v>0</v>
      </c>
      <c r="L556" s="41">
        <v>55</v>
      </c>
      <c r="M556" s="41">
        <v>-1</v>
      </c>
      <c r="N556" s="41">
        <v>4</v>
      </c>
      <c r="O556" s="110" t="s">
        <v>2643</v>
      </c>
      <c r="P556" s="109">
        <v>194220</v>
      </c>
      <c r="Q556" s="107"/>
      <c r="R556" s="111"/>
      <c r="S556" s="110"/>
      <c r="T556"/>
      <c r="U556"/>
      <c r="V556"/>
    </row>
    <row r="557" spans="1:22">
      <c r="A557" s="105">
        <v>1939</v>
      </c>
      <c r="B557" s="41">
        <v>120000000</v>
      </c>
      <c r="C557" s="41">
        <v>1.2999999999999999E-3</v>
      </c>
      <c r="D557" s="41">
        <v>4</v>
      </c>
      <c r="E557" s="41">
        <v>30</v>
      </c>
      <c r="F557" s="41">
        <v>0</v>
      </c>
      <c r="G557" s="41" t="s">
        <v>505</v>
      </c>
      <c r="H557" s="41">
        <v>2</v>
      </c>
      <c r="I557" s="41">
        <v>1</v>
      </c>
      <c r="J557" s="108">
        <v>0</v>
      </c>
      <c r="K557" s="41">
        <v>0</v>
      </c>
      <c r="L557" s="41">
        <v>55</v>
      </c>
      <c r="M557" s="41">
        <v>-1</v>
      </c>
      <c r="N557" s="41">
        <v>4</v>
      </c>
      <c r="O557" s="110" t="s">
        <v>2644</v>
      </c>
      <c r="P557" s="109">
        <v>194220</v>
      </c>
      <c r="Q557" s="107"/>
      <c r="R557" s="111"/>
      <c r="S557" s="110"/>
      <c r="T557"/>
      <c r="U557"/>
      <c r="V557"/>
    </row>
    <row r="558" spans="1:22">
      <c r="A558" s="105">
        <v>1940</v>
      </c>
      <c r="B558" s="41">
        <v>120000000</v>
      </c>
      <c r="C558" s="41">
        <v>1.2999999999999999E-3</v>
      </c>
      <c r="D558" s="41">
        <v>5.6569000000000003</v>
      </c>
      <c r="E558" s="41">
        <v>30</v>
      </c>
      <c r="F558" s="41">
        <v>0</v>
      </c>
      <c r="G558" s="41" t="s">
        <v>505</v>
      </c>
      <c r="H558" s="41">
        <v>2</v>
      </c>
      <c r="I558" s="41">
        <v>1</v>
      </c>
      <c r="J558" s="108">
        <v>0</v>
      </c>
      <c r="K558" s="41">
        <v>0</v>
      </c>
      <c r="L558" s="41">
        <v>55</v>
      </c>
      <c r="M558" s="41">
        <v>-1</v>
      </c>
      <c r="N558" s="41">
        <v>4</v>
      </c>
      <c r="O558" s="110" t="s">
        <v>2645</v>
      </c>
      <c r="P558" s="109">
        <v>194220</v>
      </c>
      <c r="Q558" s="107"/>
      <c r="R558" s="111"/>
      <c r="S558" s="110"/>
      <c r="T558"/>
      <c r="U558"/>
      <c r="V558"/>
    </row>
    <row r="559" spans="1:22">
      <c r="A559" s="105">
        <v>1941</v>
      </c>
      <c r="B559" s="41">
        <v>120000000</v>
      </c>
      <c r="C559" s="41">
        <v>1.2999999999999999E-3</v>
      </c>
      <c r="D559" s="41">
        <v>8</v>
      </c>
      <c r="E559" s="41">
        <v>30</v>
      </c>
      <c r="F559" s="41">
        <v>0</v>
      </c>
      <c r="G559" s="41" t="s">
        <v>505</v>
      </c>
      <c r="H559" s="41">
        <v>2</v>
      </c>
      <c r="I559" s="41">
        <v>1</v>
      </c>
      <c r="J559" s="108">
        <v>0</v>
      </c>
      <c r="K559" s="41">
        <v>0</v>
      </c>
      <c r="L559" s="41">
        <v>55</v>
      </c>
      <c r="M559" s="41">
        <v>-1</v>
      </c>
      <c r="N559" s="41">
        <v>4</v>
      </c>
      <c r="O559" s="110" t="s">
        <v>2646</v>
      </c>
      <c r="P559" s="109">
        <v>194220</v>
      </c>
      <c r="Q559" s="107"/>
      <c r="R559" s="111"/>
      <c r="S559" s="110"/>
      <c r="T559"/>
      <c r="U559"/>
      <c r="V559"/>
    </row>
    <row r="560" spans="1:22">
      <c r="A560" s="105">
        <v>1942</v>
      </c>
      <c r="B560" s="41">
        <v>120000000</v>
      </c>
      <c r="C560" s="41">
        <v>1.2999999999999999E-3</v>
      </c>
      <c r="D560" s="41">
        <v>11.313700000000001</v>
      </c>
      <c r="E560" s="41">
        <v>30</v>
      </c>
      <c r="F560" s="41">
        <v>0</v>
      </c>
      <c r="G560" s="41" t="s">
        <v>505</v>
      </c>
      <c r="H560" s="41">
        <v>2</v>
      </c>
      <c r="I560" s="41">
        <v>1</v>
      </c>
      <c r="J560" s="108">
        <v>0</v>
      </c>
      <c r="K560" s="41">
        <v>0</v>
      </c>
      <c r="L560" s="41">
        <v>55</v>
      </c>
      <c r="M560" s="41">
        <v>-1</v>
      </c>
      <c r="N560" s="41">
        <v>4</v>
      </c>
      <c r="O560" s="110" t="s">
        <v>2647</v>
      </c>
      <c r="P560" s="109">
        <v>194220</v>
      </c>
      <c r="Q560" s="107"/>
      <c r="R560" s="111"/>
      <c r="S560" s="110"/>
      <c r="T560"/>
      <c r="U560"/>
      <c r="V560"/>
    </row>
    <row r="561" spans="1:22">
      <c r="A561" s="105">
        <v>1943</v>
      </c>
      <c r="B561" s="41">
        <v>120000000</v>
      </c>
      <c r="C561" s="41">
        <v>1.2999999999999999E-3</v>
      </c>
      <c r="D561" s="41">
        <v>16</v>
      </c>
      <c r="E561" s="41">
        <v>30</v>
      </c>
      <c r="F561" s="41">
        <v>0</v>
      </c>
      <c r="G561" s="41" t="s">
        <v>505</v>
      </c>
      <c r="H561" s="41">
        <v>2</v>
      </c>
      <c r="I561" s="41">
        <v>1</v>
      </c>
      <c r="J561" s="108">
        <v>0</v>
      </c>
      <c r="K561" s="41">
        <v>0</v>
      </c>
      <c r="L561" s="41">
        <v>55</v>
      </c>
      <c r="M561" s="41">
        <v>-1</v>
      </c>
      <c r="N561" s="41">
        <v>4</v>
      </c>
      <c r="O561" s="110" t="s">
        <v>2648</v>
      </c>
      <c r="P561" s="109">
        <v>194220</v>
      </c>
      <c r="Q561" s="107"/>
      <c r="R561" s="111"/>
      <c r="S561" s="110"/>
      <c r="T561"/>
      <c r="U561"/>
      <c r="V561"/>
    </row>
    <row r="562" spans="1:22">
      <c r="A562" s="105">
        <v>1944</v>
      </c>
      <c r="B562" s="41">
        <v>120000000</v>
      </c>
      <c r="C562" s="41">
        <v>1.5E-3</v>
      </c>
      <c r="D562" s="41">
        <v>0.70709999999999995</v>
      </c>
      <c r="E562" s="41">
        <v>30</v>
      </c>
      <c r="F562" s="41">
        <v>0</v>
      </c>
      <c r="G562" s="41" t="s">
        <v>505</v>
      </c>
      <c r="H562" s="41">
        <v>2</v>
      </c>
      <c r="I562" s="41">
        <v>1</v>
      </c>
      <c r="J562" s="108">
        <v>0</v>
      </c>
      <c r="K562" s="41">
        <v>0</v>
      </c>
      <c r="L562" s="41">
        <v>55</v>
      </c>
      <c r="M562" s="41">
        <v>-1</v>
      </c>
      <c r="N562" s="41">
        <v>4</v>
      </c>
      <c r="O562" s="110" t="s">
        <v>2649</v>
      </c>
      <c r="P562" s="109">
        <v>194220</v>
      </c>
      <c r="Q562" s="107"/>
      <c r="R562" s="111"/>
      <c r="S562" s="110"/>
      <c r="T562"/>
      <c r="U562"/>
      <c r="V562"/>
    </row>
    <row r="563" spans="1:22">
      <c r="A563" s="105">
        <v>1945</v>
      </c>
      <c r="B563" s="41">
        <v>120000000</v>
      </c>
      <c r="C563" s="41">
        <v>1.5E-3</v>
      </c>
      <c r="D563" s="41">
        <v>1</v>
      </c>
      <c r="E563" s="41">
        <v>30</v>
      </c>
      <c r="F563" s="41">
        <v>0</v>
      </c>
      <c r="G563" s="41" t="s">
        <v>505</v>
      </c>
      <c r="H563" s="41">
        <v>2</v>
      </c>
      <c r="I563" s="41">
        <v>1</v>
      </c>
      <c r="J563" s="108">
        <v>0</v>
      </c>
      <c r="K563" s="41">
        <v>0</v>
      </c>
      <c r="L563" s="41">
        <v>55</v>
      </c>
      <c r="M563" s="41">
        <v>-1</v>
      </c>
      <c r="N563" s="41">
        <v>4</v>
      </c>
      <c r="O563" s="110" t="s">
        <v>2650</v>
      </c>
      <c r="P563" s="109">
        <v>194220</v>
      </c>
      <c r="Q563" s="107"/>
      <c r="R563" s="111"/>
      <c r="S563" s="110"/>
      <c r="T563"/>
      <c r="U563"/>
      <c r="V563"/>
    </row>
    <row r="564" spans="1:22">
      <c r="A564" s="105">
        <v>1946</v>
      </c>
      <c r="B564" s="41">
        <v>120000000</v>
      </c>
      <c r="C564" s="41">
        <v>1.5E-3</v>
      </c>
      <c r="D564" s="41">
        <v>1.4141999999999999</v>
      </c>
      <c r="E564" s="41">
        <v>30</v>
      </c>
      <c r="F564" s="41">
        <v>0</v>
      </c>
      <c r="G564" s="41" t="s">
        <v>505</v>
      </c>
      <c r="H564" s="41">
        <v>2</v>
      </c>
      <c r="I564" s="41">
        <v>1</v>
      </c>
      <c r="J564" s="108">
        <v>0</v>
      </c>
      <c r="K564" s="41">
        <v>0</v>
      </c>
      <c r="L564" s="41">
        <v>55</v>
      </c>
      <c r="M564" s="41">
        <v>-1</v>
      </c>
      <c r="N564" s="41">
        <v>4</v>
      </c>
      <c r="O564" s="110" t="s">
        <v>2651</v>
      </c>
      <c r="P564" s="109">
        <v>194220</v>
      </c>
      <c r="Q564" s="107"/>
      <c r="R564" s="111"/>
      <c r="S564" s="110"/>
      <c r="T564"/>
      <c r="U564"/>
      <c r="V564"/>
    </row>
    <row r="565" spans="1:22">
      <c r="A565" s="105">
        <v>1947</v>
      </c>
      <c r="B565" s="41">
        <v>120000000</v>
      </c>
      <c r="C565" s="41">
        <v>1.5E-3</v>
      </c>
      <c r="D565" s="41">
        <v>2</v>
      </c>
      <c r="E565" s="41">
        <v>30</v>
      </c>
      <c r="F565" s="41">
        <v>0</v>
      </c>
      <c r="G565" s="41" t="s">
        <v>505</v>
      </c>
      <c r="H565" s="41">
        <v>2</v>
      </c>
      <c r="I565" s="41">
        <v>1</v>
      </c>
      <c r="J565" s="108">
        <v>0</v>
      </c>
      <c r="K565" s="41">
        <v>0</v>
      </c>
      <c r="L565" s="41">
        <v>55</v>
      </c>
      <c r="M565" s="41">
        <v>-1</v>
      </c>
      <c r="N565" s="41">
        <v>4</v>
      </c>
      <c r="O565" s="110" t="s">
        <v>2652</v>
      </c>
      <c r="P565" s="109">
        <v>194220</v>
      </c>
      <c r="Q565" s="107"/>
      <c r="R565" s="111"/>
      <c r="S565" s="110"/>
      <c r="T565"/>
      <c r="U565"/>
      <c r="V565"/>
    </row>
    <row r="566" spans="1:22">
      <c r="A566" s="105">
        <v>1948</v>
      </c>
      <c r="B566" s="41">
        <v>120000000</v>
      </c>
      <c r="C566" s="41">
        <v>1.5E-3</v>
      </c>
      <c r="D566" s="41">
        <v>2.8283999999999998</v>
      </c>
      <c r="E566" s="41">
        <v>30</v>
      </c>
      <c r="F566" s="41">
        <v>0</v>
      </c>
      <c r="G566" s="41" t="s">
        <v>505</v>
      </c>
      <c r="H566" s="41">
        <v>2</v>
      </c>
      <c r="I566" s="41">
        <v>1</v>
      </c>
      <c r="J566" s="108">
        <v>0</v>
      </c>
      <c r="K566" s="41">
        <v>0</v>
      </c>
      <c r="L566" s="41">
        <v>55</v>
      </c>
      <c r="M566" s="41">
        <v>-1</v>
      </c>
      <c r="N566" s="41">
        <v>4</v>
      </c>
      <c r="O566" s="110" t="s">
        <v>2653</v>
      </c>
      <c r="P566" s="109">
        <v>194220</v>
      </c>
      <c r="Q566" s="107"/>
      <c r="R566" s="111"/>
      <c r="S566" s="110"/>
      <c r="T566"/>
      <c r="U566"/>
      <c r="V566"/>
    </row>
    <row r="567" spans="1:22">
      <c r="A567" s="105">
        <v>1949</v>
      </c>
      <c r="B567" s="41">
        <v>120000000</v>
      </c>
      <c r="C567" s="41">
        <v>1.5E-3</v>
      </c>
      <c r="D567" s="41">
        <v>4</v>
      </c>
      <c r="E567" s="41">
        <v>30</v>
      </c>
      <c r="F567" s="41">
        <v>0</v>
      </c>
      <c r="G567" s="41" t="s">
        <v>505</v>
      </c>
      <c r="H567" s="41">
        <v>2</v>
      </c>
      <c r="I567" s="41">
        <v>1</v>
      </c>
      <c r="J567" s="108">
        <v>0</v>
      </c>
      <c r="K567" s="41">
        <v>0</v>
      </c>
      <c r="L567" s="41">
        <v>55</v>
      </c>
      <c r="M567" s="41">
        <v>-1</v>
      </c>
      <c r="N567" s="41">
        <v>4</v>
      </c>
      <c r="O567" s="110" t="s">
        <v>2654</v>
      </c>
      <c r="P567" s="109">
        <v>194220</v>
      </c>
      <c r="Q567" s="107"/>
      <c r="R567" s="111"/>
      <c r="S567" s="110"/>
      <c r="T567"/>
      <c r="U567"/>
      <c r="V567"/>
    </row>
    <row r="568" spans="1:22">
      <c r="A568" s="105">
        <v>1950</v>
      </c>
      <c r="B568" s="41">
        <v>120000000</v>
      </c>
      <c r="C568" s="41">
        <v>1.5E-3</v>
      </c>
      <c r="D568" s="41">
        <v>5.6569000000000003</v>
      </c>
      <c r="E568" s="41">
        <v>30</v>
      </c>
      <c r="F568" s="41">
        <v>0</v>
      </c>
      <c r="G568" s="41" t="s">
        <v>505</v>
      </c>
      <c r="H568" s="41">
        <v>2</v>
      </c>
      <c r="I568" s="41">
        <v>1</v>
      </c>
      <c r="J568" s="108">
        <v>0</v>
      </c>
      <c r="K568" s="41">
        <v>0</v>
      </c>
      <c r="L568" s="41">
        <v>55</v>
      </c>
      <c r="M568" s="41">
        <v>-1</v>
      </c>
      <c r="N568" s="41">
        <v>4</v>
      </c>
      <c r="O568" s="110" t="s">
        <v>2655</v>
      </c>
      <c r="P568" s="109">
        <v>194220</v>
      </c>
      <c r="Q568" s="107"/>
      <c r="R568" s="111"/>
      <c r="S568" s="110"/>
      <c r="T568"/>
      <c r="U568"/>
      <c r="V568"/>
    </row>
    <row r="569" spans="1:22">
      <c r="A569" s="105">
        <v>1951</v>
      </c>
      <c r="B569" s="41">
        <v>120000000</v>
      </c>
      <c r="C569" s="41">
        <v>1.5E-3</v>
      </c>
      <c r="D569" s="41">
        <v>8</v>
      </c>
      <c r="E569" s="41">
        <v>30</v>
      </c>
      <c r="F569" s="41">
        <v>0</v>
      </c>
      <c r="G569" s="41" t="s">
        <v>505</v>
      </c>
      <c r="H569" s="41">
        <v>2</v>
      </c>
      <c r="I569" s="41">
        <v>1</v>
      </c>
      <c r="J569" s="108">
        <v>0</v>
      </c>
      <c r="K569" s="41">
        <v>0</v>
      </c>
      <c r="L569" s="41">
        <v>55</v>
      </c>
      <c r="M569" s="41">
        <v>-1</v>
      </c>
      <c r="N569" s="41">
        <v>4</v>
      </c>
      <c r="O569" s="110" t="s">
        <v>2656</v>
      </c>
      <c r="P569" s="109">
        <v>194220</v>
      </c>
      <c r="Q569" s="107"/>
      <c r="R569" s="111"/>
      <c r="S569" s="110"/>
      <c r="T569"/>
      <c r="U569"/>
      <c r="V569"/>
    </row>
    <row r="570" spans="1:22">
      <c r="A570" s="105">
        <v>1952</v>
      </c>
      <c r="B570" s="41">
        <v>120000000</v>
      </c>
      <c r="C570" s="41">
        <v>1.5E-3</v>
      </c>
      <c r="D570" s="41">
        <v>11.313700000000001</v>
      </c>
      <c r="E570" s="41">
        <v>30</v>
      </c>
      <c r="F570" s="41">
        <v>0</v>
      </c>
      <c r="G570" s="41" t="s">
        <v>505</v>
      </c>
      <c r="H570" s="41">
        <v>2</v>
      </c>
      <c r="I570" s="41">
        <v>1</v>
      </c>
      <c r="J570" s="108">
        <v>0</v>
      </c>
      <c r="K570" s="41">
        <v>0</v>
      </c>
      <c r="L570" s="41">
        <v>55</v>
      </c>
      <c r="M570" s="41">
        <v>-1</v>
      </c>
      <c r="N570" s="41">
        <v>4</v>
      </c>
      <c r="O570" s="110" t="s">
        <v>2657</v>
      </c>
      <c r="P570" s="109">
        <v>194220</v>
      </c>
      <c r="Q570" s="107"/>
      <c r="R570" s="111"/>
      <c r="S570" s="110"/>
      <c r="T570"/>
      <c r="U570"/>
      <c r="V570"/>
    </row>
    <row r="571" spans="1:22">
      <c r="A571" s="105">
        <v>1953</v>
      </c>
      <c r="B571" s="41">
        <v>120000000</v>
      </c>
      <c r="C571" s="41">
        <v>1.5E-3</v>
      </c>
      <c r="D571" s="41">
        <v>16</v>
      </c>
      <c r="E571" s="41">
        <v>30</v>
      </c>
      <c r="F571" s="41">
        <v>0</v>
      </c>
      <c r="G571" s="41" t="s">
        <v>505</v>
      </c>
      <c r="H571" s="41">
        <v>2</v>
      </c>
      <c r="I571" s="41">
        <v>1</v>
      </c>
      <c r="J571" s="108">
        <v>0</v>
      </c>
      <c r="K571" s="41">
        <v>0</v>
      </c>
      <c r="L571" s="41">
        <v>55</v>
      </c>
      <c r="M571" s="41">
        <v>-1</v>
      </c>
      <c r="N571" s="41">
        <v>4</v>
      </c>
      <c r="O571" s="110" t="s">
        <v>2658</v>
      </c>
      <c r="P571" s="109">
        <v>194220</v>
      </c>
      <c r="Q571" s="107"/>
      <c r="R571" s="111"/>
      <c r="S571" s="110"/>
      <c r="T571"/>
      <c r="U571"/>
      <c r="V571"/>
    </row>
    <row r="572" spans="1:22">
      <c r="A572" s="105">
        <v>1954</v>
      </c>
      <c r="B572" s="41">
        <v>120000000</v>
      </c>
      <c r="C572" s="41">
        <v>1.6000000000000001E-3</v>
      </c>
      <c r="D572" s="41">
        <v>1</v>
      </c>
      <c r="E572" s="41">
        <v>30</v>
      </c>
      <c r="F572" s="41">
        <v>0</v>
      </c>
      <c r="G572" s="41" t="s">
        <v>505</v>
      </c>
      <c r="H572" s="41">
        <v>2</v>
      </c>
      <c r="I572" s="41">
        <v>1</v>
      </c>
      <c r="J572" s="108">
        <v>0</v>
      </c>
      <c r="K572" s="41">
        <v>0</v>
      </c>
      <c r="L572" s="41">
        <v>55</v>
      </c>
      <c r="M572" s="41">
        <v>-1</v>
      </c>
      <c r="N572" s="41">
        <v>4</v>
      </c>
      <c r="O572" s="110" t="s">
        <v>2659</v>
      </c>
      <c r="P572" s="109">
        <v>194220</v>
      </c>
      <c r="Q572" s="107"/>
      <c r="R572" s="111"/>
      <c r="S572" s="110"/>
      <c r="T572"/>
      <c r="U572"/>
      <c r="V572"/>
    </row>
    <row r="573" spans="1:22">
      <c r="A573" s="105">
        <v>1955</v>
      </c>
      <c r="B573" s="41">
        <v>120000000</v>
      </c>
      <c r="C573" s="41">
        <v>1.6000000000000001E-3</v>
      </c>
      <c r="D573" s="41">
        <v>1.4141999999999999</v>
      </c>
      <c r="E573" s="41">
        <v>30</v>
      </c>
      <c r="F573" s="41">
        <v>0</v>
      </c>
      <c r="G573" s="41" t="s">
        <v>505</v>
      </c>
      <c r="H573" s="41">
        <v>2</v>
      </c>
      <c r="I573" s="41">
        <v>1</v>
      </c>
      <c r="J573" s="108">
        <v>0</v>
      </c>
      <c r="K573" s="41">
        <v>0</v>
      </c>
      <c r="L573" s="41">
        <v>55</v>
      </c>
      <c r="M573" s="41">
        <v>-1</v>
      </c>
      <c r="N573" s="41">
        <v>4</v>
      </c>
      <c r="O573" s="110" t="s">
        <v>2660</v>
      </c>
      <c r="P573" s="109">
        <v>194220</v>
      </c>
      <c r="Q573" s="107"/>
      <c r="R573" s="111"/>
      <c r="S573" s="110"/>
      <c r="T573"/>
      <c r="U573"/>
      <c r="V573"/>
    </row>
    <row r="574" spans="1:22">
      <c r="A574" s="105">
        <v>1956</v>
      </c>
      <c r="B574" s="41">
        <v>120000000</v>
      </c>
      <c r="C574" s="41">
        <v>1.6000000000000001E-3</v>
      </c>
      <c r="D574" s="41">
        <v>2</v>
      </c>
      <c r="E574" s="41">
        <v>30</v>
      </c>
      <c r="F574" s="41">
        <v>0</v>
      </c>
      <c r="G574" s="41" t="s">
        <v>505</v>
      </c>
      <c r="H574" s="41">
        <v>2</v>
      </c>
      <c r="I574" s="41">
        <v>1</v>
      </c>
      <c r="J574" s="108">
        <v>0</v>
      </c>
      <c r="K574" s="41">
        <v>0</v>
      </c>
      <c r="L574" s="41">
        <v>55</v>
      </c>
      <c r="M574" s="41">
        <v>-1</v>
      </c>
      <c r="N574" s="41">
        <v>4</v>
      </c>
      <c r="O574" s="110" t="s">
        <v>2661</v>
      </c>
      <c r="P574" s="109">
        <v>194220</v>
      </c>
      <c r="Q574" s="107"/>
      <c r="R574" s="111"/>
      <c r="S574" s="110"/>
      <c r="T574"/>
      <c r="U574"/>
      <c r="V574"/>
    </row>
    <row r="575" spans="1:22">
      <c r="A575" s="105">
        <v>1957</v>
      </c>
      <c r="B575" s="41">
        <v>120000000</v>
      </c>
      <c r="C575" s="41">
        <v>1.6000000000000001E-3</v>
      </c>
      <c r="D575" s="41">
        <v>2.8283999999999998</v>
      </c>
      <c r="E575" s="41">
        <v>30</v>
      </c>
      <c r="F575" s="41">
        <v>0</v>
      </c>
      <c r="G575" s="41" t="s">
        <v>505</v>
      </c>
      <c r="H575" s="41">
        <v>2</v>
      </c>
      <c r="I575" s="41">
        <v>1</v>
      </c>
      <c r="J575" s="108">
        <v>0</v>
      </c>
      <c r="K575" s="41">
        <v>0</v>
      </c>
      <c r="L575" s="41">
        <v>55</v>
      </c>
      <c r="M575" s="41">
        <v>-1</v>
      </c>
      <c r="N575" s="41">
        <v>4</v>
      </c>
      <c r="O575" s="110" t="s">
        <v>2662</v>
      </c>
      <c r="P575" s="109">
        <v>194220</v>
      </c>
      <c r="Q575" s="107"/>
      <c r="R575" s="111"/>
      <c r="S575" s="110"/>
      <c r="T575"/>
      <c r="U575"/>
      <c r="V575"/>
    </row>
    <row r="576" spans="1:22">
      <c r="A576" s="105">
        <v>1958</v>
      </c>
      <c r="B576" s="41">
        <v>120000000</v>
      </c>
      <c r="C576" s="41">
        <v>1.6000000000000001E-3</v>
      </c>
      <c r="D576" s="41">
        <v>4</v>
      </c>
      <c r="E576" s="41">
        <v>30</v>
      </c>
      <c r="F576" s="41">
        <v>0</v>
      </c>
      <c r="G576" s="41" t="s">
        <v>505</v>
      </c>
      <c r="H576" s="41">
        <v>2</v>
      </c>
      <c r="I576" s="41">
        <v>1</v>
      </c>
      <c r="J576" s="108">
        <v>0</v>
      </c>
      <c r="K576" s="41">
        <v>0</v>
      </c>
      <c r="L576" s="41">
        <v>55</v>
      </c>
      <c r="M576" s="41">
        <v>-1</v>
      </c>
      <c r="N576" s="41">
        <v>4</v>
      </c>
      <c r="O576" s="110" t="s">
        <v>2663</v>
      </c>
      <c r="P576" s="109">
        <v>194220</v>
      </c>
      <c r="Q576" s="107"/>
      <c r="R576" s="111"/>
      <c r="S576" s="110"/>
      <c r="T576"/>
      <c r="U576"/>
      <c r="V576"/>
    </row>
    <row r="577" spans="1:22">
      <c r="A577" s="105">
        <v>1959</v>
      </c>
      <c r="B577" s="41">
        <v>120000000</v>
      </c>
      <c r="C577" s="41">
        <v>1.6000000000000001E-3</v>
      </c>
      <c r="D577" s="41">
        <v>5.6569000000000003</v>
      </c>
      <c r="E577" s="41">
        <v>30</v>
      </c>
      <c r="F577" s="41">
        <v>0</v>
      </c>
      <c r="G577" s="41" t="s">
        <v>505</v>
      </c>
      <c r="H577" s="41">
        <v>2</v>
      </c>
      <c r="I577" s="41">
        <v>1</v>
      </c>
      <c r="J577" s="108">
        <v>0</v>
      </c>
      <c r="K577" s="41">
        <v>0</v>
      </c>
      <c r="L577" s="41">
        <v>55</v>
      </c>
      <c r="M577" s="41">
        <v>-1</v>
      </c>
      <c r="N577" s="41">
        <v>4</v>
      </c>
      <c r="O577" s="110" t="s">
        <v>2664</v>
      </c>
      <c r="P577" s="109">
        <v>194220</v>
      </c>
      <c r="Q577" s="107"/>
      <c r="R577" s="111"/>
      <c r="S577" s="110"/>
      <c r="T577"/>
      <c r="U577"/>
      <c r="V577"/>
    </row>
    <row r="578" spans="1:22">
      <c r="A578" s="105">
        <v>1960</v>
      </c>
      <c r="B578" s="41">
        <v>120000000</v>
      </c>
      <c r="C578" s="41">
        <v>1.6000000000000001E-3</v>
      </c>
      <c r="D578" s="41">
        <v>8</v>
      </c>
      <c r="E578" s="41">
        <v>30</v>
      </c>
      <c r="F578" s="41">
        <v>0</v>
      </c>
      <c r="G578" s="41" t="s">
        <v>505</v>
      </c>
      <c r="H578" s="41">
        <v>2</v>
      </c>
      <c r="I578" s="41">
        <v>1</v>
      </c>
      <c r="J578" s="108">
        <v>0</v>
      </c>
      <c r="K578" s="41">
        <v>0</v>
      </c>
      <c r="L578" s="41">
        <v>55</v>
      </c>
      <c r="M578" s="41">
        <v>-1</v>
      </c>
      <c r="N578" s="41">
        <v>4</v>
      </c>
      <c r="O578" s="110" t="s">
        <v>2665</v>
      </c>
      <c r="P578" s="109">
        <v>194220</v>
      </c>
      <c r="Q578" s="107"/>
      <c r="R578" s="111"/>
      <c r="S578" s="110"/>
      <c r="T578"/>
      <c r="U578"/>
      <c r="V578"/>
    </row>
    <row r="579" spans="1:22">
      <c r="A579" s="105">
        <v>1961</v>
      </c>
      <c r="B579" s="41">
        <v>120000000</v>
      </c>
      <c r="C579" s="41">
        <v>1.6000000000000001E-3</v>
      </c>
      <c r="D579" s="41">
        <v>11.313700000000001</v>
      </c>
      <c r="E579" s="41">
        <v>30</v>
      </c>
      <c r="F579" s="41">
        <v>0</v>
      </c>
      <c r="G579" s="41" t="s">
        <v>505</v>
      </c>
      <c r="H579" s="41">
        <v>2</v>
      </c>
      <c r="I579" s="41">
        <v>1</v>
      </c>
      <c r="J579" s="108">
        <v>0</v>
      </c>
      <c r="K579" s="41">
        <v>0</v>
      </c>
      <c r="L579" s="41">
        <v>55</v>
      </c>
      <c r="M579" s="41">
        <v>-1</v>
      </c>
      <c r="N579" s="41">
        <v>4</v>
      </c>
      <c r="O579" s="110" t="s">
        <v>2666</v>
      </c>
      <c r="P579" s="109">
        <v>194220</v>
      </c>
      <c r="Q579" s="107"/>
      <c r="R579" s="111"/>
      <c r="S579" s="110"/>
      <c r="T579"/>
      <c r="U579"/>
      <c r="V579"/>
    </row>
    <row r="580" spans="1:22">
      <c r="A580" s="105">
        <v>1962</v>
      </c>
      <c r="B580" s="41">
        <v>120000000</v>
      </c>
      <c r="C580" s="41">
        <v>1.6000000000000001E-3</v>
      </c>
      <c r="D580" s="41">
        <v>16</v>
      </c>
      <c r="E580" s="41">
        <v>30</v>
      </c>
      <c r="F580" s="41">
        <v>0</v>
      </c>
      <c r="G580" s="41" t="s">
        <v>505</v>
      </c>
      <c r="H580" s="41">
        <v>2</v>
      </c>
      <c r="I580" s="41">
        <v>1</v>
      </c>
      <c r="J580" s="108">
        <v>0</v>
      </c>
      <c r="K580" s="41">
        <v>0</v>
      </c>
      <c r="L580" s="41">
        <v>55</v>
      </c>
      <c r="M580" s="41">
        <v>-1</v>
      </c>
      <c r="N580" s="41">
        <v>4</v>
      </c>
      <c r="O580" s="110" t="s">
        <v>2667</v>
      </c>
      <c r="P580" s="109">
        <v>194220</v>
      </c>
      <c r="Q580" s="107"/>
      <c r="R580" s="111"/>
      <c r="S580" s="110"/>
      <c r="T580"/>
      <c r="U580"/>
      <c r="V580"/>
    </row>
    <row r="581" spans="1:22">
      <c r="A581" s="105">
        <v>1963</v>
      </c>
      <c r="B581" s="41">
        <v>120000000</v>
      </c>
      <c r="C581" s="41">
        <v>1.6000000000000001E-3</v>
      </c>
      <c r="D581" s="41">
        <v>22.627400000000002</v>
      </c>
      <c r="E581" s="41">
        <v>30</v>
      </c>
      <c r="F581" s="41">
        <v>0</v>
      </c>
      <c r="G581" s="41" t="s">
        <v>505</v>
      </c>
      <c r="H581" s="41">
        <v>2</v>
      </c>
      <c r="I581" s="41">
        <v>1</v>
      </c>
      <c r="J581" s="108">
        <v>0</v>
      </c>
      <c r="K581" s="41">
        <v>0</v>
      </c>
      <c r="L581" s="41">
        <v>55</v>
      </c>
      <c r="M581" s="41">
        <v>-1</v>
      </c>
      <c r="N581" s="41">
        <v>4</v>
      </c>
      <c r="O581" s="110" t="s">
        <v>2668</v>
      </c>
      <c r="P581" s="109">
        <v>194220</v>
      </c>
      <c r="Q581" s="107"/>
      <c r="R581" s="111"/>
      <c r="S581" s="110"/>
      <c r="T581"/>
      <c r="U581"/>
      <c r="V581"/>
    </row>
    <row r="582" spans="1:22">
      <c r="A582" s="105">
        <v>1964</v>
      </c>
      <c r="B582" s="41">
        <v>120000000</v>
      </c>
      <c r="C582" s="41">
        <v>1.6999999999999999E-3</v>
      </c>
      <c r="D582" s="41">
        <v>1</v>
      </c>
      <c r="E582" s="41">
        <v>30</v>
      </c>
      <c r="F582" s="41">
        <v>0</v>
      </c>
      <c r="G582" s="41" t="s">
        <v>505</v>
      </c>
      <c r="H582" s="41">
        <v>2</v>
      </c>
      <c r="I582" s="41">
        <v>1</v>
      </c>
      <c r="J582" s="108">
        <v>0</v>
      </c>
      <c r="K582" s="41">
        <v>0</v>
      </c>
      <c r="L582" s="41">
        <v>55</v>
      </c>
      <c r="M582" s="41">
        <v>-1</v>
      </c>
      <c r="N582" s="41">
        <v>4</v>
      </c>
      <c r="O582" s="110" t="s">
        <v>2669</v>
      </c>
      <c r="P582" s="109">
        <v>194260</v>
      </c>
      <c r="Q582" s="107"/>
      <c r="R582" s="111"/>
      <c r="S582" s="110" t="s">
        <v>2267</v>
      </c>
      <c r="T582"/>
      <c r="U582"/>
      <c r="V582"/>
    </row>
    <row r="583" spans="1:22">
      <c r="A583" s="105">
        <v>1965</v>
      </c>
      <c r="B583" s="41">
        <v>120000000</v>
      </c>
      <c r="C583" s="41">
        <v>1.6999999999999999E-3</v>
      </c>
      <c r="D583" s="41">
        <v>1.4141999999999999</v>
      </c>
      <c r="E583" s="41">
        <v>30</v>
      </c>
      <c r="F583" s="41">
        <v>0</v>
      </c>
      <c r="G583" s="41" t="s">
        <v>505</v>
      </c>
      <c r="H583" s="41">
        <v>2</v>
      </c>
      <c r="I583" s="41">
        <v>1</v>
      </c>
      <c r="J583" s="108">
        <v>0</v>
      </c>
      <c r="K583" s="41">
        <v>0</v>
      </c>
      <c r="L583" s="41">
        <v>55</v>
      </c>
      <c r="M583" s="41">
        <v>-1</v>
      </c>
      <c r="N583" s="41">
        <v>4</v>
      </c>
      <c r="O583" s="110" t="s">
        <v>2670</v>
      </c>
      <c r="P583" s="109">
        <v>194260</v>
      </c>
      <c r="Q583" s="107"/>
      <c r="R583" s="111"/>
      <c r="S583" s="110"/>
      <c r="T583"/>
      <c r="U583"/>
      <c r="V583"/>
    </row>
    <row r="584" spans="1:22">
      <c r="A584" s="105">
        <v>1966</v>
      </c>
      <c r="B584" s="41">
        <v>120000000</v>
      </c>
      <c r="C584" s="41">
        <v>1.6999999999999999E-3</v>
      </c>
      <c r="D584" s="41">
        <v>2</v>
      </c>
      <c r="E584" s="41">
        <v>30</v>
      </c>
      <c r="F584" s="41">
        <v>0</v>
      </c>
      <c r="G584" s="41" t="s">
        <v>505</v>
      </c>
      <c r="H584" s="41">
        <v>2</v>
      </c>
      <c r="I584" s="41">
        <v>1</v>
      </c>
      <c r="J584" s="108">
        <v>0</v>
      </c>
      <c r="K584" s="41">
        <v>0</v>
      </c>
      <c r="L584" s="41">
        <v>55</v>
      </c>
      <c r="M584" s="41">
        <v>-1</v>
      </c>
      <c r="N584" s="41">
        <v>4</v>
      </c>
      <c r="O584" s="110" t="s">
        <v>2671</v>
      </c>
      <c r="P584" s="109">
        <v>194260</v>
      </c>
      <c r="Q584" s="107"/>
      <c r="R584" s="111"/>
      <c r="S584" s="110"/>
      <c r="T584"/>
      <c r="U584"/>
      <c r="V584"/>
    </row>
    <row r="585" spans="1:22">
      <c r="A585" s="105">
        <v>1967</v>
      </c>
      <c r="B585" s="41">
        <v>120000000</v>
      </c>
      <c r="C585" s="41">
        <v>1.6999999999999999E-3</v>
      </c>
      <c r="D585" s="41">
        <v>2.8283999999999998</v>
      </c>
      <c r="E585" s="41">
        <v>30</v>
      </c>
      <c r="F585" s="41">
        <v>0</v>
      </c>
      <c r="G585" s="41" t="s">
        <v>505</v>
      </c>
      <c r="H585" s="41">
        <v>2</v>
      </c>
      <c r="I585" s="41">
        <v>1</v>
      </c>
      <c r="J585" s="108">
        <v>0</v>
      </c>
      <c r="K585" s="41">
        <v>0</v>
      </c>
      <c r="L585" s="41">
        <v>55</v>
      </c>
      <c r="M585" s="41">
        <v>-1</v>
      </c>
      <c r="N585" s="41">
        <v>4</v>
      </c>
      <c r="O585" s="110" t="s">
        <v>2672</v>
      </c>
      <c r="P585" s="109">
        <v>194260</v>
      </c>
      <c r="Q585" s="107"/>
      <c r="R585" s="111"/>
      <c r="S585" s="110"/>
      <c r="T585"/>
      <c r="U585"/>
      <c r="V585"/>
    </row>
    <row r="586" spans="1:22">
      <c r="A586" s="105">
        <v>1968</v>
      </c>
      <c r="B586" s="41">
        <v>120000000</v>
      </c>
      <c r="C586" s="41">
        <v>1.6999999999999999E-3</v>
      </c>
      <c r="D586" s="41">
        <v>4</v>
      </c>
      <c r="E586" s="41">
        <v>30</v>
      </c>
      <c r="F586" s="41">
        <v>0</v>
      </c>
      <c r="G586" s="41" t="s">
        <v>505</v>
      </c>
      <c r="H586" s="41">
        <v>2</v>
      </c>
      <c r="I586" s="41">
        <v>1</v>
      </c>
      <c r="J586" s="108">
        <v>0</v>
      </c>
      <c r="K586" s="41">
        <v>0</v>
      </c>
      <c r="L586" s="41">
        <v>55</v>
      </c>
      <c r="M586" s="41">
        <v>-1</v>
      </c>
      <c r="N586" s="41">
        <v>4</v>
      </c>
      <c r="O586" s="110" t="s">
        <v>2673</v>
      </c>
      <c r="P586" s="109">
        <v>194260</v>
      </c>
      <c r="Q586" s="107"/>
      <c r="R586" s="111"/>
      <c r="S586" s="110"/>
      <c r="T586"/>
      <c r="U586"/>
      <c r="V586"/>
    </row>
    <row r="587" spans="1:22">
      <c r="A587" s="105">
        <v>1969</v>
      </c>
      <c r="B587" s="41">
        <v>120000000</v>
      </c>
      <c r="C587" s="41">
        <v>1.6999999999999999E-3</v>
      </c>
      <c r="D587" s="41">
        <v>5.6569000000000003</v>
      </c>
      <c r="E587" s="41">
        <v>30</v>
      </c>
      <c r="F587" s="41">
        <v>0</v>
      </c>
      <c r="G587" s="41" t="s">
        <v>505</v>
      </c>
      <c r="H587" s="41">
        <v>2</v>
      </c>
      <c r="I587" s="41">
        <v>1</v>
      </c>
      <c r="J587" s="108">
        <v>0</v>
      </c>
      <c r="K587" s="41">
        <v>0</v>
      </c>
      <c r="L587" s="41">
        <v>55</v>
      </c>
      <c r="M587" s="41">
        <v>-1</v>
      </c>
      <c r="N587" s="41">
        <v>4</v>
      </c>
      <c r="O587" s="110" t="s">
        <v>2674</v>
      </c>
      <c r="P587" s="109">
        <v>194260</v>
      </c>
      <c r="Q587" s="107"/>
      <c r="R587" s="111"/>
      <c r="S587" s="110"/>
      <c r="T587"/>
      <c r="U587"/>
      <c r="V587"/>
    </row>
    <row r="588" spans="1:22">
      <c r="A588" s="105">
        <v>1970</v>
      </c>
      <c r="B588" s="41">
        <v>120000000</v>
      </c>
      <c r="C588" s="41">
        <v>1.6999999999999999E-3</v>
      </c>
      <c r="D588" s="41">
        <v>8</v>
      </c>
      <c r="E588" s="41">
        <v>30</v>
      </c>
      <c r="F588" s="41">
        <v>0</v>
      </c>
      <c r="G588" s="41" t="s">
        <v>505</v>
      </c>
      <c r="H588" s="41">
        <v>2</v>
      </c>
      <c r="I588" s="41">
        <v>1</v>
      </c>
      <c r="J588" s="108">
        <v>0</v>
      </c>
      <c r="K588" s="41">
        <v>0</v>
      </c>
      <c r="L588" s="41">
        <v>55</v>
      </c>
      <c r="M588" s="41">
        <v>-1</v>
      </c>
      <c r="N588" s="41">
        <v>4</v>
      </c>
      <c r="O588" s="110" t="s">
        <v>2675</v>
      </c>
      <c r="P588" s="109">
        <v>194260</v>
      </c>
      <c r="Q588" s="107"/>
      <c r="R588" s="111"/>
      <c r="S588" s="110"/>
      <c r="T588"/>
      <c r="U588"/>
      <c r="V588"/>
    </row>
    <row r="589" spans="1:22">
      <c r="A589" s="105">
        <v>1971</v>
      </c>
      <c r="B589" s="41">
        <v>120000000</v>
      </c>
      <c r="C589" s="41">
        <v>1.6999999999999999E-3</v>
      </c>
      <c r="D589" s="41">
        <v>11.313700000000001</v>
      </c>
      <c r="E589" s="41">
        <v>30</v>
      </c>
      <c r="F589" s="41">
        <v>0</v>
      </c>
      <c r="G589" s="41" t="s">
        <v>505</v>
      </c>
      <c r="H589" s="41">
        <v>2</v>
      </c>
      <c r="I589" s="41">
        <v>1</v>
      </c>
      <c r="J589" s="108">
        <v>0</v>
      </c>
      <c r="K589" s="41">
        <v>0</v>
      </c>
      <c r="L589" s="41">
        <v>55</v>
      </c>
      <c r="M589" s="41">
        <v>-1</v>
      </c>
      <c r="N589" s="41">
        <v>4</v>
      </c>
      <c r="O589" s="110" t="s">
        <v>2676</v>
      </c>
      <c r="P589" s="109">
        <v>194260</v>
      </c>
      <c r="Q589" s="107"/>
      <c r="R589" s="111"/>
      <c r="S589" s="110"/>
      <c r="T589"/>
      <c r="U589"/>
      <c r="V589"/>
    </row>
    <row r="590" spans="1:22">
      <c r="A590" s="105">
        <v>1972</v>
      </c>
      <c r="B590" s="41">
        <v>120000000</v>
      </c>
      <c r="C590" s="41">
        <v>1.6999999999999999E-3</v>
      </c>
      <c r="D590" s="41">
        <v>16</v>
      </c>
      <c r="E590" s="41">
        <v>30</v>
      </c>
      <c r="F590" s="41">
        <v>0</v>
      </c>
      <c r="G590" s="41" t="s">
        <v>505</v>
      </c>
      <c r="H590" s="41">
        <v>2</v>
      </c>
      <c r="I590" s="41">
        <v>1</v>
      </c>
      <c r="J590" s="108">
        <v>0</v>
      </c>
      <c r="K590" s="41">
        <v>0</v>
      </c>
      <c r="L590" s="41">
        <v>55</v>
      </c>
      <c r="M590" s="41">
        <v>-1</v>
      </c>
      <c r="N590" s="41">
        <v>4</v>
      </c>
      <c r="O590" s="110" t="s">
        <v>2677</v>
      </c>
      <c r="P590" s="109">
        <v>194260</v>
      </c>
      <c r="Q590" s="107"/>
      <c r="R590" s="111"/>
      <c r="S590" s="110"/>
      <c r="T590"/>
      <c r="U590"/>
      <c r="V590"/>
    </row>
    <row r="591" spans="1:22">
      <c r="A591" s="105">
        <v>1973</v>
      </c>
      <c r="B591" s="41">
        <v>120000000</v>
      </c>
      <c r="C591" s="41">
        <v>1.6999999999999999E-3</v>
      </c>
      <c r="D591" s="41">
        <v>22.627400000000002</v>
      </c>
      <c r="E591" s="41">
        <v>30</v>
      </c>
      <c r="F591" s="41">
        <v>0</v>
      </c>
      <c r="G591" s="41" t="s">
        <v>505</v>
      </c>
      <c r="H591" s="41">
        <v>2</v>
      </c>
      <c r="I591" s="41">
        <v>1</v>
      </c>
      <c r="J591" s="108">
        <v>0</v>
      </c>
      <c r="K591" s="41">
        <v>0</v>
      </c>
      <c r="L591" s="41">
        <v>55</v>
      </c>
      <c r="M591" s="41">
        <v>-1</v>
      </c>
      <c r="N591" s="41">
        <v>4</v>
      </c>
      <c r="O591" s="110" t="s">
        <v>2678</v>
      </c>
      <c r="P591" s="109">
        <v>194260</v>
      </c>
      <c r="Q591" s="107"/>
      <c r="R591" s="111"/>
      <c r="S591" s="110"/>
      <c r="T591"/>
      <c r="U591"/>
      <c r="V591"/>
    </row>
    <row r="592" spans="1:22">
      <c r="A592" s="105">
        <v>1974</v>
      </c>
      <c r="B592" s="41">
        <v>120000000</v>
      </c>
      <c r="C592" s="41">
        <v>1.9E-3</v>
      </c>
      <c r="D592" s="41">
        <v>1.4141999999999999</v>
      </c>
      <c r="E592" s="41">
        <v>30</v>
      </c>
      <c r="F592" s="41">
        <v>0</v>
      </c>
      <c r="G592" s="41" t="s">
        <v>505</v>
      </c>
      <c r="H592" s="41">
        <v>2</v>
      </c>
      <c r="I592" s="41">
        <v>1</v>
      </c>
      <c r="J592" s="108">
        <v>0</v>
      </c>
      <c r="K592" s="41">
        <v>0</v>
      </c>
      <c r="L592" s="41">
        <v>55</v>
      </c>
      <c r="M592" s="41">
        <v>-1</v>
      </c>
      <c r="N592" s="41">
        <v>4</v>
      </c>
      <c r="O592" s="110" t="s">
        <v>2679</v>
      </c>
      <c r="P592" s="109">
        <v>194260</v>
      </c>
      <c r="Q592" s="107"/>
      <c r="R592" s="111"/>
      <c r="S592" s="110"/>
      <c r="T592"/>
      <c r="U592"/>
      <c r="V592"/>
    </row>
    <row r="593" spans="1:22">
      <c r="A593" s="105">
        <v>1975</v>
      </c>
      <c r="B593" s="41">
        <v>120000000</v>
      </c>
      <c r="C593" s="41">
        <v>1.9E-3</v>
      </c>
      <c r="D593" s="41">
        <v>2</v>
      </c>
      <c r="E593" s="41">
        <v>30</v>
      </c>
      <c r="F593" s="41">
        <v>0</v>
      </c>
      <c r="G593" s="41" t="s">
        <v>505</v>
      </c>
      <c r="H593" s="41">
        <v>2</v>
      </c>
      <c r="I593" s="41">
        <v>1</v>
      </c>
      <c r="J593" s="108">
        <v>0</v>
      </c>
      <c r="K593" s="41">
        <v>0</v>
      </c>
      <c r="L593" s="41">
        <v>55</v>
      </c>
      <c r="M593" s="41">
        <v>-1</v>
      </c>
      <c r="N593" s="41">
        <v>4</v>
      </c>
      <c r="O593" s="110" t="s">
        <v>2680</v>
      </c>
      <c r="P593" s="109">
        <v>194260</v>
      </c>
      <c r="Q593" s="107"/>
      <c r="R593" s="111"/>
      <c r="S593" s="110"/>
      <c r="T593"/>
      <c r="U593"/>
      <c r="V593"/>
    </row>
    <row r="594" spans="1:22">
      <c r="A594" s="105">
        <v>1976</v>
      </c>
      <c r="B594" s="41">
        <v>120000000</v>
      </c>
      <c r="C594" s="41">
        <v>1.9E-3</v>
      </c>
      <c r="D594" s="41">
        <v>2.8283999999999998</v>
      </c>
      <c r="E594" s="41">
        <v>30</v>
      </c>
      <c r="F594" s="41">
        <v>0</v>
      </c>
      <c r="G594" s="41" t="s">
        <v>505</v>
      </c>
      <c r="H594" s="41">
        <v>2</v>
      </c>
      <c r="I594" s="41">
        <v>1</v>
      </c>
      <c r="J594" s="108">
        <v>0</v>
      </c>
      <c r="K594" s="41">
        <v>0</v>
      </c>
      <c r="L594" s="41">
        <v>55</v>
      </c>
      <c r="M594" s="41">
        <v>-1</v>
      </c>
      <c r="N594" s="41">
        <v>4</v>
      </c>
      <c r="O594" s="110" t="s">
        <v>2681</v>
      </c>
      <c r="P594" s="109">
        <v>194260</v>
      </c>
      <c r="Q594" s="107"/>
      <c r="R594" s="111"/>
      <c r="S594" s="110"/>
      <c r="T594"/>
      <c r="U594"/>
      <c r="V594"/>
    </row>
    <row r="595" spans="1:22">
      <c r="A595" s="105">
        <v>1977</v>
      </c>
      <c r="B595" s="41">
        <v>120000000</v>
      </c>
      <c r="C595" s="41">
        <v>1.9E-3</v>
      </c>
      <c r="D595" s="41">
        <v>4</v>
      </c>
      <c r="E595" s="41">
        <v>30</v>
      </c>
      <c r="F595" s="41">
        <v>0</v>
      </c>
      <c r="G595" s="41" t="s">
        <v>505</v>
      </c>
      <c r="H595" s="41">
        <v>2</v>
      </c>
      <c r="I595" s="41">
        <v>1</v>
      </c>
      <c r="J595" s="108">
        <v>0</v>
      </c>
      <c r="K595" s="41">
        <v>0</v>
      </c>
      <c r="L595" s="41">
        <v>55</v>
      </c>
      <c r="M595" s="41">
        <v>-1</v>
      </c>
      <c r="N595" s="41">
        <v>4</v>
      </c>
      <c r="O595" s="110" t="s">
        <v>2682</v>
      </c>
      <c r="P595" s="109">
        <v>194260</v>
      </c>
      <c r="Q595" s="107"/>
      <c r="R595" s="111"/>
      <c r="S595" s="110"/>
      <c r="T595"/>
      <c r="U595"/>
      <c r="V595"/>
    </row>
    <row r="596" spans="1:22">
      <c r="A596" s="105">
        <v>1978</v>
      </c>
      <c r="B596" s="41">
        <v>120000000</v>
      </c>
      <c r="C596" s="41">
        <v>1.9E-3</v>
      </c>
      <c r="D596" s="41">
        <v>5.6569000000000003</v>
      </c>
      <c r="E596" s="41">
        <v>30</v>
      </c>
      <c r="F596" s="41">
        <v>0</v>
      </c>
      <c r="G596" s="41" t="s">
        <v>505</v>
      </c>
      <c r="H596" s="41">
        <v>2</v>
      </c>
      <c r="I596" s="41">
        <v>1</v>
      </c>
      <c r="J596" s="108">
        <v>0</v>
      </c>
      <c r="K596" s="41">
        <v>0</v>
      </c>
      <c r="L596" s="41">
        <v>55</v>
      </c>
      <c r="M596" s="41">
        <v>-1</v>
      </c>
      <c r="N596" s="41">
        <v>4</v>
      </c>
      <c r="O596" s="110" t="s">
        <v>2683</v>
      </c>
      <c r="P596" s="109">
        <v>194260</v>
      </c>
      <c r="Q596" s="107"/>
      <c r="R596" s="111"/>
      <c r="S596" s="110"/>
      <c r="T596"/>
      <c r="U596"/>
      <c r="V596"/>
    </row>
    <row r="597" spans="1:22">
      <c r="A597" s="105">
        <v>1979</v>
      </c>
      <c r="B597" s="41">
        <v>120000000</v>
      </c>
      <c r="C597" s="41">
        <v>1.9E-3</v>
      </c>
      <c r="D597" s="41">
        <v>8</v>
      </c>
      <c r="E597" s="41">
        <v>30</v>
      </c>
      <c r="F597" s="41">
        <v>0</v>
      </c>
      <c r="G597" s="41" t="s">
        <v>505</v>
      </c>
      <c r="H597" s="41">
        <v>2</v>
      </c>
      <c r="I597" s="41">
        <v>1</v>
      </c>
      <c r="J597" s="108">
        <v>0</v>
      </c>
      <c r="K597" s="41">
        <v>0</v>
      </c>
      <c r="L597" s="41">
        <v>55</v>
      </c>
      <c r="M597" s="41">
        <v>-1</v>
      </c>
      <c r="N597" s="41">
        <v>4</v>
      </c>
      <c r="O597" s="110" t="s">
        <v>2684</v>
      </c>
      <c r="P597" s="109">
        <v>194260</v>
      </c>
      <c r="Q597" s="107"/>
      <c r="R597" s="111"/>
      <c r="S597" s="110"/>
      <c r="T597"/>
      <c r="U597"/>
      <c r="V597"/>
    </row>
    <row r="598" spans="1:22">
      <c r="A598" s="105">
        <v>1980</v>
      </c>
      <c r="B598" s="41">
        <v>120000000</v>
      </c>
      <c r="C598" s="41">
        <v>1.9E-3</v>
      </c>
      <c r="D598" s="41">
        <v>11.313700000000001</v>
      </c>
      <c r="E598" s="41">
        <v>30</v>
      </c>
      <c r="F598" s="41">
        <v>0</v>
      </c>
      <c r="G598" s="41" t="s">
        <v>505</v>
      </c>
      <c r="H598" s="41">
        <v>2</v>
      </c>
      <c r="I598" s="41">
        <v>1</v>
      </c>
      <c r="J598" s="108">
        <v>0</v>
      </c>
      <c r="K598" s="41">
        <v>0</v>
      </c>
      <c r="L598" s="41">
        <v>55</v>
      </c>
      <c r="M598" s="41">
        <v>-1</v>
      </c>
      <c r="N598" s="41">
        <v>4</v>
      </c>
      <c r="O598" s="110" t="s">
        <v>2685</v>
      </c>
      <c r="P598" s="109">
        <v>194260</v>
      </c>
      <c r="Q598" s="107"/>
      <c r="R598" s="111"/>
      <c r="S598" s="110"/>
      <c r="T598"/>
      <c r="U598"/>
      <c r="V598"/>
    </row>
    <row r="599" spans="1:22">
      <c r="A599" s="105">
        <v>1981</v>
      </c>
      <c r="B599" s="41">
        <v>120000000</v>
      </c>
      <c r="C599" s="41">
        <v>1.9E-3</v>
      </c>
      <c r="D599" s="41">
        <v>16</v>
      </c>
      <c r="E599" s="41">
        <v>30</v>
      </c>
      <c r="F599" s="41">
        <v>0</v>
      </c>
      <c r="G599" s="41" t="s">
        <v>505</v>
      </c>
      <c r="H599" s="41">
        <v>2</v>
      </c>
      <c r="I599" s="41">
        <v>1</v>
      </c>
      <c r="J599" s="108">
        <v>0</v>
      </c>
      <c r="K599" s="41">
        <v>0</v>
      </c>
      <c r="L599" s="41">
        <v>55</v>
      </c>
      <c r="M599" s="41">
        <v>-1</v>
      </c>
      <c r="N599" s="41">
        <v>4</v>
      </c>
      <c r="O599" s="110" t="s">
        <v>2686</v>
      </c>
      <c r="P599" s="109">
        <v>194260</v>
      </c>
      <c r="Q599" s="107"/>
      <c r="R599" s="111"/>
      <c r="S599" s="110"/>
      <c r="T599"/>
      <c r="U599"/>
      <c r="V599"/>
    </row>
    <row r="600" spans="1:22">
      <c r="A600" s="105">
        <v>1982</v>
      </c>
      <c r="B600" s="41">
        <v>120000000</v>
      </c>
      <c r="C600" s="41">
        <v>1.9E-3</v>
      </c>
      <c r="D600" s="41">
        <v>22.627400000000002</v>
      </c>
      <c r="E600" s="41">
        <v>30</v>
      </c>
      <c r="F600" s="41">
        <v>0</v>
      </c>
      <c r="G600" s="41" t="s">
        <v>505</v>
      </c>
      <c r="H600" s="41">
        <v>2</v>
      </c>
      <c r="I600" s="41">
        <v>1</v>
      </c>
      <c r="J600" s="108">
        <v>0</v>
      </c>
      <c r="K600" s="41">
        <v>0</v>
      </c>
      <c r="L600" s="41">
        <v>55</v>
      </c>
      <c r="M600" s="41">
        <v>-1</v>
      </c>
      <c r="N600" s="41">
        <v>4</v>
      </c>
      <c r="O600" s="110" t="s">
        <v>2687</v>
      </c>
      <c r="P600" s="109">
        <v>194260</v>
      </c>
      <c r="Q600" s="107"/>
      <c r="R600" s="111"/>
      <c r="S600" s="110"/>
      <c r="T600"/>
      <c r="U600"/>
      <c r="V600"/>
    </row>
    <row r="601" spans="1:22">
      <c r="A601" s="105">
        <v>1983</v>
      </c>
      <c r="B601" s="41">
        <v>120000000</v>
      </c>
      <c r="C601" s="41">
        <v>1.9E-3</v>
      </c>
      <c r="D601" s="41">
        <v>32</v>
      </c>
      <c r="E601" s="41">
        <v>30</v>
      </c>
      <c r="F601" s="41">
        <v>0</v>
      </c>
      <c r="G601" s="41" t="s">
        <v>505</v>
      </c>
      <c r="H601" s="41">
        <v>2</v>
      </c>
      <c r="I601" s="41">
        <v>1</v>
      </c>
      <c r="J601" s="108">
        <v>0</v>
      </c>
      <c r="K601" s="41">
        <v>0</v>
      </c>
      <c r="L601" s="41">
        <v>55</v>
      </c>
      <c r="M601" s="41">
        <v>-1</v>
      </c>
      <c r="N601" s="41">
        <v>4</v>
      </c>
      <c r="O601" s="110" t="s">
        <v>2688</v>
      </c>
      <c r="P601" s="109">
        <v>194260</v>
      </c>
      <c r="Q601" s="107"/>
      <c r="R601" s="111"/>
      <c r="S601" s="110"/>
      <c r="T601"/>
      <c r="U601"/>
      <c r="V601"/>
    </row>
    <row r="602" spans="1:22">
      <c r="A602" s="105">
        <v>1984</v>
      </c>
      <c r="B602" s="41">
        <v>120000000</v>
      </c>
      <c r="C602" s="41">
        <v>2.0999999999999999E-3</v>
      </c>
      <c r="D602" s="41">
        <v>1.4141999999999999</v>
      </c>
      <c r="E602" s="41">
        <v>30</v>
      </c>
      <c r="F602" s="41">
        <v>0</v>
      </c>
      <c r="G602" s="41" t="s">
        <v>505</v>
      </c>
      <c r="H602" s="41">
        <v>2</v>
      </c>
      <c r="I602" s="41">
        <v>1</v>
      </c>
      <c r="J602" s="108">
        <v>0</v>
      </c>
      <c r="K602" s="41">
        <v>0</v>
      </c>
      <c r="L602" s="41">
        <v>55</v>
      </c>
      <c r="M602" s="41">
        <v>-1</v>
      </c>
      <c r="N602" s="41">
        <v>4</v>
      </c>
      <c r="O602" s="110" t="s">
        <v>2689</v>
      </c>
      <c r="P602" s="109">
        <v>194260</v>
      </c>
      <c r="Q602" s="107"/>
      <c r="R602" s="111"/>
      <c r="S602" s="110"/>
      <c r="T602"/>
      <c r="U602"/>
      <c r="V602"/>
    </row>
    <row r="603" spans="1:22">
      <c r="A603" s="105">
        <v>1985</v>
      </c>
      <c r="B603" s="41">
        <v>120000000</v>
      </c>
      <c r="C603" s="41">
        <v>2.0999999999999999E-3</v>
      </c>
      <c r="D603" s="41">
        <v>2</v>
      </c>
      <c r="E603" s="41">
        <v>30</v>
      </c>
      <c r="F603" s="41">
        <v>0</v>
      </c>
      <c r="G603" s="41" t="s">
        <v>505</v>
      </c>
      <c r="H603" s="41">
        <v>2</v>
      </c>
      <c r="I603" s="41">
        <v>1</v>
      </c>
      <c r="J603" s="108">
        <v>0</v>
      </c>
      <c r="K603" s="41">
        <v>0</v>
      </c>
      <c r="L603" s="41">
        <v>55</v>
      </c>
      <c r="M603" s="41">
        <v>-1</v>
      </c>
      <c r="N603" s="41">
        <v>4</v>
      </c>
      <c r="O603" s="110" t="s">
        <v>2690</v>
      </c>
      <c r="P603" s="109">
        <v>194260</v>
      </c>
      <c r="Q603" s="107"/>
      <c r="R603" s="111"/>
      <c r="S603" s="110"/>
      <c r="T603"/>
      <c r="U603"/>
      <c r="V603"/>
    </row>
    <row r="604" spans="1:22">
      <c r="A604" s="105">
        <v>1986</v>
      </c>
      <c r="B604" s="41">
        <v>120000000</v>
      </c>
      <c r="C604" s="41">
        <v>2.0999999999999999E-3</v>
      </c>
      <c r="D604" s="41">
        <v>2.8283999999999998</v>
      </c>
      <c r="E604" s="41">
        <v>30</v>
      </c>
      <c r="F604" s="41">
        <v>0</v>
      </c>
      <c r="G604" s="41" t="s">
        <v>505</v>
      </c>
      <c r="H604" s="41">
        <v>2</v>
      </c>
      <c r="I604" s="41">
        <v>1</v>
      </c>
      <c r="J604" s="108">
        <v>0</v>
      </c>
      <c r="K604" s="41">
        <v>0</v>
      </c>
      <c r="L604" s="41">
        <v>55</v>
      </c>
      <c r="M604" s="41">
        <v>-1</v>
      </c>
      <c r="N604" s="41">
        <v>4</v>
      </c>
      <c r="O604" s="110" t="s">
        <v>2691</v>
      </c>
      <c r="P604" s="109">
        <v>194260</v>
      </c>
      <c r="Q604" s="107"/>
      <c r="R604" s="111"/>
      <c r="S604" s="110"/>
      <c r="T604"/>
      <c r="U604"/>
      <c r="V604"/>
    </row>
    <row r="605" spans="1:22">
      <c r="A605" s="105">
        <v>1987</v>
      </c>
      <c r="B605" s="41">
        <v>120000000</v>
      </c>
      <c r="C605" s="41">
        <v>2.0999999999999999E-3</v>
      </c>
      <c r="D605" s="41">
        <v>4</v>
      </c>
      <c r="E605" s="41">
        <v>30</v>
      </c>
      <c r="F605" s="41">
        <v>0</v>
      </c>
      <c r="G605" s="41" t="s">
        <v>505</v>
      </c>
      <c r="H605" s="41">
        <v>2</v>
      </c>
      <c r="I605" s="41">
        <v>1</v>
      </c>
      <c r="J605" s="108">
        <v>0</v>
      </c>
      <c r="K605" s="41">
        <v>0</v>
      </c>
      <c r="L605" s="41">
        <v>55</v>
      </c>
      <c r="M605" s="41">
        <v>-1</v>
      </c>
      <c r="N605" s="41">
        <v>4</v>
      </c>
      <c r="O605" s="110" t="s">
        <v>2692</v>
      </c>
      <c r="P605" s="109">
        <v>194260</v>
      </c>
      <c r="Q605" s="107"/>
      <c r="R605" s="111"/>
      <c r="S605" s="110"/>
      <c r="T605"/>
      <c r="U605"/>
      <c r="V605"/>
    </row>
    <row r="606" spans="1:22">
      <c r="A606" s="105">
        <v>1988</v>
      </c>
      <c r="B606" s="41">
        <v>120000000</v>
      </c>
      <c r="C606" s="41">
        <v>2.0999999999999999E-3</v>
      </c>
      <c r="D606" s="41">
        <v>5.6569000000000003</v>
      </c>
      <c r="E606" s="41">
        <v>30</v>
      </c>
      <c r="F606" s="41">
        <v>0</v>
      </c>
      <c r="G606" s="41" t="s">
        <v>505</v>
      </c>
      <c r="H606" s="41">
        <v>2</v>
      </c>
      <c r="I606" s="41">
        <v>1</v>
      </c>
      <c r="J606" s="108">
        <v>0</v>
      </c>
      <c r="K606" s="41">
        <v>0</v>
      </c>
      <c r="L606" s="41">
        <v>55</v>
      </c>
      <c r="M606" s="41">
        <v>-1</v>
      </c>
      <c r="N606" s="41">
        <v>4</v>
      </c>
      <c r="O606" s="110" t="s">
        <v>2693</v>
      </c>
      <c r="P606" s="109">
        <v>194260</v>
      </c>
      <c r="Q606" s="107"/>
      <c r="R606" s="111"/>
      <c r="S606" s="110"/>
      <c r="T606"/>
      <c r="U606"/>
      <c r="V606"/>
    </row>
    <row r="607" spans="1:22">
      <c r="A607" s="105">
        <v>1989</v>
      </c>
      <c r="B607" s="41">
        <v>120000000</v>
      </c>
      <c r="C607" s="41">
        <v>2.0999999999999999E-3</v>
      </c>
      <c r="D607" s="41">
        <v>8</v>
      </c>
      <c r="E607" s="41">
        <v>30</v>
      </c>
      <c r="F607" s="41">
        <v>0</v>
      </c>
      <c r="G607" s="41" t="s">
        <v>505</v>
      </c>
      <c r="H607" s="41">
        <v>2</v>
      </c>
      <c r="I607" s="41">
        <v>1</v>
      </c>
      <c r="J607" s="108">
        <v>0</v>
      </c>
      <c r="K607" s="41">
        <v>0</v>
      </c>
      <c r="L607" s="41">
        <v>55</v>
      </c>
      <c r="M607" s="41">
        <v>-1</v>
      </c>
      <c r="N607" s="41">
        <v>4</v>
      </c>
      <c r="O607" s="110" t="s">
        <v>2694</v>
      </c>
      <c r="P607" s="109">
        <v>194260</v>
      </c>
      <c r="Q607" s="107"/>
      <c r="R607" s="111"/>
      <c r="S607" s="110"/>
      <c r="T607"/>
      <c r="U607"/>
      <c r="V607"/>
    </row>
    <row r="608" spans="1:22">
      <c r="A608" s="105">
        <v>1990</v>
      </c>
      <c r="B608" s="41">
        <v>120000000</v>
      </c>
      <c r="C608" s="41">
        <v>2.0999999999999999E-3</v>
      </c>
      <c r="D608" s="41">
        <v>11.313700000000001</v>
      </c>
      <c r="E608" s="41">
        <v>30</v>
      </c>
      <c r="F608" s="41">
        <v>0</v>
      </c>
      <c r="G608" s="41" t="s">
        <v>505</v>
      </c>
      <c r="H608" s="41">
        <v>2</v>
      </c>
      <c r="I608" s="41">
        <v>1</v>
      </c>
      <c r="J608" s="108">
        <v>0</v>
      </c>
      <c r="K608" s="41">
        <v>0</v>
      </c>
      <c r="L608" s="41">
        <v>55</v>
      </c>
      <c r="M608" s="41">
        <v>-1</v>
      </c>
      <c r="N608" s="41">
        <v>4</v>
      </c>
      <c r="O608" s="110" t="s">
        <v>2695</v>
      </c>
      <c r="P608" s="109">
        <v>194260</v>
      </c>
      <c r="Q608" s="107"/>
      <c r="R608" s="111"/>
      <c r="S608" s="110"/>
      <c r="T608"/>
      <c r="U608"/>
      <c r="V608"/>
    </row>
    <row r="609" spans="1:22">
      <c r="A609" s="105">
        <v>1991</v>
      </c>
      <c r="B609" s="41">
        <v>120000000</v>
      </c>
      <c r="C609" s="41">
        <v>2.0999999999999999E-3</v>
      </c>
      <c r="D609" s="41">
        <v>16</v>
      </c>
      <c r="E609" s="41">
        <v>30</v>
      </c>
      <c r="F609" s="41">
        <v>0</v>
      </c>
      <c r="G609" s="41" t="s">
        <v>505</v>
      </c>
      <c r="H609" s="41">
        <v>2</v>
      </c>
      <c r="I609" s="41">
        <v>1</v>
      </c>
      <c r="J609" s="108">
        <v>0</v>
      </c>
      <c r="K609" s="41">
        <v>0</v>
      </c>
      <c r="L609" s="41">
        <v>55</v>
      </c>
      <c r="M609" s="41">
        <v>-1</v>
      </c>
      <c r="N609" s="41">
        <v>4</v>
      </c>
      <c r="O609" s="110" t="s">
        <v>2696</v>
      </c>
      <c r="P609" s="109">
        <v>194260</v>
      </c>
      <c r="Q609" s="107"/>
      <c r="R609" s="111"/>
      <c r="S609" s="110"/>
      <c r="T609"/>
      <c r="U609"/>
      <c r="V609"/>
    </row>
    <row r="610" spans="1:22">
      <c r="A610" s="105">
        <v>1992</v>
      </c>
      <c r="B610" s="41">
        <v>120000000</v>
      </c>
      <c r="C610" s="41">
        <v>2.0999999999999999E-3</v>
      </c>
      <c r="D610" s="41">
        <v>22.627400000000002</v>
      </c>
      <c r="E610" s="41">
        <v>30</v>
      </c>
      <c r="F610" s="41">
        <v>0</v>
      </c>
      <c r="G610" s="41" t="s">
        <v>505</v>
      </c>
      <c r="H610" s="41">
        <v>2</v>
      </c>
      <c r="I610" s="41">
        <v>1</v>
      </c>
      <c r="J610" s="108">
        <v>0</v>
      </c>
      <c r="K610" s="41">
        <v>0</v>
      </c>
      <c r="L610" s="41">
        <v>55</v>
      </c>
      <c r="M610" s="41">
        <v>-1</v>
      </c>
      <c r="N610" s="41">
        <v>4</v>
      </c>
      <c r="O610" s="110" t="s">
        <v>2697</v>
      </c>
      <c r="P610" s="109">
        <v>194260</v>
      </c>
      <c r="Q610" s="107"/>
      <c r="R610" s="111"/>
      <c r="S610" s="110"/>
      <c r="T610"/>
      <c r="U610"/>
      <c r="V610"/>
    </row>
    <row r="611" spans="1:22">
      <c r="A611" s="105">
        <v>1993</v>
      </c>
      <c r="B611" s="41">
        <v>120000000</v>
      </c>
      <c r="C611" s="41">
        <v>2.0999999999999999E-3</v>
      </c>
      <c r="D611" s="41">
        <v>32</v>
      </c>
      <c r="E611" s="41">
        <v>30</v>
      </c>
      <c r="F611" s="41">
        <v>0</v>
      </c>
      <c r="G611" s="41" t="s">
        <v>505</v>
      </c>
      <c r="H611" s="41">
        <v>2</v>
      </c>
      <c r="I611" s="41">
        <v>1</v>
      </c>
      <c r="J611" s="108">
        <v>0</v>
      </c>
      <c r="K611" s="41">
        <v>0</v>
      </c>
      <c r="L611" s="41">
        <v>55</v>
      </c>
      <c r="M611" s="41">
        <v>-1</v>
      </c>
      <c r="N611" s="41">
        <v>4</v>
      </c>
      <c r="O611" s="110" t="s">
        <v>2698</v>
      </c>
      <c r="P611" s="109">
        <v>194260</v>
      </c>
      <c r="Q611" s="107"/>
      <c r="R611" s="111"/>
      <c r="S611" s="110"/>
      <c r="T611"/>
      <c r="U611"/>
      <c r="V611"/>
    </row>
    <row r="612" spans="1:22">
      <c r="A612" s="105">
        <v>1994</v>
      </c>
      <c r="B612" s="41">
        <v>120000000</v>
      </c>
      <c r="C612" s="41">
        <v>2.3E-3</v>
      </c>
      <c r="D612" s="41">
        <v>2</v>
      </c>
      <c r="E612" s="41">
        <v>30</v>
      </c>
      <c r="F612" s="41">
        <v>0</v>
      </c>
      <c r="G612" s="41" t="s">
        <v>505</v>
      </c>
      <c r="H612" s="41">
        <v>2</v>
      </c>
      <c r="I612" s="41">
        <v>1</v>
      </c>
      <c r="J612" s="108">
        <v>0</v>
      </c>
      <c r="K612" s="41">
        <v>0</v>
      </c>
      <c r="L612" s="41">
        <v>55</v>
      </c>
      <c r="M612" s="41">
        <v>-1</v>
      </c>
      <c r="N612" s="41">
        <v>4</v>
      </c>
      <c r="O612" s="110" t="s">
        <v>2699</v>
      </c>
      <c r="P612" s="109">
        <v>194260</v>
      </c>
      <c r="Q612" s="107"/>
      <c r="R612" s="111"/>
      <c r="S612" s="110"/>
      <c r="T612"/>
      <c r="U612"/>
      <c r="V612"/>
    </row>
    <row r="613" spans="1:22">
      <c r="A613" s="105">
        <v>1995</v>
      </c>
      <c r="B613" s="41">
        <v>120000000</v>
      </c>
      <c r="C613" s="41">
        <v>2.3E-3</v>
      </c>
      <c r="D613" s="41">
        <v>2.8283999999999998</v>
      </c>
      <c r="E613" s="41">
        <v>30</v>
      </c>
      <c r="F613" s="41">
        <v>0</v>
      </c>
      <c r="G613" s="41" t="s">
        <v>505</v>
      </c>
      <c r="H613" s="41">
        <v>2</v>
      </c>
      <c r="I613" s="41">
        <v>1</v>
      </c>
      <c r="J613" s="108">
        <v>0</v>
      </c>
      <c r="K613" s="41">
        <v>0</v>
      </c>
      <c r="L613" s="41">
        <v>55</v>
      </c>
      <c r="M613" s="41">
        <v>-1</v>
      </c>
      <c r="N613" s="41">
        <v>4</v>
      </c>
      <c r="O613" s="110" t="s">
        <v>2700</v>
      </c>
      <c r="P613" s="109">
        <v>194260</v>
      </c>
      <c r="Q613" s="107"/>
      <c r="R613" s="111"/>
      <c r="S613" s="110"/>
      <c r="T613"/>
      <c r="U613"/>
      <c r="V613"/>
    </row>
    <row r="614" spans="1:22">
      <c r="A614" s="105">
        <v>1996</v>
      </c>
      <c r="B614" s="41">
        <v>120000000</v>
      </c>
      <c r="C614" s="41">
        <v>2.3E-3</v>
      </c>
      <c r="D614" s="41">
        <v>4</v>
      </c>
      <c r="E614" s="41">
        <v>30</v>
      </c>
      <c r="F614" s="41">
        <v>0</v>
      </c>
      <c r="G614" s="41" t="s">
        <v>505</v>
      </c>
      <c r="H614" s="41">
        <v>2</v>
      </c>
      <c r="I614" s="41">
        <v>1</v>
      </c>
      <c r="J614" s="108">
        <v>0</v>
      </c>
      <c r="K614" s="41">
        <v>0</v>
      </c>
      <c r="L614" s="41">
        <v>55</v>
      </c>
      <c r="M614" s="41">
        <v>-1</v>
      </c>
      <c r="N614" s="41">
        <v>4</v>
      </c>
      <c r="O614" s="110" t="s">
        <v>2701</v>
      </c>
      <c r="P614" s="109">
        <v>194260</v>
      </c>
      <c r="Q614" s="107"/>
      <c r="R614" s="111"/>
      <c r="S614" s="110"/>
      <c r="T614"/>
      <c r="U614"/>
      <c r="V614"/>
    </row>
    <row r="615" spans="1:22">
      <c r="A615" s="105">
        <v>1997</v>
      </c>
      <c r="B615" s="41">
        <v>120000000</v>
      </c>
      <c r="C615" s="41">
        <v>2.3E-3</v>
      </c>
      <c r="D615" s="41">
        <v>5.6569000000000003</v>
      </c>
      <c r="E615" s="41">
        <v>30</v>
      </c>
      <c r="F615" s="41">
        <v>0</v>
      </c>
      <c r="G615" s="41" t="s">
        <v>505</v>
      </c>
      <c r="H615" s="41">
        <v>2</v>
      </c>
      <c r="I615" s="41">
        <v>1</v>
      </c>
      <c r="J615" s="108">
        <v>0</v>
      </c>
      <c r="K615" s="41">
        <v>0</v>
      </c>
      <c r="L615" s="41">
        <v>55</v>
      </c>
      <c r="M615" s="41">
        <v>-1</v>
      </c>
      <c r="N615" s="41">
        <v>4</v>
      </c>
      <c r="O615" s="110" t="s">
        <v>2702</v>
      </c>
      <c r="P615" s="109">
        <v>194260</v>
      </c>
      <c r="Q615" s="107"/>
      <c r="R615" s="111"/>
      <c r="S615" s="110"/>
      <c r="T615"/>
      <c r="U615"/>
      <c r="V615"/>
    </row>
    <row r="616" spans="1:22">
      <c r="A616" s="105">
        <v>1998</v>
      </c>
      <c r="B616" s="41">
        <v>120000000</v>
      </c>
      <c r="C616" s="41">
        <v>2.3E-3</v>
      </c>
      <c r="D616" s="41">
        <v>8</v>
      </c>
      <c r="E616" s="41">
        <v>30</v>
      </c>
      <c r="F616" s="41">
        <v>0</v>
      </c>
      <c r="G616" s="41" t="s">
        <v>505</v>
      </c>
      <c r="H616" s="41">
        <v>2</v>
      </c>
      <c r="I616" s="41">
        <v>1</v>
      </c>
      <c r="J616" s="108">
        <v>0</v>
      </c>
      <c r="K616" s="41">
        <v>0</v>
      </c>
      <c r="L616" s="41">
        <v>55</v>
      </c>
      <c r="M616" s="41">
        <v>-1</v>
      </c>
      <c r="N616" s="41">
        <v>4</v>
      </c>
      <c r="O616" s="110" t="s">
        <v>2703</v>
      </c>
      <c r="P616" s="109">
        <v>194260</v>
      </c>
      <c r="Q616" s="107"/>
      <c r="R616" s="111"/>
      <c r="S616" s="110"/>
      <c r="T616"/>
      <c r="U616"/>
      <c r="V616"/>
    </row>
    <row r="617" spans="1:22">
      <c r="A617" s="105">
        <v>1999</v>
      </c>
      <c r="B617" s="41">
        <v>120000000</v>
      </c>
      <c r="C617" s="41">
        <v>2.3E-3</v>
      </c>
      <c r="D617" s="41">
        <v>11.313700000000001</v>
      </c>
      <c r="E617" s="41">
        <v>30</v>
      </c>
      <c r="F617" s="41">
        <v>0</v>
      </c>
      <c r="G617" s="41" t="s">
        <v>505</v>
      </c>
      <c r="H617" s="41">
        <v>2</v>
      </c>
      <c r="I617" s="41">
        <v>1</v>
      </c>
      <c r="J617" s="108">
        <v>0</v>
      </c>
      <c r="K617" s="41">
        <v>0</v>
      </c>
      <c r="L617" s="41">
        <v>55</v>
      </c>
      <c r="M617" s="41">
        <v>-1</v>
      </c>
      <c r="N617" s="41">
        <v>4</v>
      </c>
      <c r="O617" s="110" t="s">
        <v>2704</v>
      </c>
      <c r="P617" s="109">
        <v>194260</v>
      </c>
      <c r="Q617" s="107"/>
      <c r="R617" s="111"/>
      <c r="S617" s="110"/>
      <c r="T617"/>
      <c r="U617"/>
      <c r="V617"/>
    </row>
    <row r="618" spans="1:22">
      <c r="A618" s="105">
        <v>2000</v>
      </c>
      <c r="B618" s="41">
        <v>120000000</v>
      </c>
      <c r="C618" s="41">
        <v>2.3E-3</v>
      </c>
      <c r="D618" s="41">
        <v>16</v>
      </c>
      <c r="E618" s="41">
        <v>30</v>
      </c>
      <c r="F618" s="41">
        <v>0</v>
      </c>
      <c r="G618" s="41" t="s">
        <v>505</v>
      </c>
      <c r="H618" s="41">
        <v>2</v>
      </c>
      <c r="I618" s="41">
        <v>1</v>
      </c>
      <c r="J618" s="108">
        <v>0</v>
      </c>
      <c r="K618" s="41">
        <v>0</v>
      </c>
      <c r="L618" s="41">
        <v>55</v>
      </c>
      <c r="M618" s="41">
        <v>-1</v>
      </c>
      <c r="N618" s="41">
        <v>4</v>
      </c>
      <c r="O618" s="110" t="s">
        <v>2705</v>
      </c>
      <c r="P618" s="109">
        <v>194260</v>
      </c>
      <c r="Q618" s="107"/>
      <c r="R618" s="111"/>
      <c r="S618" s="110"/>
      <c r="T618"/>
      <c r="U618"/>
      <c r="V618"/>
    </row>
    <row r="619" spans="1:22">
      <c r="A619" s="105">
        <v>2001</v>
      </c>
      <c r="B619" s="41">
        <v>120000000</v>
      </c>
      <c r="C619" s="41">
        <v>2.3E-3</v>
      </c>
      <c r="D619" s="41">
        <v>22.627400000000002</v>
      </c>
      <c r="E619" s="41">
        <v>30</v>
      </c>
      <c r="F619" s="41">
        <v>0</v>
      </c>
      <c r="G619" s="41" t="s">
        <v>505</v>
      </c>
      <c r="H619" s="41">
        <v>2</v>
      </c>
      <c r="I619" s="41">
        <v>1</v>
      </c>
      <c r="J619" s="108">
        <v>0</v>
      </c>
      <c r="K619" s="41">
        <v>0</v>
      </c>
      <c r="L619" s="41">
        <v>55</v>
      </c>
      <c r="M619" s="41">
        <v>-1</v>
      </c>
      <c r="N619" s="41">
        <v>4</v>
      </c>
      <c r="O619" s="110" t="s">
        <v>2706</v>
      </c>
      <c r="P619" s="109">
        <v>194260</v>
      </c>
      <c r="Q619" s="107"/>
      <c r="R619" s="111"/>
      <c r="S619" s="110"/>
      <c r="T619"/>
      <c r="U619"/>
      <c r="V619"/>
    </row>
    <row r="620" spans="1:22">
      <c r="A620" s="105">
        <v>2002</v>
      </c>
      <c r="B620" s="41">
        <v>120000000</v>
      </c>
      <c r="C620" s="41">
        <v>2.3E-3</v>
      </c>
      <c r="D620" s="41">
        <v>32</v>
      </c>
      <c r="E620" s="41">
        <v>30</v>
      </c>
      <c r="F620" s="41">
        <v>0</v>
      </c>
      <c r="G620" s="41" t="s">
        <v>505</v>
      </c>
      <c r="H620" s="41">
        <v>2</v>
      </c>
      <c r="I620" s="41">
        <v>1</v>
      </c>
      <c r="J620" s="108">
        <v>0</v>
      </c>
      <c r="K620" s="41">
        <v>0</v>
      </c>
      <c r="L620" s="41">
        <v>55</v>
      </c>
      <c r="M620" s="41">
        <v>-1</v>
      </c>
      <c r="N620" s="41">
        <v>4</v>
      </c>
      <c r="O620" s="110" t="s">
        <v>2707</v>
      </c>
      <c r="P620" s="109">
        <v>194260</v>
      </c>
      <c r="Q620" s="107"/>
      <c r="R620" s="111"/>
      <c r="S620" s="110"/>
      <c r="T620"/>
      <c r="U620"/>
      <c r="V620"/>
    </row>
    <row r="621" spans="1:22">
      <c r="A621" s="105">
        <v>2003</v>
      </c>
      <c r="B621" s="41">
        <v>120000000</v>
      </c>
      <c r="C621" s="41">
        <v>2.3E-3</v>
      </c>
      <c r="D621" s="41">
        <v>45.254800000000003</v>
      </c>
      <c r="E621" s="41">
        <v>30</v>
      </c>
      <c r="F621" s="41">
        <v>0</v>
      </c>
      <c r="G621" s="41" t="s">
        <v>505</v>
      </c>
      <c r="H621" s="41">
        <v>2</v>
      </c>
      <c r="I621" s="41">
        <v>1</v>
      </c>
      <c r="J621" s="108">
        <v>0</v>
      </c>
      <c r="K621" s="41">
        <v>0</v>
      </c>
      <c r="L621" s="41">
        <v>55</v>
      </c>
      <c r="M621" s="41">
        <v>-1</v>
      </c>
      <c r="N621" s="41">
        <v>4</v>
      </c>
      <c r="O621" s="110" t="s">
        <v>2708</v>
      </c>
      <c r="P621" s="109">
        <v>194260</v>
      </c>
      <c r="Q621" s="107"/>
      <c r="R621" s="111"/>
      <c r="S621" s="110"/>
      <c r="T621"/>
      <c r="U621"/>
      <c r="V621"/>
    </row>
    <row r="622" spans="1:22">
      <c r="A622" s="105">
        <v>2004</v>
      </c>
      <c r="B622" s="41">
        <v>120000000</v>
      </c>
      <c r="C622" s="41">
        <v>2.5000000000000001E-3</v>
      </c>
      <c r="D622" s="41">
        <v>2</v>
      </c>
      <c r="E622" s="41">
        <v>30</v>
      </c>
      <c r="F622" s="41">
        <v>0</v>
      </c>
      <c r="G622" s="41" t="s">
        <v>505</v>
      </c>
      <c r="H622" s="41">
        <v>2</v>
      </c>
      <c r="I622" s="41">
        <v>1</v>
      </c>
      <c r="J622" s="108">
        <v>0</v>
      </c>
      <c r="K622" s="41">
        <v>0</v>
      </c>
      <c r="L622" s="41">
        <v>55</v>
      </c>
      <c r="M622" s="41">
        <v>-1</v>
      </c>
      <c r="N622" s="41">
        <v>4</v>
      </c>
      <c r="O622" s="110" t="s">
        <v>2709</v>
      </c>
      <c r="P622" s="109">
        <v>194272</v>
      </c>
      <c r="Q622" s="107"/>
      <c r="R622" s="111"/>
      <c r="S622" s="110" t="s">
        <v>2267</v>
      </c>
      <c r="T622"/>
      <c r="U622"/>
      <c r="V622"/>
    </row>
    <row r="623" spans="1:22">
      <c r="A623" s="105">
        <v>2005</v>
      </c>
      <c r="B623" s="41">
        <v>120000000</v>
      </c>
      <c r="C623" s="41">
        <v>2.5000000000000001E-3</v>
      </c>
      <c r="D623" s="41">
        <v>2.8283999999999998</v>
      </c>
      <c r="E623" s="41">
        <v>30</v>
      </c>
      <c r="F623" s="41">
        <v>0</v>
      </c>
      <c r="G623" s="41" t="s">
        <v>505</v>
      </c>
      <c r="H623" s="41">
        <v>2</v>
      </c>
      <c r="I623" s="41">
        <v>1</v>
      </c>
      <c r="J623" s="108">
        <v>0</v>
      </c>
      <c r="K623" s="41">
        <v>0</v>
      </c>
      <c r="L623" s="41">
        <v>55</v>
      </c>
      <c r="M623" s="41">
        <v>-1</v>
      </c>
      <c r="N623" s="41">
        <v>4</v>
      </c>
      <c r="O623" s="110" t="s">
        <v>2710</v>
      </c>
      <c r="P623" s="109">
        <v>194272</v>
      </c>
      <c r="Q623" s="107"/>
      <c r="R623" s="111"/>
      <c r="S623" s="110"/>
      <c r="T623"/>
      <c r="U623"/>
      <c r="V623"/>
    </row>
    <row r="624" spans="1:22">
      <c r="A624" s="105">
        <v>2006</v>
      </c>
      <c r="B624" s="41">
        <v>120000000</v>
      </c>
      <c r="C624" s="41">
        <v>2.5000000000000001E-3</v>
      </c>
      <c r="D624" s="41">
        <v>4</v>
      </c>
      <c r="E624" s="41">
        <v>30</v>
      </c>
      <c r="F624" s="41">
        <v>0</v>
      </c>
      <c r="G624" s="41" t="s">
        <v>505</v>
      </c>
      <c r="H624" s="41">
        <v>2</v>
      </c>
      <c r="I624" s="41">
        <v>1</v>
      </c>
      <c r="J624" s="108">
        <v>0</v>
      </c>
      <c r="K624" s="41">
        <v>0</v>
      </c>
      <c r="L624" s="41">
        <v>55</v>
      </c>
      <c r="M624" s="41">
        <v>-1</v>
      </c>
      <c r="N624" s="41">
        <v>4</v>
      </c>
      <c r="O624" s="110" t="s">
        <v>2711</v>
      </c>
      <c r="P624" s="109">
        <v>194272</v>
      </c>
      <c r="Q624" s="107"/>
      <c r="R624" s="111"/>
      <c r="S624" s="110"/>
      <c r="T624"/>
      <c r="U624"/>
      <c r="V624"/>
    </row>
    <row r="625" spans="1:22">
      <c r="A625" s="105">
        <v>2007</v>
      </c>
      <c r="B625" s="41">
        <v>120000000</v>
      </c>
      <c r="C625" s="41">
        <v>2.5000000000000001E-3</v>
      </c>
      <c r="D625" s="41">
        <v>5.6569000000000003</v>
      </c>
      <c r="E625" s="41">
        <v>30</v>
      </c>
      <c r="F625" s="41">
        <v>0</v>
      </c>
      <c r="G625" s="41" t="s">
        <v>505</v>
      </c>
      <c r="H625" s="41">
        <v>2</v>
      </c>
      <c r="I625" s="41">
        <v>1</v>
      </c>
      <c r="J625" s="108">
        <v>0</v>
      </c>
      <c r="K625" s="41">
        <v>0</v>
      </c>
      <c r="L625" s="41">
        <v>55</v>
      </c>
      <c r="M625" s="41">
        <v>-1</v>
      </c>
      <c r="N625" s="41">
        <v>4</v>
      </c>
      <c r="O625" s="110" t="s">
        <v>2712</v>
      </c>
      <c r="P625" s="109">
        <v>194272</v>
      </c>
      <c r="Q625" s="107"/>
      <c r="R625" s="111"/>
      <c r="S625" s="110"/>
      <c r="T625"/>
      <c r="U625"/>
      <c r="V625"/>
    </row>
    <row r="626" spans="1:22">
      <c r="A626" s="105">
        <v>2008</v>
      </c>
      <c r="B626" s="41">
        <v>120000000</v>
      </c>
      <c r="C626" s="41">
        <v>2.5000000000000001E-3</v>
      </c>
      <c r="D626" s="41">
        <v>8</v>
      </c>
      <c r="E626" s="41">
        <v>30</v>
      </c>
      <c r="F626" s="41">
        <v>0</v>
      </c>
      <c r="G626" s="41" t="s">
        <v>505</v>
      </c>
      <c r="H626" s="41">
        <v>2</v>
      </c>
      <c r="I626" s="41">
        <v>1</v>
      </c>
      <c r="J626" s="108">
        <v>0</v>
      </c>
      <c r="K626" s="41">
        <v>0</v>
      </c>
      <c r="L626" s="41">
        <v>55</v>
      </c>
      <c r="M626" s="41">
        <v>-1</v>
      </c>
      <c r="N626" s="41">
        <v>4</v>
      </c>
      <c r="O626" s="110" t="s">
        <v>2713</v>
      </c>
      <c r="P626" s="109">
        <v>194272</v>
      </c>
      <c r="Q626" s="107"/>
      <c r="R626" s="111"/>
      <c r="S626" s="110"/>
      <c r="T626"/>
      <c r="U626"/>
      <c r="V626"/>
    </row>
    <row r="627" spans="1:22">
      <c r="A627" s="105">
        <v>2009</v>
      </c>
      <c r="B627" s="41">
        <v>120000000</v>
      </c>
      <c r="C627" s="41">
        <v>2.5000000000000001E-3</v>
      </c>
      <c r="D627" s="41">
        <v>11.313700000000001</v>
      </c>
      <c r="E627" s="41">
        <v>30</v>
      </c>
      <c r="F627" s="41">
        <v>0</v>
      </c>
      <c r="G627" s="41" t="s">
        <v>505</v>
      </c>
      <c r="H627" s="41">
        <v>2</v>
      </c>
      <c r="I627" s="41">
        <v>1</v>
      </c>
      <c r="J627" s="108">
        <v>0</v>
      </c>
      <c r="K627" s="41">
        <v>0</v>
      </c>
      <c r="L627" s="41">
        <v>55</v>
      </c>
      <c r="M627" s="41">
        <v>-1</v>
      </c>
      <c r="N627" s="41">
        <v>4</v>
      </c>
      <c r="O627" s="110" t="s">
        <v>2714</v>
      </c>
      <c r="P627" s="109">
        <v>194272</v>
      </c>
      <c r="Q627" s="107"/>
      <c r="R627" s="111"/>
      <c r="S627" s="110"/>
      <c r="T627"/>
      <c r="U627"/>
      <c r="V627"/>
    </row>
    <row r="628" spans="1:22">
      <c r="A628" s="105">
        <v>2010</v>
      </c>
      <c r="B628" s="41">
        <v>120000000</v>
      </c>
      <c r="C628" s="41">
        <v>2.5000000000000001E-3</v>
      </c>
      <c r="D628" s="41">
        <v>16</v>
      </c>
      <c r="E628" s="41">
        <v>30</v>
      </c>
      <c r="F628" s="41">
        <v>0</v>
      </c>
      <c r="G628" s="41" t="s">
        <v>505</v>
      </c>
      <c r="H628" s="41">
        <v>2</v>
      </c>
      <c r="I628" s="41">
        <v>1</v>
      </c>
      <c r="J628" s="108">
        <v>0</v>
      </c>
      <c r="K628" s="41">
        <v>0</v>
      </c>
      <c r="L628" s="41">
        <v>55</v>
      </c>
      <c r="M628" s="41">
        <v>-1</v>
      </c>
      <c r="N628" s="41">
        <v>4</v>
      </c>
      <c r="O628" s="110" t="s">
        <v>2715</v>
      </c>
      <c r="P628" s="109">
        <v>194272</v>
      </c>
      <c r="Q628" s="107"/>
      <c r="R628" s="111"/>
      <c r="S628" s="110"/>
      <c r="T628"/>
      <c r="U628"/>
      <c r="V628"/>
    </row>
    <row r="629" spans="1:22">
      <c r="A629" s="105">
        <v>2011</v>
      </c>
      <c r="B629" s="41">
        <v>120000000</v>
      </c>
      <c r="C629" s="41">
        <v>2.5000000000000001E-3</v>
      </c>
      <c r="D629" s="41">
        <v>22.627400000000002</v>
      </c>
      <c r="E629" s="41">
        <v>30</v>
      </c>
      <c r="F629" s="41">
        <v>0</v>
      </c>
      <c r="G629" s="41" t="s">
        <v>505</v>
      </c>
      <c r="H629" s="41">
        <v>2</v>
      </c>
      <c r="I629" s="41">
        <v>1</v>
      </c>
      <c r="J629" s="108">
        <v>0</v>
      </c>
      <c r="K629" s="41">
        <v>0</v>
      </c>
      <c r="L629" s="41">
        <v>55</v>
      </c>
      <c r="M629" s="41">
        <v>-1</v>
      </c>
      <c r="N629" s="41">
        <v>4</v>
      </c>
      <c r="O629" s="110" t="s">
        <v>2716</v>
      </c>
      <c r="P629" s="109">
        <v>194272</v>
      </c>
      <c r="Q629" s="107"/>
      <c r="R629" s="111"/>
      <c r="S629" s="110"/>
      <c r="T629"/>
      <c r="U629"/>
      <c r="V629"/>
    </row>
    <row r="630" spans="1:22">
      <c r="A630" s="105">
        <v>2012</v>
      </c>
      <c r="B630" s="41">
        <v>120000000</v>
      </c>
      <c r="C630" s="41">
        <v>2.5000000000000001E-3</v>
      </c>
      <c r="D630" s="41">
        <v>32</v>
      </c>
      <c r="E630" s="41">
        <v>30</v>
      </c>
      <c r="F630" s="41">
        <v>0</v>
      </c>
      <c r="G630" s="41" t="s">
        <v>505</v>
      </c>
      <c r="H630" s="41">
        <v>2</v>
      </c>
      <c r="I630" s="41">
        <v>1</v>
      </c>
      <c r="J630" s="108">
        <v>0</v>
      </c>
      <c r="K630" s="41">
        <v>0</v>
      </c>
      <c r="L630" s="41">
        <v>55</v>
      </c>
      <c r="M630" s="41">
        <v>-1</v>
      </c>
      <c r="N630" s="41">
        <v>4</v>
      </c>
      <c r="O630" s="110" t="s">
        <v>2717</v>
      </c>
      <c r="P630" s="109">
        <v>194272</v>
      </c>
      <c r="Q630" s="107"/>
      <c r="R630" s="111"/>
      <c r="S630" s="110"/>
      <c r="T630"/>
      <c r="U630"/>
      <c r="V630"/>
    </row>
    <row r="631" spans="1:22">
      <c r="A631" s="105">
        <v>2013</v>
      </c>
      <c r="B631" s="41">
        <v>120000000</v>
      </c>
      <c r="C631" s="41">
        <v>2.5000000000000001E-3</v>
      </c>
      <c r="D631" s="41">
        <v>45.254800000000003</v>
      </c>
      <c r="E631" s="41">
        <v>30</v>
      </c>
      <c r="F631" s="41">
        <v>0</v>
      </c>
      <c r="G631" s="41" t="s">
        <v>505</v>
      </c>
      <c r="H631" s="41">
        <v>2</v>
      </c>
      <c r="I631" s="41">
        <v>1</v>
      </c>
      <c r="J631" s="108">
        <v>0</v>
      </c>
      <c r="K631" s="41">
        <v>0</v>
      </c>
      <c r="L631" s="41">
        <v>55</v>
      </c>
      <c r="M631" s="41">
        <v>-1</v>
      </c>
      <c r="N631" s="41">
        <v>4</v>
      </c>
      <c r="O631" s="110" t="s">
        <v>2718</v>
      </c>
      <c r="P631" s="109">
        <v>194272</v>
      </c>
      <c r="Q631" s="107"/>
      <c r="R631" s="111"/>
      <c r="S631" s="110"/>
      <c r="T631"/>
      <c r="U631"/>
      <c r="V631"/>
    </row>
    <row r="632" spans="1:22">
      <c r="A632" s="105">
        <v>2014</v>
      </c>
      <c r="B632" s="41">
        <v>120000000</v>
      </c>
      <c r="C632" s="41">
        <v>2.7000000000000001E-3</v>
      </c>
      <c r="D632" s="41">
        <v>2.8283999999999998</v>
      </c>
      <c r="E632" s="41">
        <v>30</v>
      </c>
      <c r="F632" s="41">
        <v>0</v>
      </c>
      <c r="G632" s="41" t="s">
        <v>505</v>
      </c>
      <c r="H632" s="41">
        <v>2</v>
      </c>
      <c r="I632" s="41">
        <v>1</v>
      </c>
      <c r="J632" s="108">
        <v>0</v>
      </c>
      <c r="K632" s="41">
        <v>0</v>
      </c>
      <c r="L632" s="41">
        <v>55</v>
      </c>
      <c r="M632" s="41">
        <v>-1</v>
      </c>
      <c r="N632" s="41">
        <v>4</v>
      </c>
      <c r="O632" s="110" t="s">
        <v>2719</v>
      </c>
      <c r="P632" s="109">
        <v>194272</v>
      </c>
      <c r="Q632" s="107"/>
      <c r="R632" s="111"/>
      <c r="S632" s="110"/>
      <c r="T632"/>
      <c r="U632"/>
      <c r="V632"/>
    </row>
    <row r="633" spans="1:22">
      <c r="A633" s="105">
        <v>2015</v>
      </c>
      <c r="B633" s="41">
        <v>120000000</v>
      </c>
      <c r="C633" s="41">
        <v>2.7000000000000001E-3</v>
      </c>
      <c r="D633" s="41">
        <v>4</v>
      </c>
      <c r="E633" s="41">
        <v>30</v>
      </c>
      <c r="F633" s="41">
        <v>0</v>
      </c>
      <c r="G633" s="41" t="s">
        <v>505</v>
      </c>
      <c r="H633" s="41">
        <v>2</v>
      </c>
      <c r="I633" s="41">
        <v>1</v>
      </c>
      <c r="J633" s="108">
        <v>0</v>
      </c>
      <c r="K633" s="41">
        <v>0</v>
      </c>
      <c r="L633" s="41">
        <v>55</v>
      </c>
      <c r="M633" s="41">
        <v>-1</v>
      </c>
      <c r="N633" s="41">
        <v>4</v>
      </c>
      <c r="O633" s="110" t="s">
        <v>2720</v>
      </c>
      <c r="P633" s="109">
        <v>194272</v>
      </c>
      <c r="Q633" s="107"/>
      <c r="R633" s="111"/>
      <c r="S633" s="110"/>
      <c r="T633"/>
      <c r="U633"/>
      <c r="V633"/>
    </row>
    <row r="634" spans="1:22">
      <c r="A634" s="105">
        <v>2016</v>
      </c>
      <c r="B634" s="41">
        <v>120000000</v>
      </c>
      <c r="C634" s="41">
        <v>2.7000000000000001E-3</v>
      </c>
      <c r="D634" s="41">
        <v>5.6569000000000003</v>
      </c>
      <c r="E634" s="41">
        <v>30</v>
      </c>
      <c r="F634" s="41">
        <v>0</v>
      </c>
      <c r="G634" s="41" t="s">
        <v>505</v>
      </c>
      <c r="H634" s="41">
        <v>2</v>
      </c>
      <c r="I634" s="41">
        <v>1</v>
      </c>
      <c r="J634" s="108">
        <v>0</v>
      </c>
      <c r="K634" s="41">
        <v>0</v>
      </c>
      <c r="L634" s="41">
        <v>55</v>
      </c>
      <c r="M634" s="41">
        <v>-1</v>
      </c>
      <c r="N634" s="41">
        <v>4</v>
      </c>
      <c r="O634" s="110" t="s">
        <v>2721</v>
      </c>
      <c r="P634" s="109">
        <v>194272</v>
      </c>
      <c r="Q634" s="107"/>
      <c r="R634" s="111"/>
      <c r="S634" s="110"/>
      <c r="T634"/>
      <c r="U634"/>
      <c r="V634"/>
    </row>
    <row r="635" spans="1:22">
      <c r="A635" s="105">
        <v>2017</v>
      </c>
      <c r="B635" s="41">
        <v>120000000</v>
      </c>
      <c r="C635" s="41">
        <v>2.7000000000000001E-3</v>
      </c>
      <c r="D635" s="41">
        <v>8</v>
      </c>
      <c r="E635" s="41">
        <v>30</v>
      </c>
      <c r="F635" s="41">
        <v>0</v>
      </c>
      <c r="G635" s="41" t="s">
        <v>505</v>
      </c>
      <c r="H635" s="41">
        <v>2</v>
      </c>
      <c r="I635" s="41">
        <v>1</v>
      </c>
      <c r="J635" s="108">
        <v>0</v>
      </c>
      <c r="K635" s="41">
        <v>0</v>
      </c>
      <c r="L635" s="41">
        <v>55</v>
      </c>
      <c r="M635" s="41">
        <v>-1</v>
      </c>
      <c r="N635" s="41">
        <v>4</v>
      </c>
      <c r="O635" s="110" t="s">
        <v>2722</v>
      </c>
      <c r="P635" s="109">
        <v>194272</v>
      </c>
      <c r="Q635" s="107"/>
      <c r="R635" s="111"/>
      <c r="S635" s="110"/>
      <c r="T635"/>
      <c r="U635"/>
      <c r="V635"/>
    </row>
    <row r="636" spans="1:22">
      <c r="A636" s="105">
        <v>2018</v>
      </c>
      <c r="B636" s="41">
        <v>120000000</v>
      </c>
      <c r="C636" s="41">
        <v>2.7000000000000001E-3</v>
      </c>
      <c r="D636" s="41">
        <v>11.313700000000001</v>
      </c>
      <c r="E636" s="41">
        <v>30</v>
      </c>
      <c r="F636" s="41">
        <v>0</v>
      </c>
      <c r="G636" s="41" t="s">
        <v>505</v>
      </c>
      <c r="H636" s="41">
        <v>2</v>
      </c>
      <c r="I636" s="41">
        <v>1</v>
      </c>
      <c r="J636" s="108">
        <v>0</v>
      </c>
      <c r="K636" s="41">
        <v>0</v>
      </c>
      <c r="L636" s="41">
        <v>55</v>
      </c>
      <c r="M636" s="41">
        <v>-1</v>
      </c>
      <c r="N636" s="41">
        <v>4</v>
      </c>
      <c r="O636" s="110" t="s">
        <v>2723</v>
      </c>
      <c r="P636" s="109">
        <v>194272</v>
      </c>
      <c r="Q636" s="107"/>
      <c r="R636" s="111"/>
      <c r="S636" s="110"/>
      <c r="T636"/>
      <c r="U636"/>
      <c r="V636"/>
    </row>
    <row r="637" spans="1:22">
      <c r="A637" s="105">
        <v>2019</v>
      </c>
      <c r="B637" s="41">
        <v>120000000</v>
      </c>
      <c r="C637" s="41">
        <v>2.7000000000000001E-3</v>
      </c>
      <c r="D637" s="41">
        <v>16</v>
      </c>
      <c r="E637" s="41">
        <v>30</v>
      </c>
      <c r="F637" s="41">
        <v>0</v>
      </c>
      <c r="G637" s="41" t="s">
        <v>505</v>
      </c>
      <c r="H637" s="41">
        <v>2</v>
      </c>
      <c r="I637" s="41">
        <v>1</v>
      </c>
      <c r="J637" s="108">
        <v>0</v>
      </c>
      <c r="K637" s="41">
        <v>0</v>
      </c>
      <c r="L637" s="41">
        <v>55</v>
      </c>
      <c r="M637" s="41">
        <v>-1</v>
      </c>
      <c r="N637" s="41">
        <v>4</v>
      </c>
      <c r="O637" s="110" t="s">
        <v>2724</v>
      </c>
      <c r="P637" s="109">
        <v>194272</v>
      </c>
      <c r="Q637" s="107"/>
      <c r="R637" s="111"/>
      <c r="S637" s="110"/>
      <c r="T637"/>
      <c r="U637"/>
      <c r="V637"/>
    </row>
    <row r="638" spans="1:22">
      <c r="A638" s="105">
        <v>2020</v>
      </c>
      <c r="B638" s="41">
        <v>120000000</v>
      </c>
      <c r="C638" s="41">
        <v>2.7000000000000001E-3</v>
      </c>
      <c r="D638" s="41">
        <v>22.627400000000002</v>
      </c>
      <c r="E638" s="41">
        <v>30</v>
      </c>
      <c r="F638" s="41">
        <v>0</v>
      </c>
      <c r="G638" s="41" t="s">
        <v>505</v>
      </c>
      <c r="H638" s="41">
        <v>2</v>
      </c>
      <c r="I638" s="41">
        <v>1</v>
      </c>
      <c r="J638" s="108">
        <v>0</v>
      </c>
      <c r="K638" s="41">
        <v>0</v>
      </c>
      <c r="L638" s="41">
        <v>55</v>
      </c>
      <c r="M638" s="41">
        <v>-1</v>
      </c>
      <c r="N638" s="41">
        <v>4</v>
      </c>
      <c r="O638" s="110" t="s">
        <v>2725</v>
      </c>
      <c r="P638" s="109">
        <v>194272</v>
      </c>
      <c r="Q638" s="107"/>
      <c r="R638" s="111"/>
      <c r="S638" s="110"/>
      <c r="T638"/>
      <c r="U638"/>
      <c r="V638"/>
    </row>
    <row r="639" spans="1:22">
      <c r="A639" s="105">
        <v>2021</v>
      </c>
      <c r="B639" s="41">
        <v>120000000</v>
      </c>
      <c r="C639" s="41">
        <v>2.7000000000000001E-3</v>
      </c>
      <c r="D639" s="41">
        <v>32</v>
      </c>
      <c r="E639" s="41">
        <v>30</v>
      </c>
      <c r="F639" s="41">
        <v>0</v>
      </c>
      <c r="G639" s="41" t="s">
        <v>505</v>
      </c>
      <c r="H639" s="41">
        <v>2</v>
      </c>
      <c r="I639" s="41">
        <v>1</v>
      </c>
      <c r="J639" s="108">
        <v>0</v>
      </c>
      <c r="K639" s="41">
        <v>0</v>
      </c>
      <c r="L639" s="41">
        <v>55</v>
      </c>
      <c r="M639" s="41">
        <v>-1</v>
      </c>
      <c r="N639" s="41">
        <v>4</v>
      </c>
      <c r="O639" s="110" t="s">
        <v>2726</v>
      </c>
      <c r="P639" s="109">
        <v>194272</v>
      </c>
      <c r="Q639" s="107"/>
      <c r="R639" s="111"/>
      <c r="S639" s="110"/>
      <c r="T639"/>
      <c r="U639"/>
      <c r="V639"/>
    </row>
    <row r="640" spans="1:22">
      <c r="A640" s="105">
        <v>2022</v>
      </c>
      <c r="B640" s="41">
        <v>120000000</v>
      </c>
      <c r="C640" s="41">
        <v>2.7000000000000001E-3</v>
      </c>
      <c r="D640" s="41">
        <v>45.254800000000003</v>
      </c>
      <c r="E640" s="41">
        <v>30</v>
      </c>
      <c r="F640" s="41">
        <v>0</v>
      </c>
      <c r="G640" s="41" t="s">
        <v>505</v>
      </c>
      <c r="H640" s="41">
        <v>2</v>
      </c>
      <c r="I640" s="41">
        <v>1</v>
      </c>
      <c r="J640" s="108">
        <v>0</v>
      </c>
      <c r="K640" s="41">
        <v>0</v>
      </c>
      <c r="L640" s="41">
        <v>55</v>
      </c>
      <c r="M640" s="41">
        <v>-1</v>
      </c>
      <c r="N640" s="41">
        <v>4</v>
      </c>
      <c r="O640" s="110" t="s">
        <v>2727</v>
      </c>
      <c r="P640" s="109">
        <v>194272</v>
      </c>
      <c r="Q640" s="107"/>
      <c r="R640" s="111"/>
      <c r="S640" s="110"/>
      <c r="T640"/>
      <c r="U640"/>
      <c r="V640"/>
    </row>
    <row r="641" spans="1:22">
      <c r="A641" s="105">
        <v>2023</v>
      </c>
      <c r="B641" s="41">
        <v>120000000</v>
      </c>
      <c r="C641" s="41">
        <v>2.8999999999999998E-3</v>
      </c>
      <c r="D641" s="41">
        <v>2.8283999999999998</v>
      </c>
      <c r="E641" s="41">
        <v>30</v>
      </c>
      <c r="F641" s="41">
        <v>0</v>
      </c>
      <c r="G641" s="41" t="s">
        <v>505</v>
      </c>
      <c r="H641" s="41">
        <v>2</v>
      </c>
      <c r="I641" s="41">
        <v>1</v>
      </c>
      <c r="J641" s="108">
        <v>0</v>
      </c>
      <c r="K641" s="41">
        <v>0</v>
      </c>
      <c r="L641" s="41">
        <v>55</v>
      </c>
      <c r="M641" s="41">
        <v>-1</v>
      </c>
      <c r="N641" s="41">
        <v>4</v>
      </c>
      <c r="O641" s="110" t="s">
        <v>2728</v>
      </c>
      <c r="P641" s="109">
        <v>194272</v>
      </c>
      <c r="Q641" s="107"/>
      <c r="R641" s="111"/>
      <c r="S641" s="110"/>
      <c r="T641"/>
      <c r="U641"/>
      <c r="V641"/>
    </row>
    <row r="642" spans="1:22">
      <c r="A642" s="105">
        <v>2024</v>
      </c>
      <c r="B642" s="41">
        <v>120000000</v>
      </c>
      <c r="C642" s="41">
        <v>2.8999999999999998E-3</v>
      </c>
      <c r="D642" s="41">
        <v>4</v>
      </c>
      <c r="E642" s="41">
        <v>30</v>
      </c>
      <c r="F642" s="41">
        <v>0</v>
      </c>
      <c r="G642" s="41" t="s">
        <v>505</v>
      </c>
      <c r="H642" s="41">
        <v>2</v>
      </c>
      <c r="I642" s="41">
        <v>1</v>
      </c>
      <c r="J642" s="108">
        <v>0</v>
      </c>
      <c r="K642" s="41">
        <v>0</v>
      </c>
      <c r="L642" s="41">
        <v>55</v>
      </c>
      <c r="M642" s="41">
        <v>-1</v>
      </c>
      <c r="N642" s="41">
        <v>4</v>
      </c>
      <c r="O642" s="110" t="s">
        <v>2729</v>
      </c>
      <c r="P642" s="109">
        <v>194272</v>
      </c>
      <c r="Q642" s="107"/>
      <c r="R642" s="111"/>
      <c r="S642" s="110"/>
      <c r="T642"/>
      <c r="U642"/>
      <c r="V642"/>
    </row>
    <row r="643" spans="1:22">
      <c r="A643" s="105">
        <v>2025</v>
      </c>
      <c r="B643" s="41">
        <v>120000000</v>
      </c>
      <c r="C643" s="41">
        <v>2.8999999999999998E-3</v>
      </c>
      <c r="D643" s="41">
        <v>5.6569000000000003</v>
      </c>
      <c r="E643" s="41">
        <v>30</v>
      </c>
      <c r="F643" s="41">
        <v>0</v>
      </c>
      <c r="G643" s="41" t="s">
        <v>505</v>
      </c>
      <c r="H643" s="41">
        <v>2</v>
      </c>
      <c r="I643" s="41">
        <v>1</v>
      </c>
      <c r="J643" s="108">
        <v>0</v>
      </c>
      <c r="K643" s="41">
        <v>0</v>
      </c>
      <c r="L643" s="41">
        <v>55</v>
      </c>
      <c r="M643" s="41">
        <v>-1</v>
      </c>
      <c r="N643" s="41">
        <v>4</v>
      </c>
      <c r="O643" s="110" t="s">
        <v>2730</v>
      </c>
      <c r="P643" s="109">
        <v>194272</v>
      </c>
      <c r="Q643" s="107"/>
      <c r="R643" s="111"/>
      <c r="S643" s="110"/>
      <c r="T643"/>
      <c r="U643"/>
      <c r="V643"/>
    </row>
    <row r="644" spans="1:22">
      <c r="A644" s="105">
        <v>2026</v>
      </c>
      <c r="B644" s="41">
        <v>120000000</v>
      </c>
      <c r="C644" s="41">
        <v>2.8999999999999998E-3</v>
      </c>
      <c r="D644" s="41">
        <v>8</v>
      </c>
      <c r="E644" s="41">
        <v>30</v>
      </c>
      <c r="F644" s="41">
        <v>0</v>
      </c>
      <c r="G644" s="41" t="s">
        <v>505</v>
      </c>
      <c r="H644" s="41">
        <v>2</v>
      </c>
      <c r="I644" s="41">
        <v>1</v>
      </c>
      <c r="J644" s="108">
        <v>0</v>
      </c>
      <c r="K644" s="41">
        <v>0</v>
      </c>
      <c r="L644" s="41">
        <v>55</v>
      </c>
      <c r="M644" s="41">
        <v>-1</v>
      </c>
      <c r="N644" s="41">
        <v>4</v>
      </c>
      <c r="O644" s="110" t="s">
        <v>2731</v>
      </c>
      <c r="P644" s="109">
        <v>194272</v>
      </c>
      <c r="Q644" s="107"/>
      <c r="R644" s="111"/>
      <c r="S644" s="110"/>
      <c r="T644"/>
      <c r="U644"/>
      <c r="V644"/>
    </row>
    <row r="645" spans="1:22">
      <c r="A645" s="105">
        <v>2027</v>
      </c>
      <c r="B645" s="41">
        <v>120000000</v>
      </c>
      <c r="C645" s="41">
        <v>2.8999999999999998E-3</v>
      </c>
      <c r="D645" s="41">
        <v>11.313700000000001</v>
      </c>
      <c r="E645" s="41">
        <v>30</v>
      </c>
      <c r="F645" s="41">
        <v>0</v>
      </c>
      <c r="G645" s="41" t="s">
        <v>505</v>
      </c>
      <c r="H645" s="41">
        <v>2</v>
      </c>
      <c r="I645" s="41">
        <v>1</v>
      </c>
      <c r="J645" s="108">
        <v>0</v>
      </c>
      <c r="K645" s="41">
        <v>0</v>
      </c>
      <c r="L645" s="41">
        <v>55</v>
      </c>
      <c r="M645" s="41">
        <v>-1</v>
      </c>
      <c r="N645" s="41">
        <v>4</v>
      </c>
      <c r="O645" s="110" t="s">
        <v>2732</v>
      </c>
      <c r="P645" s="109">
        <v>194272</v>
      </c>
      <c r="Q645" s="107"/>
      <c r="R645" s="111"/>
      <c r="S645" s="110"/>
      <c r="T645"/>
      <c r="U645"/>
      <c r="V645"/>
    </row>
    <row r="646" spans="1:22">
      <c r="A646" s="105">
        <v>2028</v>
      </c>
      <c r="B646" s="41">
        <v>120000000</v>
      </c>
      <c r="C646" s="41">
        <v>2.8999999999999998E-3</v>
      </c>
      <c r="D646" s="41">
        <v>16</v>
      </c>
      <c r="E646" s="41">
        <v>30</v>
      </c>
      <c r="F646" s="41">
        <v>0</v>
      </c>
      <c r="G646" s="41" t="s">
        <v>505</v>
      </c>
      <c r="H646" s="41">
        <v>2</v>
      </c>
      <c r="I646" s="41">
        <v>1</v>
      </c>
      <c r="J646" s="108">
        <v>0</v>
      </c>
      <c r="K646" s="41">
        <v>0</v>
      </c>
      <c r="L646" s="41">
        <v>55</v>
      </c>
      <c r="M646" s="41">
        <v>-1</v>
      </c>
      <c r="N646" s="41">
        <v>4</v>
      </c>
      <c r="O646" s="110" t="s">
        <v>2733</v>
      </c>
      <c r="P646" s="109">
        <v>194272</v>
      </c>
      <c r="Q646" s="107"/>
      <c r="R646" s="111"/>
      <c r="S646" s="110"/>
      <c r="T646"/>
      <c r="U646"/>
      <c r="V646"/>
    </row>
    <row r="647" spans="1:22">
      <c r="A647" s="105">
        <v>2029</v>
      </c>
      <c r="B647" s="41">
        <v>120000000</v>
      </c>
      <c r="C647" s="41">
        <v>2.8999999999999998E-3</v>
      </c>
      <c r="D647" s="41">
        <v>22.627400000000002</v>
      </c>
      <c r="E647" s="41">
        <v>30</v>
      </c>
      <c r="F647" s="41">
        <v>0</v>
      </c>
      <c r="G647" s="41" t="s">
        <v>505</v>
      </c>
      <c r="H647" s="41">
        <v>2</v>
      </c>
      <c r="I647" s="41">
        <v>1</v>
      </c>
      <c r="J647" s="108">
        <v>0</v>
      </c>
      <c r="K647" s="41">
        <v>0</v>
      </c>
      <c r="L647" s="41">
        <v>55</v>
      </c>
      <c r="M647" s="41">
        <v>-1</v>
      </c>
      <c r="N647" s="41">
        <v>4</v>
      </c>
      <c r="O647" s="110" t="s">
        <v>2734</v>
      </c>
      <c r="P647" s="109">
        <v>194272</v>
      </c>
      <c r="Q647" s="107"/>
      <c r="R647" s="111"/>
      <c r="S647" s="110"/>
      <c r="T647"/>
      <c r="U647"/>
      <c r="V647"/>
    </row>
    <row r="648" spans="1:22">
      <c r="A648" s="105">
        <v>2030</v>
      </c>
      <c r="B648" s="41">
        <v>120000000</v>
      </c>
      <c r="C648" s="41">
        <v>2.8999999999999998E-3</v>
      </c>
      <c r="D648" s="41">
        <v>32</v>
      </c>
      <c r="E648" s="41">
        <v>30</v>
      </c>
      <c r="F648" s="41">
        <v>0</v>
      </c>
      <c r="G648" s="41" t="s">
        <v>505</v>
      </c>
      <c r="H648" s="41">
        <v>2</v>
      </c>
      <c r="I648" s="41">
        <v>1</v>
      </c>
      <c r="J648" s="108">
        <v>0</v>
      </c>
      <c r="K648" s="41">
        <v>0</v>
      </c>
      <c r="L648" s="41">
        <v>55</v>
      </c>
      <c r="M648" s="41">
        <v>-1</v>
      </c>
      <c r="N648" s="41">
        <v>4</v>
      </c>
      <c r="O648" s="110" t="s">
        <v>2735</v>
      </c>
      <c r="P648" s="109">
        <v>194272</v>
      </c>
      <c r="Q648" s="107"/>
      <c r="R648" s="111"/>
      <c r="S648" s="110"/>
      <c r="T648"/>
      <c r="U648"/>
      <c r="V648"/>
    </row>
    <row r="649" spans="1:22">
      <c r="A649" s="105">
        <v>2031</v>
      </c>
      <c r="B649" s="41">
        <v>120000000</v>
      </c>
      <c r="C649" s="41">
        <v>2.8999999999999998E-3</v>
      </c>
      <c r="D649" s="41">
        <v>45.254800000000003</v>
      </c>
      <c r="E649" s="41">
        <v>30</v>
      </c>
      <c r="F649" s="41">
        <v>0</v>
      </c>
      <c r="G649" s="41" t="s">
        <v>505</v>
      </c>
      <c r="H649" s="41">
        <v>2</v>
      </c>
      <c r="I649" s="41">
        <v>1</v>
      </c>
      <c r="J649" s="108">
        <v>0</v>
      </c>
      <c r="K649" s="41">
        <v>0</v>
      </c>
      <c r="L649" s="41">
        <v>55</v>
      </c>
      <c r="M649" s="41">
        <v>-1</v>
      </c>
      <c r="N649" s="41">
        <v>4</v>
      </c>
      <c r="O649" s="110" t="s">
        <v>2736</v>
      </c>
      <c r="P649" s="109">
        <v>194272</v>
      </c>
      <c r="Q649" s="107"/>
      <c r="R649" s="111"/>
      <c r="S649" s="110"/>
      <c r="T649"/>
      <c r="U649"/>
      <c r="V649"/>
    </row>
    <row r="650" spans="1:22">
      <c r="A650" s="105">
        <v>2032</v>
      </c>
      <c r="B650" s="41">
        <v>120000000</v>
      </c>
      <c r="C650" s="41">
        <v>3.2000000000000002E-3</v>
      </c>
      <c r="D650" s="41">
        <v>4</v>
      </c>
      <c r="E650" s="41">
        <v>30</v>
      </c>
      <c r="F650" s="41">
        <v>0</v>
      </c>
      <c r="G650" s="41" t="s">
        <v>505</v>
      </c>
      <c r="H650" s="41">
        <v>2</v>
      </c>
      <c r="I650" s="41">
        <v>1</v>
      </c>
      <c r="J650" s="108">
        <v>0</v>
      </c>
      <c r="K650" s="41">
        <v>0</v>
      </c>
      <c r="L650" s="41">
        <v>55</v>
      </c>
      <c r="M650" s="41">
        <v>-1</v>
      </c>
      <c r="N650" s="41">
        <v>4</v>
      </c>
      <c r="O650" s="110" t="s">
        <v>2737</v>
      </c>
      <c r="P650" s="109">
        <v>194272</v>
      </c>
      <c r="Q650" s="107"/>
      <c r="R650" s="111"/>
      <c r="S650" s="110"/>
      <c r="T650"/>
      <c r="U650"/>
      <c r="V650"/>
    </row>
    <row r="651" spans="1:22">
      <c r="A651" s="105">
        <v>2033</v>
      </c>
      <c r="B651" s="41">
        <v>120000000</v>
      </c>
      <c r="C651" s="41">
        <v>3.2000000000000002E-3</v>
      </c>
      <c r="D651" s="41">
        <v>5.6569000000000003</v>
      </c>
      <c r="E651" s="41">
        <v>30</v>
      </c>
      <c r="F651" s="41">
        <v>0</v>
      </c>
      <c r="G651" s="41" t="s">
        <v>505</v>
      </c>
      <c r="H651" s="41">
        <v>2</v>
      </c>
      <c r="I651" s="41">
        <v>1</v>
      </c>
      <c r="J651" s="108">
        <v>0</v>
      </c>
      <c r="K651" s="41">
        <v>0</v>
      </c>
      <c r="L651" s="41">
        <v>55</v>
      </c>
      <c r="M651" s="41">
        <v>-1</v>
      </c>
      <c r="N651" s="41">
        <v>4</v>
      </c>
      <c r="O651" s="110" t="s">
        <v>2738</v>
      </c>
      <c r="P651" s="109">
        <v>194272</v>
      </c>
      <c r="Q651" s="107"/>
      <c r="R651" s="111"/>
      <c r="S651" s="110"/>
      <c r="T651"/>
      <c r="U651"/>
      <c r="V651"/>
    </row>
    <row r="652" spans="1:22">
      <c r="A652" s="105">
        <v>2034</v>
      </c>
      <c r="B652" s="41">
        <v>120000000</v>
      </c>
      <c r="C652" s="41">
        <v>3.2000000000000002E-3</v>
      </c>
      <c r="D652" s="41">
        <v>8</v>
      </c>
      <c r="E652" s="41">
        <v>30</v>
      </c>
      <c r="F652" s="41">
        <v>0</v>
      </c>
      <c r="G652" s="41" t="s">
        <v>505</v>
      </c>
      <c r="H652" s="41">
        <v>2</v>
      </c>
      <c r="I652" s="41">
        <v>1</v>
      </c>
      <c r="J652" s="108">
        <v>0</v>
      </c>
      <c r="K652" s="41">
        <v>0</v>
      </c>
      <c r="L652" s="41">
        <v>55</v>
      </c>
      <c r="M652" s="41">
        <v>-1</v>
      </c>
      <c r="N652" s="41">
        <v>4</v>
      </c>
      <c r="O652" s="110" t="s">
        <v>2739</v>
      </c>
      <c r="P652" s="109">
        <v>194272</v>
      </c>
      <c r="Q652" s="107"/>
      <c r="R652" s="111"/>
      <c r="S652" s="110"/>
      <c r="T652"/>
      <c r="U652"/>
      <c r="V652"/>
    </row>
    <row r="653" spans="1:22">
      <c r="A653" s="105">
        <v>2035</v>
      </c>
      <c r="B653" s="41">
        <v>120000000</v>
      </c>
      <c r="C653" s="41">
        <v>3.2000000000000002E-3</v>
      </c>
      <c r="D653" s="41">
        <v>11.313700000000001</v>
      </c>
      <c r="E653" s="41">
        <v>30</v>
      </c>
      <c r="F653" s="41">
        <v>0</v>
      </c>
      <c r="G653" s="41" t="s">
        <v>505</v>
      </c>
      <c r="H653" s="41">
        <v>2</v>
      </c>
      <c r="I653" s="41">
        <v>1</v>
      </c>
      <c r="J653" s="108">
        <v>0</v>
      </c>
      <c r="K653" s="41">
        <v>0</v>
      </c>
      <c r="L653" s="41">
        <v>55</v>
      </c>
      <c r="M653" s="41">
        <v>-1</v>
      </c>
      <c r="N653" s="41">
        <v>4</v>
      </c>
      <c r="O653" s="110" t="s">
        <v>2740</v>
      </c>
      <c r="P653" s="109">
        <v>194272</v>
      </c>
      <c r="Q653" s="107"/>
      <c r="R653" s="111"/>
      <c r="S653" s="110"/>
      <c r="T653"/>
      <c r="U653"/>
      <c r="V653"/>
    </row>
    <row r="654" spans="1:22">
      <c r="A654" s="105">
        <v>2036</v>
      </c>
      <c r="B654" s="41">
        <v>120000000</v>
      </c>
      <c r="C654" s="41">
        <v>3.2000000000000002E-3</v>
      </c>
      <c r="D654" s="41">
        <v>16</v>
      </c>
      <c r="E654" s="41">
        <v>30</v>
      </c>
      <c r="F654" s="41">
        <v>0</v>
      </c>
      <c r="G654" s="41" t="s">
        <v>505</v>
      </c>
      <c r="H654" s="41">
        <v>2</v>
      </c>
      <c r="I654" s="41">
        <v>1</v>
      </c>
      <c r="J654" s="108">
        <v>0</v>
      </c>
      <c r="K654" s="41">
        <v>0</v>
      </c>
      <c r="L654" s="41">
        <v>55</v>
      </c>
      <c r="M654" s="41">
        <v>-1</v>
      </c>
      <c r="N654" s="41">
        <v>4</v>
      </c>
      <c r="O654" s="110" t="s">
        <v>2741</v>
      </c>
      <c r="P654" s="109">
        <v>194272</v>
      </c>
      <c r="Q654" s="107"/>
      <c r="R654" s="111"/>
      <c r="S654" s="110"/>
      <c r="T654"/>
      <c r="U654"/>
      <c r="V654"/>
    </row>
    <row r="655" spans="1:22">
      <c r="A655" s="105">
        <v>2037</v>
      </c>
      <c r="B655" s="41">
        <v>120000000</v>
      </c>
      <c r="C655" s="41">
        <v>3.2000000000000002E-3</v>
      </c>
      <c r="D655" s="41">
        <v>22.627400000000002</v>
      </c>
      <c r="E655" s="41">
        <v>30</v>
      </c>
      <c r="F655" s="41">
        <v>0</v>
      </c>
      <c r="G655" s="41" t="s">
        <v>505</v>
      </c>
      <c r="H655" s="41">
        <v>2</v>
      </c>
      <c r="I655" s="41">
        <v>1</v>
      </c>
      <c r="J655" s="108">
        <v>0</v>
      </c>
      <c r="K655" s="41">
        <v>0</v>
      </c>
      <c r="L655" s="41">
        <v>55</v>
      </c>
      <c r="M655" s="41">
        <v>-1</v>
      </c>
      <c r="N655" s="41">
        <v>4</v>
      </c>
      <c r="O655" s="110" t="s">
        <v>2742</v>
      </c>
      <c r="P655" s="109">
        <v>194272</v>
      </c>
      <c r="Q655" s="107"/>
      <c r="R655" s="111"/>
      <c r="S655" s="110"/>
      <c r="T655"/>
      <c r="U655"/>
      <c r="V655"/>
    </row>
    <row r="656" spans="1:22">
      <c r="A656" s="105">
        <v>2038</v>
      </c>
      <c r="B656" s="41">
        <v>120000000</v>
      </c>
      <c r="C656" s="41">
        <v>3.2000000000000002E-3</v>
      </c>
      <c r="D656" s="41">
        <v>32</v>
      </c>
      <c r="E656" s="41">
        <v>30</v>
      </c>
      <c r="F656" s="41">
        <v>0</v>
      </c>
      <c r="G656" s="41" t="s">
        <v>505</v>
      </c>
      <c r="H656" s="41">
        <v>2</v>
      </c>
      <c r="I656" s="41">
        <v>1</v>
      </c>
      <c r="J656" s="108">
        <v>0</v>
      </c>
      <c r="K656" s="41">
        <v>0</v>
      </c>
      <c r="L656" s="41">
        <v>55</v>
      </c>
      <c r="M656" s="41">
        <v>-1</v>
      </c>
      <c r="N656" s="41">
        <v>4</v>
      </c>
      <c r="O656" s="110" t="s">
        <v>2743</v>
      </c>
      <c r="P656" s="109">
        <v>194272</v>
      </c>
      <c r="Q656" s="107"/>
      <c r="R656" s="111"/>
      <c r="S656" s="110"/>
      <c r="T656"/>
      <c r="U656"/>
      <c r="V656"/>
    </row>
    <row r="657" spans="1:22">
      <c r="A657" s="105">
        <v>2039</v>
      </c>
      <c r="B657" s="41">
        <v>120000000</v>
      </c>
      <c r="C657" s="41">
        <v>3.2000000000000002E-3</v>
      </c>
      <c r="D657" s="41">
        <v>45.254800000000003</v>
      </c>
      <c r="E657" s="41">
        <v>30</v>
      </c>
      <c r="F657" s="41">
        <v>0</v>
      </c>
      <c r="G657" s="41" t="s">
        <v>505</v>
      </c>
      <c r="H657" s="41">
        <v>2</v>
      </c>
      <c r="I657" s="41">
        <v>1</v>
      </c>
      <c r="J657" s="108">
        <v>0</v>
      </c>
      <c r="K657" s="41">
        <v>0</v>
      </c>
      <c r="L657" s="41">
        <v>55</v>
      </c>
      <c r="M657" s="41">
        <v>-1</v>
      </c>
      <c r="N657" s="41">
        <v>4</v>
      </c>
      <c r="O657" s="110" t="s">
        <v>2744</v>
      </c>
      <c r="P657" s="109">
        <v>194272</v>
      </c>
      <c r="Q657" s="107"/>
      <c r="R657" s="111"/>
      <c r="S657" s="110"/>
      <c r="T657"/>
      <c r="U657"/>
      <c r="V657"/>
    </row>
    <row r="658" spans="1:22">
      <c r="A658" s="105">
        <v>2040</v>
      </c>
      <c r="B658" s="41">
        <v>120000000</v>
      </c>
      <c r="C658" s="41">
        <v>3.5000000000000001E-3</v>
      </c>
      <c r="D658" s="41">
        <v>4</v>
      </c>
      <c r="E658" s="41">
        <v>30</v>
      </c>
      <c r="F658" s="41">
        <v>0</v>
      </c>
      <c r="G658" s="41" t="s">
        <v>505</v>
      </c>
      <c r="H658" s="41">
        <v>2</v>
      </c>
      <c r="I658" s="41">
        <v>1</v>
      </c>
      <c r="J658" s="108">
        <v>0</v>
      </c>
      <c r="K658" s="41">
        <v>0</v>
      </c>
      <c r="L658" s="41">
        <v>55</v>
      </c>
      <c r="M658" s="41">
        <v>-1</v>
      </c>
      <c r="N658" s="41">
        <v>4</v>
      </c>
      <c r="O658" s="110" t="s">
        <v>2745</v>
      </c>
      <c r="P658" s="109">
        <v>194272</v>
      </c>
      <c r="Q658" s="107"/>
      <c r="R658" s="111"/>
      <c r="S658" s="110"/>
      <c r="T658"/>
      <c r="U658"/>
      <c r="V658"/>
    </row>
    <row r="659" spans="1:22">
      <c r="A659" s="105">
        <v>2041</v>
      </c>
      <c r="B659" s="41">
        <v>120000000</v>
      </c>
      <c r="C659" s="41">
        <v>3.5000000000000001E-3</v>
      </c>
      <c r="D659" s="41">
        <v>5.6569000000000003</v>
      </c>
      <c r="E659" s="41">
        <v>30</v>
      </c>
      <c r="F659" s="41">
        <v>0</v>
      </c>
      <c r="G659" s="41" t="s">
        <v>505</v>
      </c>
      <c r="H659" s="41">
        <v>2</v>
      </c>
      <c r="I659" s="41">
        <v>1</v>
      </c>
      <c r="J659" s="108">
        <v>0</v>
      </c>
      <c r="K659" s="41">
        <v>0</v>
      </c>
      <c r="L659" s="41">
        <v>55</v>
      </c>
      <c r="M659" s="41">
        <v>-1</v>
      </c>
      <c r="N659" s="41">
        <v>4</v>
      </c>
      <c r="O659" s="110" t="s">
        <v>2746</v>
      </c>
      <c r="P659" s="109">
        <v>194272</v>
      </c>
      <c r="Q659" s="107"/>
      <c r="R659" s="111"/>
      <c r="S659" s="110"/>
      <c r="T659"/>
      <c r="U659"/>
      <c r="V659"/>
    </row>
    <row r="660" spans="1:22">
      <c r="A660" s="105">
        <v>2042</v>
      </c>
      <c r="B660" s="41">
        <v>120000000</v>
      </c>
      <c r="C660" s="41">
        <v>3.5000000000000001E-3</v>
      </c>
      <c r="D660" s="41">
        <v>8</v>
      </c>
      <c r="E660" s="41">
        <v>30</v>
      </c>
      <c r="F660" s="41">
        <v>0</v>
      </c>
      <c r="G660" s="41" t="s">
        <v>505</v>
      </c>
      <c r="H660" s="41">
        <v>2</v>
      </c>
      <c r="I660" s="41">
        <v>1</v>
      </c>
      <c r="J660" s="108">
        <v>0</v>
      </c>
      <c r="K660" s="41">
        <v>0</v>
      </c>
      <c r="L660" s="41">
        <v>55</v>
      </c>
      <c r="M660" s="41">
        <v>-1</v>
      </c>
      <c r="N660" s="41">
        <v>4</v>
      </c>
      <c r="O660" s="110" t="s">
        <v>2747</v>
      </c>
      <c r="P660" s="109">
        <v>194355</v>
      </c>
      <c r="Q660" s="107"/>
      <c r="R660" s="111"/>
      <c r="S660" s="110"/>
      <c r="T660"/>
      <c r="U660"/>
      <c r="V660"/>
    </row>
    <row r="661" spans="1:22">
      <c r="A661" s="105">
        <v>2043</v>
      </c>
      <c r="B661" s="41">
        <v>120000000</v>
      </c>
      <c r="C661" s="41">
        <v>3.5000000000000001E-3</v>
      </c>
      <c r="D661" s="41">
        <v>11.313700000000001</v>
      </c>
      <c r="E661" s="41">
        <v>30</v>
      </c>
      <c r="F661" s="41">
        <v>0</v>
      </c>
      <c r="G661" s="41" t="s">
        <v>505</v>
      </c>
      <c r="H661" s="41">
        <v>2</v>
      </c>
      <c r="I661" s="41">
        <v>1</v>
      </c>
      <c r="J661" s="108">
        <v>0</v>
      </c>
      <c r="K661" s="41">
        <v>0</v>
      </c>
      <c r="L661" s="41">
        <v>55</v>
      </c>
      <c r="M661" s="41">
        <v>-1</v>
      </c>
      <c r="N661" s="41">
        <v>4</v>
      </c>
      <c r="O661" s="110" t="s">
        <v>2748</v>
      </c>
      <c r="P661" s="109">
        <v>194355</v>
      </c>
      <c r="Q661" s="107"/>
      <c r="R661" s="111"/>
      <c r="S661" s="110"/>
      <c r="T661"/>
      <c r="U661"/>
      <c r="V661"/>
    </row>
    <row r="662" spans="1:22">
      <c r="A662" s="105">
        <v>2044</v>
      </c>
      <c r="B662" s="41">
        <v>120000000</v>
      </c>
      <c r="C662" s="41">
        <v>3.5000000000000001E-3</v>
      </c>
      <c r="D662" s="41">
        <v>16</v>
      </c>
      <c r="E662" s="41">
        <v>30</v>
      </c>
      <c r="F662" s="41">
        <v>0</v>
      </c>
      <c r="G662" s="41" t="s">
        <v>505</v>
      </c>
      <c r="H662" s="41">
        <v>2</v>
      </c>
      <c r="I662" s="41">
        <v>1</v>
      </c>
      <c r="J662" s="108">
        <v>0</v>
      </c>
      <c r="K662" s="41">
        <v>0</v>
      </c>
      <c r="L662" s="41">
        <v>55</v>
      </c>
      <c r="M662" s="41">
        <v>-1</v>
      </c>
      <c r="N662" s="41">
        <v>4</v>
      </c>
      <c r="O662" s="110" t="s">
        <v>2749</v>
      </c>
      <c r="P662" s="109">
        <v>194381</v>
      </c>
      <c r="Q662" s="107"/>
      <c r="R662" s="111"/>
      <c r="S662" s="110" t="s">
        <v>2267</v>
      </c>
      <c r="T662"/>
      <c r="U662"/>
      <c r="V662"/>
    </row>
    <row r="663" spans="1:22">
      <c r="A663" s="105">
        <v>2045</v>
      </c>
      <c r="B663" s="41">
        <v>120000000</v>
      </c>
      <c r="C663" s="41">
        <v>3.5000000000000001E-3</v>
      </c>
      <c r="D663" s="41">
        <v>22.627400000000002</v>
      </c>
      <c r="E663" s="41">
        <v>30</v>
      </c>
      <c r="F663" s="41">
        <v>0</v>
      </c>
      <c r="G663" s="41" t="s">
        <v>505</v>
      </c>
      <c r="H663" s="41">
        <v>2</v>
      </c>
      <c r="I663" s="41">
        <v>1</v>
      </c>
      <c r="J663" s="108">
        <v>0</v>
      </c>
      <c r="K663" s="41">
        <v>0</v>
      </c>
      <c r="L663" s="41">
        <v>55</v>
      </c>
      <c r="M663" s="41">
        <v>-1</v>
      </c>
      <c r="N663" s="41">
        <v>4</v>
      </c>
      <c r="O663" s="110" t="s">
        <v>2750</v>
      </c>
      <c r="P663" s="109">
        <v>194381</v>
      </c>
      <c r="Q663" s="107"/>
      <c r="R663" s="111"/>
      <c r="S663" s="110"/>
      <c r="T663"/>
      <c r="U663"/>
      <c r="V663"/>
    </row>
    <row r="664" spans="1:22">
      <c r="A664" s="105">
        <v>2046</v>
      </c>
      <c r="B664" s="41">
        <v>120000000</v>
      </c>
      <c r="C664" s="41">
        <v>3.5000000000000001E-3</v>
      </c>
      <c r="D664" s="41">
        <v>32</v>
      </c>
      <c r="E664" s="41">
        <v>30</v>
      </c>
      <c r="F664" s="41">
        <v>0</v>
      </c>
      <c r="G664" s="41" t="s">
        <v>505</v>
      </c>
      <c r="H664" s="41">
        <v>2</v>
      </c>
      <c r="I664" s="41">
        <v>1</v>
      </c>
      <c r="J664" s="108">
        <v>0</v>
      </c>
      <c r="K664" s="41">
        <v>0</v>
      </c>
      <c r="L664" s="41">
        <v>55</v>
      </c>
      <c r="M664" s="41">
        <v>-1</v>
      </c>
      <c r="N664" s="41">
        <v>4</v>
      </c>
      <c r="O664" s="110" t="s">
        <v>2751</v>
      </c>
      <c r="P664" s="109">
        <v>194341</v>
      </c>
      <c r="Q664" s="107"/>
      <c r="R664" s="111"/>
      <c r="S664" s="110" t="s">
        <v>2267</v>
      </c>
      <c r="T664"/>
      <c r="U664"/>
      <c r="V664"/>
    </row>
    <row r="665" spans="1:22">
      <c r="A665" s="105">
        <v>2047</v>
      </c>
      <c r="B665" s="41">
        <v>120000000</v>
      </c>
      <c r="C665" s="41">
        <v>3.5000000000000001E-3</v>
      </c>
      <c r="D665" s="41">
        <v>45.254800000000003</v>
      </c>
      <c r="E665" s="41">
        <v>30</v>
      </c>
      <c r="F665" s="41">
        <v>0</v>
      </c>
      <c r="G665" s="41" t="s">
        <v>505</v>
      </c>
      <c r="H665" s="41">
        <v>2</v>
      </c>
      <c r="I665" s="41">
        <v>1</v>
      </c>
      <c r="J665" s="108">
        <v>0</v>
      </c>
      <c r="K665" s="41">
        <v>0</v>
      </c>
      <c r="L665" s="41">
        <v>55</v>
      </c>
      <c r="M665" s="41">
        <v>-1</v>
      </c>
      <c r="N665" s="41">
        <v>4</v>
      </c>
      <c r="O665" s="110" t="s">
        <v>2752</v>
      </c>
      <c r="P665" s="109">
        <v>194341</v>
      </c>
      <c r="Q665" s="107"/>
      <c r="R665" s="111"/>
      <c r="S665" s="110"/>
      <c r="T665"/>
      <c r="U665"/>
      <c r="V665"/>
    </row>
    <row r="666" spans="1:22">
      <c r="A666" s="105">
        <v>2048</v>
      </c>
      <c r="B666" s="41">
        <v>120000000</v>
      </c>
      <c r="C666" s="41">
        <v>3.8E-3</v>
      </c>
      <c r="D666" s="41">
        <v>5.6569000000000003</v>
      </c>
      <c r="E666" s="41">
        <v>30</v>
      </c>
      <c r="F666" s="41">
        <v>0</v>
      </c>
      <c r="G666" s="41" t="s">
        <v>505</v>
      </c>
      <c r="H666" s="41">
        <v>2</v>
      </c>
      <c r="I666" s="41">
        <v>1</v>
      </c>
      <c r="J666" s="108">
        <v>0</v>
      </c>
      <c r="K666" s="41">
        <v>0</v>
      </c>
      <c r="L666" s="41">
        <v>55</v>
      </c>
      <c r="M666" s="41">
        <v>-1</v>
      </c>
      <c r="N666" s="41">
        <v>4</v>
      </c>
      <c r="O666" s="110" t="s">
        <v>2753</v>
      </c>
      <c r="P666" s="109">
        <v>194341</v>
      </c>
      <c r="Q666" s="107"/>
      <c r="R666" s="111"/>
      <c r="S666" s="110"/>
      <c r="T666"/>
      <c r="U666"/>
      <c r="V666"/>
    </row>
    <row r="667" spans="1:22">
      <c r="A667" s="105">
        <v>2049</v>
      </c>
      <c r="B667" s="41">
        <v>120000000</v>
      </c>
      <c r="C667" s="41">
        <v>3.8E-3</v>
      </c>
      <c r="D667" s="41">
        <v>8</v>
      </c>
      <c r="E667" s="41">
        <v>30</v>
      </c>
      <c r="F667" s="41">
        <v>0</v>
      </c>
      <c r="G667" s="41" t="s">
        <v>505</v>
      </c>
      <c r="H667" s="41">
        <v>2</v>
      </c>
      <c r="I667" s="41">
        <v>1</v>
      </c>
      <c r="J667" s="108">
        <v>0</v>
      </c>
      <c r="K667" s="41">
        <v>0</v>
      </c>
      <c r="L667" s="41">
        <v>55</v>
      </c>
      <c r="M667" s="41">
        <v>-1</v>
      </c>
      <c r="N667" s="41">
        <v>4</v>
      </c>
      <c r="O667" s="110" t="s">
        <v>2754</v>
      </c>
      <c r="P667" s="109">
        <v>194341</v>
      </c>
      <c r="Q667" s="107"/>
      <c r="R667" s="111"/>
      <c r="S667" s="110"/>
      <c r="T667"/>
      <c r="U667"/>
      <c r="V667"/>
    </row>
    <row r="668" spans="1:22">
      <c r="A668" s="105">
        <v>2050</v>
      </c>
      <c r="B668" s="41">
        <v>120000000</v>
      </c>
      <c r="C668" s="41">
        <v>3.8E-3</v>
      </c>
      <c r="D668" s="41">
        <v>11.313700000000001</v>
      </c>
      <c r="E668" s="41">
        <v>30</v>
      </c>
      <c r="F668" s="41">
        <v>0</v>
      </c>
      <c r="G668" s="41" t="s">
        <v>505</v>
      </c>
      <c r="H668" s="41">
        <v>2</v>
      </c>
      <c r="I668" s="41">
        <v>1</v>
      </c>
      <c r="J668" s="108">
        <v>0</v>
      </c>
      <c r="K668" s="41">
        <v>0</v>
      </c>
      <c r="L668" s="41">
        <v>55</v>
      </c>
      <c r="M668" s="41">
        <v>-1</v>
      </c>
      <c r="N668" s="41">
        <v>4</v>
      </c>
      <c r="O668" s="110" t="s">
        <v>2755</v>
      </c>
      <c r="P668" s="109">
        <v>194341</v>
      </c>
      <c r="Q668" s="107"/>
      <c r="R668" s="111"/>
      <c r="S668" s="110"/>
      <c r="T668"/>
      <c r="U668"/>
      <c r="V668"/>
    </row>
    <row r="669" spans="1:22">
      <c r="A669" s="105">
        <v>2051</v>
      </c>
      <c r="B669" s="41">
        <v>120000000</v>
      </c>
      <c r="C669" s="41">
        <v>3.8E-3</v>
      </c>
      <c r="D669" s="41">
        <v>16</v>
      </c>
      <c r="E669" s="41">
        <v>30</v>
      </c>
      <c r="F669" s="41">
        <v>0</v>
      </c>
      <c r="G669" s="41" t="s">
        <v>505</v>
      </c>
      <c r="H669" s="41">
        <v>2</v>
      </c>
      <c r="I669" s="41">
        <v>1</v>
      </c>
      <c r="J669" s="108">
        <v>0</v>
      </c>
      <c r="K669" s="41">
        <v>0</v>
      </c>
      <c r="L669" s="41">
        <v>55</v>
      </c>
      <c r="M669" s="41">
        <v>-1</v>
      </c>
      <c r="N669" s="41">
        <v>4</v>
      </c>
      <c r="O669" s="110" t="s">
        <v>2756</v>
      </c>
      <c r="P669" s="109">
        <v>194341</v>
      </c>
      <c r="Q669" s="107"/>
      <c r="R669" s="111"/>
      <c r="S669" s="110"/>
      <c r="T669"/>
      <c r="U669"/>
      <c r="V669"/>
    </row>
    <row r="670" spans="1:22">
      <c r="A670" s="105">
        <v>2052</v>
      </c>
      <c r="B670" s="41">
        <v>120000000</v>
      </c>
      <c r="C670" s="41">
        <v>3.8E-3</v>
      </c>
      <c r="D670" s="41">
        <v>22.627400000000002</v>
      </c>
      <c r="E670" s="41">
        <v>30</v>
      </c>
      <c r="F670" s="41">
        <v>0</v>
      </c>
      <c r="G670" s="41" t="s">
        <v>505</v>
      </c>
      <c r="H670" s="41">
        <v>2</v>
      </c>
      <c r="I670" s="41">
        <v>1</v>
      </c>
      <c r="J670" s="108">
        <v>0</v>
      </c>
      <c r="K670" s="41">
        <v>0</v>
      </c>
      <c r="L670" s="41">
        <v>55</v>
      </c>
      <c r="M670" s="41">
        <v>-1</v>
      </c>
      <c r="N670" s="41">
        <v>4</v>
      </c>
      <c r="O670" s="110" t="s">
        <v>2757</v>
      </c>
      <c r="P670" s="109">
        <v>194341</v>
      </c>
      <c r="Q670" s="107"/>
      <c r="R670" s="111"/>
      <c r="S670" s="110"/>
      <c r="T670"/>
      <c r="U670"/>
      <c r="V670"/>
    </row>
    <row r="671" spans="1:22">
      <c r="A671" s="105">
        <v>2053</v>
      </c>
      <c r="B671" s="41">
        <v>120000000</v>
      </c>
      <c r="C671" s="41">
        <v>3.8E-3</v>
      </c>
      <c r="D671" s="41">
        <v>32</v>
      </c>
      <c r="E671" s="41">
        <v>30</v>
      </c>
      <c r="F671" s="41">
        <v>0</v>
      </c>
      <c r="G671" s="41" t="s">
        <v>505</v>
      </c>
      <c r="H671" s="41">
        <v>2</v>
      </c>
      <c r="I671" s="41">
        <v>1</v>
      </c>
      <c r="J671" s="108">
        <v>0</v>
      </c>
      <c r="K671" s="41">
        <v>0</v>
      </c>
      <c r="L671" s="41">
        <v>55</v>
      </c>
      <c r="M671" s="41">
        <v>-1</v>
      </c>
      <c r="N671" s="41">
        <v>4</v>
      </c>
      <c r="O671" s="110" t="s">
        <v>2758</v>
      </c>
      <c r="P671" s="109">
        <v>194341</v>
      </c>
      <c r="Q671" s="107"/>
      <c r="R671" s="111"/>
      <c r="S671" s="110"/>
      <c r="T671"/>
      <c r="U671"/>
      <c r="V671"/>
    </row>
    <row r="672" spans="1:22">
      <c r="A672" s="105">
        <v>2054</v>
      </c>
      <c r="B672" s="41">
        <v>120000000</v>
      </c>
      <c r="C672" s="41">
        <v>3.8E-3</v>
      </c>
      <c r="D672" s="41">
        <v>45.254800000000003</v>
      </c>
      <c r="E672" s="41">
        <v>30</v>
      </c>
      <c r="F672" s="41">
        <v>0</v>
      </c>
      <c r="G672" s="41" t="s">
        <v>505</v>
      </c>
      <c r="H672" s="41">
        <v>2</v>
      </c>
      <c r="I672" s="41">
        <v>1</v>
      </c>
      <c r="J672" s="108">
        <v>0</v>
      </c>
      <c r="K672" s="41">
        <v>0</v>
      </c>
      <c r="L672" s="41">
        <v>55</v>
      </c>
      <c r="M672" s="41">
        <v>-1</v>
      </c>
      <c r="N672" s="41">
        <v>4</v>
      </c>
      <c r="O672" s="110" t="s">
        <v>2759</v>
      </c>
      <c r="P672" s="109">
        <v>194341</v>
      </c>
      <c r="Q672" s="107"/>
      <c r="R672" s="111"/>
      <c r="S672" s="110"/>
      <c r="T672"/>
      <c r="U672"/>
      <c r="V672"/>
    </row>
    <row r="673" spans="1:22">
      <c r="A673" s="105">
        <v>2055</v>
      </c>
      <c r="B673" s="41">
        <v>120000000</v>
      </c>
      <c r="C673" s="41">
        <v>4.1999999999999997E-3</v>
      </c>
      <c r="D673" s="41">
        <v>5.6569000000000003</v>
      </c>
      <c r="E673" s="41">
        <v>30</v>
      </c>
      <c r="F673" s="41">
        <v>0</v>
      </c>
      <c r="G673" s="41" t="s">
        <v>505</v>
      </c>
      <c r="H673" s="41">
        <v>2</v>
      </c>
      <c r="I673" s="41">
        <v>1</v>
      </c>
      <c r="J673" s="108">
        <v>0</v>
      </c>
      <c r="K673" s="41">
        <v>0</v>
      </c>
      <c r="L673" s="41">
        <v>55</v>
      </c>
      <c r="M673" s="41">
        <v>-1</v>
      </c>
      <c r="N673" s="41">
        <v>4</v>
      </c>
      <c r="O673" s="110" t="s">
        <v>2760</v>
      </c>
      <c r="P673" s="109">
        <v>194341</v>
      </c>
      <c r="Q673" s="107"/>
      <c r="R673" s="111"/>
      <c r="S673" s="110"/>
      <c r="T673"/>
      <c r="U673"/>
      <c r="V673"/>
    </row>
    <row r="674" spans="1:22">
      <c r="A674" s="105">
        <v>2056</v>
      </c>
      <c r="B674" s="41">
        <v>120000000</v>
      </c>
      <c r="C674" s="41">
        <v>4.1999999999999997E-3</v>
      </c>
      <c r="D674" s="41">
        <v>8</v>
      </c>
      <c r="E674" s="41">
        <v>30</v>
      </c>
      <c r="F674" s="41">
        <v>0</v>
      </c>
      <c r="G674" s="41" t="s">
        <v>505</v>
      </c>
      <c r="H674" s="41">
        <v>2</v>
      </c>
      <c r="I674" s="41">
        <v>1</v>
      </c>
      <c r="J674" s="108">
        <v>0</v>
      </c>
      <c r="K674" s="41">
        <v>0</v>
      </c>
      <c r="L674" s="41">
        <v>55</v>
      </c>
      <c r="M674" s="41">
        <v>-1</v>
      </c>
      <c r="N674" s="41">
        <v>4</v>
      </c>
      <c r="O674" s="110" t="s">
        <v>2761</v>
      </c>
      <c r="P674" s="109">
        <v>194341</v>
      </c>
      <c r="Q674" s="107"/>
      <c r="R674" s="111"/>
      <c r="S674" s="110"/>
      <c r="T674"/>
      <c r="U674"/>
      <c r="V674"/>
    </row>
    <row r="675" spans="1:22">
      <c r="A675" s="105">
        <v>2057</v>
      </c>
      <c r="B675" s="41">
        <v>120000000</v>
      </c>
      <c r="C675" s="41">
        <v>4.1999999999999997E-3</v>
      </c>
      <c r="D675" s="41">
        <v>11.313700000000001</v>
      </c>
      <c r="E675" s="41">
        <v>30</v>
      </c>
      <c r="F675" s="41">
        <v>0</v>
      </c>
      <c r="G675" s="41" t="s">
        <v>505</v>
      </c>
      <c r="H675" s="41">
        <v>2</v>
      </c>
      <c r="I675" s="41">
        <v>1</v>
      </c>
      <c r="J675" s="108">
        <v>0</v>
      </c>
      <c r="K675" s="41">
        <v>0</v>
      </c>
      <c r="L675" s="41">
        <v>55</v>
      </c>
      <c r="M675" s="41">
        <v>-1</v>
      </c>
      <c r="N675" s="41">
        <v>4</v>
      </c>
      <c r="O675" s="110" t="s">
        <v>2762</v>
      </c>
      <c r="P675" s="109">
        <v>194341</v>
      </c>
      <c r="Q675" s="107"/>
      <c r="R675" s="111"/>
      <c r="S675" s="110"/>
      <c r="T675"/>
      <c r="U675"/>
      <c r="V675"/>
    </row>
    <row r="676" spans="1:22">
      <c r="A676" s="105">
        <v>2058</v>
      </c>
      <c r="B676" s="41">
        <v>120000000</v>
      </c>
      <c r="C676" s="41">
        <v>4.1999999999999997E-3</v>
      </c>
      <c r="D676" s="41">
        <v>16</v>
      </c>
      <c r="E676" s="41">
        <v>30</v>
      </c>
      <c r="F676" s="41">
        <v>0</v>
      </c>
      <c r="G676" s="41" t="s">
        <v>505</v>
      </c>
      <c r="H676" s="41">
        <v>2</v>
      </c>
      <c r="I676" s="41">
        <v>1</v>
      </c>
      <c r="J676" s="108">
        <v>0</v>
      </c>
      <c r="K676" s="41">
        <v>0</v>
      </c>
      <c r="L676" s="41">
        <v>55</v>
      </c>
      <c r="M676" s="41">
        <v>-1</v>
      </c>
      <c r="N676" s="41">
        <v>4</v>
      </c>
      <c r="O676" s="110" t="s">
        <v>2763</v>
      </c>
      <c r="P676" s="109">
        <v>194341</v>
      </c>
      <c r="Q676" s="107"/>
      <c r="R676" s="111"/>
      <c r="S676" s="110"/>
      <c r="T676"/>
      <c r="U676"/>
      <c r="V676"/>
    </row>
    <row r="677" spans="1:22">
      <c r="A677" s="105">
        <v>2059</v>
      </c>
      <c r="B677" s="41">
        <v>120000000</v>
      </c>
      <c r="C677" s="41">
        <v>4.1999999999999997E-3</v>
      </c>
      <c r="D677" s="41">
        <v>22.627400000000002</v>
      </c>
      <c r="E677" s="41">
        <v>30</v>
      </c>
      <c r="F677" s="41">
        <v>0</v>
      </c>
      <c r="G677" s="41" t="s">
        <v>505</v>
      </c>
      <c r="H677" s="41">
        <v>2</v>
      </c>
      <c r="I677" s="41">
        <v>1</v>
      </c>
      <c r="J677" s="108">
        <v>0</v>
      </c>
      <c r="K677" s="41">
        <v>0</v>
      </c>
      <c r="L677" s="41">
        <v>55</v>
      </c>
      <c r="M677" s="41">
        <v>-1</v>
      </c>
      <c r="N677" s="41">
        <v>4</v>
      </c>
      <c r="O677" s="110" t="s">
        <v>2764</v>
      </c>
      <c r="P677" s="109">
        <v>194341</v>
      </c>
      <c r="Q677" s="107"/>
      <c r="R677" s="111"/>
      <c r="S677" s="110"/>
      <c r="T677"/>
      <c r="U677"/>
      <c r="V677"/>
    </row>
    <row r="678" spans="1:22">
      <c r="A678" s="105">
        <v>2060</v>
      </c>
      <c r="B678" s="41">
        <v>120000000</v>
      </c>
      <c r="C678" s="41">
        <v>4.1999999999999997E-3</v>
      </c>
      <c r="D678" s="41">
        <v>32</v>
      </c>
      <c r="E678" s="41">
        <v>30</v>
      </c>
      <c r="F678" s="41">
        <v>0</v>
      </c>
      <c r="G678" s="41" t="s">
        <v>505</v>
      </c>
      <c r="H678" s="41">
        <v>2</v>
      </c>
      <c r="I678" s="41">
        <v>1</v>
      </c>
      <c r="J678" s="108">
        <v>0</v>
      </c>
      <c r="K678" s="41">
        <v>0</v>
      </c>
      <c r="L678" s="41">
        <v>55</v>
      </c>
      <c r="M678" s="41">
        <v>-1</v>
      </c>
      <c r="N678" s="41">
        <v>4</v>
      </c>
      <c r="O678" s="110" t="s">
        <v>2765</v>
      </c>
      <c r="P678" s="109">
        <v>194341</v>
      </c>
      <c r="Q678" s="107"/>
      <c r="R678" s="111"/>
      <c r="S678" s="110"/>
      <c r="T678"/>
      <c r="U678"/>
      <c r="V678"/>
    </row>
    <row r="679" spans="1:22">
      <c r="A679" s="105">
        <v>2061</v>
      </c>
      <c r="B679" s="41">
        <v>120000000</v>
      </c>
      <c r="C679" s="41">
        <v>4.1999999999999997E-3</v>
      </c>
      <c r="D679" s="41">
        <v>45.254800000000003</v>
      </c>
      <c r="E679" s="41">
        <v>30</v>
      </c>
      <c r="F679" s="41">
        <v>0</v>
      </c>
      <c r="G679" s="41" t="s">
        <v>505</v>
      </c>
      <c r="H679" s="41">
        <v>2</v>
      </c>
      <c r="I679" s="41">
        <v>1</v>
      </c>
      <c r="J679" s="108">
        <v>0</v>
      </c>
      <c r="K679" s="41">
        <v>0</v>
      </c>
      <c r="L679" s="41">
        <v>55</v>
      </c>
      <c r="M679" s="41">
        <v>-1</v>
      </c>
      <c r="N679" s="41">
        <v>4</v>
      </c>
      <c r="O679" s="110" t="s">
        <v>2766</v>
      </c>
      <c r="P679" s="109">
        <v>194341</v>
      </c>
      <c r="Q679" s="107"/>
      <c r="R679" s="111"/>
      <c r="S679" s="110"/>
      <c r="T679"/>
      <c r="U679"/>
      <c r="V679"/>
    </row>
    <row r="680" spans="1:22">
      <c r="A680" s="105">
        <v>2062</v>
      </c>
      <c r="B680" s="41">
        <v>120000000</v>
      </c>
      <c r="C680" s="41">
        <v>4.4999999999999997E-3</v>
      </c>
      <c r="D680" s="41">
        <v>8</v>
      </c>
      <c r="E680" s="41">
        <v>30</v>
      </c>
      <c r="F680" s="41">
        <v>0</v>
      </c>
      <c r="G680" s="41" t="s">
        <v>505</v>
      </c>
      <c r="H680" s="41">
        <v>2</v>
      </c>
      <c r="I680" s="41">
        <v>1</v>
      </c>
      <c r="J680" s="108">
        <v>0</v>
      </c>
      <c r="K680" s="41">
        <v>0</v>
      </c>
      <c r="L680" s="41">
        <v>55</v>
      </c>
      <c r="M680" s="41">
        <v>-1</v>
      </c>
      <c r="N680" s="41">
        <v>4</v>
      </c>
      <c r="O680" s="110" t="s">
        <v>2767</v>
      </c>
      <c r="P680" s="109">
        <v>194341</v>
      </c>
      <c r="Q680" s="107"/>
      <c r="R680" s="111"/>
      <c r="S680" s="110"/>
      <c r="T680"/>
      <c r="U680"/>
      <c r="V680"/>
    </row>
    <row r="681" spans="1:22">
      <c r="A681" s="105">
        <v>2063</v>
      </c>
      <c r="B681" s="41">
        <v>120000000</v>
      </c>
      <c r="C681" s="41">
        <v>4.4999999999999997E-3</v>
      </c>
      <c r="D681" s="41">
        <v>11.313700000000001</v>
      </c>
      <c r="E681" s="41">
        <v>30</v>
      </c>
      <c r="F681" s="41">
        <v>0</v>
      </c>
      <c r="G681" s="41" t="s">
        <v>505</v>
      </c>
      <c r="H681" s="41">
        <v>2</v>
      </c>
      <c r="I681" s="41">
        <v>1</v>
      </c>
      <c r="J681" s="108">
        <v>0</v>
      </c>
      <c r="K681" s="41">
        <v>0</v>
      </c>
      <c r="L681" s="41">
        <v>55</v>
      </c>
      <c r="M681" s="41">
        <v>-1</v>
      </c>
      <c r="N681" s="41">
        <v>4</v>
      </c>
      <c r="O681" s="110" t="s">
        <v>2768</v>
      </c>
      <c r="P681" s="109">
        <v>194341</v>
      </c>
      <c r="Q681" s="107"/>
      <c r="R681" s="111"/>
      <c r="S681" s="110"/>
      <c r="T681"/>
      <c r="U681"/>
      <c r="V681"/>
    </row>
    <row r="682" spans="1:22">
      <c r="A682" s="105">
        <v>2064</v>
      </c>
      <c r="B682" s="41">
        <v>120000000</v>
      </c>
      <c r="C682" s="41">
        <v>4.4999999999999997E-3</v>
      </c>
      <c r="D682" s="41">
        <v>16</v>
      </c>
      <c r="E682" s="41">
        <v>30</v>
      </c>
      <c r="F682" s="41">
        <v>0</v>
      </c>
      <c r="G682" s="41" t="s">
        <v>505</v>
      </c>
      <c r="H682" s="41">
        <v>2</v>
      </c>
      <c r="I682" s="41">
        <v>1</v>
      </c>
      <c r="J682" s="108">
        <v>0</v>
      </c>
      <c r="K682" s="41">
        <v>0</v>
      </c>
      <c r="L682" s="41">
        <v>55</v>
      </c>
      <c r="M682" s="41">
        <v>-1</v>
      </c>
      <c r="N682" s="41">
        <v>4</v>
      </c>
      <c r="O682" s="110" t="s">
        <v>2769</v>
      </c>
      <c r="P682" s="109">
        <v>194341</v>
      </c>
      <c r="Q682" s="107"/>
      <c r="R682" s="111"/>
      <c r="S682" s="110"/>
      <c r="T682"/>
      <c r="U682"/>
      <c r="V682"/>
    </row>
    <row r="683" spans="1:22">
      <c r="A683" s="105">
        <v>2065</v>
      </c>
      <c r="B683" s="41">
        <v>120000000</v>
      </c>
      <c r="C683" s="41">
        <v>4.4999999999999997E-3</v>
      </c>
      <c r="D683" s="41">
        <v>22.627400000000002</v>
      </c>
      <c r="E683" s="41">
        <v>30</v>
      </c>
      <c r="F683" s="41">
        <v>0</v>
      </c>
      <c r="G683" s="41" t="s">
        <v>505</v>
      </c>
      <c r="H683" s="41">
        <v>2</v>
      </c>
      <c r="I683" s="41">
        <v>1</v>
      </c>
      <c r="J683" s="108">
        <v>0</v>
      </c>
      <c r="K683" s="41">
        <v>0</v>
      </c>
      <c r="L683" s="41">
        <v>55</v>
      </c>
      <c r="M683" s="41">
        <v>-1</v>
      </c>
      <c r="N683" s="41">
        <v>4</v>
      </c>
      <c r="O683" s="110" t="s">
        <v>2770</v>
      </c>
      <c r="P683" s="109">
        <v>194341</v>
      </c>
      <c r="Q683" s="107"/>
      <c r="R683" s="111"/>
      <c r="S683" s="110"/>
      <c r="T683"/>
      <c r="U683"/>
      <c r="V683"/>
    </row>
    <row r="684" spans="1:22">
      <c r="A684" s="105">
        <v>2066</v>
      </c>
      <c r="B684" s="41">
        <v>120000000</v>
      </c>
      <c r="C684" s="41">
        <v>4.4999999999999997E-3</v>
      </c>
      <c r="D684" s="41">
        <v>32</v>
      </c>
      <c r="E684" s="41">
        <v>30</v>
      </c>
      <c r="F684" s="41">
        <v>0</v>
      </c>
      <c r="G684" s="41" t="s">
        <v>505</v>
      </c>
      <c r="H684" s="41">
        <v>2</v>
      </c>
      <c r="I684" s="41">
        <v>1</v>
      </c>
      <c r="J684" s="108">
        <v>0</v>
      </c>
      <c r="K684" s="41">
        <v>0</v>
      </c>
      <c r="L684" s="41">
        <v>55</v>
      </c>
      <c r="M684" s="41">
        <v>-1</v>
      </c>
      <c r="N684" s="41">
        <v>4</v>
      </c>
      <c r="O684" s="110" t="s">
        <v>2771</v>
      </c>
      <c r="P684" s="109">
        <v>194341</v>
      </c>
      <c r="Q684" s="107"/>
      <c r="R684" s="111"/>
      <c r="S684" s="110"/>
      <c r="T684"/>
      <c r="U684"/>
      <c r="V684"/>
    </row>
    <row r="685" spans="1:22">
      <c r="A685" s="105">
        <v>2067</v>
      </c>
      <c r="B685" s="41">
        <v>120000000</v>
      </c>
      <c r="C685" s="41">
        <v>4.4999999999999997E-3</v>
      </c>
      <c r="D685" s="41">
        <v>45.254800000000003</v>
      </c>
      <c r="E685" s="41">
        <v>30</v>
      </c>
      <c r="F685" s="41">
        <v>0</v>
      </c>
      <c r="G685" s="41" t="s">
        <v>505</v>
      </c>
      <c r="H685" s="41">
        <v>2</v>
      </c>
      <c r="I685" s="41">
        <v>1</v>
      </c>
      <c r="J685" s="108">
        <v>0</v>
      </c>
      <c r="K685" s="41">
        <v>0</v>
      </c>
      <c r="L685" s="41">
        <v>55</v>
      </c>
      <c r="M685" s="41">
        <v>-1</v>
      </c>
      <c r="N685" s="41">
        <v>4</v>
      </c>
      <c r="O685" s="110" t="s">
        <v>2772</v>
      </c>
      <c r="P685" s="109">
        <v>194341</v>
      </c>
      <c r="Q685" s="107"/>
      <c r="R685" s="111"/>
      <c r="S685" s="110"/>
      <c r="T685"/>
      <c r="U685"/>
      <c r="V685"/>
    </row>
    <row r="686" spans="1:22">
      <c r="A686" s="105">
        <v>2068</v>
      </c>
      <c r="B686" s="41">
        <v>120000000</v>
      </c>
      <c r="C686" s="41">
        <v>4.8999999999999998E-3</v>
      </c>
      <c r="D686" s="41">
        <v>8</v>
      </c>
      <c r="E686" s="41">
        <v>30</v>
      </c>
      <c r="F686" s="41">
        <v>0</v>
      </c>
      <c r="G686" s="41" t="s">
        <v>505</v>
      </c>
      <c r="H686" s="41">
        <v>2</v>
      </c>
      <c r="I686" s="41">
        <v>1</v>
      </c>
      <c r="J686" s="108">
        <v>0</v>
      </c>
      <c r="K686" s="41">
        <v>0</v>
      </c>
      <c r="L686" s="41">
        <v>55</v>
      </c>
      <c r="M686" s="41">
        <v>-1</v>
      </c>
      <c r="N686" s="41">
        <v>4</v>
      </c>
      <c r="O686" s="110" t="s">
        <v>2773</v>
      </c>
      <c r="P686" s="109">
        <v>194341</v>
      </c>
      <c r="Q686" s="107"/>
      <c r="R686" s="111"/>
      <c r="S686" s="110"/>
      <c r="T686"/>
      <c r="U686"/>
      <c r="V686"/>
    </row>
    <row r="687" spans="1:22">
      <c r="A687" s="105">
        <v>2069</v>
      </c>
      <c r="B687" s="41">
        <v>120000000</v>
      </c>
      <c r="C687" s="41">
        <v>4.8999999999999998E-3</v>
      </c>
      <c r="D687" s="41">
        <v>11.313700000000001</v>
      </c>
      <c r="E687" s="41">
        <v>30</v>
      </c>
      <c r="F687" s="41">
        <v>0</v>
      </c>
      <c r="G687" s="41" t="s">
        <v>505</v>
      </c>
      <c r="H687" s="41">
        <v>2</v>
      </c>
      <c r="I687" s="41">
        <v>1</v>
      </c>
      <c r="J687" s="108">
        <v>0</v>
      </c>
      <c r="K687" s="41">
        <v>0</v>
      </c>
      <c r="L687" s="41">
        <v>55</v>
      </c>
      <c r="M687" s="41">
        <v>-1</v>
      </c>
      <c r="N687" s="41">
        <v>4</v>
      </c>
      <c r="O687" s="110" t="s">
        <v>2774</v>
      </c>
      <c r="P687" s="109">
        <v>194341</v>
      </c>
      <c r="Q687" s="107"/>
      <c r="R687" s="111"/>
      <c r="S687" s="110"/>
      <c r="T687"/>
      <c r="U687"/>
      <c r="V687"/>
    </row>
    <row r="688" spans="1:22">
      <c r="A688" s="105">
        <v>2070</v>
      </c>
      <c r="B688" s="41">
        <v>120000000</v>
      </c>
      <c r="C688" s="41">
        <v>4.8999999999999998E-3</v>
      </c>
      <c r="D688" s="41">
        <v>16</v>
      </c>
      <c r="E688" s="41">
        <v>30</v>
      </c>
      <c r="F688" s="41">
        <v>0</v>
      </c>
      <c r="G688" s="41" t="s">
        <v>505</v>
      </c>
      <c r="H688" s="41">
        <v>2</v>
      </c>
      <c r="I688" s="41">
        <v>1</v>
      </c>
      <c r="J688" s="108">
        <v>0</v>
      </c>
      <c r="K688" s="41">
        <v>0</v>
      </c>
      <c r="L688" s="41">
        <v>55</v>
      </c>
      <c r="M688" s="41">
        <v>-1</v>
      </c>
      <c r="N688" s="41">
        <v>4</v>
      </c>
      <c r="O688" s="110" t="s">
        <v>2775</v>
      </c>
      <c r="P688" s="109">
        <v>194341</v>
      </c>
      <c r="Q688" s="107"/>
      <c r="R688" s="111"/>
      <c r="S688" s="110"/>
      <c r="T688"/>
      <c r="U688"/>
      <c r="V688"/>
    </row>
    <row r="689" spans="1:22">
      <c r="A689" s="105">
        <v>2071</v>
      </c>
      <c r="B689" s="41">
        <v>120000000</v>
      </c>
      <c r="C689" s="41">
        <v>4.8999999999999998E-3</v>
      </c>
      <c r="D689" s="41">
        <v>22.627400000000002</v>
      </c>
      <c r="E689" s="41">
        <v>30</v>
      </c>
      <c r="F689" s="41">
        <v>0</v>
      </c>
      <c r="G689" s="41" t="s">
        <v>505</v>
      </c>
      <c r="H689" s="41">
        <v>2</v>
      </c>
      <c r="I689" s="41">
        <v>1</v>
      </c>
      <c r="J689" s="108">
        <v>0</v>
      </c>
      <c r="K689" s="41">
        <v>0</v>
      </c>
      <c r="L689" s="41">
        <v>55</v>
      </c>
      <c r="M689" s="41">
        <v>-1</v>
      </c>
      <c r="N689" s="41">
        <v>4</v>
      </c>
      <c r="O689" s="110" t="s">
        <v>2776</v>
      </c>
      <c r="P689" s="109">
        <v>194341</v>
      </c>
      <c r="Q689" s="107"/>
      <c r="R689" s="111"/>
      <c r="S689" s="110"/>
      <c r="T689"/>
      <c r="U689"/>
      <c r="V689"/>
    </row>
    <row r="690" spans="1:22">
      <c r="A690" s="105">
        <v>2072</v>
      </c>
      <c r="B690" s="41">
        <v>120000000</v>
      </c>
      <c r="C690" s="41">
        <v>4.8999999999999998E-3</v>
      </c>
      <c r="D690" s="41">
        <v>32</v>
      </c>
      <c r="E690" s="41">
        <v>30</v>
      </c>
      <c r="F690" s="41">
        <v>0</v>
      </c>
      <c r="G690" s="41" t="s">
        <v>505</v>
      </c>
      <c r="H690" s="41">
        <v>2</v>
      </c>
      <c r="I690" s="41">
        <v>1</v>
      </c>
      <c r="J690" s="108">
        <v>0</v>
      </c>
      <c r="K690" s="41">
        <v>0</v>
      </c>
      <c r="L690" s="41">
        <v>55</v>
      </c>
      <c r="M690" s="41">
        <v>-1</v>
      </c>
      <c r="N690" s="41">
        <v>4</v>
      </c>
      <c r="O690" s="111" t="s">
        <v>2777</v>
      </c>
      <c r="P690" s="109">
        <v>194341</v>
      </c>
      <c r="Q690" s="41"/>
      <c r="R690" s="111"/>
      <c r="S690" s="110"/>
      <c r="T690"/>
      <c r="U690"/>
      <c r="V690"/>
    </row>
    <row r="691" spans="1:22">
      <c r="A691" s="105">
        <v>2073</v>
      </c>
      <c r="B691" s="41">
        <v>120000000</v>
      </c>
      <c r="C691" s="41">
        <v>4.8999999999999998E-3</v>
      </c>
      <c r="D691" s="41">
        <v>45.254800000000003</v>
      </c>
      <c r="E691" s="41">
        <v>30</v>
      </c>
      <c r="F691" s="41">
        <v>0</v>
      </c>
      <c r="G691" s="41" t="s">
        <v>505</v>
      </c>
      <c r="H691" s="41">
        <v>2</v>
      </c>
      <c r="I691" s="41">
        <v>1</v>
      </c>
      <c r="J691" s="108">
        <v>0</v>
      </c>
      <c r="K691" s="41">
        <v>0</v>
      </c>
      <c r="L691" s="41">
        <v>55</v>
      </c>
      <c r="M691" s="41">
        <v>-1</v>
      </c>
      <c r="N691" s="41">
        <v>4</v>
      </c>
      <c r="O691" s="111" t="s">
        <v>2778</v>
      </c>
      <c r="P691" s="109">
        <v>194341</v>
      </c>
      <c r="Q691" s="41"/>
      <c r="R691" s="111"/>
      <c r="S691" s="110"/>
      <c r="T691"/>
      <c r="U691"/>
      <c r="V691"/>
    </row>
    <row r="692" spans="1:22">
      <c r="A692" s="105">
        <v>2074</v>
      </c>
      <c r="B692" s="41">
        <v>120000000</v>
      </c>
      <c r="C692" s="41">
        <v>5.4000000000000003E-3</v>
      </c>
      <c r="D692" s="41">
        <v>11.313700000000001</v>
      </c>
      <c r="E692" s="41">
        <v>30</v>
      </c>
      <c r="F692" s="41">
        <v>0</v>
      </c>
      <c r="G692" s="41" t="s">
        <v>505</v>
      </c>
      <c r="H692" s="41">
        <v>2</v>
      </c>
      <c r="I692" s="41">
        <v>1</v>
      </c>
      <c r="J692" s="108">
        <v>0</v>
      </c>
      <c r="K692" s="41">
        <v>0</v>
      </c>
      <c r="L692" s="41">
        <v>55</v>
      </c>
      <c r="M692" s="41">
        <v>-1</v>
      </c>
      <c r="N692" s="41">
        <v>4</v>
      </c>
      <c r="O692" s="111" t="s">
        <v>2779</v>
      </c>
      <c r="P692" s="109">
        <v>194341</v>
      </c>
      <c r="Q692" s="41"/>
      <c r="R692" s="111"/>
      <c r="S692" s="110"/>
      <c r="T692"/>
      <c r="U692"/>
      <c r="V692"/>
    </row>
    <row r="693" spans="1:22">
      <c r="A693" s="105">
        <v>2075</v>
      </c>
      <c r="B693" s="41">
        <v>120000000</v>
      </c>
      <c r="C693" s="41">
        <v>5.4000000000000003E-3</v>
      </c>
      <c r="D693" s="41">
        <v>16</v>
      </c>
      <c r="E693" s="41">
        <v>30</v>
      </c>
      <c r="F693" s="41">
        <v>0</v>
      </c>
      <c r="G693" s="41" t="s">
        <v>505</v>
      </c>
      <c r="H693" s="41">
        <v>2</v>
      </c>
      <c r="I693" s="41">
        <v>1</v>
      </c>
      <c r="J693" s="108">
        <v>0</v>
      </c>
      <c r="K693" s="41">
        <v>0</v>
      </c>
      <c r="L693" s="41">
        <v>55</v>
      </c>
      <c r="M693" s="41">
        <v>-1</v>
      </c>
      <c r="N693" s="41">
        <v>4</v>
      </c>
      <c r="O693" s="111" t="s">
        <v>2780</v>
      </c>
      <c r="P693" s="109">
        <v>194341</v>
      </c>
      <c r="Q693" s="41"/>
      <c r="R693" s="111"/>
      <c r="S693" s="110"/>
      <c r="T693"/>
      <c r="U693"/>
      <c r="V693"/>
    </row>
    <row r="694" spans="1:22">
      <c r="A694" s="105">
        <v>2076</v>
      </c>
      <c r="B694" s="41">
        <v>120000000</v>
      </c>
      <c r="C694" s="41">
        <v>5.4000000000000003E-3</v>
      </c>
      <c r="D694" s="41">
        <v>22.627400000000002</v>
      </c>
      <c r="E694" s="41">
        <v>30</v>
      </c>
      <c r="F694" s="41">
        <v>0</v>
      </c>
      <c r="G694" s="41" t="s">
        <v>505</v>
      </c>
      <c r="H694" s="41">
        <v>2</v>
      </c>
      <c r="I694" s="41">
        <v>1</v>
      </c>
      <c r="J694" s="108">
        <v>0</v>
      </c>
      <c r="K694" s="41">
        <v>0</v>
      </c>
      <c r="L694" s="41">
        <v>55</v>
      </c>
      <c r="M694" s="41">
        <v>-1</v>
      </c>
      <c r="N694" s="41">
        <v>4</v>
      </c>
      <c r="O694" s="111" t="s">
        <v>2781</v>
      </c>
      <c r="P694" s="109">
        <v>194341</v>
      </c>
      <c r="Q694" s="41"/>
      <c r="R694" s="111"/>
      <c r="S694" s="110"/>
      <c r="V694"/>
    </row>
    <row r="695" spans="1:22">
      <c r="A695" s="105">
        <v>2077</v>
      </c>
      <c r="B695" s="41">
        <v>120000000</v>
      </c>
      <c r="C695" s="41">
        <v>5.4000000000000003E-3</v>
      </c>
      <c r="D695" s="41">
        <v>32</v>
      </c>
      <c r="E695" s="41">
        <v>30</v>
      </c>
      <c r="F695" s="41">
        <v>0</v>
      </c>
      <c r="G695" s="41" t="s">
        <v>505</v>
      </c>
      <c r="H695" s="41">
        <v>2</v>
      </c>
      <c r="I695" s="41">
        <v>1</v>
      </c>
      <c r="J695" s="108">
        <v>0</v>
      </c>
      <c r="K695" s="41">
        <v>0</v>
      </c>
      <c r="L695" s="41">
        <v>55</v>
      </c>
      <c r="M695" s="41">
        <v>-1</v>
      </c>
      <c r="N695" s="41">
        <v>4</v>
      </c>
      <c r="O695" s="111" t="s">
        <v>2782</v>
      </c>
      <c r="P695" s="109">
        <v>194341</v>
      </c>
      <c r="Q695" s="41"/>
      <c r="R695" s="111"/>
      <c r="S695" s="110"/>
      <c r="V695"/>
    </row>
    <row r="696" spans="1:22">
      <c r="A696" s="105">
        <v>2078</v>
      </c>
      <c r="B696" s="41">
        <v>120000000</v>
      </c>
      <c r="C696" s="41">
        <v>5.4000000000000003E-3</v>
      </c>
      <c r="D696" s="41">
        <v>45.254800000000003</v>
      </c>
      <c r="E696" s="41">
        <v>30</v>
      </c>
      <c r="F696" s="41">
        <v>0</v>
      </c>
      <c r="G696" s="41" t="s">
        <v>505</v>
      </c>
      <c r="H696" s="41">
        <v>2</v>
      </c>
      <c r="I696" s="41">
        <v>1</v>
      </c>
      <c r="J696" s="108">
        <v>0</v>
      </c>
      <c r="K696" s="41">
        <v>0</v>
      </c>
      <c r="L696" s="41">
        <v>55</v>
      </c>
      <c r="M696" s="41">
        <v>-1</v>
      </c>
      <c r="N696" s="41">
        <v>4</v>
      </c>
      <c r="O696" s="111" t="s">
        <v>2783</v>
      </c>
      <c r="P696" s="109">
        <v>194341</v>
      </c>
      <c r="Q696" s="41"/>
      <c r="R696" s="111"/>
      <c r="S696" s="110"/>
      <c r="V696"/>
    </row>
    <row r="697" spans="1:22">
      <c r="A697" s="105">
        <v>2079</v>
      </c>
      <c r="B697" s="41">
        <v>120000000</v>
      </c>
      <c r="C697" s="41">
        <v>5.8999999999999999E-3</v>
      </c>
      <c r="D697" s="41">
        <v>11.313700000000001</v>
      </c>
      <c r="E697" s="41">
        <v>30</v>
      </c>
      <c r="F697" s="41">
        <v>0</v>
      </c>
      <c r="G697" s="41" t="s">
        <v>505</v>
      </c>
      <c r="H697" s="41">
        <v>2</v>
      </c>
      <c r="I697" s="41">
        <v>1</v>
      </c>
      <c r="J697" s="108">
        <v>0</v>
      </c>
      <c r="K697" s="41">
        <v>0</v>
      </c>
      <c r="L697" s="41">
        <v>55</v>
      </c>
      <c r="M697" s="41">
        <v>-1</v>
      </c>
      <c r="N697" s="41">
        <v>4</v>
      </c>
      <c r="O697" s="111" t="s">
        <v>2784</v>
      </c>
      <c r="P697" s="109">
        <v>194341</v>
      </c>
      <c r="Q697" s="41"/>
      <c r="R697" s="111"/>
      <c r="S697" s="110"/>
      <c r="V697"/>
    </row>
    <row r="698" spans="1:22">
      <c r="A698" s="105">
        <v>2080</v>
      </c>
      <c r="B698" s="41">
        <v>120000000</v>
      </c>
      <c r="C698" s="41">
        <v>5.8999999999999999E-3</v>
      </c>
      <c r="D698" s="41">
        <v>16</v>
      </c>
      <c r="E698" s="41">
        <v>30</v>
      </c>
      <c r="F698" s="41">
        <v>0</v>
      </c>
      <c r="G698" s="41" t="s">
        <v>505</v>
      </c>
      <c r="H698" s="41">
        <v>2</v>
      </c>
      <c r="I698" s="41">
        <v>1</v>
      </c>
      <c r="J698" s="108">
        <v>0</v>
      </c>
      <c r="K698" s="41">
        <v>0</v>
      </c>
      <c r="L698" s="41">
        <v>55</v>
      </c>
      <c r="M698" s="41">
        <v>-1</v>
      </c>
      <c r="N698" s="41">
        <v>4</v>
      </c>
      <c r="O698" s="111" t="s">
        <v>2785</v>
      </c>
      <c r="P698" s="109">
        <v>194341</v>
      </c>
      <c r="Q698" s="41"/>
      <c r="R698" s="111"/>
      <c r="S698" s="110"/>
      <c r="V698"/>
    </row>
    <row r="699" spans="1:22">
      <c r="A699" s="105">
        <v>2081</v>
      </c>
      <c r="B699" s="41">
        <v>120000000</v>
      </c>
      <c r="C699" s="41">
        <v>5.8999999999999999E-3</v>
      </c>
      <c r="D699" s="41">
        <v>22.627400000000002</v>
      </c>
      <c r="E699" s="41">
        <v>30</v>
      </c>
      <c r="F699" s="41">
        <v>0</v>
      </c>
      <c r="G699" s="41" t="s">
        <v>505</v>
      </c>
      <c r="H699" s="41">
        <v>2</v>
      </c>
      <c r="I699" s="41">
        <v>1</v>
      </c>
      <c r="J699" s="108">
        <v>0</v>
      </c>
      <c r="K699" s="41">
        <v>0</v>
      </c>
      <c r="L699" s="41">
        <v>55</v>
      </c>
      <c r="M699" s="41">
        <v>-1</v>
      </c>
      <c r="N699" s="41">
        <v>4</v>
      </c>
      <c r="O699" s="111" t="s">
        <v>2786</v>
      </c>
      <c r="P699" s="109">
        <v>194410</v>
      </c>
      <c r="Q699" s="41"/>
      <c r="R699" s="111"/>
      <c r="S699" s="110" t="s">
        <v>2267</v>
      </c>
      <c r="V699"/>
    </row>
    <row r="700" spans="1:22">
      <c r="A700" s="105">
        <v>2082</v>
      </c>
      <c r="B700" s="41">
        <v>120000000</v>
      </c>
      <c r="C700" s="41">
        <v>5.8999999999999999E-3</v>
      </c>
      <c r="D700" s="41">
        <v>32</v>
      </c>
      <c r="E700" s="41">
        <v>30</v>
      </c>
      <c r="F700" s="41">
        <v>0</v>
      </c>
      <c r="G700" s="41" t="s">
        <v>505</v>
      </c>
      <c r="H700" s="41">
        <v>2</v>
      </c>
      <c r="I700" s="41">
        <v>1</v>
      </c>
      <c r="J700" s="108">
        <v>0</v>
      </c>
      <c r="K700" s="41">
        <v>0</v>
      </c>
      <c r="L700" s="41">
        <v>55</v>
      </c>
      <c r="M700" s="41">
        <v>-1</v>
      </c>
      <c r="N700" s="41">
        <v>4</v>
      </c>
      <c r="O700" s="111" t="s">
        <v>2787</v>
      </c>
      <c r="P700" s="109">
        <v>194410</v>
      </c>
      <c r="Q700" s="41"/>
      <c r="R700" s="111"/>
      <c r="S700" s="110"/>
      <c r="V700"/>
    </row>
    <row r="701" spans="1:22">
      <c r="A701" s="105">
        <v>2083</v>
      </c>
      <c r="B701" s="41">
        <v>120000000</v>
      </c>
      <c r="C701" s="41">
        <v>5.8999999999999999E-3</v>
      </c>
      <c r="D701" s="41">
        <v>45.254800000000003</v>
      </c>
      <c r="E701" s="41">
        <v>30</v>
      </c>
      <c r="F701" s="41">
        <v>0</v>
      </c>
      <c r="G701" s="41" t="s">
        <v>505</v>
      </c>
      <c r="H701" s="41">
        <v>2</v>
      </c>
      <c r="I701" s="41">
        <v>1</v>
      </c>
      <c r="J701" s="108">
        <v>0</v>
      </c>
      <c r="K701" s="41">
        <v>0</v>
      </c>
      <c r="L701" s="41">
        <v>55</v>
      </c>
      <c r="M701" s="41">
        <v>-1</v>
      </c>
      <c r="N701" s="41">
        <v>4</v>
      </c>
      <c r="O701" s="111" t="s">
        <v>2788</v>
      </c>
      <c r="P701" s="109">
        <v>194410</v>
      </c>
      <c r="Q701" s="41"/>
      <c r="R701" s="111"/>
      <c r="S701" s="110"/>
      <c r="V701"/>
    </row>
    <row r="702" spans="1:22">
      <c r="A702" s="105">
        <v>2084</v>
      </c>
      <c r="B702" s="41">
        <v>120000000</v>
      </c>
      <c r="C702" s="41">
        <v>6.4000000000000003E-3</v>
      </c>
      <c r="D702" s="41">
        <v>16</v>
      </c>
      <c r="E702" s="41">
        <v>30</v>
      </c>
      <c r="F702" s="41">
        <v>0</v>
      </c>
      <c r="G702" s="41" t="s">
        <v>505</v>
      </c>
      <c r="H702" s="41">
        <v>2</v>
      </c>
      <c r="I702" s="41">
        <v>1</v>
      </c>
      <c r="J702" s="108">
        <v>0</v>
      </c>
      <c r="K702" s="41">
        <v>0</v>
      </c>
      <c r="L702" s="41">
        <v>55</v>
      </c>
      <c r="M702" s="41">
        <v>-1</v>
      </c>
      <c r="N702" s="41">
        <v>4</v>
      </c>
      <c r="O702" s="111" t="s">
        <v>2789</v>
      </c>
      <c r="P702" s="109">
        <v>194352</v>
      </c>
      <c r="Q702" s="41"/>
      <c r="R702" s="111"/>
      <c r="S702" s="110" t="s">
        <v>2267</v>
      </c>
      <c r="V702"/>
    </row>
    <row r="703" spans="1:22">
      <c r="A703" s="105">
        <v>2085</v>
      </c>
      <c r="B703" s="41">
        <v>120000000</v>
      </c>
      <c r="C703" s="41">
        <v>6.4000000000000003E-3</v>
      </c>
      <c r="D703" s="41">
        <v>22.627400000000002</v>
      </c>
      <c r="E703" s="41">
        <v>30</v>
      </c>
      <c r="F703" s="41">
        <v>0</v>
      </c>
      <c r="G703" s="41" t="s">
        <v>505</v>
      </c>
      <c r="H703" s="41">
        <v>2</v>
      </c>
      <c r="I703" s="41">
        <v>1</v>
      </c>
      <c r="J703" s="108">
        <v>0</v>
      </c>
      <c r="K703" s="41">
        <v>0</v>
      </c>
      <c r="L703" s="41">
        <v>55</v>
      </c>
      <c r="M703" s="41">
        <v>-1</v>
      </c>
      <c r="N703" s="41">
        <v>4</v>
      </c>
      <c r="O703" s="111" t="s">
        <v>2790</v>
      </c>
      <c r="P703" s="109">
        <v>194352</v>
      </c>
      <c r="Q703" s="41"/>
      <c r="R703" s="111"/>
      <c r="S703" s="110"/>
      <c r="V703"/>
    </row>
    <row r="704" spans="1:22">
      <c r="A704" s="105">
        <v>2086</v>
      </c>
      <c r="B704" s="41">
        <v>120000000</v>
      </c>
      <c r="C704" s="41">
        <v>6.4000000000000003E-3</v>
      </c>
      <c r="D704" s="41">
        <v>32</v>
      </c>
      <c r="E704" s="41">
        <v>30</v>
      </c>
      <c r="F704" s="41">
        <v>0</v>
      </c>
      <c r="G704" s="41" t="s">
        <v>505</v>
      </c>
      <c r="H704" s="41">
        <v>2</v>
      </c>
      <c r="I704" s="41">
        <v>1</v>
      </c>
      <c r="J704" s="108">
        <v>0</v>
      </c>
      <c r="K704" s="41">
        <v>0</v>
      </c>
      <c r="L704" s="41">
        <v>55</v>
      </c>
      <c r="M704" s="41">
        <v>-1</v>
      </c>
      <c r="N704" s="41">
        <v>4</v>
      </c>
      <c r="O704" s="111" t="s">
        <v>2791</v>
      </c>
      <c r="P704" s="109">
        <v>194352</v>
      </c>
      <c r="Q704" s="41"/>
      <c r="R704" s="111"/>
      <c r="S704" s="110"/>
      <c r="V704"/>
    </row>
    <row r="705" spans="1:22">
      <c r="A705" s="105">
        <v>2087</v>
      </c>
      <c r="B705" s="41">
        <v>120000000</v>
      </c>
      <c r="C705" s="41">
        <v>6.4000000000000003E-3</v>
      </c>
      <c r="D705" s="41">
        <v>45.254800000000003</v>
      </c>
      <c r="E705" s="41">
        <v>30</v>
      </c>
      <c r="F705" s="41">
        <v>0</v>
      </c>
      <c r="G705" s="41" t="s">
        <v>505</v>
      </c>
      <c r="H705" s="41">
        <v>2</v>
      </c>
      <c r="I705" s="41">
        <v>1</v>
      </c>
      <c r="J705" s="108">
        <v>0</v>
      </c>
      <c r="K705" s="41">
        <v>0</v>
      </c>
      <c r="L705" s="41">
        <v>55</v>
      </c>
      <c r="M705" s="41">
        <v>-1</v>
      </c>
      <c r="N705" s="41">
        <v>4</v>
      </c>
      <c r="O705" s="111" t="s">
        <v>2792</v>
      </c>
      <c r="P705" s="109">
        <v>194352</v>
      </c>
      <c r="Q705" s="41"/>
      <c r="R705" s="111"/>
      <c r="S705" s="110"/>
      <c r="V705"/>
    </row>
    <row r="706" spans="1:22">
      <c r="A706" s="105">
        <v>2088</v>
      </c>
      <c r="B706" s="41">
        <v>120000000</v>
      </c>
      <c r="C706" s="41">
        <v>7.0000000000000001E-3</v>
      </c>
      <c r="D706" s="41">
        <v>16</v>
      </c>
      <c r="E706" s="41">
        <v>30</v>
      </c>
      <c r="F706" s="41">
        <v>0</v>
      </c>
      <c r="G706" s="41" t="s">
        <v>505</v>
      </c>
      <c r="H706" s="41">
        <v>2</v>
      </c>
      <c r="I706" s="41">
        <v>1</v>
      </c>
      <c r="J706" s="108">
        <v>0</v>
      </c>
      <c r="K706" s="41">
        <v>0</v>
      </c>
      <c r="L706" s="41">
        <v>55</v>
      </c>
      <c r="M706" s="41">
        <v>-1</v>
      </c>
      <c r="N706" s="41">
        <v>4</v>
      </c>
      <c r="O706" s="111" t="s">
        <v>2793</v>
      </c>
      <c r="P706" s="109">
        <v>194352</v>
      </c>
      <c r="Q706" s="41"/>
      <c r="R706" s="111"/>
      <c r="S706" s="110"/>
      <c r="V706"/>
    </row>
    <row r="707" spans="1:22">
      <c r="A707" s="105">
        <v>2089</v>
      </c>
      <c r="B707" s="41">
        <v>120000000</v>
      </c>
      <c r="C707" s="41">
        <v>7.0000000000000001E-3</v>
      </c>
      <c r="D707" s="41">
        <v>22.627400000000002</v>
      </c>
      <c r="E707" s="41">
        <v>30</v>
      </c>
      <c r="F707" s="41">
        <v>0</v>
      </c>
      <c r="G707" s="41" t="s">
        <v>505</v>
      </c>
      <c r="H707" s="41">
        <v>2</v>
      </c>
      <c r="I707" s="41">
        <v>1</v>
      </c>
      <c r="J707" s="108">
        <v>0</v>
      </c>
      <c r="K707" s="41">
        <v>0</v>
      </c>
      <c r="L707" s="41">
        <v>55</v>
      </c>
      <c r="M707" s="41">
        <v>-1</v>
      </c>
      <c r="N707" s="41">
        <v>4</v>
      </c>
      <c r="O707" s="111" t="s">
        <v>2794</v>
      </c>
      <c r="P707" s="109">
        <v>194352</v>
      </c>
      <c r="Q707" s="41"/>
      <c r="R707" s="111"/>
      <c r="S707" s="110"/>
      <c r="V707"/>
    </row>
    <row r="708" spans="1:22">
      <c r="A708" s="105">
        <v>2090</v>
      </c>
      <c r="B708" s="41">
        <v>120000000</v>
      </c>
      <c r="C708" s="41">
        <v>7.0000000000000001E-3</v>
      </c>
      <c r="D708" s="41">
        <v>32</v>
      </c>
      <c r="E708" s="41">
        <v>30</v>
      </c>
      <c r="F708" s="41">
        <v>0</v>
      </c>
      <c r="G708" s="41" t="s">
        <v>505</v>
      </c>
      <c r="H708" s="41">
        <v>2</v>
      </c>
      <c r="I708" s="41">
        <v>1</v>
      </c>
      <c r="J708" s="108">
        <v>0</v>
      </c>
      <c r="K708" s="41">
        <v>0</v>
      </c>
      <c r="L708" s="41">
        <v>55</v>
      </c>
      <c r="M708" s="41">
        <v>-1</v>
      </c>
      <c r="N708" s="41">
        <v>4</v>
      </c>
      <c r="O708" s="111" t="s">
        <v>2795</v>
      </c>
      <c r="P708" s="109">
        <v>194352</v>
      </c>
      <c r="Q708" s="41"/>
      <c r="R708" s="111"/>
      <c r="S708" s="110"/>
      <c r="V708"/>
    </row>
    <row r="709" spans="1:22">
      <c r="A709" s="105">
        <v>2091</v>
      </c>
      <c r="B709" s="41">
        <v>120000000</v>
      </c>
      <c r="C709" s="41">
        <v>7.0000000000000001E-3</v>
      </c>
      <c r="D709" s="41">
        <v>45.254800000000003</v>
      </c>
      <c r="E709" s="41">
        <v>30</v>
      </c>
      <c r="F709" s="41">
        <v>0</v>
      </c>
      <c r="G709" s="41" t="s">
        <v>505</v>
      </c>
      <c r="H709" s="41">
        <v>2</v>
      </c>
      <c r="I709" s="41">
        <v>1</v>
      </c>
      <c r="J709" s="108">
        <v>0</v>
      </c>
      <c r="K709" s="41">
        <v>0</v>
      </c>
      <c r="L709" s="41">
        <v>55</v>
      </c>
      <c r="M709" s="41">
        <v>-1</v>
      </c>
      <c r="N709" s="41">
        <v>4</v>
      </c>
      <c r="O709" s="111" t="s">
        <v>2796</v>
      </c>
      <c r="P709" s="109">
        <v>194352</v>
      </c>
      <c r="Q709" s="41"/>
      <c r="R709" s="111"/>
      <c r="S709" s="110"/>
      <c r="V709"/>
    </row>
    <row r="710" spans="1:22">
      <c r="A710" s="105">
        <v>2092</v>
      </c>
      <c r="B710" s="41">
        <v>120000000</v>
      </c>
      <c r="C710" s="41">
        <v>7.6E-3</v>
      </c>
      <c r="D710" s="41">
        <v>22.627400000000002</v>
      </c>
      <c r="E710" s="41">
        <v>30</v>
      </c>
      <c r="F710" s="41">
        <v>0</v>
      </c>
      <c r="G710" s="41" t="s">
        <v>505</v>
      </c>
      <c r="H710" s="41">
        <v>2</v>
      </c>
      <c r="I710" s="41">
        <v>1</v>
      </c>
      <c r="J710" s="108">
        <v>0</v>
      </c>
      <c r="K710" s="41">
        <v>0</v>
      </c>
      <c r="L710" s="41">
        <v>55</v>
      </c>
      <c r="M710" s="41">
        <v>-1</v>
      </c>
      <c r="N710" s="41">
        <v>4</v>
      </c>
      <c r="O710" s="111" t="s">
        <v>2797</v>
      </c>
      <c r="P710" s="109">
        <v>194352</v>
      </c>
      <c r="Q710" s="41"/>
      <c r="R710" s="111"/>
      <c r="S710" s="110"/>
      <c r="V710"/>
    </row>
    <row r="711" spans="1:22">
      <c r="A711" s="105">
        <v>2093</v>
      </c>
      <c r="B711" s="41">
        <v>120000000</v>
      </c>
      <c r="C711" s="41">
        <v>7.6E-3</v>
      </c>
      <c r="D711" s="41">
        <v>32</v>
      </c>
      <c r="E711" s="41">
        <v>30</v>
      </c>
      <c r="F711" s="41">
        <v>0</v>
      </c>
      <c r="G711" s="41" t="s">
        <v>505</v>
      </c>
      <c r="H711" s="41">
        <v>2</v>
      </c>
      <c r="I711" s="41">
        <v>1</v>
      </c>
      <c r="J711" s="108">
        <v>0</v>
      </c>
      <c r="K711" s="41">
        <v>0</v>
      </c>
      <c r="L711" s="41">
        <v>55</v>
      </c>
      <c r="M711" s="41">
        <v>-1</v>
      </c>
      <c r="N711" s="41">
        <v>4</v>
      </c>
      <c r="O711" s="111" t="s">
        <v>2798</v>
      </c>
      <c r="P711" s="109">
        <v>194352</v>
      </c>
      <c r="Q711" s="41"/>
      <c r="R711" s="111"/>
      <c r="S711" s="110"/>
      <c r="V711"/>
    </row>
    <row r="712" spans="1:22">
      <c r="A712" s="105">
        <v>2094</v>
      </c>
      <c r="B712" s="41">
        <v>120000000</v>
      </c>
      <c r="C712" s="41">
        <v>7.6E-3</v>
      </c>
      <c r="D712" s="41">
        <v>45.254800000000003</v>
      </c>
      <c r="E712" s="41">
        <v>30</v>
      </c>
      <c r="F712" s="41">
        <v>0</v>
      </c>
      <c r="G712" s="41" t="s">
        <v>505</v>
      </c>
      <c r="H712" s="41">
        <v>2</v>
      </c>
      <c r="I712" s="41">
        <v>1</v>
      </c>
      <c r="J712" s="108">
        <v>0</v>
      </c>
      <c r="K712" s="41">
        <v>0</v>
      </c>
      <c r="L712" s="41">
        <v>55</v>
      </c>
      <c r="M712" s="41">
        <v>-1</v>
      </c>
      <c r="N712" s="41">
        <v>4</v>
      </c>
      <c r="O712" s="111" t="s">
        <v>2799</v>
      </c>
      <c r="P712" s="109">
        <v>194352</v>
      </c>
      <c r="Q712" s="41"/>
      <c r="R712" s="111"/>
      <c r="S712" s="110"/>
      <c r="V712"/>
    </row>
    <row r="713" spans="1:22">
      <c r="A713" s="105">
        <v>2095</v>
      </c>
      <c r="B713" s="41">
        <v>120000000</v>
      </c>
      <c r="C713" s="41">
        <v>8.3000000000000001E-3</v>
      </c>
      <c r="D713" s="41">
        <v>22.627400000000002</v>
      </c>
      <c r="E713" s="41">
        <v>30</v>
      </c>
      <c r="F713" s="41">
        <v>0</v>
      </c>
      <c r="G713" s="41" t="s">
        <v>505</v>
      </c>
      <c r="H713" s="41">
        <v>2</v>
      </c>
      <c r="I713" s="41">
        <v>1</v>
      </c>
      <c r="J713" s="108">
        <v>0</v>
      </c>
      <c r="K713" s="41">
        <v>0</v>
      </c>
      <c r="L713" s="41">
        <v>55</v>
      </c>
      <c r="M713" s="41">
        <v>-1</v>
      </c>
      <c r="N713" s="41">
        <v>4</v>
      </c>
      <c r="O713" s="111" t="s">
        <v>2800</v>
      </c>
      <c r="P713" s="109">
        <v>194352</v>
      </c>
      <c r="Q713" s="41"/>
      <c r="R713" s="111"/>
      <c r="S713" s="110"/>
      <c r="V713"/>
    </row>
    <row r="714" spans="1:22">
      <c r="A714" s="105">
        <v>2096</v>
      </c>
      <c r="B714" s="41">
        <v>120000000</v>
      </c>
      <c r="C714" s="41">
        <v>8.3000000000000001E-3</v>
      </c>
      <c r="D714" s="41">
        <v>32</v>
      </c>
      <c r="E714" s="41">
        <v>30</v>
      </c>
      <c r="F714" s="41">
        <v>0</v>
      </c>
      <c r="G714" s="41" t="s">
        <v>505</v>
      </c>
      <c r="H714" s="41">
        <v>2</v>
      </c>
      <c r="I714" s="41">
        <v>1</v>
      </c>
      <c r="J714" s="108">
        <v>0</v>
      </c>
      <c r="K714" s="41">
        <v>0</v>
      </c>
      <c r="L714" s="41">
        <v>55</v>
      </c>
      <c r="M714" s="41">
        <v>-1</v>
      </c>
      <c r="N714" s="41">
        <v>4</v>
      </c>
      <c r="O714" s="111" t="s">
        <v>2801</v>
      </c>
      <c r="P714" s="109">
        <v>194352</v>
      </c>
      <c r="Q714" s="41"/>
      <c r="R714" s="111"/>
      <c r="S714" s="110"/>
      <c r="V714"/>
    </row>
    <row r="715" spans="1:22">
      <c r="A715" s="105">
        <v>2097</v>
      </c>
      <c r="B715" s="41">
        <v>120000000</v>
      </c>
      <c r="C715" s="41">
        <v>8.3000000000000001E-3</v>
      </c>
      <c r="D715" s="41">
        <v>45.254800000000003</v>
      </c>
      <c r="E715" s="41">
        <v>30</v>
      </c>
      <c r="F715" s="41">
        <v>0</v>
      </c>
      <c r="G715" s="41" t="s">
        <v>505</v>
      </c>
      <c r="H715" s="41">
        <v>2</v>
      </c>
      <c r="I715" s="41">
        <v>1</v>
      </c>
      <c r="J715" s="108">
        <v>0</v>
      </c>
      <c r="K715" s="41">
        <v>0</v>
      </c>
      <c r="L715" s="41">
        <v>55</v>
      </c>
      <c r="M715" s="41">
        <v>-1</v>
      </c>
      <c r="N715" s="41">
        <v>4</v>
      </c>
      <c r="O715" s="111" t="s">
        <v>2802</v>
      </c>
      <c r="P715" s="109">
        <v>194352</v>
      </c>
      <c r="Q715" s="41"/>
      <c r="R715" s="111"/>
      <c r="S715" s="110"/>
      <c r="V715"/>
    </row>
    <row r="716" spans="1:22">
      <c r="A716" s="105">
        <v>2098</v>
      </c>
      <c r="B716" s="41">
        <v>120000000</v>
      </c>
      <c r="C716" s="41">
        <v>9.1000000000000004E-3</v>
      </c>
      <c r="D716" s="41">
        <v>32</v>
      </c>
      <c r="E716" s="41">
        <v>30</v>
      </c>
      <c r="F716" s="41">
        <v>0</v>
      </c>
      <c r="G716" s="41" t="s">
        <v>505</v>
      </c>
      <c r="H716" s="41">
        <v>2</v>
      </c>
      <c r="I716" s="41">
        <v>1</v>
      </c>
      <c r="J716" s="108">
        <v>0</v>
      </c>
      <c r="K716" s="41">
        <v>0</v>
      </c>
      <c r="L716" s="41">
        <v>55</v>
      </c>
      <c r="M716" s="41">
        <v>-1</v>
      </c>
      <c r="N716" s="41">
        <v>4</v>
      </c>
      <c r="O716" s="111" t="s">
        <v>2803</v>
      </c>
      <c r="P716" s="109">
        <v>194352</v>
      </c>
      <c r="Q716" s="41"/>
      <c r="R716" s="111"/>
      <c r="S716" s="110"/>
      <c r="V716"/>
    </row>
    <row r="717" spans="1:22">
      <c r="A717" s="105">
        <v>2099</v>
      </c>
      <c r="B717" s="41">
        <v>120000000</v>
      </c>
      <c r="C717" s="41">
        <v>9.1000000000000004E-3</v>
      </c>
      <c r="D717" s="41">
        <v>45.254800000000003</v>
      </c>
      <c r="E717" s="41">
        <v>30</v>
      </c>
      <c r="F717" s="41">
        <v>0</v>
      </c>
      <c r="G717" s="41" t="s">
        <v>505</v>
      </c>
      <c r="H717" s="41">
        <v>2</v>
      </c>
      <c r="I717" s="41">
        <v>1</v>
      </c>
      <c r="J717" s="108">
        <v>0</v>
      </c>
      <c r="K717" s="41">
        <v>0</v>
      </c>
      <c r="L717" s="41">
        <v>55</v>
      </c>
      <c r="M717" s="41">
        <v>-1</v>
      </c>
      <c r="N717" s="41">
        <v>4</v>
      </c>
      <c r="O717" s="111" t="s">
        <v>2804</v>
      </c>
      <c r="P717" s="109">
        <v>194352</v>
      </c>
      <c r="Q717" s="41"/>
      <c r="R717" s="111"/>
      <c r="S717" s="110"/>
      <c r="V717"/>
    </row>
    <row r="718" spans="1:22">
      <c r="A718" s="105">
        <v>2100</v>
      </c>
      <c r="B718" s="41">
        <v>120000000</v>
      </c>
      <c r="C718" s="41">
        <v>9.9000000000000008E-3</v>
      </c>
      <c r="D718" s="41">
        <v>32</v>
      </c>
      <c r="E718" s="41">
        <v>30</v>
      </c>
      <c r="F718" s="41">
        <v>0</v>
      </c>
      <c r="G718" s="41" t="s">
        <v>505</v>
      </c>
      <c r="H718" s="41">
        <v>2</v>
      </c>
      <c r="I718" s="41">
        <v>1</v>
      </c>
      <c r="J718" s="108">
        <v>0</v>
      </c>
      <c r="K718" s="41">
        <v>0</v>
      </c>
      <c r="L718" s="41">
        <v>55</v>
      </c>
      <c r="M718" s="41">
        <v>-1</v>
      </c>
      <c r="N718" s="41">
        <v>4</v>
      </c>
      <c r="O718" s="111" t="s">
        <v>2805</v>
      </c>
      <c r="P718" s="109">
        <v>194352</v>
      </c>
      <c r="Q718" s="41"/>
      <c r="R718" s="111"/>
      <c r="S718" s="110"/>
      <c r="V718"/>
    </row>
    <row r="719" spans="1:22">
      <c r="A719" s="105">
        <v>2101</v>
      </c>
      <c r="B719" s="41">
        <v>120000000</v>
      </c>
      <c r="C719" s="41">
        <v>9.9000000000000008E-3</v>
      </c>
      <c r="D719" s="41">
        <v>45.254800000000003</v>
      </c>
      <c r="E719" s="41">
        <v>30</v>
      </c>
      <c r="F719" s="41">
        <v>0</v>
      </c>
      <c r="G719" s="41" t="s">
        <v>505</v>
      </c>
      <c r="H719" s="41">
        <v>2</v>
      </c>
      <c r="I719" s="41">
        <v>1</v>
      </c>
      <c r="J719" s="108">
        <v>0</v>
      </c>
      <c r="K719" s="41">
        <v>0</v>
      </c>
      <c r="L719" s="41">
        <v>55</v>
      </c>
      <c r="M719" s="41">
        <v>-1</v>
      </c>
      <c r="N719" s="41">
        <v>4</v>
      </c>
      <c r="O719" s="111" t="s">
        <v>2806</v>
      </c>
      <c r="P719" s="109">
        <v>194352</v>
      </c>
      <c r="Q719" s="41"/>
      <c r="R719" s="111"/>
      <c r="S719" s="110"/>
      <c r="V719"/>
    </row>
    <row r="720" spans="1:22">
      <c r="A720" s="105">
        <v>2102</v>
      </c>
      <c r="B720" s="41">
        <v>120000000</v>
      </c>
      <c r="C720" s="41">
        <v>1.0800000000000001E-2</v>
      </c>
      <c r="D720" s="41">
        <v>45.254800000000003</v>
      </c>
      <c r="E720" s="41">
        <v>30</v>
      </c>
      <c r="F720" s="41">
        <v>0</v>
      </c>
      <c r="G720" s="41" t="s">
        <v>505</v>
      </c>
      <c r="H720" s="41">
        <v>2</v>
      </c>
      <c r="I720" s="41">
        <v>1</v>
      </c>
      <c r="J720" s="108">
        <v>0</v>
      </c>
      <c r="K720" s="41">
        <v>0</v>
      </c>
      <c r="L720" s="41">
        <v>55</v>
      </c>
      <c r="M720" s="41">
        <v>-1</v>
      </c>
      <c r="N720" s="41">
        <v>4</v>
      </c>
      <c r="O720" s="111" t="s">
        <v>2807</v>
      </c>
      <c r="P720" s="109">
        <v>194352</v>
      </c>
      <c r="Q720" s="41"/>
      <c r="R720" s="111"/>
      <c r="S720" s="110"/>
      <c r="V720"/>
    </row>
    <row r="721" spans="1:22">
      <c r="A721" s="105">
        <v>2103</v>
      </c>
      <c r="B721" s="41">
        <v>120000000</v>
      </c>
      <c r="C721" s="41">
        <v>1.18E-2</v>
      </c>
      <c r="D721" s="41">
        <v>45.254800000000003</v>
      </c>
      <c r="E721" s="41">
        <v>30</v>
      </c>
      <c r="F721" s="41">
        <v>0</v>
      </c>
      <c r="G721" s="41" t="s">
        <v>505</v>
      </c>
      <c r="H721" s="41">
        <v>2</v>
      </c>
      <c r="I721" s="41">
        <v>1</v>
      </c>
      <c r="J721" s="108">
        <v>0</v>
      </c>
      <c r="K721" s="41">
        <v>0</v>
      </c>
      <c r="L721" s="41">
        <v>55</v>
      </c>
      <c r="M721" s="41">
        <v>-1</v>
      </c>
      <c r="N721" s="41">
        <v>4</v>
      </c>
      <c r="O721" s="111" t="s">
        <v>2808</v>
      </c>
      <c r="P721" s="109">
        <v>194352</v>
      </c>
      <c r="Q721" s="41"/>
      <c r="R721" s="111"/>
      <c r="S721" s="110"/>
      <c r="V721"/>
    </row>
    <row r="722" spans="1:22">
      <c r="A722" s="105">
        <v>2104</v>
      </c>
      <c r="B722" s="41">
        <v>316800000</v>
      </c>
      <c r="C722" s="41">
        <v>1.1999999999999999E-3</v>
      </c>
      <c r="D722" s="41">
        <v>5.6569000000000003</v>
      </c>
      <c r="E722" s="41">
        <v>30</v>
      </c>
      <c r="F722" s="41">
        <v>0</v>
      </c>
      <c r="G722" s="41" t="s">
        <v>103</v>
      </c>
      <c r="H722" s="41">
        <v>1</v>
      </c>
      <c r="I722" s="41">
        <v>1</v>
      </c>
      <c r="J722" s="108">
        <v>0</v>
      </c>
      <c r="K722" s="41">
        <v>0</v>
      </c>
      <c r="L722" s="41">
        <v>55</v>
      </c>
      <c r="M722" s="41">
        <v>-1</v>
      </c>
      <c r="N722" s="41">
        <v>4</v>
      </c>
      <c r="O722" s="111" t="s">
        <v>2810</v>
      </c>
      <c r="P722" s="109">
        <v>194425</v>
      </c>
      <c r="Q722" s="41"/>
      <c r="R722" s="111"/>
      <c r="S722" s="110" t="s">
        <v>2267</v>
      </c>
      <c r="V722"/>
    </row>
    <row r="723" spans="1:22">
      <c r="A723" s="105">
        <v>2105</v>
      </c>
      <c r="B723" s="41">
        <v>316800000</v>
      </c>
      <c r="C723" s="41">
        <v>1.1999999999999999E-3</v>
      </c>
      <c r="D723" s="41">
        <v>8</v>
      </c>
      <c r="E723" s="41">
        <v>30</v>
      </c>
      <c r="F723" s="41">
        <v>0</v>
      </c>
      <c r="G723" s="41" t="s">
        <v>103</v>
      </c>
      <c r="H723" s="41">
        <v>1</v>
      </c>
      <c r="I723" s="41">
        <v>1</v>
      </c>
      <c r="J723" s="108">
        <v>0</v>
      </c>
      <c r="K723" s="41">
        <v>0</v>
      </c>
      <c r="L723" s="41">
        <v>55</v>
      </c>
      <c r="M723" s="41">
        <v>-1</v>
      </c>
      <c r="N723" s="41">
        <v>4</v>
      </c>
      <c r="O723" s="111" t="s">
        <v>2811</v>
      </c>
      <c r="P723" s="109">
        <v>194425</v>
      </c>
      <c r="Q723" s="41"/>
      <c r="R723" s="111"/>
      <c r="S723" s="110"/>
      <c r="V723"/>
    </row>
    <row r="724" spans="1:22">
      <c r="A724" s="105">
        <v>2106</v>
      </c>
      <c r="B724" s="41">
        <v>316800000</v>
      </c>
      <c r="C724" s="41">
        <v>1.1999999999999999E-3</v>
      </c>
      <c r="D724" s="41">
        <v>11.313700000000001</v>
      </c>
      <c r="E724" s="41">
        <v>30</v>
      </c>
      <c r="F724" s="41">
        <v>0</v>
      </c>
      <c r="G724" s="41" t="s">
        <v>103</v>
      </c>
      <c r="H724" s="41">
        <v>1</v>
      </c>
      <c r="I724" s="41">
        <v>1</v>
      </c>
      <c r="J724" s="108">
        <v>0</v>
      </c>
      <c r="K724" s="41">
        <v>0</v>
      </c>
      <c r="L724" s="41">
        <v>55</v>
      </c>
      <c r="M724" s="41">
        <v>-1</v>
      </c>
      <c r="N724" s="41">
        <v>4</v>
      </c>
      <c r="O724" s="111" t="s">
        <v>2812</v>
      </c>
      <c r="P724" s="109">
        <v>194425</v>
      </c>
      <c r="Q724" s="41"/>
      <c r="R724" s="111"/>
      <c r="S724" s="110"/>
      <c r="V724"/>
    </row>
    <row r="725" spans="1:22">
      <c r="A725" s="105">
        <v>2107</v>
      </c>
      <c r="B725" s="41">
        <v>316800000</v>
      </c>
      <c r="C725" s="41">
        <v>1.2999999999999999E-3</v>
      </c>
      <c r="D725" s="41">
        <v>5.6569000000000003</v>
      </c>
      <c r="E725" s="41">
        <v>30</v>
      </c>
      <c r="F725" s="41">
        <v>0</v>
      </c>
      <c r="G725" s="41" t="s">
        <v>103</v>
      </c>
      <c r="H725" s="41">
        <v>1</v>
      </c>
      <c r="I725" s="41">
        <v>1</v>
      </c>
      <c r="J725" s="108">
        <v>0</v>
      </c>
      <c r="K725" s="41">
        <v>0</v>
      </c>
      <c r="L725" s="41">
        <v>55</v>
      </c>
      <c r="M725" s="41">
        <v>-1</v>
      </c>
      <c r="N725" s="41">
        <v>4</v>
      </c>
      <c r="O725" s="111" t="s">
        <v>2813</v>
      </c>
      <c r="P725" s="109">
        <v>194425</v>
      </c>
      <c r="Q725" s="41"/>
      <c r="R725" s="111"/>
      <c r="S725" s="110"/>
      <c r="V725"/>
    </row>
    <row r="726" spans="1:22">
      <c r="A726" s="105">
        <v>2108</v>
      </c>
      <c r="B726" s="41">
        <v>316800000</v>
      </c>
      <c r="C726" s="41">
        <v>1.2999999999999999E-3</v>
      </c>
      <c r="D726" s="41">
        <v>8</v>
      </c>
      <c r="E726" s="41">
        <v>30</v>
      </c>
      <c r="F726" s="41">
        <v>0</v>
      </c>
      <c r="G726" s="41" t="s">
        <v>103</v>
      </c>
      <c r="H726" s="41">
        <v>1</v>
      </c>
      <c r="I726" s="41">
        <v>1</v>
      </c>
      <c r="J726" s="108">
        <v>0</v>
      </c>
      <c r="K726" s="41">
        <v>0</v>
      </c>
      <c r="L726" s="41">
        <v>55</v>
      </c>
      <c r="M726" s="41">
        <v>-1</v>
      </c>
      <c r="N726" s="41">
        <v>4</v>
      </c>
      <c r="O726" s="111" t="s">
        <v>2814</v>
      </c>
      <c r="P726" s="109">
        <v>194425</v>
      </c>
      <c r="Q726" s="41"/>
      <c r="R726" s="111"/>
      <c r="S726" s="110"/>
      <c r="V726"/>
    </row>
    <row r="727" spans="1:22">
      <c r="A727" s="105">
        <v>2109</v>
      </c>
      <c r="B727" s="41">
        <v>316800000</v>
      </c>
      <c r="C727" s="41">
        <v>1.2999999999999999E-3</v>
      </c>
      <c r="D727" s="41">
        <v>11.313700000000001</v>
      </c>
      <c r="E727" s="41">
        <v>30</v>
      </c>
      <c r="F727" s="41">
        <v>0</v>
      </c>
      <c r="G727" s="41" t="s">
        <v>103</v>
      </c>
      <c r="H727" s="41">
        <v>1</v>
      </c>
      <c r="I727" s="41">
        <v>1</v>
      </c>
      <c r="J727" s="108">
        <v>0</v>
      </c>
      <c r="K727" s="41">
        <v>0</v>
      </c>
      <c r="L727" s="41">
        <v>55</v>
      </c>
      <c r="M727" s="41">
        <v>-1</v>
      </c>
      <c r="N727" s="41">
        <v>4</v>
      </c>
      <c r="O727" s="111" t="s">
        <v>2815</v>
      </c>
      <c r="P727" s="109">
        <v>194425</v>
      </c>
      <c r="Q727" s="41"/>
      <c r="R727" s="111"/>
      <c r="S727" s="110"/>
      <c r="V727"/>
    </row>
    <row r="728" spans="1:22">
      <c r="A728" s="105">
        <v>2110</v>
      </c>
      <c r="B728" s="41">
        <v>316800000</v>
      </c>
      <c r="C728" s="41">
        <v>1.2999999999999999E-3</v>
      </c>
      <c r="D728" s="41">
        <v>16</v>
      </c>
      <c r="E728" s="41">
        <v>30</v>
      </c>
      <c r="F728" s="41">
        <v>0</v>
      </c>
      <c r="G728" s="41" t="s">
        <v>103</v>
      </c>
      <c r="H728" s="41">
        <v>1</v>
      </c>
      <c r="I728" s="41">
        <v>1</v>
      </c>
      <c r="J728" s="108">
        <v>0</v>
      </c>
      <c r="K728" s="41">
        <v>0</v>
      </c>
      <c r="L728" s="41">
        <v>55</v>
      </c>
      <c r="M728" s="41">
        <v>-1</v>
      </c>
      <c r="N728" s="41">
        <v>4</v>
      </c>
      <c r="O728" s="111" t="s">
        <v>2816</v>
      </c>
      <c r="P728" s="109">
        <v>194425</v>
      </c>
      <c r="Q728" s="41"/>
      <c r="R728" s="111"/>
      <c r="S728" s="110"/>
      <c r="V728"/>
    </row>
    <row r="729" spans="1:22">
      <c r="A729" s="105">
        <v>2111</v>
      </c>
      <c r="B729" s="41">
        <v>316800000</v>
      </c>
      <c r="C729" s="41">
        <v>1.5E-3</v>
      </c>
      <c r="D729" s="41">
        <v>4</v>
      </c>
      <c r="E729" s="41">
        <v>30</v>
      </c>
      <c r="F729" s="41">
        <v>0</v>
      </c>
      <c r="G729" s="41" t="s">
        <v>103</v>
      </c>
      <c r="H729" s="41">
        <v>1</v>
      </c>
      <c r="I729" s="41">
        <v>1</v>
      </c>
      <c r="J729" s="108">
        <v>0</v>
      </c>
      <c r="K729" s="41">
        <v>0</v>
      </c>
      <c r="L729" s="41">
        <v>55</v>
      </c>
      <c r="M729" s="41">
        <v>-1</v>
      </c>
      <c r="N729" s="41">
        <v>4</v>
      </c>
      <c r="O729" s="111" t="s">
        <v>2817</v>
      </c>
      <c r="P729" s="109">
        <v>194425</v>
      </c>
      <c r="Q729" s="41"/>
      <c r="R729" s="111"/>
      <c r="S729" s="110"/>
      <c r="V729"/>
    </row>
    <row r="730" spans="1:22">
      <c r="A730" s="105">
        <v>2112</v>
      </c>
      <c r="B730" s="41">
        <v>316800000</v>
      </c>
      <c r="C730" s="41">
        <v>1.5E-3</v>
      </c>
      <c r="D730" s="41">
        <v>5.6569000000000003</v>
      </c>
      <c r="E730" s="41">
        <v>30</v>
      </c>
      <c r="F730" s="41">
        <v>0</v>
      </c>
      <c r="G730" s="41" t="s">
        <v>103</v>
      </c>
      <c r="H730" s="41">
        <v>1</v>
      </c>
      <c r="I730" s="41">
        <v>1</v>
      </c>
      <c r="J730" s="108">
        <v>0</v>
      </c>
      <c r="K730" s="41">
        <v>0</v>
      </c>
      <c r="L730" s="41">
        <v>55</v>
      </c>
      <c r="M730" s="41">
        <v>-1</v>
      </c>
      <c r="N730" s="41">
        <v>4</v>
      </c>
      <c r="O730" s="111" t="s">
        <v>2818</v>
      </c>
      <c r="P730" s="109">
        <v>194425</v>
      </c>
      <c r="Q730" s="41"/>
      <c r="R730" s="111"/>
      <c r="S730" s="110"/>
      <c r="V730"/>
    </row>
    <row r="731" spans="1:22">
      <c r="A731" s="105">
        <v>2113</v>
      </c>
      <c r="B731" s="41">
        <v>316800000</v>
      </c>
      <c r="C731" s="41">
        <v>1.5E-3</v>
      </c>
      <c r="D731" s="41">
        <v>8</v>
      </c>
      <c r="E731" s="41">
        <v>30</v>
      </c>
      <c r="F731" s="41">
        <v>0</v>
      </c>
      <c r="G731" s="41" t="s">
        <v>103</v>
      </c>
      <c r="H731" s="41">
        <v>1</v>
      </c>
      <c r="I731" s="41">
        <v>1</v>
      </c>
      <c r="J731" s="108">
        <v>0</v>
      </c>
      <c r="K731" s="41">
        <v>0</v>
      </c>
      <c r="L731" s="41">
        <v>55</v>
      </c>
      <c r="M731" s="41">
        <v>-1</v>
      </c>
      <c r="N731" s="41">
        <v>4</v>
      </c>
      <c r="O731" s="111" t="s">
        <v>2819</v>
      </c>
      <c r="P731" s="109">
        <v>194425</v>
      </c>
      <c r="Q731" s="41"/>
      <c r="R731" s="111"/>
      <c r="S731" s="110"/>
      <c r="V731"/>
    </row>
    <row r="732" spans="1:22">
      <c r="A732" s="105">
        <v>2114</v>
      </c>
      <c r="B732" s="41">
        <v>316800000</v>
      </c>
      <c r="C732" s="41">
        <v>1.5E-3</v>
      </c>
      <c r="D732" s="41">
        <v>11.313700000000001</v>
      </c>
      <c r="E732" s="41">
        <v>30</v>
      </c>
      <c r="F732" s="41">
        <v>0</v>
      </c>
      <c r="G732" s="41" t="s">
        <v>103</v>
      </c>
      <c r="H732" s="41">
        <v>1</v>
      </c>
      <c r="I732" s="41">
        <v>1</v>
      </c>
      <c r="J732" s="108">
        <v>0</v>
      </c>
      <c r="K732" s="41">
        <v>0</v>
      </c>
      <c r="L732" s="41">
        <v>55</v>
      </c>
      <c r="M732" s="41">
        <v>-1</v>
      </c>
      <c r="N732" s="41">
        <v>4</v>
      </c>
      <c r="O732" s="111" t="s">
        <v>2820</v>
      </c>
      <c r="P732" s="109">
        <v>194425</v>
      </c>
      <c r="Q732" s="41"/>
      <c r="R732" s="111"/>
      <c r="S732" s="110"/>
      <c r="V732"/>
    </row>
    <row r="733" spans="1:22">
      <c r="A733" s="105">
        <v>2115</v>
      </c>
      <c r="B733" s="41">
        <v>316800000</v>
      </c>
      <c r="C733" s="41">
        <v>1.5E-3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1</v>
      </c>
      <c r="I733" s="41">
        <v>1</v>
      </c>
      <c r="J733" s="108">
        <v>0</v>
      </c>
      <c r="K733" s="41">
        <v>0</v>
      </c>
      <c r="L733" s="41">
        <v>55</v>
      </c>
      <c r="M733" s="41">
        <v>-1</v>
      </c>
      <c r="N733" s="41">
        <v>4</v>
      </c>
      <c r="O733" s="111" t="s">
        <v>2821</v>
      </c>
      <c r="P733" s="109">
        <v>194425</v>
      </c>
      <c r="Q733" s="41"/>
      <c r="R733" s="111"/>
      <c r="S733" s="110"/>
      <c r="V733"/>
    </row>
    <row r="734" spans="1:22">
      <c r="A734" s="105">
        <v>2116</v>
      </c>
      <c r="B734" s="41">
        <v>316800000</v>
      </c>
      <c r="C734" s="41">
        <v>1.6000000000000001E-3</v>
      </c>
      <c r="D734" s="41">
        <v>4</v>
      </c>
      <c r="E734" s="41">
        <v>30</v>
      </c>
      <c r="F734" s="41">
        <v>0</v>
      </c>
      <c r="G734" s="41" t="s">
        <v>103</v>
      </c>
      <c r="H734" s="41">
        <v>1</v>
      </c>
      <c r="I734" s="41">
        <v>1</v>
      </c>
      <c r="J734" s="108">
        <v>0</v>
      </c>
      <c r="K734" s="41">
        <v>0</v>
      </c>
      <c r="L734" s="41">
        <v>55</v>
      </c>
      <c r="M734" s="41">
        <v>-1</v>
      </c>
      <c r="N734" s="41">
        <v>4</v>
      </c>
      <c r="O734" s="111" t="s">
        <v>2822</v>
      </c>
      <c r="P734" s="109">
        <v>194425</v>
      </c>
      <c r="Q734" s="41"/>
      <c r="R734" s="111"/>
      <c r="S734" s="110"/>
      <c r="V734"/>
    </row>
    <row r="735" spans="1:22">
      <c r="A735" s="105">
        <v>2117</v>
      </c>
      <c r="B735" s="41">
        <v>316800000</v>
      </c>
      <c r="C735" s="41">
        <v>1.6000000000000001E-3</v>
      </c>
      <c r="D735" s="41">
        <v>5.6569000000000003</v>
      </c>
      <c r="E735" s="41">
        <v>30</v>
      </c>
      <c r="F735" s="41">
        <v>0</v>
      </c>
      <c r="G735" s="41" t="s">
        <v>103</v>
      </c>
      <c r="H735" s="41">
        <v>1</v>
      </c>
      <c r="I735" s="41">
        <v>1</v>
      </c>
      <c r="J735" s="108">
        <v>0</v>
      </c>
      <c r="K735" s="41">
        <v>0</v>
      </c>
      <c r="L735" s="41">
        <v>55</v>
      </c>
      <c r="M735" s="41">
        <v>-1</v>
      </c>
      <c r="N735" s="41">
        <v>4</v>
      </c>
      <c r="O735" s="111" t="s">
        <v>2823</v>
      </c>
      <c r="P735" s="109">
        <v>194425</v>
      </c>
      <c r="Q735" s="41"/>
      <c r="R735" s="111"/>
      <c r="S735" s="110"/>
      <c r="V735"/>
    </row>
    <row r="736" spans="1:22">
      <c r="A736" s="105">
        <v>2118</v>
      </c>
      <c r="B736" s="41">
        <v>316800000</v>
      </c>
      <c r="C736" s="41">
        <v>1.6000000000000001E-3</v>
      </c>
      <c r="D736" s="41">
        <v>8</v>
      </c>
      <c r="E736" s="41">
        <v>30</v>
      </c>
      <c r="F736" s="41">
        <v>0</v>
      </c>
      <c r="G736" s="41" t="s">
        <v>103</v>
      </c>
      <c r="H736" s="41">
        <v>1</v>
      </c>
      <c r="I736" s="41">
        <v>1</v>
      </c>
      <c r="J736" s="108">
        <v>0</v>
      </c>
      <c r="K736" s="41">
        <v>0</v>
      </c>
      <c r="L736" s="41">
        <v>55</v>
      </c>
      <c r="M736" s="41">
        <v>-1</v>
      </c>
      <c r="N736" s="41">
        <v>4</v>
      </c>
      <c r="O736" s="108" t="s">
        <v>2824</v>
      </c>
      <c r="P736" s="109">
        <v>194425</v>
      </c>
      <c r="Q736" s="41"/>
      <c r="R736" s="111"/>
      <c r="S736" s="110"/>
      <c r="V736"/>
    </row>
    <row r="737" spans="1:22">
      <c r="A737" s="105">
        <v>2119</v>
      </c>
      <c r="B737" s="41">
        <v>316800000</v>
      </c>
      <c r="C737" s="41">
        <v>1.6000000000000001E-3</v>
      </c>
      <c r="D737" s="41">
        <v>11.313700000000001</v>
      </c>
      <c r="E737" s="41">
        <v>30</v>
      </c>
      <c r="F737" s="41">
        <v>0</v>
      </c>
      <c r="G737" s="41" t="s">
        <v>103</v>
      </c>
      <c r="H737" s="41">
        <v>1</v>
      </c>
      <c r="I737" s="41">
        <v>1</v>
      </c>
      <c r="J737" s="108">
        <v>0</v>
      </c>
      <c r="K737" s="41">
        <v>0</v>
      </c>
      <c r="L737" s="41">
        <v>55</v>
      </c>
      <c r="M737" s="41">
        <v>-1</v>
      </c>
      <c r="N737" s="41">
        <v>4</v>
      </c>
      <c r="O737" s="108" t="s">
        <v>2825</v>
      </c>
      <c r="P737" s="109">
        <v>194425</v>
      </c>
      <c r="Q737" s="41"/>
      <c r="R737" s="111"/>
      <c r="S737" s="110"/>
      <c r="V737"/>
    </row>
    <row r="738" spans="1:22">
      <c r="A738" s="105">
        <v>2120</v>
      </c>
      <c r="B738" s="41">
        <v>316800000</v>
      </c>
      <c r="C738" s="41">
        <v>1.6000000000000001E-3</v>
      </c>
      <c r="D738" s="41">
        <v>16</v>
      </c>
      <c r="E738" s="41">
        <v>30</v>
      </c>
      <c r="F738" s="41">
        <v>0</v>
      </c>
      <c r="G738" s="41" t="s">
        <v>103</v>
      </c>
      <c r="H738" s="41">
        <v>1</v>
      </c>
      <c r="I738" s="41">
        <v>1</v>
      </c>
      <c r="J738" s="108">
        <v>0</v>
      </c>
      <c r="K738" s="41">
        <v>0</v>
      </c>
      <c r="L738" s="41">
        <v>55</v>
      </c>
      <c r="M738" s="41">
        <v>-1</v>
      </c>
      <c r="N738" s="41">
        <v>4</v>
      </c>
      <c r="O738" s="108" t="s">
        <v>2826</v>
      </c>
      <c r="P738" s="109">
        <v>194425</v>
      </c>
      <c r="Q738" s="41"/>
      <c r="R738" s="111"/>
      <c r="S738" s="110"/>
      <c r="V738"/>
    </row>
    <row r="739" spans="1:22">
      <c r="A739" s="105">
        <v>2121</v>
      </c>
      <c r="B739" s="41">
        <v>316800000</v>
      </c>
      <c r="C739" s="41">
        <v>1.6000000000000001E-3</v>
      </c>
      <c r="D739" s="41">
        <v>22.627400000000002</v>
      </c>
      <c r="E739" s="41">
        <v>30</v>
      </c>
      <c r="F739" s="41">
        <v>0</v>
      </c>
      <c r="G739" s="41" t="s">
        <v>103</v>
      </c>
      <c r="H739" s="41">
        <v>1</v>
      </c>
      <c r="I739" s="41">
        <v>1</v>
      </c>
      <c r="J739" s="108">
        <v>0</v>
      </c>
      <c r="K739" s="41">
        <v>0</v>
      </c>
      <c r="L739" s="41">
        <v>55</v>
      </c>
      <c r="M739" s="41">
        <v>-1</v>
      </c>
      <c r="N739" s="41">
        <v>4</v>
      </c>
      <c r="O739" s="108" t="s">
        <v>2827</v>
      </c>
      <c r="P739" s="109">
        <v>194425</v>
      </c>
      <c r="Q739" s="41"/>
      <c r="R739" s="111"/>
      <c r="S739" s="110"/>
      <c r="V739"/>
    </row>
    <row r="740" spans="1:22">
      <c r="A740" s="105">
        <v>2122</v>
      </c>
      <c r="B740" s="41">
        <v>316800000</v>
      </c>
      <c r="C740" s="41">
        <v>1.6999999999999999E-3</v>
      </c>
      <c r="D740" s="41">
        <v>4</v>
      </c>
      <c r="E740" s="41">
        <v>30</v>
      </c>
      <c r="F740" s="41">
        <v>0</v>
      </c>
      <c r="G740" s="41" t="s">
        <v>103</v>
      </c>
      <c r="H740" s="41">
        <v>1</v>
      </c>
      <c r="I740" s="41">
        <v>1</v>
      </c>
      <c r="J740" s="108">
        <v>0</v>
      </c>
      <c r="K740" s="41">
        <v>0</v>
      </c>
      <c r="L740" s="41">
        <v>55</v>
      </c>
      <c r="M740" s="41">
        <v>-1</v>
      </c>
      <c r="N740" s="41">
        <v>4</v>
      </c>
      <c r="O740" s="108" t="s">
        <v>2828</v>
      </c>
      <c r="P740" s="109">
        <v>194425</v>
      </c>
      <c r="Q740" s="41"/>
      <c r="R740" s="111"/>
      <c r="S740" s="110"/>
      <c r="V740"/>
    </row>
    <row r="741" spans="1:22">
      <c r="A741" s="105">
        <v>2123</v>
      </c>
      <c r="B741" s="41">
        <v>316800000</v>
      </c>
      <c r="C741" s="41">
        <v>1.6999999999999999E-3</v>
      </c>
      <c r="D741" s="41">
        <v>5.6569000000000003</v>
      </c>
      <c r="E741" s="41">
        <v>30</v>
      </c>
      <c r="F741" s="41">
        <v>0</v>
      </c>
      <c r="G741" s="41" t="s">
        <v>103</v>
      </c>
      <c r="H741" s="41">
        <v>1</v>
      </c>
      <c r="I741" s="41">
        <v>1</v>
      </c>
      <c r="J741" s="108">
        <v>0</v>
      </c>
      <c r="K741" s="41">
        <v>0</v>
      </c>
      <c r="L741" s="41">
        <v>55</v>
      </c>
      <c r="M741" s="41">
        <v>-1</v>
      </c>
      <c r="N741" s="41">
        <v>4</v>
      </c>
      <c r="O741" s="108" t="s">
        <v>2829</v>
      </c>
      <c r="P741" s="109">
        <v>194425</v>
      </c>
      <c r="Q741" s="41"/>
      <c r="R741" s="111"/>
      <c r="S741" s="110"/>
      <c r="V741"/>
    </row>
    <row r="742" spans="1:22">
      <c r="A742" s="105">
        <v>2124</v>
      </c>
      <c r="B742" s="41">
        <v>316800000</v>
      </c>
      <c r="C742" s="41">
        <v>1.6999999999999999E-3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1</v>
      </c>
      <c r="I742" s="41">
        <v>1</v>
      </c>
      <c r="J742" s="108">
        <v>0</v>
      </c>
      <c r="K742" s="41">
        <v>0</v>
      </c>
      <c r="L742" s="41">
        <v>55</v>
      </c>
      <c r="M742" s="41">
        <v>-1</v>
      </c>
      <c r="N742" s="41">
        <v>4</v>
      </c>
      <c r="O742" s="108" t="s">
        <v>2830</v>
      </c>
      <c r="P742" s="109">
        <v>194425</v>
      </c>
      <c r="Q742" s="41"/>
      <c r="R742" s="111"/>
      <c r="S742" s="110"/>
      <c r="V742"/>
    </row>
    <row r="743" spans="1:22">
      <c r="A743" s="105">
        <v>2125</v>
      </c>
      <c r="B743" s="41">
        <v>316800000</v>
      </c>
      <c r="C743" s="41">
        <v>1.6999999999999999E-3</v>
      </c>
      <c r="D743" s="41">
        <v>11.313700000000001</v>
      </c>
      <c r="E743" s="41">
        <v>30</v>
      </c>
      <c r="F743" s="41">
        <v>0</v>
      </c>
      <c r="G743" s="41" t="s">
        <v>103</v>
      </c>
      <c r="H743" s="41">
        <v>1</v>
      </c>
      <c r="I743" s="41">
        <v>1</v>
      </c>
      <c r="J743" s="108">
        <v>0</v>
      </c>
      <c r="K743" s="41">
        <v>0</v>
      </c>
      <c r="L743" s="41">
        <v>55</v>
      </c>
      <c r="M743" s="41">
        <v>-1</v>
      </c>
      <c r="N743" s="41">
        <v>4</v>
      </c>
      <c r="O743" s="108" t="s">
        <v>2831</v>
      </c>
      <c r="P743" s="109">
        <v>194425</v>
      </c>
      <c r="Q743" s="41"/>
      <c r="R743" s="111"/>
      <c r="S743" s="110"/>
      <c r="V743"/>
    </row>
    <row r="744" spans="1:22">
      <c r="A744" s="105">
        <v>2126</v>
      </c>
      <c r="B744" s="41">
        <v>316800000</v>
      </c>
      <c r="C744" s="41">
        <v>1.6999999999999999E-3</v>
      </c>
      <c r="D744" s="41">
        <v>16</v>
      </c>
      <c r="E744" s="41">
        <v>30</v>
      </c>
      <c r="F744" s="41">
        <v>0</v>
      </c>
      <c r="G744" s="41" t="s">
        <v>103</v>
      </c>
      <c r="H744" s="41">
        <v>1</v>
      </c>
      <c r="I744" s="41">
        <v>1</v>
      </c>
      <c r="J744" s="108">
        <v>0</v>
      </c>
      <c r="K744" s="41">
        <v>0</v>
      </c>
      <c r="L744" s="41">
        <v>55</v>
      </c>
      <c r="M744" s="41">
        <v>-1</v>
      </c>
      <c r="N744" s="41">
        <v>4</v>
      </c>
      <c r="O744" s="108" t="s">
        <v>2832</v>
      </c>
      <c r="P744" s="109">
        <v>194425</v>
      </c>
      <c r="Q744" s="41"/>
      <c r="R744" s="111"/>
      <c r="S744" s="110"/>
      <c r="V744"/>
    </row>
    <row r="745" spans="1:22">
      <c r="A745" s="105">
        <v>2127</v>
      </c>
      <c r="B745" s="41">
        <v>316800000</v>
      </c>
      <c r="C745" s="41">
        <v>1.6999999999999999E-3</v>
      </c>
      <c r="D745" s="41">
        <v>22.627400000000002</v>
      </c>
      <c r="E745" s="41">
        <v>30</v>
      </c>
      <c r="F745" s="41">
        <v>0</v>
      </c>
      <c r="G745" s="41" t="s">
        <v>103</v>
      </c>
      <c r="H745" s="41">
        <v>1</v>
      </c>
      <c r="I745" s="41">
        <v>1</v>
      </c>
      <c r="J745" s="108">
        <v>0</v>
      </c>
      <c r="K745" s="41">
        <v>0</v>
      </c>
      <c r="L745" s="41">
        <v>55</v>
      </c>
      <c r="M745" s="41">
        <v>-1</v>
      </c>
      <c r="N745" s="41">
        <v>4</v>
      </c>
      <c r="O745" s="108" t="s">
        <v>2833</v>
      </c>
      <c r="P745" s="109">
        <v>194425</v>
      </c>
      <c r="Q745" s="41"/>
      <c r="R745" s="111"/>
      <c r="S745" s="110"/>
      <c r="V745"/>
    </row>
    <row r="746" spans="1:22">
      <c r="A746" s="105">
        <v>2128</v>
      </c>
      <c r="B746" s="41">
        <v>316800000</v>
      </c>
      <c r="C746" s="41">
        <v>1.9E-3</v>
      </c>
      <c r="D746" s="41">
        <v>4</v>
      </c>
      <c r="E746" s="41">
        <v>30</v>
      </c>
      <c r="F746" s="41">
        <v>0</v>
      </c>
      <c r="G746" s="41" t="s">
        <v>103</v>
      </c>
      <c r="H746" s="41">
        <v>1</v>
      </c>
      <c r="I746" s="41">
        <v>1</v>
      </c>
      <c r="J746" s="108">
        <v>0</v>
      </c>
      <c r="K746" s="41">
        <v>0</v>
      </c>
      <c r="L746" s="41">
        <v>55</v>
      </c>
      <c r="M746" s="41">
        <v>-1</v>
      </c>
      <c r="N746" s="41">
        <v>4</v>
      </c>
      <c r="O746" s="108" t="s">
        <v>2834</v>
      </c>
      <c r="P746" s="109">
        <v>194425</v>
      </c>
      <c r="Q746" s="41"/>
      <c r="R746" s="111"/>
      <c r="S746" s="110"/>
      <c r="V746"/>
    </row>
    <row r="747" spans="1:22">
      <c r="A747" s="105">
        <v>2129</v>
      </c>
      <c r="B747" s="41">
        <v>316800000</v>
      </c>
      <c r="C747" s="41">
        <v>1.9E-3</v>
      </c>
      <c r="D747" s="41">
        <v>5.6569000000000003</v>
      </c>
      <c r="E747" s="41">
        <v>30</v>
      </c>
      <c r="F747" s="41">
        <v>0</v>
      </c>
      <c r="G747" s="41" t="s">
        <v>103</v>
      </c>
      <c r="H747" s="41">
        <v>1</v>
      </c>
      <c r="I747" s="41">
        <v>1</v>
      </c>
      <c r="J747" s="108">
        <v>0</v>
      </c>
      <c r="K747" s="41">
        <v>0</v>
      </c>
      <c r="L747" s="41">
        <v>55</v>
      </c>
      <c r="M747" s="41">
        <v>-1</v>
      </c>
      <c r="N747" s="41">
        <v>4</v>
      </c>
      <c r="O747" s="108" t="s">
        <v>2835</v>
      </c>
      <c r="P747" s="109">
        <v>194425</v>
      </c>
      <c r="Q747" s="41"/>
      <c r="R747" s="111"/>
      <c r="S747" s="110"/>
      <c r="V747"/>
    </row>
    <row r="748" spans="1:22">
      <c r="A748" s="105">
        <v>2130</v>
      </c>
      <c r="B748" s="41">
        <v>316800000</v>
      </c>
      <c r="C748" s="41">
        <v>1.9E-3</v>
      </c>
      <c r="D748" s="41">
        <v>8</v>
      </c>
      <c r="E748" s="41">
        <v>30</v>
      </c>
      <c r="F748" s="41">
        <v>0</v>
      </c>
      <c r="G748" s="41" t="s">
        <v>103</v>
      </c>
      <c r="H748" s="41">
        <v>1</v>
      </c>
      <c r="I748" s="41">
        <v>1</v>
      </c>
      <c r="J748" s="108">
        <v>0</v>
      </c>
      <c r="K748" s="41">
        <v>0</v>
      </c>
      <c r="L748" s="41">
        <v>55</v>
      </c>
      <c r="M748" s="41">
        <v>-1</v>
      </c>
      <c r="N748" s="41">
        <v>4</v>
      </c>
      <c r="O748" s="108" t="s">
        <v>2836</v>
      </c>
      <c r="P748" s="109">
        <v>194425</v>
      </c>
      <c r="Q748" s="41"/>
      <c r="R748" s="111"/>
      <c r="S748" s="110"/>
      <c r="V748"/>
    </row>
    <row r="749" spans="1:22">
      <c r="A749" s="105">
        <v>2131</v>
      </c>
      <c r="B749" s="41">
        <v>316800000</v>
      </c>
      <c r="C749" s="41">
        <v>1.9E-3</v>
      </c>
      <c r="D749" s="41">
        <v>11.313700000000001</v>
      </c>
      <c r="E749" s="41">
        <v>30</v>
      </c>
      <c r="F749" s="41">
        <v>0</v>
      </c>
      <c r="G749" s="41" t="s">
        <v>103</v>
      </c>
      <c r="H749" s="41">
        <v>1</v>
      </c>
      <c r="I749" s="41">
        <v>1</v>
      </c>
      <c r="J749" s="108">
        <v>0</v>
      </c>
      <c r="K749" s="41">
        <v>0</v>
      </c>
      <c r="L749" s="41">
        <v>55</v>
      </c>
      <c r="M749" s="41">
        <v>-1</v>
      </c>
      <c r="N749" s="41">
        <v>4</v>
      </c>
      <c r="O749" s="108" t="s">
        <v>2837</v>
      </c>
      <c r="P749" s="109">
        <v>194425</v>
      </c>
      <c r="Q749" s="41"/>
      <c r="R749" s="111"/>
      <c r="S749" s="110"/>
      <c r="V749"/>
    </row>
    <row r="750" spans="1:22">
      <c r="A750" s="105">
        <v>2132</v>
      </c>
      <c r="B750" s="41">
        <v>316800000</v>
      </c>
      <c r="C750" s="41">
        <v>1.9E-3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1</v>
      </c>
      <c r="I750" s="41">
        <v>1</v>
      </c>
      <c r="J750" s="108">
        <v>0</v>
      </c>
      <c r="K750" s="41">
        <v>0</v>
      </c>
      <c r="L750" s="41">
        <v>55</v>
      </c>
      <c r="M750" s="41">
        <v>-1</v>
      </c>
      <c r="N750" s="41">
        <v>4</v>
      </c>
      <c r="O750" s="108" t="s">
        <v>2838</v>
      </c>
      <c r="P750" s="109">
        <v>194425</v>
      </c>
      <c r="Q750" s="41"/>
      <c r="R750" s="111"/>
      <c r="S750" s="110"/>
      <c r="V750"/>
    </row>
    <row r="751" spans="1:22">
      <c r="A751" s="105">
        <v>2133</v>
      </c>
      <c r="B751" s="41">
        <v>316800000</v>
      </c>
      <c r="C751" s="41">
        <v>1.9E-3</v>
      </c>
      <c r="D751" s="41">
        <v>22.627400000000002</v>
      </c>
      <c r="E751" s="41">
        <v>30</v>
      </c>
      <c r="F751" s="41">
        <v>0</v>
      </c>
      <c r="G751" s="41" t="s">
        <v>103</v>
      </c>
      <c r="H751" s="41">
        <v>1</v>
      </c>
      <c r="I751" s="41">
        <v>1</v>
      </c>
      <c r="J751" s="108">
        <v>0</v>
      </c>
      <c r="K751" s="41">
        <v>0</v>
      </c>
      <c r="L751" s="41">
        <v>55</v>
      </c>
      <c r="M751" s="41">
        <v>-1</v>
      </c>
      <c r="N751" s="41">
        <v>4</v>
      </c>
      <c r="O751" s="108" t="s">
        <v>2839</v>
      </c>
      <c r="P751" s="109">
        <v>194425</v>
      </c>
      <c r="Q751" s="41"/>
      <c r="R751" s="111"/>
      <c r="S751" s="110"/>
      <c r="V751"/>
    </row>
    <row r="752" spans="1:22">
      <c r="A752" s="105">
        <v>2134</v>
      </c>
      <c r="B752" s="41">
        <v>316800000</v>
      </c>
      <c r="C752" s="41">
        <v>2.0999999999999999E-3</v>
      </c>
      <c r="D752" s="41">
        <v>2.8283999999999998</v>
      </c>
      <c r="E752" s="41">
        <v>30</v>
      </c>
      <c r="F752" s="41">
        <v>0</v>
      </c>
      <c r="G752" s="41" t="s">
        <v>103</v>
      </c>
      <c r="H752" s="41">
        <v>1</v>
      </c>
      <c r="I752" s="41">
        <v>1</v>
      </c>
      <c r="J752" s="108">
        <v>0</v>
      </c>
      <c r="K752" s="41">
        <v>0</v>
      </c>
      <c r="L752" s="41">
        <v>55</v>
      </c>
      <c r="M752" s="41">
        <v>-1</v>
      </c>
      <c r="N752" s="41">
        <v>4</v>
      </c>
      <c r="O752" s="108" t="s">
        <v>2840</v>
      </c>
      <c r="P752" s="109">
        <v>194426</v>
      </c>
      <c r="Q752" s="41"/>
      <c r="R752" s="111"/>
      <c r="S752" s="110" t="s">
        <v>2267</v>
      </c>
      <c r="V752"/>
    </row>
    <row r="753" spans="1:22">
      <c r="A753" s="105">
        <v>2135</v>
      </c>
      <c r="B753" s="41">
        <v>316800000</v>
      </c>
      <c r="C753" s="41">
        <v>2.0999999999999999E-3</v>
      </c>
      <c r="D753" s="41">
        <v>4</v>
      </c>
      <c r="E753" s="41">
        <v>30</v>
      </c>
      <c r="F753" s="41">
        <v>0</v>
      </c>
      <c r="G753" s="41" t="s">
        <v>103</v>
      </c>
      <c r="H753" s="41">
        <v>1</v>
      </c>
      <c r="I753" s="41">
        <v>1</v>
      </c>
      <c r="J753" s="108">
        <v>0</v>
      </c>
      <c r="K753" s="41">
        <v>0</v>
      </c>
      <c r="L753" s="41">
        <v>55</v>
      </c>
      <c r="M753" s="41">
        <v>-1</v>
      </c>
      <c r="N753" s="41">
        <v>4</v>
      </c>
      <c r="O753" s="108" t="s">
        <v>2841</v>
      </c>
      <c r="P753" s="109">
        <v>194426</v>
      </c>
      <c r="Q753" s="41"/>
      <c r="R753" s="111"/>
      <c r="S753" s="110"/>
      <c r="V753"/>
    </row>
    <row r="754" spans="1:22">
      <c r="A754" s="105">
        <v>2136</v>
      </c>
      <c r="B754" s="41">
        <v>316800000</v>
      </c>
      <c r="C754" s="41">
        <v>2.0999999999999999E-3</v>
      </c>
      <c r="D754" s="41">
        <v>5.6569000000000003</v>
      </c>
      <c r="E754" s="41">
        <v>30</v>
      </c>
      <c r="F754" s="41">
        <v>0</v>
      </c>
      <c r="G754" s="41" t="s">
        <v>103</v>
      </c>
      <c r="H754" s="41">
        <v>1</v>
      </c>
      <c r="I754" s="41">
        <v>1</v>
      </c>
      <c r="J754" s="108">
        <v>0</v>
      </c>
      <c r="K754" s="41">
        <v>0</v>
      </c>
      <c r="L754" s="41">
        <v>55</v>
      </c>
      <c r="M754" s="41">
        <v>-1</v>
      </c>
      <c r="N754" s="41">
        <v>4</v>
      </c>
      <c r="O754" s="108" t="s">
        <v>2842</v>
      </c>
      <c r="P754" s="109">
        <v>194426</v>
      </c>
      <c r="Q754" s="41"/>
      <c r="R754" s="111"/>
      <c r="S754" s="110"/>
      <c r="V754"/>
    </row>
    <row r="755" spans="1:22">
      <c r="A755" s="105">
        <v>2137</v>
      </c>
      <c r="B755" s="41">
        <v>316800000</v>
      </c>
      <c r="C755" s="41">
        <v>2.0999999999999999E-3</v>
      </c>
      <c r="D755" s="41">
        <v>8</v>
      </c>
      <c r="E755" s="41">
        <v>30</v>
      </c>
      <c r="F755" s="41">
        <v>0</v>
      </c>
      <c r="G755" s="41" t="s">
        <v>103</v>
      </c>
      <c r="H755" s="41">
        <v>1</v>
      </c>
      <c r="I755" s="41">
        <v>1</v>
      </c>
      <c r="J755" s="108">
        <v>0</v>
      </c>
      <c r="K755" s="41">
        <v>0</v>
      </c>
      <c r="L755" s="41">
        <v>55</v>
      </c>
      <c r="M755" s="41">
        <v>-1</v>
      </c>
      <c r="N755" s="41">
        <v>4</v>
      </c>
      <c r="O755" s="108" t="s">
        <v>2843</v>
      </c>
      <c r="P755" s="109">
        <v>194426</v>
      </c>
      <c r="Q755" s="41"/>
      <c r="R755" s="111"/>
      <c r="S755" s="110"/>
      <c r="V755"/>
    </row>
    <row r="756" spans="1:22">
      <c r="A756" s="105">
        <v>2138</v>
      </c>
      <c r="B756" s="41">
        <v>316800000</v>
      </c>
      <c r="C756" s="41">
        <v>2.0999999999999999E-3</v>
      </c>
      <c r="D756" s="41">
        <v>11.313700000000001</v>
      </c>
      <c r="E756" s="41">
        <v>30</v>
      </c>
      <c r="F756" s="41">
        <v>0</v>
      </c>
      <c r="G756" s="41" t="s">
        <v>103</v>
      </c>
      <c r="H756" s="41">
        <v>1</v>
      </c>
      <c r="I756" s="41">
        <v>1</v>
      </c>
      <c r="J756" s="108">
        <v>0</v>
      </c>
      <c r="K756" s="41">
        <v>0</v>
      </c>
      <c r="L756" s="41">
        <v>55</v>
      </c>
      <c r="M756" s="41">
        <v>-1</v>
      </c>
      <c r="N756" s="41">
        <v>4</v>
      </c>
      <c r="O756" s="108" t="s">
        <v>2844</v>
      </c>
      <c r="P756" s="109">
        <v>194426</v>
      </c>
      <c r="Q756" s="41"/>
      <c r="R756" s="111"/>
      <c r="S756" s="110"/>
      <c r="V756"/>
    </row>
    <row r="757" spans="1:22">
      <c r="A757" s="105">
        <v>2139</v>
      </c>
      <c r="B757" s="41">
        <v>316800000</v>
      </c>
      <c r="C757" s="41">
        <v>2.0999999999999999E-3</v>
      </c>
      <c r="D757" s="41">
        <v>16</v>
      </c>
      <c r="E757" s="41">
        <v>30</v>
      </c>
      <c r="F757" s="41">
        <v>0</v>
      </c>
      <c r="G757" s="41" t="s">
        <v>103</v>
      </c>
      <c r="H757" s="41">
        <v>1</v>
      </c>
      <c r="I757" s="41">
        <v>1</v>
      </c>
      <c r="J757" s="108">
        <v>0</v>
      </c>
      <c r="K757" s="41">
        <v>0</v>
      </c>
      <c r="L757" s="41">
        <v>55</v>
      </c>
      <c r="M757" s="41">
        <v>-1</v>
      </c>
      <c r="N757" s="41">
        <v>4</v>
      </c>
      <c r="O757" s="108" t="s">
        <v>2845</v>
      </c>
      <c r="P757" s="109">
        <v>194426</v>
      </c>
      <c r="Q757" s="41"/>
      <c r="R757" s="111"/>
      <c r="S757" s="110"/>
      <c r="V757"/>
    </row>
    <row r="758" spans="1:22">
      <c r="A758" s="105">
        <v>2140</v>
      </c>
      <c r="B758" s="41">
        <v>316800000</v>
      </c>
      <c r="C758" s="41">
        <v>2.0999999999999999E-3</v>
      </c>
      <c r="D758" s="41">
        <v>22.627400000000002</v>
      </c>
      <c r="E758" s="41">
        <v>30</v>
      </c>
      <c r="F758" s="41">
        <v>0</v>
      </c>
      <c r="G758" s="41" t="s">
        <v>103</v>
      </c>
      <c r="H758" s="41">
        <v>1</v>
      </c>
      <c r="I758" s="41">
        <v>1</v>
      </c>
      <c r="J758" s="108">
        <v>0</v>
      </c>
      <c r="K758" s="41">
        <v>0</v>
      </c>
      <c r="L758" s="41">
        <v>55</v>
      </c>
      <c r="M758" s="41">
        <v>-1</v>
      </c>
      <c r="N758" s="41">
        <v>4</v>
      </c>
      <c r="O758" s="108" t="s">
        <v>2846</v>
      </c>
      <c r="P758" s="109">
        <v>194426</v>
      </c>
      <c r="Q758" s="41"/>
      <c r="R758" s="111"/>
      <c r="S758" s="110"/>
      <c r="V758"/>
    </row>
    <row r="759" spans="1:22">
      <c r="A759" s="105">
        <v>2141</v>
      </c>
      <c r="B759" s="41">
        <v>316800000</v>
      </c>
      <c r="C759" s="41">
        <v>2.3E-3</v>
      </c>
      <c r="D759" s="41">
        <v>2.8283999999999998</v>
      </c>
      <c r="E759" s="41">
        <v>30</v>
      </c>
      <c r="F759" s="41">
        <v>0</v>
      </c>
      <c r="G759" s="41" t="s">
        <v>103</v>
      </c>
      <c r="H759" s="41">
        <v>1</v>
      </c>
      <c r="I759" s="41">
        <v>1</v>
      </c>
      <c r="J759" s="108">
        <v>0</v>
      </c>
      <c r="K759" s="41">
        <v>0</v>
      </c>
      <c r="L759" s="41">
        <v>55</v>
      </c>
      <c r="M759" s="41">
        <v>-1</v>
      </c>
      <c r="N759" s="41">
        <v>4</v>
      </c>
      <c r="O759" s="108" t="s">
        <v>2847</v>
      </c>
      <c r="P759" s="109">
        <v>194426</v>
      </c>
      <c r="Q759" s="41"/>
      <c r="R759" s="111"/>
      <c r="S759" s="110"/>
      <c r="V759"/>
    </row>
    <row r="760" spans="1:22">
      <c r="A760" s="105">
        <v>2142</v>
      </c>
      <c r="B760" s="41">
        <v>316800000</v>
      </c>
      <c r="C760" s="41">
        <v>2.3E-3</v>
      </c>
      <c r="D760" s="41">
        <v>4</v>
      </c>
      <c r="E760" s="41">
        <v>30</v>
      </c>
      <c r="F760" s="41">
        <v>0</v>
      </c>
      <c r="G760" s="41" t="s">
        <v>103</v>
      </c>
      <c r="H760" s="41">
        <v>1</v>
      </c>
      <c r="I760" s="41">
        <v>1</v>
      </c>
      <c r="J760" s="108">
        <v>0</v>
      </c>
      <c r="K760" s="41">
        <v>0</v>
      </c>
      <c r="L760" s="41">
        <v>55</v>
      </c>
      <c r="M760" s="41">
        <v>-1</v>
      </c>
      <c r="N760" s="41">
        <v>4</v>
      </c>
      <c r="O760" s="108" t="s">
        <v>2848</v>
      </c>
      <c r="P760" s="109">
        <v>194426</v>
      </c>
      <c r="Q760" s="41"/>
      <c r="R760" s="111"/>
      <c r="S760" s="110"/>
      <c r="V760"/>
    </row>
    <row r="761" spans="1:22">
      <c r="A761" s="105">
        <v>2143</v>
      </c>
      <c r="B761" s="41">
        <v>316800000</v>
      </c>
      <c r="C761" s="41">
        <v>2.3E-3</v>
      </c>
      <c r="D761" s="41">
        <v>5.6569000000000003</v>
      </c>
      <c r="E761" s="41">
        <v>30</v>
      </c>
      <c r="F761" s="41">
        <v>0</v>
      </c>
      <c r="G761" s="41" t="s">
        <v>103</v>
      </c>
      <c r="H761" s="41">
        <v>1</v>
      </c>
      <c r="I761" s="41">
        <v>1</v>
      </c>
      <c r="J761" s="108">
        <v>0</v>
      </c>
      <c r="K761" s="41">
        <v>0</v>
      </c>
      <c r="L761" s="41">
        <v>55</v>
      </c>
      <c r="M761" s="41">
        <v>-1</v>
      </c>
      <c r="N761" s="41">
        <v>4</v>
      </c>
      <c r="O761" s="108" t="s">
        <v>2849</v>
      </c>
      <c r="P761" s="109">
        <v>194426</v>
      </c>
      <c r="Q761" s="41"/>
      <c r="R761" s="111"/>
      <c r="S761" s="110"/>
      <c r="V761"/>
    </row>
    <row r="762" spans="1:22">
      <c r="A762" s="105">
        <v>2144</v>
      </c>
      <c r="B762" s="41">
        <v>316800000</v>
      </c>
      <c r="C762" s="41">
        <v>2.3E-3</v>
      </c>
      <c r="D762" s="41">
        <v>8</v>
      </c>
      <c r="E762" s="41">
        <v>30</v>
      </c>
      <c r="F762" s="41">
        <v>0</v>
      </c>
      <c r="G762" s="41" t="s">
        <v>103</v>
      </c>
      <c r="H762" s="41">
        <v>1</v>
      </c>
      <c r="I762" s="41">
        <v>1</v>
      </c>
      <c r="J762" s="108">
        <v>0</v>
      </c>
      <c r="K762" s="41">
        <v>0</v>
      </c>
      <c r="L762" s="41">
        <v>55</v>
      </c>
      <c r="M762" s="41">
        <v>-1</v>
      </c>
      <c r="N762" s="41">
        <v>4</v>
      </c>
      <c r="O762" s="108" t="s">
        <v>2850</v>
      </c>
      <c r="P762" s="109">
        <v>194426</v>
      </c>
      <c r="Q762" s="41"/>
      <c r="R762" s="111"/>
      <c r="S762" s="110"/>
      <c r="V762"/>
    </row>
    <row r="763" spans="1:22">
      <c r="A763" s="105">
        <v>2145</v>
      </c>
      <c r="B763" s="41">
        <v>316800000</v>
      </c>
      <c r="C763" s="41">
        <v>2.3E-3</v>
      </c>
      <c r="D763" s="41">
        <v>11.313700000000001</v>
      </c>
      <c r="E763" s="41">
        <v>30</v>
      </c>
      <c r="F763" s="41">
        <v>0</v>
      </c>
      <c r="G763" s="41" t="s">
        <v>103</v>
      </c>
      <c r="H763" s="41">
        <v>1</v>
      </c>
      <c r="I763" s="41">
        <v>1</v>
      </c>
      <c r="J763" s="108">
        <v>0</v>
      </c>
      <c r="K763" s="41">
        <v>0</v>
      </c>
      <c r="L763" s="41">
        <v>55</v>
      </c>
      <c r="M763" s="41">
        <v>-1</v>
      </c>
      <c r="N763" s="41">
        <v>4</v>
      </c>
      <c r="O763" s="108" t="s">
        <v>2851</v>
      </c>
      <c r="P763" s="109">
        <v>194426</v>
      </c>
      <c r="Q763" s="41"/>
      <c r="R763" s="111"/>
      <c r="S763" s="110"/>
      <c r="V763"/>
    </row>
    <row r="764" spans="1:22">
      <c r="A764" s="105">
        <v>2146</v>
      </c>
      <c r="B764" s="41">
        <v>316800000</v>
      </c>
      <c r="C764" s="41">
        <v>2.3E-3</v>
      </c>
      <c r="D764" s="41">
        <v>16</v>
      </c>
      <c r="E764" s="41">
        <v>30</v>
      </c>
      <c r="F764" s="41">
        <v>0</v>
      </c>
      <c r="G764" s="41" t="s">
        <v>103</v>
      </c>
      <c r="H764" s="41">
        <v>1</v>
      </c>
      <c r="I764" s="41">
        <v>1</v>
      </c>
      <c r="J764" s="108">
        <v>0</v>
      </c>
      <c r="K764" s="41">
        <v>0</v>
      </c>
      <c r="L764" s="41">
        <v>55</v>
      </c>
      <c r="M764" s="41">
        <v>-1</v>
      </c>
      <c r="N764" s="41">
        <v>4</v>
      </c>
      <c r="O764" s="108" t="s">
        <v>2852</v>
      </c>
      <c r="P764" s="109">
        <v>194426</v>
      </c>
      <c r="Q764" s="41"/>
      <c r="R764" s="111"/>
      <c r="S764" s="110"/>
      <c r="V764"/>
    </row>
    <row r="765" spans="1:22">
      <c r="A765" s="105">
        <v>2147</v>
      </c>
      <c r="B765" s="41">
        <v>316800000</v>
      </c>
      <c r="C765" s="41">
        <v>2.3E-3</v>
      </c>
      <c r="D765" s="41">
        <v>22.627400000000002</v>
      </c>
      <c r="E765" s="41">
        <v>30</v>
      </c>
      <c r="F765" s="41">
        <v>0</v>
      </c>
      <c r="G765" s="41" t="s">
        <v>103</v>
      </c>
      <c r="H765" s="41">
        <v>1</v>
      </c>
      <c r="I765" s="41">
        <v>1</v>
      </c>
      <c r="J765" s="108">
        <v>0</v>
      </c>
      <c r="K765" s="41">
        <v>0</v>
      </c>
      <c r="L765" s="41">
        <v>55</v>
      </c>
      <c r="M765" s="41">
        <v>-1</v>
      </c>
      <c r="N765" s="41">
        <v>4</v>
      </c>
      <c r="O765" s="108" t="s">
        <v>2853</v>
      </c>
      <c r="P765" s="109">
        <v>194426</v>
      </c>
      <c r="Q765" s="41"/>
      <c r="R765" s="111"/>
      <c r="S765" s="110"/>
      <c r="V765"/>
    </row>
    <row r="766" spans="1:22">
      <c r="A766" s="105">
        <v>2148</v>
      </c>
      <c r="B766" s="41">
        <v>316800000</v>
      </c>
      <c r="C766" s="41">
        <v>2.5000000000000001E-3</v>
      </c>
      <c r="D766" s="41">
        <v>2</v>
      </c>
      <c r="E766" s="41">
        <v>30</v>
      </c>
      <c r="F766" s="41">
        <v>0</v>
      </c>
      <c r="G766" s="41" t="s">
        <v>103</v>
      </c>
      <c r="H766" s="41">
        <v>1</v>
      </c>
      <c r="I766" s="41">
        <v>1</v>
      </c>
      <c r="J766" s="108">
        <v>0</v>
      </c>
      <c r="K766" s="41">
        <v>0</v>
      </c>
      <c r="L766" s="41">
        <v>55</v>
      </c>
      <c r="M766" s="41">
        <v>-1</v>
      </c>
      <c r="N766" s="41">
        <v>4</v>
      </c>
      <c r="O766" s="108" t="s">
        <v>2854</v>
      </c>
      <c r="P766" s="109">
        <v>194426</v>
      </c>
      <c r="Q766" s="41"/>
      <c r="R766" s="111"/>
      <c r="S766" s="110"/>
      <c r="V766"/>
    </row>
    <row r="767" spans="1:22">
      <c r="A767" s="105">
        <v>2149</v>
      </c>
      <c r="B767" s="41">
        <v>316800000</v>
      </c>
      <c r="C767" s="41">
        <v>2.5000000000000001E-3</v>
      </c>
      <c r="D767" s="41">
        <v>2.8283999999999998</v>
      </c>
      <c r="E767" s="41">
        <v>30</v>
      </c>
      <c r="F767" s="41">
        <v>0</v>
      </c>
      <c r="G767" s="41" t="s">
        <v>103</v>
      </c>
      <c r="H767" s="41">
        <v>1</v>
      </c>
      <c r="I767" s="41">
        <v>1</v>
      </c>
      <c r="J767" s="108">
        <v>0</v>
      </c>
      <c r="K767" s="41">
        <v>0</v>
      </c>
      <c r="L767" s="41">
        <v>55</v>
      </c>
      <c r="M767" s="41">
        <v>-1</v>
      </c>
      <c r="N767" s="41">
        <v>4</v>
      </c>
      <c r="O767" s="108" t="s">
        <v>2855</v>
      </c>
      <c r="P767" s="109">
        <v>194426</v>
      </c>
      <c r="Q767" s="41"/>
      <c r="R767" s="111"/>
      <c r="S767" s="110"/>
      <c r="V767"/>
    </row>
    <row r="768" spans="1:22">
      <c r="A768" s="105">
        <v>2150</v>
      </c>
      <c r="B768" s="41">
        <v>316800000</v>
      </c>
      <c r="C768" s="41">
        <v>2.5000000000000001E-3</v>
      </c>
      <c r="D768" s="41">
        <v>4</v>
      </c>
      <c r="E768" s="41">
        <v>30</v>
      </c>
      <c r="F768" s="41">
        <v>0</v>
      </c>
      <c r="G768" s="41" t="s">
        <v>103</v>
      </c>
      <c r="H768" s="41">
        <v>1</v>
      </c>
      <c r="I768" s="41">
        <v>1</v>
      </c>
      <c r="J768" s="108">
        <v>0</v>
      </c>
      <c r="K768" s="41">
        <v>0</v>
      </c>
      <c r="L768" s="41">
        <v>55</v>
      </c>
      <c r="M768" s="41">
        <v>-1</v>
      </c>
      <c r="N768" s="41">
        <v>4</v>
      </c>
      <c r="O768" s="108" t="s">
        <v>2856</v>
      </c>
      <c r="P768" s="109">
        <v>194426</v>
      </c>
      <c r="Q768" s="41"/>
      <c r="R768" s="111"/>
      <c r="S768" s="110"/>
      <c r="V768"/>
    </row>
    <row r="769" spans="1:22">
      <c r="A769" s="105">
        <v>2151</v>
      </c>
      <c r="B769" s="41">
        <v>316800000</v>
      </c>
      <c r="C769" s="41">
        <v>2.5000000000000001E-3</v>
      </c>
      <c r="D769" s="41">
        <v>5.6569000000000003</v>
      </c>
      <c r="E769" s="41">
        <v>30</v>
      </c>
      <c r="F769" s="41">
        <v>0</v>
      </c>
      <c r="G769" s="41" t="s">
        <v>103</v>
      </c>
      <c r="H769" s="41">
        <v>1</v>
      </c>
      <c r="I769" s="41">
        <v>1</v>
      </c>
      <c r="J769" s="108">
        <v>0</v>
      </c>
      <c r="K769" s="41">
        <v>0</v>
      </c>
      <c r="L769" s="41">
        <v>55</v>
      </c>
      <c r="M769" s="41">
        <v>-1</v>
      </c>
      <c r="N769" s="41">
        <v>4</v>
      </c>
      <c r="O769" s="108" t="s">
        <v>2857</v>
      </c>
      <c r="P769" s="109">
        <v>194426</v>
      </c>
      <c r="Q769" s="41"/>
      <c r="R769" s="111"/>
      <c r="S769" s="110"/>
      <c r="V769"/>
    </row>
    <row r="770" spans="1:22">
      <c r="A770" s="105">
        <v>2152</v>
      </c>
      <c r="B770" s="41">
        <v>316800000</v>
      </c>
      <c r="C770" s="41">
        <v>2.5000000000000001E-3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1</v>
      </c>
      <c r="I770" s="41">
        <v>1</v>
      </c>
      <c r="J770" s="108">
        <v>0</v>
      </c>
      <c r="K770" s="41">
        <v>0</v>
      </c>
      <c r="L770" s="41">
        <v>55</v>
      </c>
      <c r="M770" s="41">
        <v>-1</v>
      </c>
      <c r="N770" s="41">
        <v>4</v>
      </c>
      <c r="O770" s="108" t="s">
        <v>2858</v>
      </c>
      <c r="P770" s="109">
        <v>194426</v>
      </c>
      <c r="Q770" s="41"/>
      <c r="R770" s="111"/>
      <c r="S770" s="110"/>
      <c r="V770"/>
    </row>
    <row r="771" spans="1:22">
      <c r="A771" s="105">
        <v>2153</v>
      </c>
      <c r="B771" s="41">
        <v>316800000</v>
      </c>
      <c r="C771" s="41">
        <v>2.5000000000000001E-3</v>
      </c>
      <c r="D771" s="41">
        <v>11.313700000000001</v>
      </c>
      <c r="E771" s="41">
        <v>30</v>
      </c>
      <c r="F771" s="41">
        <v>0</v>
      </c>
      <c r="G771" s="41" t="s">
        <v>103</v>
      </c>
      <c r="H771" s="41">
        <v>1</v>
      </c>
      <c r="I771" s="41">
        <v>1</v>
      </c>
      <c r="J771" s="108">
        <v>0</v>
      </c>
      <c r="K771" s="41">
        <v>0</v>
      </c>
      <c r="L771" s="41">
        <v>55</v>
      </c>
      <c r="M771" s="41">
        <v>-1</v>
      </c>
      <c r="N771" s="41">
        <v>4</v>
      </c>
      <c r="O771" s="108" t="s">
        <v>2859</v>
      </c>
      <c r="P771" s="109">
        <v>194426</v>
      </c>
      <c r="Q771" s="41"/>
      <c r="R771" s="111"/>
      <c r="S771" s="110"/>
      <c r="V771"/>
    </row>
    <row r="772" spans="1:22">
      <c r="A772" s="105">
        <v>2154</v>
      </c>
      <c r="B772" s="41">
        <v>316800000</v>
      </c>
      <c r="C772" s="41">
        <v>2.5000000000000001E-3</v>
      </c>
      <c r="D772" s="41">
        <v>16</v>
      </c>
      <c r="E772" s="41">
        <v>30</v>
      </c>
      <c r="F772" s="41">
        <v>0</v>
      </c>
      <c r="G772" s="41" t="s">
        <v>103</v>
      </c>
      <c r="H772" s="41">
        <v>1</v>
      </c>
      <c r="I772" s="41">
        <v>1</v>
      </c>
      <c r="J772" s="108">
        <v>0</v>
      </c>
      <c r="K772" s="41">
        <v>0</v>
      </c>
      <c r="L772" s="41">
        <v>55</v>
      </c>
      <c r="M772" s="41">
        <v>-1</v>
      </c>
      <c r="N772" s="41">
        <v>4</v>
      </c>
      <c r="O772" s="108" t="s">
        <v>2860</v>
      </c>
      <c r="P772" s="109">
        <v>194427</v>
      </c>
      <c r="Q772" s="41"/>
      <c r="R772" s="111"/>
      <c r="S772" s="110" t="s">
        <v>2267</v>
      </c>
    </row>
    <row r="773" spans="1:22">
      <c r="A773" s="105">
        <v>2155</v>
      </c>
      <c r="B773" s="41">
        <v>316800000</v>
      </c>
      <c r="C773" s="41">
        <v>2.7000000000000001E-3</v>
      </c>
      <c r="D773" s="41">
        <v>2.8283999999999998</v>
      </c>
      <c r="E773" s="41">
        <v>30</v>
      </c>
      <c r="F773" s="41">
        <v>0</v>
      </c>
      <c r="G773" s="41" t="s">
        <v>103</v>
      </c>
      <c r="H773" s="41">
        <v>1</v>
      </c>
      <c r="I773" s="41">
        <v>1</v>
      </c>
      <c r="J773" s="108">
        <v>0</v>
      </c>
      <c r="K773" s="41">
        <v>0</v>
      </c>
      <c r="L773" s="41">
        <v>55</v>
      </c>
      <c r="M773" s="41">
        <v>-1</v>
      </c>
      <c r="N773" s="41">
        <v>4</v>
      </c>
      <c r="O773" s="108" t="s">
        <v>2861</v>
      </c>
      <c r="P773" s="109">
        <v>194427</v>
      </c>
      <c r="Q773" s="41"/>
      <c r="R773" s="111"/>
      <c r="S773" s="110"/>
    </row>
    <row r="774" spans="1:22">
      <c r="A774" s="105">
        <v>2156</v>
      </c>
      <c r="B774" s="41">
        <v>316800000</v>
      </c>
      <c r="C774" s="41">
        <v>2.7000000000000001E-3</v>
      </c>
      <c r="D774" s="41">
        <v>4</v>
      </c>
      <c r="E774" s="41">
        <v>30</v>
      </c>
      <c r="F774" s="41">
        <v>0</v>
      </c>
      <c r="G774" s="41" t="s">
        <v>103</v>
      </c>
      <c r="H774" s="41">
        <v>1</v>
      </c>
      <c r="I774" s="41">
        <v>1</v>
      </c>
      <c r="J774" s="108">
        <v>0</v>
      </c>
      <c r="K774" s="41">
        <v>0</v>
      </c>
      <c r="L774" s="41">
        <v>55</v>
      </c>
      <c r="M774" s="41">
        <v>-1</v>
      </c>
      <c r="N774" s="41">
        <v>4</v>
      </c>
      <c r="O774" s="108" t="s">
        <v>2862</v>
      </c>
      <c r="P774" s="109">
        <v>194427</v>
      </c>
      <c r="Q774" s="41"/>
      <c r="R774" s="111"/>
      <c r="S774" s="110"/>
    </row>
    <row r="775" spans="1:22">
      <c r="A775" s="105">
        <v>2157</v>
      </c>
      <c r="B775" s="41">
        <v>316800000</v>
      </c>
      <c r="C775" s="41">
        <v>2.7000000000000001E-3</v>
      </c>
      <c r="D775" s="41">
        <v>5.6569000000000003</v>
      </c>
      <c r="E775" s="41">
        <v>30</v>
      </c>
      <c r="F775" s="41">
        <v>0</v>
      </c>
      <c r="G775" s="41" t="s">
        <v>103</v>
      </c>
      <c r="H775" s="41">
        <v>1</v>
      </c>
      <c r="I775" s="41">
        <v>1</v>
      </c>
      <c r="J775" s="108">
        <v>0</v>
      </c>
      <c r="K775" s="41">
        <v>0</v>
      </c>
      <c r="L775" s="41">
        <v>55</v>
      </c>
      <c r="M775" s="41">
        <v>-1</v>
      </c>
      <c r="N775" s="41">
        <v>4</v>
      </c>
      <c r="O775" s="108" t="s">
        <v>2863</v>
      </c>
      <c r="P775" s="109">
        <v>194427</v>
      </c>
      <c r="Q775" s="41"/>
      <c r="R775" s="111"/>
      <c r="S775" s="110"/>
    </row>
    <row r="776" spans="1:22">
      <c r="A776" s="105">
        <v>2158</v>
      </c>
      <c r="B776" s="41">
        <v>316800000</v>
      </c>
      <c r="C776" s="41">
        <v>2.7000000000000001E-3</v>
      </c>
      <c r="D776" s="41">
        <v>8</v>
      </c>
      <c r="E776" s="41">
        <v>30</v>
      </c>
      <c r="F776" s="41">
        <v>0</v>
      </c>
      <c r="G776" s="41" t="s">
        <v>103</v>
      </c>
      <c r="H776" s="41">
        <v>1</v>
      </c>
      <c r="I776" s="41">
        <v>1</v>
      </c>
      <c r="J776" s="108">
        <v>0</v>
      </c>
      <c r="K776" s="41">
        <v>0</v>
      </c>
      <c r="L776" s="41">
        <v>55</v>
      </c>
      <c r="M776" s="41">
        <v>-1</v>
      </c>
      <c r="N776" s="41">
        <v>4</v>
      </c>
      <c r="O776" s="108" t="s">
        <v>2864</v>
      </c>
      <c r="P776" s="109">
        <v>194427</v>
      </c>
      <c r="Q776" s="41"/>
      <c r="R776" s="111"/>
      <c r="S776" s="110"/>
    </row>
    <row r="777" spans="1:22">
      <c r="A777" s="105">
        <v>2159</v>
      </c>
      <c r="B777" s="41">
        <v>316800000</v>
      </c>
      <c r="C777" s="41">
        <v>2.7000000000000001E-3</v>
      </c>
      <c r="D777" s="41">
        <v>11.313700000000001</v>
      </c>
      <c r="E777" s="41">
        <v>30</v>
      </c>
      <c r="F777" s="41">
        <v>0</v>
      </c>
      <c r="G777" s="41" t="s">
        <v>103</v>
      </c>
      <c r="H777" s="41">
        <v>1</v>
      </c>
      <c r="I777" s="41">
        <v>1</v>
      </c>
      <c r="J777" s="108">
        <v>0</v>
      </c>
      <c r="K777" s="41">
        <v>0</v>
      </c>
      <c r="L777" s="41">
        <v>55</v>
      </c>
      <c r="M777" s="41">
        <v>-1</v>
      </c>
      <c r="N777" s="41">
        <v>4</v>
      </c>
      <c r="O777" s="108" t="s">
        <v>2865</v>
      </c>
      <c r="P777" s="109">
        <v>194427</v>
      </c>
      <c r="Q777" s="41"/>
      <c r="R777" s="111"/>
      <c r="S777" s="110"/>
    </row>
    <row r="778" spans="1:22">
      <c r="A778" s="105">
        <v>2160</v>
      </c>
      <c r="B778" s="41">
        <v>316800000</v>
      </c>
      <c r="C778" s="41">
        <v>2.7000000000000001E-3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1</v>
      </c>
      <c r="I778" s="41">
        <v>1</v>
      </c>
      <c r="J778" s="108">
        <v>0</v>
      </c>
      <c r="K778" s="41">
        <v>0</v>
      </c>
      <c r="L778" s="41">
        <v>55</v>
      </c>
      <c r="M778" s="41">
        <v>-1</v>
      </c>
      <c r="N778" s="41">
        <v>4</v>
      </c>
      <c r="O778" s="108" t="s">
        <v>2866</v>
      </c>
      <c r="P778" s="109">
        <v>194427</v>
      </c>
      <c r="Q778" s="41"/>
      <c r="R778" s="111"/>
      <c r="S778" s="110"/>
    </row>
    <row r="779" spans="1:22">
      <c r="A779" s="105">
        <v>2161</v>
      </c>
      <c r="B779" s="41">
        <v>316800000</v>
      </c>
      <c r="C779" s="41">
        <v>2.8999999999999998E-3</v>
      </c>
      <c r="D779" s="41">
        <v>2.8283999999999998</v>
      </c>
      <c r="E779" s="41">
        <v>30</v>
      </c>
      <c r="F779" s="41">
        <v>0</v>
      </c>
      <c r="G779" s="41" t="s">
        <v>103</v>
      </c>
      <c r="H779" s="41">
        <v>1</v>
      </c>
      <c r="I779" s="41">
        <v>1</v>
      </c>
      <c r="J779" s="108">
        <v>0</v>
      </c>
      <c r="K779" s="41">
        <v>0</v>
      </c>
      <c r="L779" s="41">
        <v>55</v>
      </c>
      <c r="M779" s="41">
        <v>-1</v>
      </c>
      <c r="N779" s="41">
        <v>4</v>
      </c>
      <c r="O779" s="108" t="s">
        <v>2867</v>
      </c>
      <c r="P779" s="109">
        <v>194427</v>
      </c>
      <c r="Q779" s="41"/>
      <c r="R779" s="111"/>
      <c r="S779" s="110"/>
    </row>
    <row r="780" spans="1:22">
      <c r="A780" s="105">
        <v>2162</v>
      </c>
      <c r="B780" s="41">
        <v>316800000</v>
      </c>
      <c r="C780" s="41">
        <v>2.8999999999999998E-3</v>
      </c>
      <c r="D780" s="41">
        <v>4</v>
      </c>
      <c r="E780" s="41">
        <v>30</v>
      </c>
      <c r="F780" s="41">
        <v>0</v>
      </c>
      <c r="G780" s="41" t="s">
        <v>103</v>
      </c>
      <c r="H780" s="41">
        <v>1</v>
      </c>
      <c r="I780" s="41">
        <v>1</v>
      </c>
      <c r="J780" s="108">
        <v>0</v>
      </c>
      <c r="K780" s="41">
        <v>0</v>
      </c>
      <c r="L780" s="41">
        <v>55</v>
      </c>
      <c r="M780" s="41">
        <v>-1</v>
      </c>
      <c r="N780" s="41">
        <v>4</v>
      </c>
      <c r="O780" s="108" t="s">
        <v>2868</v>
      </c>
      <c r="P780" s="109">
        <v>194427</v>
      </c>
      <c r="Q780" s="41"/>
      <c r="R780" s="111"/>
      <c r="S780" s="110"/>
    </row>
    <row r="781" spans="1:22">
      <c r="A781" s="105">
        <v>2163</v>
      </c>
      <c r="B781" s="41">
        <v>316800000</v>
      </c>
      <c r="C781" s="41">
        <v>2.8999999999999998E-3</v>
      </c>
      <c r="D781" s="41">
        <v>5.6569000000000003</v>
      </c>
      <c r="E781" s="41">
        <v>30</v>
      </c>
      <c r="F781" s="41">
        <v>0</v>
      </c>
      <c r="G781" s="41" t="s">
        <v>103</v>
      </c>
      <c r="H781" s="41">
        <v>1</v>
      </c>
      <c r="I781" s="41">
        <v>1</v>
      </c>
      <c r="J781" s="108">
        <v>0</v>
      </c>
      <c r="K781" s="41">
        <v>0</v>
      </c>
      <c r="L781" s="41">
        <v>55</v>
      </c>
      <c r="M781" s="41">
        <v>-1</v>
      </c>
      <c r="N781" s="41">
        <v>4</v>
      </c>
      <c r="O781" s="108" t="s">
        <v>2869</v>
      </c>
      <c r="P781" s="109">
        <v>194427</v>
      </c>
      <c r="Q781" s="41"/>
      <c r="R781" s="111"/>
      <c r="S781" s="110"/>
    </row>
    <row r="782" spans="1:22">
      <c r="A782" s="105">
        <v>2164</v>
      </c>
      <c r="B782" s="41">
        <v>316800000</v>
      </c>
      <c r="C782" s="41">
        <v>2.8999999999999998E-3</v>
      </c>
      <c r="D782" s="41">
        <v>8</v>
      </c>
      <c r="E782" s="41">
        <v>30</v>
      </c>
      <c r="F782" s="41">
        <v>0</v>
      </c>
      <c r="G782" s="41" t="s">
        <v>103</v>
      </c>
      <c r="H782" s="41">
        <v>1</v>
      </c>
      <c r="I782" s="41">
        <v>1</v>
      </c>
      <c r="J782" s="108">
        <v>0</v>
      </c>
      <c r="K782" s="41">
        <v>0</v>
      </c>
      <c r="L782" s="41">
        <v>55</v>
      </c>
      <c r="M782" s="41">
        <v>-1</v>
      </c>
      <c r="N782" s="41">
        <v>4</v>
      </c>
      <c r="O782" s="108" t="s">
        <v>2870</v>
      </c>
      <c r="P782" s="109">
        <v>194427</v>
      </c>
      <c r="Q782" s="41"/>
      <c r="R782" s="111"/>
      <c r="S782" s="110"/>
    </row>
    <row r="783" spans="1:22">
      <c r="A783" s="105">
        <v>2165</v>
      </c>
      <c r="B783" s="41">
        <v>316800000</v>
      </c>
      <c r="C783" s="41">
        <v>2.8999999999999998E-3</v>
      </c>
      <c r="D783" s="41">
        <v>11.313700000000001</v>
      </c>
      <c r="E783" s="41">
        <v>30</v>
      </c>
      <c r="F783" s="41">
        <v>0</v>
      </c>
      <c r="G783" s="41" t="s">
        <v>103</v>
      </c>
      <c r="H783" s="41">
        <v>1</v>
      </c>
      <c r="I783" s="41">
        <v>1</v>
      </c>
      <c r="J783" s="108">
        <v>0</v>
      </c>
      <c r="K783" s="41">
        <v>0</v>
      </c>
      <c r="L783" s="41">
        <v>55</v>
      </c>
      <c r="M783" s="41">
        <v>-1</v>
      </c>
      <c r="N783" s="41">
        <v>4</v>
      </c>
      <c r="O783" s="108" t="s">
        <v>2871</v>
      </c>
      <c r="P783" s="109">
        <v>194427</v>
      </c>
      <c r="Q783" s="41"/>
      <c r="R783" s="111"/>
      <c r="S783" s="110"/>
    </row>
    <row r="784" spans="1:22">
      <c r="A784" s="105">
        <v>2166</v>
      </c>
      <c r="B784" s="41">
        <v>316800000</v>
      </c>
      <c r="C784" s="41">
        <v>2.8999999999999998E-3</v>
      </c>
      <c r="D784" s="41">
        <v>16</v>
      </c>
      <c r="E784" s="41">
        <v>30</v>
      </c>
      <c r="F784" s="41">
        <v>0</v>
      </c>
      <c r="G784" s="41" t="s">
        <v>103</v>
      </c>
      <c r="H784" s="41">
        <v>1</v>
      </c>
      <c r="I784" s="41">
        <v>1</v>
      </c>
      <c r="J784" s="108">
        <v>0</v>
      </c>
      <c r="K784" s="41">
        <v>0</v>
      </c>
      <c r="L784" s="41">
        <v>55</v>
      </c>
      <c r="M784" s="41">
        <v>-1</v>
      </c>
      <c r="N784" s="41">
        <v>4</v>
      </c>
      <c r="O784" s="108" t="s">
        <v>2872</v>
      </c>
      <c r="P784" s="109">
        <v>194427</v>
      </c>
      <c r="Q784" s="41"/>
      <c r="R784" s="111"/>
      <c r="S784" s="110"/>
    </row>
    <row r="785" spans="1:19">
      <c r="A785" s="105">
        <v>2167</v>
      </c>
      <c r="B785" s="41">
        <v>316800000</v>
      </c>
      <c r="C785" s="41">
        <v>3.2000000000000002E-3</v>
      </c>
      <c r="D785" s="41">
        <v>4</v>
      </c>
      <c r="E785" s="41">
        <v>30</v>
      </c>
      <c r="F785" s="41">
        <v>0</v>
      </c>
      <c r="G785" s="41" t="s">
        <v>103</v>
      </c>
      <c r="H785" s="41">
        <v>1</v>
      </c>
      <c r="I785" s="41">
        <v>1</v>
      </c>
      <c r="J785" s="108">
        <v>0</v>
      </c>
      <c r="K785" s="41">
        <v>0</v>
      </c>
      <c r="L785" s="41">
        <v>55</v>
      </c>
      <c r="M785" s="41">
        <v>-1</v>
      </c>
      <c r="N785" s="41">
        <v>4</v>
      </c>
      <c r="O785" s="108" t="s">
        <v>2873</v>
      </c>
      <c r="P785" s="109">
        <v>194427</v>
      </c>
      <c r="Q785" s="41"/>
      <c r="R785" s="111"/>
      <c r="S785" s="110"/>
    </row>
    <row r="786" spans="1:19">
      <c r="A786" s="105">
        <v>2168</v>
      </c>
      <c r="B786" s="41">
        <v>316800000</v>
      </c>
      <c r="C786" s="41">
        <v>3.2000000000000002E-3</v>
      </c>
      <c r="D786" s="41">
        <v>5.6569000000000003</v>
      </c>
      <c r="E786" s="41">
        <v>30</v>
      </c>
      <c r="F786" s="41">
        <v>0</v>
      </c>
      <c r="G786" s="41" t="s">
        <v>103</v>
      </c>
      <c r="H786" s="41">
        <v>1</v>
      </c>
      <c r="I786" s="41">
        <v>1</v>
      </c>
      <c r="J786" s="108">
        <v>0</v>
      </c>
      <c r="K786" s="41">
        <v>0</v>
      </c>
      <c r="L786" s="41">
        <v>55</v>
      </c>
      <c r="M786" s="41">
        <v>-1</v>
      </c>
      <c r="N786" s="41">
        <v>4</v>
      </c>
      <c r="O786" s="108" t="s">
        <v>2874</v>
      </c>
      <c r="P786" s="109">
        <v>194427</v>
      </c>
      <c r="Q786" s="41"/>
      <c r="R786" s="111"/>
      <c r="S786" s="110"/>
    </row>
    <row r="787" spans="1:19">
      <c r="A787" s="105">
        <v>2169</v>
      </c>
      <c r="B787" s="41">
        <v>316800000</v>
      </c>
      <c r="C787" s="41">
        <v>3.2000000000000002E-3</v>
      </c>
      <c r="D787" s="41">
        <v>8</v>
      </c>
      <c r="E787" s="41">
        <v>30</v>
      </c>
      <c r="F787" s="41">
        <v>0</v>
      </c>
      <c r="G787" s="41" t="s">
        <v>103</v>
      </c>
      <c r="H787" s="41">
        <v>1</v>
      </c>
      <c r="I787" s="41">
        <v>1</v>
      </c>
      <c r="J787" s="108">
        <v>0</v>
      </c>
      <c r="K787" s="41">
        <v>0</v>
      </c>
      <c r="L787" s="41">
        <v>55</v>
      </c>
      <c r="M787" s="41">
        <v>-1</v>
      </c>
      <c r="N787" s="41">
        <v>4</v>
      </c>
      <c r="O787" s="108" t="s">
        <v>2875</v>
      </c>
      <c r="P787" s="109">
        <v>194427</v>
      </c>
      <c r="Q787" s="41"/>
      <c r="R787" s="111"/>
      <c r="S787" s="110"/>
    </row>
    <row r="788" spans="1:19">
      <c r="A788" s="105">
        <v>2170</v>
      </c>
      <c r="B788" s="41">
        <v>316800000</v>
      </c>
      <c r="C788" s="41">
        <v>3.2000000000000002E-3</v>
      </c>
      <c r="D788" s="41">
        <v>11.313700000000001</v>
      </c>
      <c r="E788" s="41">
        <v>30</v>
      </c>
      <c r="F788" s="41">
        <v>0</v>
      </c>
      <c r="G788" s="41" t="s">
        <v>103</v>
      </c>
      <c r="H788" s="41">
        <v>1</v>
      </c>
      <c r="I788" s="41">
        <v>1</v>
      </c>
      <c r="J788" s="108">
        <v>0</v>
      </c>
      <c r="K788" s="41">
        <v>0</v>
      </c>
      <c r="L788" s="41">
        <v>55</v>
      </c>
      <c r="M788" s="41">
        <v>-1</v>
      </c>
      <c r="N788" s="41">
        <v>4</v>
      </c>
      <c r="O788" s="108" t="s">
        <v>2876</v>
      </c>
      <c r="P788" s="109">
        <v>194427</v>
      </c>
      <c r="Q788" s="41"/>
      <c r="R788" s="111"/>
      <c r="S788" s="110"/>
    </row>
    <row r="789" spans="1:19">
      <c r="A789" s="105">
        <v>2171</v>
      </c>
      <c r="B789" s="41">
        <v>316800000</v>
      </c>
      <c r="C789" s="41">
        <v>3.2000000000000002E-3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1</v>
      </c>
      <c r="I789" s="41">
        <v>1</v>
      </c>
      <c r="J789" s="108">
        <v>0</v>
      </c>
      <c r="K789" s="41">
        <v>0</v>
      </c>
      <c r="L789" s="41">
        <v>55</v>
      </c>
      <c r="M789" s="41">
        <v>-1</v>
      </c>
      <c r="N789" s="41">
        <v>4</v>
      </c>
      <c r="O789" s="108" t="s">
        <v>2877</v>
      </c>
      <c r="P789" s="109">
        <v>194427</v>
      </c>
      <c r="Q789" s="41"/>
      <c r="R789" s="111"/>
      <c r="S789" s="110"/>
    </row>
    <row r="790" spans="1:19">
      <c r="A790" s="105">
        <v>2172</v>
      </c>
      <c r="B790" s="41">
        <v>316800000</v>
      </c>
      <c r="C790" s="41">
        <v>3.5000000000000001E-3</v>
      </c>
      <c r="D790" s="41">
        <v>4</v>
      </c>
      <c r="E790" s="41">
        <v>30</v>
      </c>
      <c r="F790" s="41">
        <v>0</v>
      </c>
      <c r="G790" s="41" t="s">
        <v>103</v>
      </c>
      <c r="H790" s="41">
        <v>1</v>
      </c>
      <c r="I790" s="41">
        <v>1</v>
      </c>
      <c r="J790" s="108">
        <v>0</v>
      </c>
      <c r="K790" s="41">
        <v>0</v>
      </c>
      <c r="L790" s="41">
        <v>55</v>
      </c>
      <c r="M790" s="41">
        <v>-1</v>
      </c>
      <c r="N790" s="41">
        <v>4</v>
      </c>
      <c r="O790" s="108" t="s">
        <v>2878</v>
      </c>
      <c r="P790" s="109">
        <v>194427</v>
      </c>
      <c r="Q790" s="41"/>
      <c r="R790" s="111"/>
      <c r="S790" s="110"/>
    </row>
    <row r="791" spans="1:19">
      <c r="A791" s="105">
        <v>2173</v>
      </c>
      <c r="B791" s="41">
        <v>316800000</v>
      </c>
      <c r="C791" s="41">
        <v>3.5000000000000001E-3</v>
      </c>
      <c r="D791" s="41">
        <v>5.6569000000000003</v>
      </c>
      <c r="E791" s="41">
        <v>30</v>
      </c>
      <c r="F791" s="41">
        <v>0</v>
      </c>
      <c r="G791" s="41" t="s">
        <v>103</v>
      </c>
      <c r="H791" s="41">
        <v>1</v>
      </c>
      <c r="I791" s="41">
        <v>1</v>
      </c>
      <c r="J791" s="108">
        <v>0</v>
      </c>
      <c r="K791" s="41">
        <v>0</v>
      </c>
      <c r="L791" s="41">
        <v>55</v>
      </c>
      <c r="M791" s="41">
        <v>-1</v>
      </c>
      <c r="N791" s="41">
        <v>4</v>
      </c>
      <c r="O791" s="108" t="s">
        <v>2879</v>
      </c>
      <c r="P791" s="109">
        <v>194427</v>
      </c>
      <c r="Q791" s="41"/>
      <c r="R791" s="111"/>
      <c r="S791" s="110"/>
    </row>
    <row r="792" spans="1:19">
      <c r="A792" s="105">
        <v>2174</v>
      </c>
      <c r="B792" s="41">
        <v>316800000</v>
      </c>
      <c r="C792" s="41">
        <v>3.5000000000000001E-3</v>
      </c>
      <c r="D792" s="41">
        <v>8</v>
      </c>
      <c r="E792" s="41">
        <v>30</v>
      </c>
      <c r="F792" s="41">
        <v>0</v>
      </c>
      <c r="G792" s="41" t="s">
        <v>103</v>
      </c>
      <c r="H792" s="41">
        <v>1</v>
      </c>
      <c r="I792" s="41">
        <v>1</v>
      </c>
      <c r="J792" s="108">
        <v>0</v>
      </c>
      <c r="K792" s="41">
        <v>0</v>
      </c>
      <c r="L792" s="41">
        <v>55</v>
      </c>
      <c r="M792" s="41">
        <v>-1</v>
      </c>
      <c r="N792" s="41">
        <v>4</v>
      </c>
      <c r="O792" s="108" t="s">
        <v>2880</v>
      </c>
      <c r="P792" s="109">
        <v>194553</v>
      </c>
      <c r="Q792" s="41"/>
      <c r="R792" s="111"/>
      <c r="S792" s="110"/>
    </row>
    <row r="793" spans="1:19">
      <c r="A793" s="105">
        <v>2175</v>
      </c>
      <c r="B793" s="41">
        <v>316800000</v>
      </c>
      <c r="C793" s="41">
        <v>3.5000000000000001E-3</v>
      </c>
      <c r="D793" s="41">
        <v>11.313700000000001</v>
      </c>
      <c r="E793" s="41">
        <v>30</v>
      </c>
      <c r="F793" s="41">
        <v>0</v>
      </c>
      <c r="G793" s="41" t="s">
        <v>103</v>
      </c>
      <c r="H793" s="41">
        <v>1</v>
      </c>
      <c r="I793" s="41">
        <v>1</v>
      </c>
      <c r="J793" s="108">
        <v>0</v>
      </c>
      <c r="K793" s="41">
        <v>0</v>
      </c>
      <c r="L793" s="41">
        <v>55</v>
      </c>
      <c r="M793" s="41">
        <v>-1</v>
      </c>
      <c r="N793" s="41">
        <v>4</v>
      </c>
      <c r="O793" s="108" t="s">
        <v>2881</v>
      </c>
      <c r="P793" s="109">
        <v>194553</v>
      </c>
      <c r="Q793" s="41"/>
      <c r="R793" s="111"/>
      <c r="S793" s="110"/>
    </row>
    <row r="794" spans="1:19">
      <c r="A794" s="105">
        <v>2176</v>
      </c>
      <c r="B794" s="41">
        <v>316800000</v>
      </c>
      <c r="C794" s="41">
        <v>3.8E-3</v>
      </c>
      <c r="D794" s="41">
        <v>5.6569000000000003</v>
      </c>
      <c r="E794" s="41">
        <v>30</v>
      </c>
      <c r="F794" s="41">
        <v>0</v>
      </c>
      <c r="G794" s="41" t="s">
        <v>103</v>
      </c>
      <c r="H794" s="41">
        <v>1</v>
      </c>
      <c r="I794" s="41">
        <v>1</v>
      </c>
      <c r="J794" s="108">
        <v>0</v>
      </c>
      <c r="K794" s="41">
        <v>0</v>
      </c>
      <c r="L794" s="41">
        <v>55</v>
      </c>
      <c r="M794" s="41">
        <v>-1</v>
      </c>
      <c r="N794" s="41">
        <v>4</v>
      </c>
      <c r="O794" s="108" t="s">
        <v>2882</v>
      </c>
      <c r="P794" s="109">
        <v>194553</v>
      </c>
      <c r="Q794" s="41"/>
      <c r="R794" s="111"/>
      <c r="S794" s="110"/>
    </row>
    <row r="795" spans="1:19">
      <c r="A795" s="105">
        <v>2177</v>
      </c>
      <c r="B795" s="41">
        <v>316800000</v>
      </c>
      <c r="C795" s="41">
        <v>3.8E-3</v>
      </c>
      <c r="D795" s="41">
        <v>8</v>
      </c>
      <c r="E795" s="41">
        <v>30</v>
      </c>
      <c r="F795" s="41">
        <v>0</v>
      </c>
      <c r="G795" s="41" t="s">
        <v>103</v>
      </c>
      <c r="H795" s="41">
        <v>1</v>
      </c>
      <c r="I795" s="41">
        <v>1</v>
      </c>
      <c r="J795" s="108">
        <v>0</v>
      </c>
      <c r="K795" s="41">
        <v>0</v>
      </c>
      <c r="L795" s="41">
        <v>55</v>
      </c>
      <c r="M795" s="41">
        <v>-1</v>
      </c>
      <c r="N795" s="41">
        <v>4</v>
      </c>
      <c r="O795" s="108" t="s">
        <v>2883</v>
      </c>
      <c r="P795" s="109">
        <v>194553</v>
      </c>
      <c r="Q795" s="41"/>
      <c r="R795" s="111"/>
      <c r="S795" s="110"/>
    </row>
    <row r="796" spans="1:19">
      <c r="A796" s="105">
        <v>2178</v>
      </c>
      <c r="B796" s="41">
        <v>316800000</v>
      </c>
      <c r="C796" s="41">
        <v>3.8E-3</v>
      </c>
      <c r="D796" s="41">
        <v>11.313700000000001</v>
      </c>
      <c r="E796" s="41">
        <v>30</v>
      </c>
      <c r="F796" s="41">
        <v>0</v>
      </c>
      <c r="G796" s="41" t="s">
        <v>103</v>
      </c>
      <c r="H796" s="41">
        <v>1</v>
      </c>
      <c r="I796" s="41">
        <v>1</v>
      </c>
      <c r="J796" s="108">
        <v>0</v>
      </c>
      <c r="K796" s="41">
        <v>0</v>
      </c>
      <c r="L796" s="41">
        <v>55</v>
      </c>
      <c r="M796" s="41">
        <v>-1</v>
      </c>
      <c r="N796" s="41">
        <v>4</v>
      </c>
      <c r="O796" s="108" t="s">
        <v>2884</v>
      </c>
      <c r="P796" s="109">
        <v>194553</v>
      </c>
      <c r="Q796" s="41"/>
      <c r="R796" s="111"/>
      <c r="S796" s="110"/>
    </row>
    <row r="797" spans="1:19">
      <c r="A797" s="105">
        <v>2179</v>
      </c>
      <c r="B797" s="41">
        <v>316800000</v>
      </c>
      <c r="C797" s="41">
        <v>4.1999999999999997E-3</v>
      </c>
      <c r="D797" s="41">
        <v>5.6569000000000003</v>
      </c>
      <c r="E797" s="41">
        <v>30</v>
      </c>
      <c r="F797" s="41">
        <v>0</v>
      </c>
      <c r="G797" s="41" t="s">
        <v>103</v>
      </c>
      <c r="H797" s="41">
        <v>1</v>
      </c>
      <c r="I797" s="41">
        <v>1</v>
      </c>
      <c r="J797" s="108">
        <v>0</v>
      </c>
      <c r="K797" s="41">
        <v>0</v>
      </c>
      <c r="L797" s="41">
        <v>55</v>
      </c>
      <c r="M797" s="41">
        <v>-1</v>
      </c>
      <c r="N797" s="41">
        <v>4</v>
      </c>
      <c r="O797" s="111" t="s">
        <v>2885</v>
      </c>
      <c r="P797" s="109">
        <v>194553</v>
      </c>
      <c r="Q797" s="41"/>
      <c r="R797" s="111"/>
      <c r="S797" s="110"/>
    </row>
    <row r="798" spans="1:19">
      <c r="A798" s="105">
        <v>2180</v>
      </c>
      <c r="B798" s="41">
        <v>316800000</v>
      </c>
      <c r="C798" s="41">
        <v>4.1999999999999997E-3</v>
      </c>
      <c r="D798" s="41">
        <v>8</v>
      </c>
      <c r="E798" s="41">
        <v>30</v>
      </c>
      <c r="F798" s="41">
        <v>0</v>
      </c>
      <c r="G798" s="41" t="s">
        <v>103</v>
      </c>
      <c r="H798" s="41">
        <v>1</v>
      </c>
      <c r="I798" s="41">
        <v>1</v>
      </c>
      <c r="J798" s="108">
        <v>0</v>
      </c>
      <c r="K798" s="41">
        <v>0</v>
      </c>
      <c r="L798" s="41">
        <v>55</v>
      </c>
      <c r="M798" s="41">
        <v>-1</v>
      </c>
      <c r="N798" s="41">
        <v>4</v>
      </c>
      <c r="O798" s="111" t="s">
        <v>2886</v>
      </c>
      <c r="P798" s="109">
        <v>194553</v>
      </c>
      <c r="Q798" s="41"/>
      <c r="R798" s="111"/>
      <c r="S798" s="110"/>
    </row>
    <row r="799" spans="1:19">
      <c r="A799" s="105">
        <v>2181</v>
      </c>
      <c r="B799" s="41">
        <v>316800000</v>
      </c>
      <c r="C799" s="41">
        <v>4.1999999999999997E-3</v>
      </c>
      <c r="D799" s="41">
        <v>11.313700000000001</v>
      </c>
      <c r="E799" s="41">
        <v>30</v>
      </c>
      <c r="F799" s="41">
        <v>0</v>
      </c>
      <c r="G799" s="41" t="s">
        <v>103</v>
      </c>
      <c r="H799" s="41">
        <v>1</v>
      </c>
      <c r="I799" s="41">
        <v>1</v>
      </c>
      <c r="J799" s="108">
        <v>0</v>
      </c>
      <c r="K799" s="41">
        <v>0</v>
      </c>
      <c r="L799" s="41">
        <v>55</v>
      </c>
      <c r="M799" s="41">
        <v>-1</v>
      </c>
      <c r="N799" s="41">
        <v>4</v>
      </c>
      <c r="O799" s="111" t="s">
        <v>2887</v>
      </c>
      <c r="P799" s="109">
        <v>194553</v>
      </c>
      <c r="Q799" s="41"/>
      <c r="R799" s="111"/>
      <c r="S799" s="110"/>
    </row>
    <row r="800" spans="1:19">
      <c r="A800" s="105">
        <v>2182</v>
      </c>
      <c r="B800" s="41">
        <v>316800000</v>
      </c>
      <c r="C800" s="41">
        <v>4.4999999999999997E-3</v>
      </c>
      <c r="D800" s="41">
        <v>8</v>
      </c>
      <c r="E800" s="41">
        <v>30</v>
      </c>
      <c r="F800" s="41">
        <v>0</v>
      </c>
      <c r="G800" s="41" t="s">
        <v>103</v>
      </c>
      <c r="H800" s="41">
        <v>1</v>
      </c>
      <c r="I800" s="41">
        <v>1</v>
      </c>
      <c r="J800" s="108">
        <v>0</v>
      </c>
      <c r="K800" s="41">
        <v>0</v>
      </c>
      <c r="L800" s="41">
        <v>55</v>
      </c>
      <c r="M800" s="41">
        <v>-1</v>
      </c>
      <c r="N800" s="41">
        <v>4</v>
      </c>
      <c r="O800" s="111" t="s">
        <v>2888</v>
      </c>
      <c r="P800" s="109">
        <v>194553</v>
      </c>
      <c r="Q800" s="41"/>
      <c r="R800" s="111"/>
      <c r="S800" s="110"/>
    </row>
    <row r="801" spans="1:19">
      <c r="A801" s="105">
        <v>2183</v>
      </c>
      <c r="B801" s="41">
        <v>316800000</v>
      </c>
      <c r="C801" s="41">
        <v>4.4999999999999997E-3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1</v>
      </c>
      <c r="I801" s="41">
        <v>1</v>
      </c>
      <c r="J801" s="108">
        <v>0</v>
      </c>
      <c r="K801" s="41">
        <v>0</v>
      </c>
      <c r="L801" s="41">
        <v>55</v>
      </c>
      <c r="M801" s="41">
        <v>-1</v>
      </c>
      <c r="N801" s="41">
        <v>4</v>
      </c>
      <c r="O801" s="111" t="s">
        <v>2889</v>
      </c>
      <c r="P801" s="109">
        <v>194553</v>
      </c>
      <c r="Q801" s="41"/>
      <c r="R801" s="111"/>
      <c r="S801" s="110"/>
    </row>
    <row r="802" spans="1:19">
      <c r="A802" s="105">
        <v>2184</v>
      </c>
      <c r="B802" s="41">
        <v>316800000</v>
      </c>
      <c r="C802" s="41">
        <v>4.8999999999999998E-3</v>
      </c>
      <c r="D802" s="41">
        <v>8</v>
      </c>
      <c r="E802" s="41">
        <v>30</v>
      </c>
      <c r="F802" s="41">
        <v>0</v>
      </c>
      <c r="G802" s="41" t="s">
        <v>103</v>
      </c>
      <c r="H802" s="41">
        <v>1</v>
      </c>
      <c r="I802" s="41">
        <v>1</v>
      </c>
      <c r="J802" s="108">
        <v>0</v>
      </c>
      <c r="K802" s="41">
        <v>0</v>
      </c>
      <c r="L802" s="41">
        <v>55</v>
      </c>
      <c r="M802" s="41">
        <v>-1</v>
      </c>
      <c r="N802" s="41">
        <v>4</v>
      </c>
      <c r="O802" s="111" t="s">
        <v>2890</v>
      </c>
      <c r="P802" s="109">
        <v>194553</v>
      </c>
      <c r="Q802" s="41"/>
      <c r="R802" s="111"/>
      <c r="S802" s="110"/>
    </row>
    <row r="803" spans="1:19">
      <c r="A803" s="105">
        <v>2185</v>
      </c>
      <c r="B803" s="41">
        <v>316800000</v>
      </c>
      <c r="C803" s="41">
        <v>1.1999999999999999E-3</v>
      </c>
      <c r="D803" s="41">
        <v>5.6569000000000003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v>0</v>
      </c>
      <c r="K803" s="41">
        <v>0</v>
      </c>
      <c r="L803" s="41">
        <v>55</v>
      </c>
      <c r="M803" s="41">
        <v>-1</v>
      </c>
      <c r="N803" s="41">
        <v>4</v>
      </c>
      <c r="O803" s="111" t="s">
        <v>2899</v>
      </c>
      <c r="P803" s="109">
        <v>72</v>
      </c>
      <c r="Q803" s="41"/>
      <c r="R803" s="111"/>
      <c r="S803" s="110"/>
    </row>
    <row r="804" spans="1:19">
      <c r="A804" s="105">
        <v>2186</v>
      </c>
      <c r="B804" s="41">
        <v>316800000</v>
      </c>
      <c r="C804" s="41">
        <v>1.1999999999999999E-3</v>
      </c>
      <c r="D804" s="41">
        <v>8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v>0</v>
      </c>
      <c r="K804" s="41">
        <v>0</v>
      </c>
      <c r="L804" s="41">
        <v>55</v>
      </c>
      <c r="M804" s="41">
        <v>-1</v>
      </c>
      <c r="N804" s="41">
        <v>4</v>
      </c>
      <c r="O804" s="111" t="s">
        <v>2900</v>
      </c>
      <c r="P804" s="109">
        <v>72</v>
      </c>
      <c r="Q804" s="41"/>
      <c r="R804" s="111"/>
      <c r="S804" s="110"/>
    </row>
    <row r="805" spans="1:19">
      <c r="A805" s="105">
        <v>2187</v>
      </c>
      <c r="B805" s="41">
        <v>316800000</v>
      </c>
      <c r="C805" s="41">
        <v>1.1999999999999999E-3</v>
      </c>
      <c r="D805" s="41">
        <v>11.313700000000001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v>0</v>
      </c>
      <c r="K805" s="41">
        <v>0</v>
      </c>
      <c r="L805" s="41">
        <v>55</v>
      </c>
      <c r="M805" s="41">
        <v>-1</v>
      </c>
      <c r="N805" s="41">
        <v>4</v>
      </c>
      <c r="O805" s="111" t="s">
        <v>2901</v>
      </c>
      <c r="P805" s="109">
        <v>72</v>
      </c>
      <c r="Q805" s="41"/>
      <c r="R805" s="111"/>
      <c r="S805" s="110"/>
    </row>
    <row r="806" spans="1:19">
      <c r="A806" s="105">
        <v>2188</v>
      </c>
      <c r="B806" s="41">
        <v>316800000</v>
      </c>
      <c r="C806" s="41">
        <v>1.2999999999999999E-3</v>
      </c>
      <c r="D806" s="41">
        <v>5.6569000000000003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v>0</v>
      </c>
      <c r="K806" s="41">
        <v>0</v>
      </c>
      <c r="L806" s="41">
        <v>55</v>
      </c>
      <c r="M806" s="41">
        <v>-1</v>
      </c>
      <c r="N806" s="41">
        <v>4</v>
      </c>
      <c r="O806" s="111" t="s">
        <v>2902</v>
      </c>
      <c r="P806" s="109">
        <v>72</v>
      </c>
      <c r="Q806" s="41"/>
      <c r="R806" s="111"/>
      <c r="S806" s="110"/>
    </row>
    <row r="807" spans="1:19">
      <c r="A807" s="105">
        <v>2189</v>
      </c>
      <c r="B807" s="41">
        <v>316800000</v>
      </c>
      <c r="C807" s="41">
        <v>1.2999999999999999E-3</v>
      </c>
      <c r="D807" s="41">
        <v>8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v>0</v>
      </c>
      <c r="K807" s="41">
        <v>0</v>
      </c>
      <c r="L807" s="41">
        <v>55</v>
      </c>
      <c r="M807" s="41">
        <v>-1</v>
      </c>
      <c r="N807" s="41">
        <v>4</v>
      </c>
      <c r="O807" s="111" t="s">
        <v>2903</v>
      </c>
      <c r="P807" s="109">
        <v>72</v>
      </c>
      <c r="Q807" s="41"/>
      <c r="R807" s="111"/>
      <c r="S807" s="110"/>
    </row>
    <row r="808" spans="1:19">
      <c r="A808" s="105">
        <v>2190</v>
      </c>
      <c r="B808" s="41">
        <v>316800000</v>
      </c>
      <c r="C808" s="41">
        <v>1.2999999999999999E-3</v>
      </c>
      <c r="D808" s="41">
        <v>11.313700000000001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v>0</v>
      </c>
      <c r="K808" s="41">
        <v>0</v>
      </c>
      <c r="L808" s="41">
        <v>55</v>
      </c>
      <c r="M808" s="41">
        <v>-1</v>
      </c>
      <c r="N808" s="41">
        <v>4</v>
      </c>
      <c r="O808" s="111" t="s">
        <v>2904</v>
      </c>
      <c r="P808" s="109">
        <v>72</v>
      </c>
      <c r="Q808" s="41"/>
      <c r="R808" s="111"/>
      <c r="S808" s="110"/>
    </row>
    <row r="809" spans="1:19">
      <c r="A809" s="105">
        <v>2191</v>
      </c>
      <c r="B809" s="41">
        <v>316800000</v>
      </c>
      <c r="C809" s="41">
        <v>1.2999999999999999E-3</v>
      </c>
      <c r="D809" s="41">
        <v>16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v>0</v>
      </c>
      <c r="K809" s="41">
        <v>0</v>
      </c>
      <c r="L809" s="41">
        <v>55</v>
      </c>
      <c r="M809" s="41">
        <v>-1</v>
      </c>
      <c r="N809" s="41">
        <v>4</v>
      </c>
      <c r="O809" s="111" t="s">
        <v>2905</v>
      </c>
      <c r="P809" s="109">
        <v>72</v>
      </c>
      <c r="Q809" s="41"/>
      <c r="R809" s="111"/>
      <c r="S809" s="110"/>
    </row>
    <row r="810" spans="1:19">
      <c r="A810" s="105">
        <v>2192</v>
      </c>
      <c r="B810" s="41">
        <v>316800000</v>
      </c>
      <c r="C810" s="41">
        <v>1.5E-3</v>
      </c>
      <c r="D810" s="41">
        <v>4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v>0</v>
      </c>
      <c r="K810" s="41">
        <v>0</v>
      </c>
      <c r="L810" s="41">
        <v>55</v>
      </c>
      <c r="M810" s="41">
        <v>-1</v>
      </c>
      <c r="N810" s="41">
        <v>4</v>
      </c>
      <c r="O810" s="111" t="s">
        <v>2906</v>
      </c>
      <c r="P810" s="109">
        <v>72</v>
      </c>
      <c r="Q810" s="41"/>
      <c r="R810" s="111"/>
      <c r="S810" s="110"/>
    </row>
    <row r="811" spans="1:19">
      <c r="A811" s="105">
        <v>2193</v>
      </c>
      <c r="B811" s="41">
        <v>316800000</v>
      </c>
      <c r="C811" s="41">
        <v>1.5E-3</v>
      </c>
      <c r="D811" s="41">
        <v>5.6569000000000003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v>0</v>
      </c>
      <c r="K811" s="41">
        <v>0</v>
      </c>
      <c r="L811" s="41">
        <v>55</v>
      </c>
      <c r="M811" s="41">
        <v>-1</v>
      </c>
      <c r="N811" s="41">
        <v>4</v>
      </c>
      <c r="O811" s="111" t="s">
        <v>2907</v>
      </c>
      <c r="P811" s="109">
        <v>72</v>
      </c>
      <c r="Q811" s="41"/>
      <c r="R811" s="111"/>
      <c r="S811" s="110"/>
    </row>
    <row r="812" spans="1:19">
      <c r="A812" s="105">
        <v>2194</v>
      </c>
      <c r="B812" s="41">
        <v>316800000</v>
      </c>
      <c r="C812" s="41">
        <v>1.5E-3</v>
      </c>
      <c r="D812" s="41">
        <v>8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v>0</v>
      </c>
      <c r="K812" s="41">
        <v>0</v>
      </c>
      <c r="L812" s="41">
        <v>55</v>
      </c>
      <c r="M812" s="41">
        <v>-1</v>
      </c>
      <c r="N812" s="41">
        <v>4</v>
      </c>
      <c r="O812" s="111" t="s">
        <v>2908</v>
      </c>
      <c r="P812" s="109">
        <v>72</v>
      </c>
      <c r="Q812" s="41"/>
      <c r="R812" s="111"/>
      <c r="S812" s="110"/>
    </row>
    <row r="813" spans="1:19">
      <c r="A813" s="105">
        <v>2195</v>
      </c>
      <c r="B813" s="41">
        <v>316800000</v>
      </c>
      <c r="C813" s="41">
        <v>1.5E-3</v>
      </c>
      <c r="D813" s="41">
        <v>11.313700000000001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v>0</v>
      </c>
      <c r="K813" s="41">
        <v>0</v>
      </c>
      <c r="L813" s="41">
        <v>55</v>
      </c>
      <c r="M813" s="41">
        <v>-1</v>
      </c>
      <c r="N813" s="41">
        <v>4</v>
      </c>
      <c r="O813" s="111" t="s">
        <v>2909</v>
      </c>
      <c r="P813" s="109">
        <v>72</v>
      </c>
      <c r="Q813" s="41"/>
      <c r="R813" s="111"/>
      <c r="S813" s="110"/>
    </row>
    <row r="814" spans="1:19">
      <c r="A814" s="105">
        <v>2196</v>
      </c>
      <c r="B814" s="41">
        <v>316800000</v>
      </c>
      <c r="C814" s="41">
        <v>1.5E-3</v>
      </c>
      <c r="D814" s="41">
        <v>16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v>0</v>
      </c>
      <c r="K814" s="41">
        <v>0</v>
      </c>
      <c r="L814" s="41">
        <v>55</v>
      </c>
      <c r="M814" s="41">
        <v>-1</v>
      </c>
      <c r="N814" s="41">
        <v>4</v>
      </c>
      <c r="O814" s="111" t="s">
        <v>2910</v>
      </c>
      <c r="P814" s="109">
        <v>72</v>
      </c>
      <c r="Q814" s="41"/>
      <c r="R814" s="111"/>
      <c r="S814" s="110"/>
    </row>
    <row r="815" spans="1:19">
      <c r="A815" s="105">
        <v>2197</v>
      </c>
      <c r="B815" s="41">
        <v>316800000</v>
      </c>
      <c r="C815" s="41">
        <v>1.6000000000000001E-3</v>
      </c>
      <c r="D815" s="41">
        <v>4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v>0</v>
      </c>
      <c r="K815" s="41">
        <v>0</v>
      </c>
      <c r="L815" s="41">
        <v>55</v>
      </c>
      <c r="M815" s="41">
        <v>-1</v>
      </c>
      <c r="N815" s="41">
        <v>4</v>
      </c>
      <c r="O815" s="111" t="s">
        <v>2911</v>
      </c>
      <c r="P815" s="109">
        <v>72</v>
      </c>
      <c r="Q815" s="41"/>
      <c r="R815" s="111"/>
      <c r="S815" s="110"/>
    </row>
    <row r="816" spans="1:19">
      <c r="A816" s="105">
        <v>2198</v>
      </c>
      <c r="B816" s="41">
        <v>316800000</v>
      </c>
      <c r="C816" s="41">
        <v>1.6000000000000001E-3</v>
      </c>
      <c r="D816" s="41">
        <v>5.6569000000000003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v>0</v>
      </c>
      <c r="K816" s="41">
        <v>0</v>
      </c>
      <c r="L816" s="41">
        <v>55</v>
      </c>
      <c r="M816" s="41">
        <v>-1</v>
      </c>
      <c r="N816" s="41">
        <v>4</v>
      </c>
      <c r="O816" s="111" t="s">
        <v>2912</v>
      </c>
      <c r="P816" s="109">
        <v>72</v>
      </c>
      <c r="Q816" s="41"/>
      <c r="R816" s="111"/>
      <c r="S816" s="110"/>
    </row>
    <row r="817" spans="1:19">
      <c r="A817" s="105">
        <v>2199</v>
      </c>
      <c r="B817" s="41">
        <v>316800000</v>
      </c>
      <c r="C817" s="41">
        <v>1.6000000000000001E-3</v>
      </c>
      <c r="D817" s="41">
        <v>8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2913</v>
      </c>
      <c r="P817" s="109">
        <v>72</v>
      </c>
      <c r="Q817" s="41"/>
      <c r="R817" s="111"/>
      <c r="S817" s="110"/>
    </row>
    <row r="818" spans="1:19">
      <c r="A818" s="105">
        <v>2200</v>
      </c>
      <c r="B818" s="41">
        <v>316800000</v>
      </c>
      <c r="C818" s="41">
        <v>1.6000000000000001E-3</v>
      </c>
      <c r="D818" s="41">
        <v>11.313700000000001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2914</v>
      </c>
      <c r="P818" s="109">
        <v>72</v>
      </c>
      <c r="Q818" s="41"/>
      <c r="R818" s="111"/>
      <c r="S818" s="110"/>
    </row>
    <row r="819" spans="1:19">
      <c r="A819" s="105">
        <v>2201</v>
      </c>
      <c r="B819" s="41">
        <v>316800000</v>
      </c>
      <c r="C819" s="41">
        <v>1.6000000000000001E-3</v>
      </c>
      <c r="D819" s="41">
        <v>16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2915</v>
      </c>
      <c r="P819" s="109">
        <v>72</v>
      </c>
      <c r="Q819" s="41"/>
      <c r="R819" s="111"/>
      <c r="S819" s="110"/>
    </row>
    <row r="820" spans="1:19">
      <c r="A820" s="105">
        <v>2202</v>
      </c>
      <c r="B820" s="41">
        <v>316800000</v>
      </c>
      <c r="C820" s="41">
        <v>1.6000000000000001E-3</v>
      </c>
      <c r="D820" s="41">
        <v>22.627400000000002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2916</v>
      </c>
      <c r="P820" s="109">
        <v>72</v>
      </c>
      <c r="Q820" s="41"/>
      <c r="R820" s="111"/>
      <c r="S820" s="110"/>
    </row>
    <row r="821" spans="1:19">
      <c r="A821" s="105">
        <v>2203</v>
      </c>
      <c r="B821" s="41">
        <v>316800000</v>
      </c>
      <c r="C821" s="41">
        <v>1.6999999999999999E-3</v>
      </c>
      <c r="D821" s="41">
        <v>4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2917</v>
      </c>
      <c r="P821" s="109">
        <v>72</v>
      </c>
      <c r="Q821" s="41"/>
      <c r="R821" s="111"/>
      <c r="S821" s="110"/>
    </row>
    <row r="822" spans="1:19">
      <c r="A822" s="105">
        <v>2204</v>
      </c>
      <c r="B822" s="41">
        <v>316800000</v>
      </c>
      <c r="C822" s="41">
        <v>1.6999999999999999E-3</v>
      </c>
      <c r="D822" s="41">
        <v>5.6569000000000003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2918</v>
      </c>
      <c r="P822" s="109">
        <v>72</v>
      </c>
      <c r="Q822" s="41"/>
      <c r="R822" s="111"/>
      <c r="S822" s="110"/>
    </row>
    <row r="823" spans="1:19">
      <c r="A823" s="105">
        <v>2205</v>
      </c>
      <c r="B823" s="41">
        <v>316800000</v>
      </c>
      <c r="C823" s="41">
        <v>1.6999999999999999E-3</v>
      </c>
      <c r="D823" s="41">
        <v>8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2919</v>
      </c>
      <c r="P823" s="109">
        <v>72</v>
      </c>
      <c r="Q823" s="41"/>
      <c r="R823" s="111"/>
      <c r="S823" s="110"/>
    </row>
    <row r="824" spans="1:19">
      <c r="A824" s="105">
        <v>2206</v>
      </c>
      <c r="B824" s="41">
        <v>316800000</v>
      </c>
      <c r="C824" s="41">
        <v>1.6999999999999999E-3</v>
      </c>
      <c r="D824" s="41">
        <v>11.313700000000001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2920</v>
      </c>
      <c r="P824" s="109">
        <v>72</v>
      </c>
      <c r="Q824" s="41"/>
      <c r="R824" s="111"/>
      <c r="S824" s="110"/>
    </row>
    <row r="825" spans="1:19">
      <c r="A825" s="105">
        <v>2207</v>
      </c>
      <c r="B825" s="41">
        <v>316800000</v>
      </c>
      <c r="C825" s="41">
        <v>1.6999999999999999E-3</v>
      </c>
      <c r="D825" s="41">
        <v>16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2921</v>
      </c>
      <c r="P825" s="109">
        <v>72</v>
      </c>
      <c r="Q825" s="41"/>
      <c r="R825" s="111"/>
      <c r="S825" s="110"/>
    </row>
    <row r="826" spans="1:19">
      <c r="A826" s="105">
        <v>2208</v>
      </c>
      <c r="B826" s="41">
        <v>316800000</v>
      </c>
      <c r="C826" s="41">
        <v>1.6999999999999999E-3</v>
      </c>
      <c r="D826" s="41">
        <v>22.627400000000002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2922</v>
      </c>
      <c r="P826" s="109">
        <v>72</v>
      </c>
      <c r="Q826" s="41"/>
      <c r="R826" s="111"/>
      <c r="S826" s="110"/>
    </row>
    <row r="827" spans="1:19">
      <c r="A827" s="105">
        <v>2209</v>
      </c>
      <c r="B827" s="41">
        <v>316800000</v>
      </c>
      <c r="C827" s="41">
        <v>1.9E-3</v>
      </c>
      <c r="D827" s="41">
        <v>4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2923</v>
      </c>
      <c r="P827" s="109">
        <v>72</v>
      </c>
      <c r="Q827" s="41"/>
      <c r="R827" s="111"/>
      <c r="S827" s="110"/>
    </row>
    <row r="828" spans="1:19">
      <c r="A828" s="105">
        <v>2210</v>
      </c>
      <c r="B828" s="41">
        <v>316800000</v>
      </c>
      <c r="C828" s="41">
        <v>1.9E-3</v>
      </c>
      <c r="D828" s="41">
        <v>5.6569000000000003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2924</v>
      </c>
      <c r="P828" s="109">
        <v>72</v>
      </c>
      <c r="Q828" s="41"/>
      <c r="R828" s="111"/>
      <c r="S828" s="110"/>
    </row>
    <row r="829" spans="1:19">
      <c r="A829" s="105">
        <v>2211</v>
      </c>
      <c r="B829" s="41">
        <v>316800000</v>
      </c>
      <c r="C829" s="41">
        <v>1.9E-3</v>
      </c>
      <c r="D829" s="41">
        <v>8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2925</v>
      </c>
      <c r="P829" s="109">
        <v>72</v>
      </c>
      <c r="Q829" s="41"/>
      <c r="R829" s="111"/>
      <c r="S829" s="110"/>
    </row>
    <row r="830" spans="1:19">
      <c r="A830" s="105">
        <v>2212</v>
      </c>
      <c r="B830" s="41">
        <v>316800000</v>
      </c>
      <c r="C830" s="41">
        <v>1.9E-3</v>
      </c>
      <c r="D830" s="41">
        <v>11.313700000000001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2926</v>
      </c>
      <c r="P830" s="109">
        <v>72</v>
      </c>
      <c r="Q830" s="41"/>
      <c r="R830" s="111"/>
      <c r="S830" s="110"/>
    </row>
    <row r="831" spans="1:19">
      <c r="A831" s="105">
        <v>2213</v>
      </c>
      <c r="B831" s="41">
        <v>316800000</v>
      </c>
      <c r="C831" s="41">
        <v>1.9E-3</v>
      </c>
      <c r="D831" s="41">
        <v>16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2927</v>
      </c>
      <c r="P831" s="109">
        <v>72</v>
      </c>
      <c r="Q831" s="41"/>
      <c r="R831" s="111"/>
      <c r="S831" s="110"/>
    </row>
    <row r="832" spans="1:19">
      <c r="A832" s="105">
        <v>2214</v>
      </c>
      <c r="B832" s="41">
        <v>316800000</v>
      </c>
      <c r="C832" s="41">
        <v>1.9E-3</v>
      </c>
      <c r="D832" s="41">
        <v>22.627400000000002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2928</v>
      </c>
      <c r="P832" s="109">
        <v>72</v>
      </c>
      <c r="Q832" s="41"/>
      <c r="R832" s="111"/>
      <c r="S832" s="110"/>
    </row>
    <row r="833" spans="1:19">
      <c r="A833" s="105">
        <v>2215</v>
      </c>
      <c r="B833" s="41">
        <v>316800000</v>
      </c>
      <c r="C833" s="41">
        <v>2.0999999999999999E-3</v>
      </c>
      <c r="D833" s="41">
        <v>2.8283999999999998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2929</v>
      </c>
      <c r="P833" s="109">
        <v>111</v>
      </c>
      <c r="Q833" s="41"/>
      <c r="R833" s="111"/>
      <c r="S833" s="110"/>
    </row>
    <row r="834" spans="1:19">
      <c r="A834" s="105">
        <v>2216</v>
      </c>
      <c r="B834" s="41">
        <v>316800000</v>
      </c>
      <c r="C834" s="41">
        <v>2.0999999999999999E-3</v>
      </c>
      <c r="D834" s="41">
        <v>4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2930</v>
      </c>
      <c r="P834" s="109">
        <v>111</v>
      </c>
      <c r="Q834" s="41"/>
      <c r="R834" s="111"/>
      <c r="S834" s="110"/>
    </row>
    <row r="835" spans="1:19">
      <c r="A835" s="105">
        <v>2217</v>
      </c>
      <c r="B835" s="41">
        <v>316800000</v>
      </c>
      <c r="C835" s="41">
        <v>2.0999999999999999E-3</v>
      </c>
      <c r="D835" s="41">
        <v>5.6569000000000003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2931</v>
      </c>
      <c r="P835" s="109">
        <v>111</v>
      </c>
      <c r="Q835" s="41"/>
      <c r="R835" s="111"/>
      <c r="S835" s="110"/>
    </row>
    <row r="836" spans="1:19">
      <c r="A836" s="105">
        <v>2218</v>
      </c>
      <c r="B836" s="41">
        <v>316800000</v>
      </c>
      <c r="C836" s="41">
        <v>2.0999999999999999E-3</v>
      </c>
      <c r="D836" s="41">
        <v>8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2932</v>
      </c>
      <c r="P836" s="109">
        <v>111</v>
      </c>
      <c r="Q836" s="41"/>
      <c r="R836" s="111"/>
      <c r="S836" s="110"/>
    </row>
    <row r="837" spans="1:19">
      <c r="A837" s="105">
        <v>2219</v>
      </c>
      <c r="B837" s="41">
        <v>316800000</v>
      </c>
      <c r="C837" s="41">
        <v>2.0999999999999999E-3</v>
      </c>
      <c r="D837" s="41">
        <v>11.313700000000001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2933</v>
      </c>
      <c r="P837" s="109">
        <v>111</v>
      </c>
      <c r="Q837" s="41"/>
      <c r="R837" s="111"/>
      <c r="S837" s="110"/>
    </row>
    <row r="838" spans="1:19">
      <c r="A838" s="105">
        <v>2220</v>
      </c>
      <c r="B838" s="41">
        <v>316800000</v>
      </c>
      <c r="C838" s="41">
        <v>2.0999999999999999E-3</v>
      </c>
      <c r="D838" s="41">
        <v>16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2934</v>
      </c>
      <c r="P838" s="109">
        <v>111</v>
      </c>
      <c r="Q838" s="41"/>
      <c r="R838" s="111"/>
      <c r="S838" s="110"/>
    </row>
    <row r="839" spans="1:19">
      <c r="A839" s="105">
        <v>2221</v>
      </c>
      <c r="B839" s="41">
        <v>316800000</v>
      </c>
      <c r="C839" s="41">
        <v>2.0999999999999999E-3</v>
      </c>
      <c r="D839" s="41">
        <v>22.627400000000002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2935</v>
      </c>
      <c r="P839" s="109">
        <v>111</v>
      </c>
      <c r="Q839" s="41"/>
      <c r="R839" s="111"/>
      <c r="S839" s="110"/>
    </row>
    <row r="840" spans="1:19">
      <c r="A840" s="105">
        <v>2222</v>
      </c>
      <c r="B840" s="41">
        <v>316800000</v>
      </c>
      <c r="C840" s="41">
        <v>2.3E-3</v>
      </c>
      <c r="D840" s="41">
        <v>2.8283999999999998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2936</v>
      </c>
      <c r="P840" s="109">
        <v>111</v>
      </c>
      <c r="Q840" s="41"/>
      <c r="R840" s="111"/>
      <c r="S840" s="110"/>
    </row>
    <row r="841" spans="1:19">
      <c r="A841" s="105">
        <v>2223</v>
      </c>
      <c r="B841" s="41">
        <v>316800000</v>
      </c>
      <c r="C841" s="41">
        <v>2.3E-3</v>
      </c>
      <c r="D841" s="41">
        <v>4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2937</v>
      </c>
      <c r="P841" s="109">
        <v>111</v>
      </c>
      <c r="Q841" s="41"/>
      <c r="R841" s="111"/>
      <c r="S841" s="110"/>
    </row>
    <row r="842" spans="1:19">
      <c r="A842" s="105">
        <v>2224</v>
      </c>
      <c r="B842" s="41">
        <v>316800000</v>
      </c>
      <c r="C842" s="41">
        <v>2.3E-3</v>
      </c>
      <c r="D842" s="41">
        <v>5.6569000000000003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2938</v>
      </c>
      <c r="P842" s="109">
        <v>111</v>
      </c>
      <c r="Q842" s="41"/>
      <c r="R842" s="111"/>
      <c r="S842" s="110"/>
    </row>
    <row r="843" spans="1:19">
      <c r="A843" s="105">
        <v>2225</v>
      </c>
      <c r="B843" s="41">
        <v>316800000</v>
      </c>
      <c r="C843" s="41">
        <v>2.3E-3</v>
      </c>
      <c r="D843" s="41">
        <v>8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2939</v>
      </c>
      <c r="P843" s="109">
        <v>111</v>
      </c>
      <c r="Q843" s="41"/>
      <c r="R843" s="111"/>
      <c r="S843" s="110"/>
    </row>
    <row r="844" spans="1:19">
      <c r="A844" s="105">
        <v>2226</v>
      </c>
      <c r="B844" s="41">
        <v>316800000</v>
      </c>
      <c r="C844" s="41">
        <v>2.3E-3</v>
      </c>
      <c r="D844" s="41">
        <v>11.313700000000001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2940</v>
      </c>
      <c r="P844" s="109">
        <v>111</v>
      </c>
      <c r="Q844" s="41"/>
      <c r="R844" s="111"/>
      <c r="S844" s="110"/>
    </row>
    <row r="845" spans="1:19">
      <c r="A845" s="105">
        <v>2227</v>
      </c>
      <c r="B845" s="41">
        <v>316800000</v>
      </c>
      <c r="C845" s="41">
        <v>2.3E-3</v>
      </c>
      <c r="D845" s="41">
        <v>16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2941</v>
      </c>
      <c r="P845" s="109">
        <v>111</v>
      </c>
      <c r="Q845" s="41"/>
      <c r="R845" s="111"/>
      <c r="S845" s="110"/>
    </row>
    <row r="846" spans="1:19">
      <c r="A846" s="105">
        <v>2228</v>
      </c>
      <c r="B846" s="41">
        <v>316800000</v>
      </c>
      <c r="C846" s="41">
        <v>2.3E-3</v>
      </c>
      <c r="D846" s="41">
        <v>22.627400000000002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2942</v>
      </c>
      <c r="P846" s="109">
        <v>111</v>
      </c>
      <c r="Q846" s="41"/>
      <c r="R846" s="111"/>
      <c r="S846" s="110"/>
    </row>
    <row r="847" spans="1:19">
      <c r="A847" s="105">
        <v>2229</v>
      </c>
      <c r="B847" s="41">
        <v>316800000</v>
      </c>
      <c r="C847" s="41">
        <v>2.5000000000000001E-3</v>
      </c>
      <c r="D847" s="41">
        <v>2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2943</v>
      </c>
      <c r="P847" s="109">
        <v>111</v>
      </c>
      <c r="Q847" s="41"/>
      <c r="R847" s="111"/>
      <c r="S847" s="110"/>
    </row>
    <row r="848" spans="1:19">
      <c r="A848" s="105">
        <v>2230</v>
      </c>
      <c r="B848" s="41">
        <v>316800000</v>
      </c>
      <c r="C848" s="41">
        <v>2.5000000000000001E-3</v>
      </c>
      <c r="D848" s="41">
        <v>2.8283999999999998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2944</v>
      </c>
      <c r="P848" s="109">
        <v>111</v>
      </c>
      <c r="Q848" s="41"/>
      <c r="R848" s="111"/>
      <c r="S848" s="110"/>
    </row>
    <row r="849" spans="1:19">
      <c r="A849" s="105">
        <v>2231</v>
      </c>
      <c r="B849" s="41">
        <v>316800000</v>
      </c>
      <c r="C849" s="41">
        <v>2.5000000000000001E-3</v>
      </c>
      <c r="D849" s="41">
        <v>4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2945</v>
      </c>
      <c r="P849" s="109">
        <v>111</v>
      </c>
      <c r="Q849" s="41"/>
      <c r="R849" s="111"/>
      <c r="S849" s="110"/>
    </row>
    <row r="850" spans="1:19">
      <c r="A850" s="105">
        <v>2232</v>
      </c>
      <c r="B850" s="41">
        <v>316800000</v>
      </c>
      <c r="C850" s="41">
        <v>2.5000000000000001E-3</v>
      </c>
      <c r="D850" s="41">
        <v>5.6569000000000003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2946</v>
      </c>
      <c r="P850" s="109">
        <v>111</v>
      </c>
      <c r="Q850" s="41"/>
      <c r="R850" s="111"/>
      <c r="S850" s="110"/>
    </row>
    <row r="851" spans="1:19">
      <c r="A851" s="105">
        <v>2233</v>
      </c>
      <c r="B851" s="41">
        <v>316800000</v>
      </c>
      <c r="C851" s="41">
        <v>2.5000000000000001E-3</v>
      </c>
      <c r="D851" s="41">
        <v>8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2947</v>
      </c>
      <c r="P851" s="109">
        <v>111</v>
      </c>
      <c r="Q851" s="41"/>
      <c r="R851" s="111"/>
      <c r="S851" s="110"/>
    </row>
    <row r="852" spans="1:19">
      <c r="A852" s="105">
        <v>2234</v>
      </c>
      <c r="B852" s="41">
        <v>316800000</v>
      </c>
      <c r="C852" s="41">
        <v>2.5000000000000001E-3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2948</v>
      </c>
      <c r="P852" s="109">
        <v>111</v>
      </c>
      <c r="Q852" s="41"/>
      <c r="R852" s="111"/>
      <c r="S852" s="110"/>
    </row>
    <row r="853" spans="1:19">
      <c r="A853" s="105">
        <v>2235</v>
      </c>
      <c r="B853" s="41">
        <v>316800000</v>
      </c>
      <c r="C853" s="41">
        <v>2.5000000000000001E-3</v>
      </c>
      <c r="D853" s="41">
        <v>16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2949</v>
      </c>
      <c r="P853" s="109">
        <v>111</v>
      </c>
      <c r="Q853" s="41"/>
      <c r="R853" s="111"/>
      <c r="S853" s="110"/>
    </row>
    <row r="854" spans="1:19">
      <c r="A854" s="105">
        <v>2236</v>
      </c>
      <c r="B854" s="41">
        <v>316800000</v>
      </c>
      <c r="C854" s="41">
        <v>2.7000000000000001E-3</v>
      </c>
      <c r="D854" s="41">
        <v>2.8283999999999998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2950</v>
      </c>
      <c r="P854" s="109">
        <v>111</v>
      </c>
      <c r="Q854" s="41"/>
      <c r="R854" s="111"/>
      <c r="S854" s="110"/>
    </row>
    <row r="855" spans="1:19">
      <c r="A855" s="105">
        <v>2237</v>
      </c>
      <c r="B855" s="41">
        <v>316800000</v>
      </c>
      <c r="C855" s="41">
        <v>2.7000000000000001E-3</v>
      </c>
      <c r="D855" s="41">
        <v>4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2951</v>
      </c>
      <c r="P855" s="109">
        <v>111</v>
      </c>
      <c r="Q855" s="41"/>
      <c r="R855" s="111"/>
      <c r="S855" s="110"/>
    </row>
    <row r="856" spans="1:19">
      <c r="A856" s="105">
        <v>2238</v>
      </c>
      <c r="B856" s="41">
        <v>316800000</v>
      </c>
      <c r="C856" s="41">
        <v>2.7000000000000001E-3</v>
      </c>
      <c r="D856" s="41">
        <v>5.6569000000000003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2952</v>
      </c>
      <c r="P856" s="109">
        <v>111</v>
      </c>
      <c r="Q856" s="41"/>
      <c r="R856" s="111"/>
      <c r="S856" s="110"/>
    </row>
    <row r="857" spans="1:19">
      <c r="A857" s="105">
        <v>2239</v>
      </c>
      <c r="B857" s="41">
        <v>316800000</v>
      </c>
      <c r="C857" s="41">
        <v>2.7000000000000001E-3</v>
      </c>
      <c r="D857" s="41">
        <v>8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2953</v>
      </c>
      <c r="P857" s="109">
        <v>111</v>
      </c>
      <c r="Q857" s="41"/>
      <c r="R857" s="111"/>
      <c r="S857" s="110"/>
    </row>
    <row r="858" spans="1:19">
      <c r="A858" s="105">
        <v>2240</v>
      </c>
      <c r="B858" s="41">
        <v>316800000</v>
      </c>
      <c r="C858" s="41">
        <v>2.7000000000000001E-3</v>
      </c>
      <c r="D858" s="41">
        <v>11.313700000000001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2954</v>
      </c>
      <c r="P858" s="109">
        <v>111</v>
      </c>
      <c r="Q858" s="41"/>
      <c r="R858" s="111"/>
      <c r="S858" s="110"/>
    </row>
    <row r="859" spans="1:19">
      <c r="A859" s="105">
        <v>2241</v>
      </c>
      <c r="B859" s="41">
        <v>316800000</v>
      </c>
      <c r="C859" s="41">
        <v>2.7000000000000001E-3</v>
      </c>
      <c r="D859" s="41">
        <v>16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2955</v>
      </c>
      <c r="P859" s="109">
        <v>111</v>
      </c>
      <c r="Q859" s="41"/>
      <c r="R859" s="111"/>
      <c r="S859" s="110"/>
    </row>
    <row r="860" spans="1:19">
      <c r="A860" s="105">
        <v>2242</v>
      </c>
      <c r="B860" s="41">
        <v>316800000</v>
      </c>
      <c r="C860" s="41">
        <v>2.8999999999999998E-3</v>
      </c>
      <c r="D860" s="41">
        <v>2.8283999999999998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2956</v>
      </c>
      <c r="P860" s="109">
        <v>111</v>
      </c>
      <c r="Q860" s="41"/>
      <c r="R860" s="111"/>
      <c r="S860" s="110"/>
    </row>
    <row r="861" spans="1:19">
      <c r="A861" s="105">
        <v>2243</v>
      </c>
      <c r="B861" s="41">
        <v>316800000</v>
      </c>
      <c r="C861" s="41">
        <v>2.8999999999999998E-3</v>
      </c>
      <c r="D861" s="41">
        <v>4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2957</v>
      </c>
      <c r="P861" s="109">
        <v>111</v>
      </c>
      <c r="Q861" s="41"/>
      <c r="R861" s="111"/>
      <c r="S861" s="110"/>
    </row>
    <row r="862" spans="1:19">
      <c r="A862" s="105">
        <v>2244</v>
      </c>
      <c r="B862" s="41">
        <v>316800000</v>
      </c>
      <c r="C862" s="41">
        <v>2.8999999999999998E-3</v>
      </c>
      <c r="D862" s="41">
        <v>5.6569000000000003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2958</v>
      </c>
      <c r="P862" s="109">
        <v>111</v>
      </c>
      <c r="Q862" s="41"/>
      <c r="R862" s="111"/>
      <c r="S862" s="110"/>
    </row>
    <row r="863" spans="1:19">
      <c r="A863" s="105">
        <v>2245</v>
      </c>
      <c r="B863" s="41">
        <v>316800000</v>
      </c>
      <c r="C863" s="41">
        <v>2.8999999999999998E-3</v>
      </c>
      <c r="D863" s="41">
        <v>8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2959</v>
      </c>
      <c r="P863" s="109">
        <v>287</v>
      </c>
      <c r="Q863" s="41"/>
      <c r="R863" s="111"/>
      <c r="S863" s="110"/>
    </row>
    <row r="864" spans="1:19">
      <c r="A864" s="105">
        <v>2246</v>
      </c>
      <c r="B864" s="41">
        <v>316800000</v>
      </c>
      <c r="C864" s="41">
        <v>2.8999999999999998E-3</v>
      </c>
      <c r="D864" s="41">
        <v>11.313700000000001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2960</v>
      </c>
      <c r="P864" s="109">
        <v>287</v>
      </c>
      <c r="Q864" s="41"/>
      <c r="R864" s="111"/>
      <c r="S864" s="110"/>
    </row>
    <row r="865" spans="1:19">
      <c r="A865" s="105">
        <v>2247</v>
      </c>
      <c r="B865" s="41">
        <v>316800000</v>
      </c>
      <c r="C865" s="41">
        <v>2.8999999999999998E-3</v>
      </c>
      <c r="D865" s="41">
        <v>16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2961</v>
      </c>
      <c r="P865" s="109">
        <v>287</v>
      </c>
      <c r="Q865" s="41"/>
      <c r="R865" s="111"/>
      <c r="S865" s="110"/>
    </row>
    <row r="866" spans="1:19">
      <c r="A866" s="105">
        <v>2248</v>
      </c>
      <c r="B866" s="41">
        <v>316800000</v>
      </c>
      <c r="C866" s="41">
        <v>3.2000000000000002E-3</v>
      </c>
      <c r="D866" s="41">
        <v>4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2962</v>
      </c>
      <c r="P866" s="109">
        <v>287</v>
      </c>
      <c r="Q866" s="41"/>
      <c r="R866" s="111"/>
      <c r="S866" s="110"/>
    </row>
    <row r="867" spans="1:19">
      <c r="A867" s="105">
        <v>2249</v>
      </c>
      <c r="B867" s="41">
        <v>316800000</v>
      </c>
      <c r="C867" s="41">
        <v>3.2000000000000002E-3</v>
      </c>
      <c r="D867" s="41">
        <v>5.6569000000000003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2963</v>
      </c>
      <c r="P867" s="109">
        <v>287</v>
      </c>
      <c r="Q867" s="41"/>
      <c r="R867" s="111"/>
      <c r="S867" s="110"/>
    </row>
    <row r="868" spans="1:19">
      <c r="A868" s="105">
        <v>2250</v>
      </c>
      <c r="B868" s="41">
        <v>316800000</v>
      </c>
      <c r="C868" s="41">
        <v>3.2000000000000002E-3</v>
      </c>
      <c r="D868" s="41">
        <v>8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2964</v>
      </c>
      <c r="P868" s="109">
        <v>287</v>
      </c>
      <c r="Q868" s="41"/>
      <c r="R868" s="111"/>
      <c r="S868" s="110"/>
    </row>
    <row r="869" spans="1:19">
      <c r="A869" s="105">
        <v>2251</v>
      </c>
      <c r="B869" s="41">
        <v>316800000</v>
      </c>
      <c r="C869" s="41">
        <v>3.2000000000000002E-3</v>
      </c>
      <c r="D869" s="41">
        <v>11.313700000000001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2965</v>
      </c>
      <c r="P869" s="109">
        <v>287</v>
      </c>
      <c r="Q869" s="41"/>
      <c r="R869" s="111"/>
      <c r="S869" s="110"/>
    </row>
    <row r="870" spans="1:19">
      <c r="A870" s="105">
        <v>2252</v>
      </c>
      <c r="B870" s="41">
        <v>316800000</v>
      </c>
      <c r="C870" s="41">
        <v>3.2000000000000002E-3</v>
      </c>
      <c r="D870" s="41">
        <v>16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2966</v>
      </c>
      <c r="P870" s="109">
        <v>287</v>
      </c>
      <c r="Q870" s="41"/>
      <c r="R870" s="111"/>
      <c r="S870" s="110"/>
    </row>
    <row r="871" spans="1:19">
      <c r="A871" s="105">
        <v>2253</v>
      </c>
      <c r="B871" s="41">
        <v>316800000</v>
      </c>
      <c r="C871" s="41">
        <v>3.5000000000000001E-3</v>
      </c>
      <c r="D871" s="41">
        <v>4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2967</v>
      </c>
      <c r="P871" s="109">
        <v>287</v>
      </c>
      <c r="Q871" s="41"/>
      <c r="R871" s="111"/>
      <c r="S871" s="110"/>
    </row>
    <row r="872" spans="1:19">
      <c r="A872" s="105">
        <v>2254</v>
      </c>
      <c r="B872" s="41">
        <v>316800000</v>
      </c>
      <c r="C872" s="41">
        <v>3.5000000000000001E-3</v>
      </c>
      <c r="D872" s="41">
        <v>5.6569000000000003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2968</v>
      </c>
      <c r="P872" s="109">
        <v>287</v>
      </c>
      <c r="Q872" s="41"/>
      <c r="R872" s="111"/>
      <c r="S872" s="110"/>
    </row>
    <row r="873" spans="1:19">
      <c r="A873" s="105">
        <v>2255</v>
      </c>
      <c r="B873" s="41">
        <v>316800000</v>
      </c>
      <c r="C873" s="41">
        <v>3.5000000000000001E-3</v>
      </c>
      <c r="D873" s="41">
        <v>8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2969</v>
      </c>
      <c r="P873" s="109">
        <v>287</v>
      </c>
      <c r="Q873" s="41"/>
      <c r="R873" s="111"/>
      <c r="S873" s="110"/>
    </row>
    <row r="874" spans="1:19">
      <c r="A874" s="105">
        <v>2256</v>
      </c>
      <c r="B874" s="41">
        <v>316800000</v>
      </c>
      <c r="C874" s="41">
        <v>3.5000000000000001E-3</v>
      </c>
      <c r="D874" s="41">
        <v>11.313700000000001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2970</v>
      </c>
      <c r="P874" s="109">
        <v>287</v>
      </c>
      <c r="Q874" s="41"/>
      <c r="R874" s="111"/>
      <c r="S874" s="110"/>
    </row>
    <row r="875" spans="1:19">
      <c r="A875" s="105">
        <v>2257</v>
      </c>
      <c r="B875" s="41">
        <v>316800000</v>
      </c>
      <c r="C875" s="41">
        <v>3.8E-3</v>
      </c>
      <c r="D875" s="41">
        <v>5.6569000000000003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2971</v>
      </c>
      <c r="P875" s="109">
        <v>287</v>
      </c>
      <c r="Q875" s="41"/>
      <c r="R875" s="111"/>
      <c r="S875" s="110"/>
    </row>
    <row r="876" spans="1:19">
      <c r="A876" s="105">
        <v>2258</v>
      </c>
      <c r="B876" s="41">
        <v>316800000</v>
      </c>
      <c r="C876" s="41">
        <v>3.8E-3</v>
      </c>
      <c r="D876" s="41">
        <v>8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2972</v>
      </c>
      <c r="P876" s="109">
        <v>287</v>
      </c>
      <c r="Q876" s="41"/>
      <c r="R876" s="111"/>
      <c r="S876" s="110"/>
    </row>
    <row r="877" spans="1:19">
      <c r="A877" s="105">
        <v>2259</v>
      </c>
      <c r="B877" s="41">
        <v>316800000</v>
      </c>
      <c r="C877" s="41">
        <v>3.8E-3</v>
      </c>
      <c r="D877" s="41">
        <v>11.313700000000001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2973</v>
      </c>
      <c r="P877" s="109">
        <v>287</v>
      </c>
      <c r="Q877" s="41"/>
      <c r="R877" s="111"/>
      <c r="S877" s="110"/>
    </row>
    <row r="878" spans="1:19">
      <c r="A878" s="105">
        <v>2260</v>
      </c>
      <c r="B878" s="41">
        <v>316800000</v>
      </c>
      <c r="C878" s="41">
        <v>4.1999999999999997E-3</v>
      </c>
      <c r="D878" s="41">
        <v>5.6569000000000003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2974</v>
      </c>
      <c r="P878" s="109">
        <v>287</v>
      </c>
      <c r="Q878" s="41"/>
      <c r="R878" s="111"/>
      <c r="S878" s="110"/>
    </row>
    <row r="879" spans="1:19">
      <c r="A879" s="105">
        <v>2261</v>
      </c>
      <c r="B879" s="41">
        <v>316800000</v>
      </c>
      <c r="C879" s="41">
        <v>4.1999999999999997E-3</v>
      </c>
      <c r="D879" s="41">
        <v>8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2975</v>
      </c>
      <c r="P879" s="109">
        <v>287</v>
      </c>
      <c r="Q879" s="41"/>
      <c r="R879" s="111"/>
      <c r="S879" s="110"/>
    </row>
    <row r="880" spans="1:19">
      <c r="A880" s="105">
        <v>2262</v>
      </c>
      <c r="B880" s="41">
        <v>316800000</v>
      </c>
      <c r="C880" s="41">
        <v>4.1999999999999997E-3</v>
      </c>
      <c r="D880" s="41">
        <v>11.313700000000001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2976</v>
      </c>
      <c r="P880" s="109">
        <v>287</v>
      </c>
      <c r="Q880" s="41"/>
      <c r="R880" s="111"/>
      <c r="S880" s="110"/>
    </row>
    <row r="881" spans="1:19">
      <c r="A881" s="105">
        <v>2263</v>
      </c>
      <c r="B881" s="41">
        <v>316800000</v>
      </c>
      <c r="C881" s="41">
        <v>4.4999999999999997E-3</v>
      </c>
      <c r="D881" s="41">
        <v>8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2977</v>
      </c>
      <c r="P881" s="109">
        <v>287</v>
      </c>
      <c r="Q881" s="41"/>
      <c r="R881" s="111"/>
      <c r="S881" s="110"/>
    </row>
    <row r="882" spans="1:19">
      <c r="A882" s="105">
        <v>2264</v>
      </c>
      <c r="B882" s="41">
        <v>316800000</v>
      </c>
      <c r="C882" s="41">
        <v>4.4999999999999997E-3</v>
      </c>
      <c r="D882" s="41">
        <v>11.313700000000001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2978</v>
      </c>
      <c r="P882" s="109">
        <v>287</v>
      </c>
      <c r="Q882" s="41"/>
      <c r="R882" s="111"/>
      <c r="S882" s="110"/>
    </row>
    <row r="883" spans="1:19">
      <c r="A883" s="105">
        <v>2265</v>
      </c>
      <c r="B883" s="41">
        <v>316800000</v>
      </c>
      <c r="C883" s="41">
        <v>4.8999999999999998E-3</v>
      </c>
      <c r="D883" s="41">
        <v>8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2979</v>
      </c>
      <c r="P883" s="109">
        <v>287</v>
      </c>
      <c r="Q883" s="41"/>
      <c r="R883" s="111"/>
      <c r="S883" s="110"/>
    </row>
    <row r="884" spans="1:19">
      <c r="A884" s="105">
        <v>2266</v>
      </c>
      <c r="B884" s="41">
        <v>120000000</v>
      </c>
      <c r="C884" s="41">
        <v>1.1999999999999999E-3</v>
      </c>
      <c r="D884" s="41">
        <v>0.5</v>
      </c>
      <c r="E884" s="41">
        <v>30</v>
      </c>
      <c r="F884" s="41">
        <v>0</v>
      </c>
      <c r="G884" s="41" t="s">
        <v>505</v>
      </c>
      <c r="H884" s="41">
        <v>2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2982</v>
      </c>
      <c r="P884" s="109">
        <v>10738</v>
      </c>
      <c r="Q884" s="41"/>
      <c r="R884" s="111"/>
      <c r="S884" s="110" t="s">
        <v>3162</v>
      </c>
    </row>
    <row r="885" spans="1:19">
      <c r="A885" s="105">
        <v>2267</v>
      </c>
      <c r="B885" s="41">
        <v>120000000</v>
      </c>
      <c r="C885" s="41">
        <v>1.1999999999999999E-3</v>
      </c>
      <c r="D885" s="41">
        <v>0.70709999999999995</v>
      </c>
      <c r="E885" s="41">
        <v>30</v>
      </c>
      <c r="F885" s="41">
        <v>0</v>
      </c>
      <c r="G885" s="41" t="s">
        <v>505</v>
      </c>
      <c r="H885" s="41">
        <v>2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2983</v>
      </c>
      <c r="P885" s="109">
        <v>10738</v>
      </c>
      <c r="Q885" s="41"/>
      <c r="R885" s="111"/>
      <c r="S885" s="110"/>
    </row>
    <row r="886" spans="1:19">
      <c r="A886" s="105">
        <v>2268</v>
      </c>
      <c r="B886" s="41">
        <v>120000000</v>
      </c>
      <c r="C886" s="41">
        <v>1.1999999999999999E-3</v>
      </c>
      <c r="D886" s="41">
        <v>1</v>
      </c>
      <c r="E886" s="41">
        <v>30</v>
      </c>
      <c r="F886" s="41">
        <v>0</v>
      </c>
      <c r="G886" s="41" t="s">
        <v>505</v>
      </c>
      <c r="H886" s="41">
        <v>2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2984</v>
      </c>
      <c r="P886" s="109">
        <v>10738</v>
      </c>
      <c r="Q886" s="41"/>
      <c r="R886" s="111"/>
      <c r="S886" s="110"/>
    </row>
    <row r="887" spans="1:19">
      <c r="A887" s="105">
        <v>2269</v>
      </c>
      <c r="B887" s="41">
        <v>120000000</v>
      </c>
      <c r="C887" s="41">
        <v>1.1999999999999999E-3</v>
      </c>
      <c r="D887" s="41">
        <v>1.4141999999999999</v>
      </c>
      <c r="E887" s="41">
        <v>30</v>
      </c>
      <c r="F887" s="41">
        <v>0</v>
      </c>
      <c r="G887" s="41" t="s">
        <v>505</v>
      </c>
      <c r="H887" s="41">
        <v>2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2985</v>
      </c>
      <c r="P887" s="109">
        <v>10738</v>
      </c>
      <c r="Q887" s="41"/>
      <c r="R887" s="111"/>
      <c r="S887" s="110"/>
    </row>
    <row r="888" spans="1:19">
      <c r="A888" s="105">
        <v>2270</v>
      </c>
      <c r="B888" s="41">
        <v>120000000</v>
      </c>
      <c r="C888" s="41">
        <v>1.1999999999999999E-3</v>
      </c>
      <c r="D888" s="41">
        <v>2</v>
      </c>
      <c r="E888" s="41">
        <v>30</v>
      </c>
      <c r="F888" s="41">
        <v>0</v>
      </c>
      <c r="G888" s="41" t="s">
        <v>505</v>
      </c>
      <c r="H888" s="41">
        <v>2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2986</v>
      </c>
      <c r="P888" s="109">
        <v>10738</v>
      </c>
      <c r="Q888" s="41"/>
      <c r="R888" s="111"/>
      <c r="S888" s="110"/>
    </row>
    <row r="889" spans="1:19">
      <c r="A889" s="105">
        <v>2271</v>
      </c>
      <c r="B889" s="41">
        <v>120000000</v>
      </c>
      <c r="C889" s="41">
        <v>1.1999999999999999E-3</v>
      </c>
      <c r="D889" s="41">
        <v>2.8283999999999998</v>
      </c>
      <c r="E889" s="41">
        <v>30</v>
      </c>
      <c r="F889" s="41">
        <v>0</v>
      </c>
      <c r="G889" s="41" t="s">
        <v>505</v>
      </c>
      <c r="H889" s="41">
        <v>2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2987</v>
      </c>
      <c r="P889" s="109">
        <v>10738</v>
      </c>
      <c r="Q889" s="41"/>
      <c r="R889" s="111"/>
      <c r="S889" s="110"/>
    </row>
    <row r="890" spans="1:19">
      <c r="A890" s="105">
        <v>2272</v>
      </c>
      <c r="B890" s="41">
        <v>120000000</v>
      </c>
      <c r="C890" s="41">
        <v>1.1999999999999999E-3</v>
      </c>
      <c r="D890" s="41">
        <v>4</v>
      </c>
      <c r="E890" s="41">
        <v>30</v>
      </c>
      <c r="F890" s="41">
        <v>0</v>
      </c>
      <c r="G890" s="41" t="s">
        <v>505</v>
      </c>
      <c r="H890" s="41">
        <v>2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2988</v>
      </c>
      <c r="P890" s="109">
        <v>10738</v>
      </c>
      <c r="Q890" s="41"/>
      <c r="R890" s="111"/>
      <c r="S890" s="110"/>
    </row>
    <row r="891" spans="1:19">
      <c r="A891" s="105">
        <v>2273</v>
      </c>
      <c r="B891" s="41">
        <v>120000000</v>
      </c>
      <c r="C891" s="41">
        <v>1.1999999999999999E-3</v>
      </c>
      <c r="D891" s="41">
        <v>5.6569000000000003</v>
      </c>
      <c r="E891" s="41">
        <v>30</v>
      </c>
      <c r="F891" s="41">
        <v>0</v>
      </c>
      <c r="G891" s="41" t="s">
        <v>505</v>
      </c>
      <c r="H891" s="41">
        <v>2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2989</v>
      </c>
      <c r="P891" s="109">
        <v>10738</v>
      </c>
      <c r="Q891" s="41"/>
      <c r="R891" s="111"/>
      <c r="S891" s="110"/>
    </row>
    <row r="892" spans="1:19">
      <c r="A892" s="105">
        <v>2274</v>
      </c>
      <c r="B892" s="41">
        <v>120000000</v>
      </c>
      <c r="C892" s="41">
        <v>1.1999999999999999E-3</v>
      </c>
      <c r="D892" s="41">
        <v>8</v>
      </c>
      <c r="E892" s="41">
        <v>30</v>
      </c>
      <c r="F892" s="41">
        <v>0</v>
      </c>
      <c r="G892" s="41" t="s">
        <v>505</v>
      </c>
      <c r="H892" s="41">
        <v>2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2990</v>
      </c>
      <c r="P892" s="109">
        <v>10738</v>
      </c>
      <c r="Q892" s="41"/>
      <c r="R892" s="111"/>
      <c r="S892" s="110"/>
    </row>
    <row r="893" spans="1:19">
      <c r="A893" s="105">
        <v>2275</v>
      </c>
      <c r="B893" s="41">
        <v>120000000</v>
      </c>
      <c r="C893" s="41">
        <v>1.1999999999999999E-3</v>
      </c>
      <c r="D893" s="41">
        <v>11.313700000000001</v>
      </c>
      <c r="E893" s="41">
        <v>30</v>
      </c>
      <c r="F893" s="41">
        <v>0</v>
      </c>
      <c r="G893" s="41" t="s">
        <v>505</v>
      </c>
      <c r="H893" s="41">
        <v>2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2991</v>
      </c>
      <c r="P893" s="109">
        <v>10738</v>
      </c>
      <c r="Q893" s="41"/>
      <c r="R893" s="111"/>
      <c r="S893" s="110"/>
    </row>
    <row r="894" spans="1:19">
      <c r="A894" s="105">
        <v>2276</v>
      </c>
      <c r="B894" s="41">
        <v>120000000</v>
      </c>
      <c r="C894" s="41">
        <v>1.2999999999999999E-3</v>
      </c>
      <c r="D894" s="41">
        <v>0.70709999999999995</v>
      </c>
      <c r="E894" s="41">
        <v>30</v>
      </c>
      <c r="F894" s="41">
        <v>0</v>
      </c>
      <c r="G894" s="41" t="s">
        <v>505</v>
      </c>
      <c r="H894" s="41">
        <v>2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2992</v>
      </c>
      <c r="P894" s="109">
        <v>10738</v>
      </c>
      <c r="Q894" s="41"/>
      <c r="R894" s="111"/>
      <c r="S894" s="110"/>
    </row>
    <row r="895" spans="1:19">
      <c r="A895" s="105">
        <v>2277</v>
      </c>
      <c r="B895" s="41">
        <v>120000000</v>
      </c>
      <c r="C895" s="41">
        <v>1.2999999999999999E-3</v>
      </c>
      <c r="D895" s="41">
        <v>1</v>
      </c>
      <c r="E895" s="41">
        <v>30</v>
      </c>
      <c r="F895" s="41">
        <v>0</v>
      </c>
      <c r="G895" s="41" t="s">
        <v>505</v>
      </c>
      <c r="H895" s="41">
        <v>2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2993</v>
      </c>
      <c r="P895" s="109">
        <v>10738</v>
      </c>
      <c r="Q895" s="41"/>
      <c r="R895" s="111"/>
      <c r="S895" s="110"/>
    </row>
    <row r="896" spans="1:19">
      <c r="A896" s="105">
        <v>2278</v>
      </c>
      <c r="B896" s="41">
        <v>120000000</v>
      </c>
      <c r="C896" s="41">
        <v>1.2999999999999999E-3</v>
      </c>
      <c r="D896" s="41">
        <v>1.4141999999999999</v>
      </c>
      <c r="E896" s="41">
        <v>30</v>
      </c>
      <c r="F896" s="41">
        <v>0</v>
      </c>
      <c r="G896" s="41" t="s">
        <v>505</v>
      </c>
      <c r="H896" s="41">
        <v>2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2994</v>
      </c>
      <c r="P896" s="109">
        <v>10738</v>
      </c>
      <c r="Q896" s="41"/>
      <c r="R896" s="111"/>
      <c r="S896" s="110"/>
    </row>
    <row r="897" spans="1:19">
      <c r="A897" s="105">
        <v>2279</v>
      </c>
      <c r="B897" s="41">
        <v>120000000</v>
      </c>
      <c r="C897" s="41">
        <v>1.2999999999999999E-3</v>
      </c>
      <c r="D897" s="41">
        <v>2</v>
      </c>
      <c r="E897" s="41">
        <v>30</v>
      </c>
      <c r="F897" s="41">
        <v>0</v>
      </c>
      <c r="G897" s="41" t="s">
        <v>505</v>
      </c>
      <c r="H897" s="41">
        <v>2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2995</v>
      </c>
      <c r="P897" s="109">
        <v>10738</v>
      </c>
      <c r="Q897" s="41"/>
      <c r="R897" s="111"/>
      <c r="S897" s="110"/>
    </row>
    <row r="898" spans="1:19">
      <c r="A898" s="105">
        <v>2280</v>
      </c>
      <c r="B898" s="41">
        <v>120000000</v>
      </c>
      <c r="C898" s="41">
        <v>1.2999999999999999E-3</v>
      </c>
      <c r="D898" s="41">
        <v>2.8283999999999998</v>
      </c>
      <c r="E898" s="41">
        <v>30</v>
      </c>
      <c r="F898" s="41">
        <v>0</v>
      </c>
      <c r="G898" s="41" t="s">
        <v>505</v>
      </c>
      <c r="H898" s="41">
        <v>2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2996</v>
      </c>
      <c r="P898" s="109">
        <v>10738</v>
      </c>
      <c r="Q898" s="41"/>
      <c r="R898" s="111"/>
      <c r="S898" s="110"/>
    </row>
    <row r="899" spans="1:19">
      <c r="A899" s="105">
        <v>2281</v>
      </c>
      <c r="B899" s="41">
        <v>120000000</v>
      </c>
      <c r="C899" s="41">
        <v>1.2999999999999999E-3</v>
      </c>
      <c r="D899" s="41">
        <v>4</v>
      </c>
      <c r="E899" s="41">
        <v>30</v>
      </c>
      <c r="F899" s="41">
        <v>0</v>
      </c>
      <c r="G899" s="41" t="s">
        <v>505</v>
      </c>
      <c r="H899" s="41">
        <v>2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2997</v>
      </c>
      <c r="P899" s="109">
        <v>10738</v>
      </c>
      <c r="Q899" s="41"/>
      <c r="R899" s="111"/>
      <c r="S899" s="110"/>
    </row>
    <row r="900" spans="1:19">
      <c r="A900" s="105">
        <v>2282</v>
      </c>
      <c r="B900" s="41">
        <v>120000000</v>
      </c>
      <c r="C900" s="41">
        <v>1.2999999999999999E-3</v>
      </c>
      <c r="D900" s="41">
        <v>5.6569000000000003</v>
      </c>
      <c r="E900" s="41">
        <v>30</v>
      </c>
      <c r="F900" s="41">
        <v>0</v>
      </c>
      <c r="G900" s="41" t="s">
        <v>505</v>
      </c>
      <c r="H900" s="41">
        <v>2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2998</v>
      </c>
      <c r="P900" s="109">
        <v>10738</v>
      </c>
      <c r="Q900" s="41"/>
      <c r="R900" s="111"/>
      <c r="S900" s="110"/>
    </row>
    <row r="901" spans="1:19">
      <c r="A901" s="105">
        <v>2283</v>
      </c>
      <c r="B901" s="41">
        <v>120000000</v>
      </c>
      <c r="C901" s="41">
        <v>1.2999999999999999E-3</v>
      </c>
      <c r="D901" s="41">
        <v>8</v>
      </c>
      <c r="E901" s="41">
        <v>30</v>
      </c>
      <c r="F901" s="41">
        <v>0</v>
      </c>
      <c r="G901" s="41" t="s">
        <v>505</v>
      </c>
      <c r="H901" s="41">
        <v>2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2999</v>
      </c>
      <c r="P901" s="109">
        <v>10738</v>
      </c>
      <c r="Q901" s="41"/>
      <c r="R901" s="111"/>
      <c r="S901" s="110"/>
    </row>
    <row r="902" spans="1:19">
      <c r="A902" s="105">
        <v>2284</v>
      </c>
      <c r="B902" s="41">
        <v>120000000</v>
      </c>
      <c r="C902" s="41">
        <v>1.2999999999999999E-3</v>
      </c>
      <c r="D902" s="41">
        <v>11.313700000000001</v>
      </c>
      <c r="E902" s="41">
        <v>30</v>
      </c>
      <c r="F902" s="41">
        <v>0</v>
      </c>
      <c r="G902" s="41" t="s">
        <v>505</v>
      </c>
      <c r="H902" s="41">
        <v>2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3000</v>
      </c>
      <c r="P902" s="109">
        <v>10738</v>
      </c>
      <c r="Q902" s="41"/>
      <c r="R902" s="111"/>
      <c r="S902" s="110"/>
    </row>
    <row r="903" spans="1:19">
      <c r="A903" s="105">
        <v>2285</v>
      </c>
      <c r="B903" s="41">
        <v>120000000</v>
      </c>
      <c r="C903" s="41">
        <v>1.2999999999999999E-3</v>
      </c>
      <c r="D903" s="41">
        <v>16</v>
      </c>
      <c r="E903" s="41">
        <v>30</v>
      </c>
      <c r="F903" s="41">
        <v>0</v>
      </c>
      <c r="G903" s="41" t="s">
        <v>505</v>
      </c>
      <c r="H903" s="41">
        <v>2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3001</v>
      </c>
      <c r="P903" s="109">
        <v>10738</v>
      </c>
      <c r="Q903" s="41"/>
      <c r="R903" s="111"/>
      <c r="S903" s="110"/>
    </row>
    <row r="904" spans="1:19">
      <c r="A904" s="105">
        <v>2286</v>
      </c>
      <c r="B904" s="41">
        <v>120000000</v>
      </c>
      <c r="C904" s="41">
        <v>1.5E-3</v>
      </c>
      <c r="D904" s="41">
        <v>0.70709999999999995</v>
      </c>
      <c r="E904" s="41">
        <v>30</v>
      </c>
      <c r="F904" s="41">
        <v>0</v>
      </c>
      <c r="G904" s="41" t="s">
        <v>505</v>
      </c>
      <c r="H904" s="41">
        <v>2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3002</v>
      </c>
      <c r="P904" s="109"/>
      <c r="Q904" s="41"/>
      <c r="R904" s="111"/>
      <c r="S904" s="110"/>
    </row>
    <row r="905" spans="1:19">
      <c r="A905" s="105">
        <v>2287</v>
      </c>
      <c r="B905" s="41">
        <v>120000000</v>
      </c>
      <c r="C905" s="41">
        <v>1.5E-3</v>
      </c>
      <c r="D905" s="41">
        <v>1</v>
      </c>
      <c r="E905" s="41">
        <v>30</v>
      </c>
      <c r="F905" s="41">
        <v>0</v>
      </c>
      <c r="G905" s="41" t="s">
        <v>505</v>
      </c>
      <c r="H905" s="41">
        <v>2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3003</v>
      </c>
      <c r="P905" s="109"/>
      <c r="Q905" s="41"/>
      <c r="R905" s="111"/>
      <c r="S905" s="110"/>
    </row>
    <row r="906" spans="1:19">
      <c r="A906" s="105">
        <v>2288</v>
      </c>
      <c r="B906" s="41">
        <v>120000000</v>
      </c>
      <c r="C906" s="41">
        <v>1.5E-3</v>
      </c>
      <c r="D906" s="41">
        <v>1.4141999999999999</v>
      </c>
      <c r="E906" s="41">
        <v>30</v>
      </c>
      <c r="F906" s="41">
        <v>0</v>
      </c>
      <c r="G906" s="41" t="s">
        <v>505</v>
      </c>
      <c r="H906" s="41">
        <v>2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3004</v>
      </c>
      <c r="P906" s="109"/>
      <c r="Q906" s="41"/>
      <c r="R906" s="111"/>
      <c r="S906" s="110"/>
    </row>
    <row r="907" spans="1:19">
      <c r="A907" s="105">
        <v>2289</v>
      </c>
      <c r="B907" s="41">
        <v>120000000</v>
      </c>
      <c r="C907" s="41">
        <v>1.5E-3</v>
      </c>
      <c r="D907" s="41">
        <v>2</v>
      </c>
      <c r="E907" s="41">
        <v>30</v>
      </c>
      <c r="F907" s="41">
        <v>0</v>
      </c>
      <c r="G907" s="41" t="s">
        <v>505</v>
      </c>
      <c r="H907" s="41">
        <v>2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3005</v>
      </c>
      <c r="P907" s="109"/>
      <c r="Q907" s="41"/>
      <c r="R907" s="111"/>
      <c r="S907" s="110"/>
    </row>
    <row r="908" spans="1:19">
      <c r="A908" s="105">
        <v>2290</v>
      </c>
      <c r="B908" s="41">
        <v>120000000</v>
      </c>
      <c r="C908" s="41">
        <v>1.5E-3</v>
      </c>
      <c r="D908" s="41">
        <v>2.8283999999999998</v>
      </c>
      <c r="E908" s="41">
        <v>30</v>
      </c>
      <c r="F908" s="41">
        <v>0</v>
      </c>
      <c r="G908" s="41" t="s">
        <v>505</v>
      </c>
      <c r="H908" s="41">
        <v>2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3006</v>
      </c>
      <c r="P908" s="109"/>
      <c r="Q908" s="41"/>
      <c r="R908" s="111"/>
      <c r="S908" s="110"/>
    </row>
    <row r="909" spans="1:19">
      <c r="A909" s="105">
        <v>2291</v>
      </c>
      <c r="B909" s="41">
        <v>120000000</v>
      </c>
      <c r="C909" s="41">
        <v>1.5E-3</v>
      </c>
      <c r="D909" s="41">
        <v>4</v>
      </c>
      <c r="E909" s="41">
        <v>30</v>
      </c>
      <c r="F909" s="41">
        <v>0</v>
      </c>
      <c r="G909" s="41" t="s">
        <v>505</v>
      </c>
      <c r="H909" s="41">
        <v>2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3007</v>
      </c>
      <c r="P909" s="109"/>
      <c r="Q909" s="41"/>
      <c r="R909" s="111"/>
      <c r="S909" s="110"/>
    </row>
    <row r="910" spans="1:19">
      <c r="A910" s="105">
        <v>2292</v>
      </c>
      <c r="B910" s="41">
        <v>120000000</v>
      </c>
      <c r="C910" s="41">
        <v>1.5E-3</v>
      </c>
      <c r="D910" s="41">
        <v>5.6569000000000003</v>
      </c>
      <c r="E910" s="41">
        <v>30</v>
      </c>
      <c r="F910" s="41">
        <v>0</v>
      </c>
      <c r="G910" s="41" t="s">
        <v>505</v>
      </c>
      <c r="H910" s="41">
        <v>2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3008</v>
      </c>
      <c r="P910" s="109"/>
      <c r="Q910" s="41"/>
      <c r="R910" s="111"/>
      <c r="S910" s="110"/>
    </row>
    <row r="911" spans="1:19">
      <c r="A911" s="105">
        <v>2293</v>
      </c>
      <c r="B911" s="41">
        <v>120000000</v>
      </c>
      <c r="C911" s="41">
        <v>1.5E-3</v>
      </c>
      <c r="D911" s="41">
        <v>8</v>
      </c>
      <c r="E911" s="41">
        <v>30</v>
      </c>
      <c r="F911" s="41">
        <v>0</v>
      </c>
      <c r="G911" s="41" t="s">
        <v>505</v>
      </c>
      <c r="H911" s="41">
        <v>2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3009</v>
      </c>
      <c r="P911" s="109"/>
      <c r="Q911" s="41"/>
      <c r="R911" s="111"/>
      <c r="S911" s="110"/>
    </row>
    <row r="912" spans="1:19">
      <c r="A912" s="105">
        <v>2294</v>
      </c>
      <c r="B912" s="41">
        <v>120000000</v>
      </c>
      <c r="C912" s="41">
        <v>1.5E-3</v>
      </c>
      <c r="D912" s="41">
        <v>11.313700000000001</v>
      </c>
      <c r="E912" s="41">
        <v>30</v>
      </c>
      <c r="F912" s="41">
        <v>0</v>
      </c>
      <c r="G912" s="41" t="s">
        <v>505</v>
      </c>
      <c r="H912" s="41">
        <v>2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3010</v>
      </c>
      <c r="P912" s="109"/>
      <c r="Q912" s="41"/>
      <c r="R912" s="111"/>
      <c r="S912" s="110"/>
    </row>
    <row r="913" spans="1:19">
      <c r="A913" s="105">
        <v>2295</v>
      </c>
      <c r="B913" s="41">
        <v>120000000</v>
      </c>
      <c r="C913" s="41">
        <v>1.5E-3</v>
      </c>
      <c r="D913" s="41">
        <v>16</v>
      </c>
      <c r="E913" s="41">
        <v>30</v>
      </c>
      <c r="F913" s="41">
        <v>0</v>
      </c>
      <c r="G913" s="41" t="s">
        <v>505</v>
      </c>
      <c r="H913" s="41">
        <v>2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3011</v>
      </c>
      <c r="P913" s="109"/>
      <c r="Q913" s="41"/>
      <c r="R913" s="111"/>
      <c r="S913" s="110"/>
    </row>
    <row r="914" spans="1:19">
      <c r="A914" s="105">
        <v>2296</v>
      </c>
      <c r="B914" s="41">
        <v>120000000</v>
      </c>
      <c r="C914" s="41">
        <v>1.6000000000000001E-3</v>
      </c>
      <c r="D914" s="41">
        <v>1</v>
      </c>
      <c r="E914" s="41">
        <v>30</v>
      </c>
      <c r="F914" s="41">
        <v>0</v>
      </c>
      <c r="G914" s="41" t="s">
        <v>505</v>
      </c>
      <c r="H914" s="41">
        <v>2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3012</v>
      </c>
      <c r="P914" s="109"/>
      <c r="Q914" s="41"/>
      <c r="R914" s="111"/>
      <c r="S914" s="110"/>
    </row>
    <row r="915" spans="1:19">
      <c r="A915" s="105">
        <v>2297</v>
      </c>
      <c r="B915" s="41">
        <v>120000000</v>
      </c>
      <c r="C915" s="41">
        <v>1.6000000000000001E-3</v>
      </c>
      <c r="D915" s="41">
        <v>1.4141999999999999</v>
      </c>
      <c r="E915" s="41">
        <v>30</v>
      </c>
      <c r="F915" s="41">
        <v>0</v>
      </c>
      <c r="G915" s="41" t="s">
        <v>505</v>
      </c>
      <c r="H915" s="41">
        <v>2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3013</v>
      </c>
      <c r="P915" s="109"/>
      <c r="Q915" s="41"/>
      <c r="R915" s="111"/>
      <c r="S915" s="110"/>
    </row>
    <row r="916" spans="1:19">
      <c r="A916" s="105">
        <v>2298</v>
      </c>
      <c r="B916" s="41">
        <v>120000000</v>
      </c>
      <c r="C916" s="41">
        <v>1.6000000000000001E-3</v>
      </c>
      <c r="D916" s="41">
        <v>2</v>
      </c>
      <c r="E916" s="41">
        <v>30</v>
      </c>
      <c r="F916" s="41">
        <v>0</v>
      </c>
      <c r="G916" s="41" t="s">
        <v>505</v>
      </c>
      <c r="H916" s="41">
        <v>2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3014</v>
      </c>
      <c r="P916" s="109"/>
      <c r="Q916" s="41"/>
      <c r="R916" s="111"/>
      <c r="S916" s="110"/>
    </row>
    <row r="917" spans="1:19">
      <c r="A917" s="105">
        <v>2299</v>
      </c>
      <c r="B917" s="41">
        <v>120000000</v>
      </c>
      <c r="C917" s="41">
        <v>1.6000000000000001E-3</v>
      </c>
      <c r="D917" s="41">
        <v>2.8283999999999998</v>
      </c>
      <c r="E917" s="41">
        <v>30</v>
      </c>
      <c r="F917" s="41">
        <v>0</v>
      </c>
      <c r="G917" s="41" t="s">
        <v>505</v>
      </c>
      <c r="H917" s="41">
        <v>2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3015</v>
      </c>
      <c r="P917" s="109"/>
      <c r="Q917" s="41"/>
      <c r="R917" s="111"/>
      <c r="S917" s="110"/>
    </row>
    <row r="918" spans="1:19">
      <c r="A918" s="105">
        <v>2300</v>
      </c>
      <c r="B918" s="41">
        <v>120000000</v>
      </c>
      <c r="C918" s="41">
        <v>1.6000000000000001E-3</v>
      </c>
      <c r="D918" s="41">
        <v>4</v>
      </c>
      <c r="E918" s="41">
        <v>30</v>
      </c>
      <c r="F918" s="41">
        <v>0</v>
      </c>
      <c r="G918" s="41" t="s">
        <v>505</v>
      </c>
      <c r="H918" s="41">
        <v>2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3016</v>
      </c>
      <c r="P918" s="109"/>
      <c r="Q918" s="41"/>
      <c r="R918" s="111"/>
      <c r="S918" s="110"/>
    </row>
    <row r="919" spans="1:19">
      <c r="A919" s="105">
        <v>2301</v>
      </c>
      <c r="B919" s="41">
        <v>120000000</v>
      </c>
      <c r="C919" s="41">
        <v>1.6000000000000001E-3</v>
      </c>
      <c r="D919" s="41">
        <v>5.6569000000000003</v>
      </c>
      <c r="E919" s="41">
        <v>30</v>
      </c>
      <c r="F919" s="41">
        <v>0</v>
      </c>
      <c r="G919" s="41" t="s">
        <v>505</v>
      </c>
      <c r="H919" s="41">
        <v>2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3017</v>
      </c>
      <c r="P919" s="109"/>
      <c r="Q919" s="41"/>
      <c r="R919" s="111"/>
      <c r="S919" s="110"/>
    </row>
    <row r="920" spans="1:19">
      <c r="A920" s="105">
        <v>2302</v>
      </c>
      <c r="B920" s="41">
        <v>120000000</v>
      </c>
      <c r="C920" s="41">
        <v>1.6000000000000001E-3</v>
      </c>
      <c r="D920" s="41">
        <v>8</v>
      </c>
      <c r="E920" s="41">
        <v>30</v>
      </c>
      <c r="F920" s="41">
        <v>0</v>
      </c>
      <c r="G920" s="41" t="s">
        <v>505</v>
      </c>
      <c r="H920" s="41">
        <v>2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3018</v>
      </c>
      <c r="P920" s="109"/>
      <c r="Q920" s="41"/>
      <c r="R920" s="111"/>
      <c r="S920" s="110"/>
    </row>
    <row r="921" spans="1:19">
      <c r="A921" s="105">
        <v>2303</v>
      </c>
      <c r="B921" s="41">
        <v>120000000</v>
      </c>
      <c r="C921" s="41">
        <v>1.6000000000000001E-3</v>
      </c>
      <c r="D921" s="41">
        <v>11.313700000000001</v>
      </c>
      <c r="E921" s="41">
        <v>30</v>
      </c>
      <c r="F921" s="41">
        <v>0</v>
      </c>
      <c r="G921" s="41" t="s">
        <v>505</v>
      </c>
      <c r="H921" s="41">
        <v>2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3019</v>
      </c>
      <c r="P921" s="109"/>
      <c r="Q921" s="41"/>
      <c r="R921" s="111"/>
      <c r="S921" s="110"/>
    </row>
    <row r="922" spans="1:19">
      <c r="A922" s="105">
        <v>2304</v>
      </c>
      <c r="B922" s="41">
        <v>120000000</v>
      </c>
      <c r="C922" s="41">
        <v>1.6000000000000001E-3</v>
      </c>
      <c r="D922" s="41">
        <v>16</v>
      </c>
      <c r="E922" s="41">
        <v>30</v>
      </c>
      <c r="F922" s="41">
        <v>0</v>
      </c>
      <c r="G922" s="41" t="s">
        <v>505</v>
      </c>
      <c r="H922" s="41">
        <v>2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3020</v>
      </c>
      <c r="P922" s="109"/>
      <c r="Q922" s="41"/>
      <c r="R922" s="111"/>
      <c r="S922" s="110"/>
    </row>
    <row r="923" spans="1:19">
      <c r="A923" s="105">
        <v>2305</v>
      </c>
      <c r="B923" s="41">
        <v>120000000</v>
      </c>
      <c r="C923" s="41">
        <v>1.6000000000000001E-3</v>
      </c>
      <c r="D923" s="41">
        <v>22.627400000000002</v>
      </c>
      <c r="E923" s="41">
        <v>30</v>
      </c>
      <c r="F923" s="41">
        <v>0</v>
      </c>
      <c r="G923" s="41" t="s">
        <v>505</v>
      </c>
      <c r="H923" s="41">
        <v>2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3021</v>
      </c>
      <c r="P923" s="109"/>
      <c r="Q923" s="41"/>
      <c r="R923" s="111"/>
      <c r="S923" s="110"/>
    </row>
    <row r="924" spans="1:19">
      <c r="A924" s="105">
        <v>2306</v>
      </c>
      <c r="B924" s="41">
        <v>120000000</v>
      </c>
      <c r="C924" s="41">
        <v>1.6999999999999999E-3</v>
      </c>
      <c r="D924" s="41">
        <v>1</v>
      </c>
      <c r="E924" s="41">
        <v>30</v>
      </c>
      <c r="F924" s="41">
        <v>0</v>
      </c>
      <c r="G924" s="41" t="s">
        <v>505</v>
      </c>
      <c r="H924" s="41">
        <v>2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3022</v>
      </c>
      <c r="P924" s="109">
        <v>10740</v>
      </c>
      <c r="Q924" s="41"/>
      <c r="R924" s="111"/>
      <c r="S924" s="110"/>
    </row>
    <row r="925" spans="1:19">
      <c r="A925" s="105">
        <v>2307</v>
      </c>
      <c r="B925" s="41">
        <v>120000000</v>
      </c>
      <c r="C925" s="41">
        <v>1.6999999999999999E-3</v>
      </c>
      <c r="D925" s="41">
        <v>1.4141999999999999</v>
      </c>
      <c r="E925" s="41">
        <v>30</v>
      </c>
      <c r="F925" s="41">
        <v>0</v>
      </c>
      <c r="G925" s="41" t="s">
        <v>505</v>
      </c>
      <c r="H925" s="41">
        <v>2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3023</v>
      </c>
      <c r="P925" s="109">
        <v>10740</v>
      </c>
      <c r="Q925" s="41"/>
      <c r="R925" s="111"/>
      <c r="S925" s="110"/>
    </row>
    <row r="926" spans="1:19">
      <c r="A926" s="105">
        <v>2308</v>
      </c>
      <c r="B926" s="41">
        <v>120000000</v>
      </c>
      <c r="C926" s="41">
        <v>1.6999999999999999E-3</v>
      </c>
      <c r="D926" s="41">
        <v>2</v>
      </c>
      <c r="E926" s="41">
        <v>30</v>
      </c>
      <c r="F926" s="41">
        <v>0</v>
      </c>
      <c r="G926" s="41" t="s">
        <v>505</v>
      </c>
      <c r="H926" s="41">
        <v>2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3024</v>
      </c>
      <c r="P926" s="109">
        <v>10740</v>
      </c>
      <c r="Q926" s="41"/>
      <c r="R926" s="111"/>
      <c r="S926" s="110"/>
    </row>
    <row r="927" spans="1:19">
      <c r="A927" s="105">
        <v>2309</v>
      </c>
      <c r="B927" s="41">
        <v>120000000</v>
      </c>
      <c r="C927" s="41">
        <v>1.6999999999999999E-3</v>
      </c>
      <c r="D927" s="41">
        <v>2.8283999999999998</v>
      </c>
      <c r="E927" s="41">
        <v>30</v>
      </c>
      <c r="F927" s="41">
        <v>0</v>
      </c>
      <c r="G927" s="41" t="s">
        <v>505</v>
      </c>
      <c r="H927" s="41">
        <v>2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3025</v>
      </c>
      <c r="P927" s="109">
        <v>10740</v>
      </c>
      <c r="Q927" s="41"/>
      <c r="R927" s="111"/>
      <c r="S927" s="110"/>
    </row>
    <row r="928" spans="1:19">
      <c r="A928" s="105">
        <v>2310</v>
      </c>
      <c r="B928" s="41">
        <v>120000000</v>
      </c>
      <c r="C928" s="41">
        <v>1.6999999999999999E-3</v>
      </c>
      <c r="D928" s="41">
        <v>4</v>
      </c>
      <c r="E928" s="41">
        <v>30</v>
      </c>
      <c r="F928" s="41">
        <v>0</v>
      </c>
      <c r="G928" s="41" t="s">
        <v>505</v>
      </c>
      <c r="H928" s="41">
        <v>2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3026</v>
      </c>
      <c r="P928" s="109">
        <v>10740</v>
      </c>
      <c r="Q928" s="41"/>
      <c r="R928" s="111"/>
      <c r="S928" s="110"/>
    </row>
    <row r="929" spans="1:19">
      <c r="A929" s="105">
        <v>2311</v>
      </c>
      <c r="B929" s="41">
        <v>120000000</v>
      </c>
      <c r="C929" s="41">
        <v>1.6999999999999999E-3</v>
      </c>
      <c r="D929" s="41">
        <v>5.6569000000000003</v>
      </c>
      <c r="E929" s="41">
        <v>30</v>
      </c>
      <c r="F929" s="41">
        <v>0</v>
      </c>
      <c r="G929" s="41" t="s">
        <v>505</v>
      </c>
      <c r="H929" s="41">
        <v>2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3027</v>
      </c>
      <c r="P929" s="109">
        <v>10740</v>
      </c>
      <c r="Q929" s="41"/>
      <c r="R929" s="111"/>
      <c r="S929" s="110"/>
    </row>
    <row r="930" spans="1:19">
      <c r="A930" s="105">
        <v>2312</v>
      </c>
      <c r="B930" s="41">
        <v>120000000</v>
      </c>
      <c r="C930" s="41">
        <v>1.6999999999999999E-3</v>
      </c>
      <c r="D930" s="41">
        <v>8</v>
      </c>
      <c r="E930" s="41">
        <v>30</v>
      </c>
      <c r="F930" s="41">
        <v>0</v>
      </c>
      <c r="G930" s="41" t="s">
        <v>505</v>
      </c>
      <c r="H930" s="41">
        <v>2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3028</v>
      </c>
      <c r="P930" s="109">
        <v>10740</v>
      </c>
      <c r="Q930" s="41"/>
      <c r="R930" s="111"/>
      <c r="S930" s="110"/>
    </row>
    <row r="931" spans="1:19">
      <c r="A931" s="105">
        <v>2313</v>
      </c>
      <c r="B931" s="41">
        <v>120000000</v>
      </c>
      <c r="C931" s="41">
        <v>1.6999999999999999E-3</v>
      </c>
      <c r="D931" s="41">
        <v>11.313700000000001</v>
      </c>
      <c r="E931" s="41">
        <v>30</v>
      </c>
      <c r="F931" s="41">
        <v>0</v>
      </c>
      <c r="G931" s="41" t="s">
        <v>505</v>
      </c>
      <c r="H931" s="41">
        <v>2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3029</v>
      </c>
      <c r="P931" s="109">
        <v>10740</v>
      </c>
      <c r="Q931" s="41"/>
      <c r="R931" s="111"/>
      <c r="S931" s="110"/>
    </row>
    <row r="932" spans="1:19">
      <c r="A932" s="105">
        <v>2314</v>
      </c>
      <c r="B932" s="41">
        <v>120000000</v>
      </c>
      <c r="C932" s="41">
        <v>1.6999999999999999E-3</v>
      </c>
      <c r="D932" s="41">
        <v>16</v>
      </c>
      <c r="E932" s="41">
        <v>30</v>
      </c>
      <c r="F932" s="41">
        <v>0</v>
      </c>
      <c r="G932" s="41" t="s">
        <v>505</v>
      </c>
      <c r="H932" s="41">
        <v>2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3030</v>
      </c>
      <c r="P932" s="109">
        <v>10740</v>
      </c>
      <c r="Q932" s="41"/>
      <c r="R932" s="111"/>
      <c r="S932" s="110"/>
    </row>
    <row r="933" spans="1:19">
      <c r="A933" s="105">
        <v>2315</v>
      </c>
      <c r="B933" s="41">
        <v>120000000</v>
      </c>
      <c r="C933" s="41">
        <v>1.6999999999999999E-3</v>
      </c>
      <c r="D933" s="41">
        <v>22.627400000000002</v>
      </c>
      <c r="E933" s="41">
        <v>30</v>
      </c>
      <c r="F933" s="41">
        <v>0</v>
      </c>
      <c r="G933" s="41" t="s">
        <v>505</v>
      </c>
      <c r="H933" s="41">
        <v>2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3031</v>
      </c>
      <c r="P933" s="109">
        <v>10740</v>
      </c>
      <c r="Q933" s="41"/>
      <c r="R933" s="111"/>
      <c r="S933" s="110"/>
    </row>
    <row r="934" spans="1:19">
      <c r="A934" s="105">
        <v>2316</v>
      </c>
      <c r="B934" s="41">
        <v>120000000</v>
      </c>
      <c r="C934" s="41">
        <v>1.9E-3</v>
      </c>
      <c r="D934" s="41">
        <v>1.4141999999999999</v>
      </c>
      <c r="E934" s="41">
        <v>30</v>
      </c>
      <c r="F934" s="41">
        <v>0</v>
      </c>
      <c r="G934" s="41" t="s">
        <v>505</v>
      </c>
      <c r="H934" s="41">
        <v>2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3032</v>
      </c>
      <c r="P934" s="109">
        <v>10740</v>
      </c>
      <c r="Q934" s="41"/>
      <c r="R934" s="111"/>
      <c r="S934" s="110"/>
    </row>
    <row r="935" spans="1:19">
      <c r="A935" s="105">
        <v>2317</v>
      </c>
      <c r="B935" s="41">
        <v>120000000</v>
      </c>
      <c r="C935" s="41">
        <v>1.9E-3</v>
      </c>
      <c r="D935" s="41">
        <v>2</v>
      </c>
      <c r="E935" s="41">
        <v>30</v>
      </c>
      <c r="F935" s="41">
        <v>0</v>
      </c>
      <c r="G935" s="41" t="s">
        <v>505</v>
      </c>
      <c r="H935" s="41">
        <v>2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3033</v>
      </c>
      <c r="P935" s="109">
        <v>10740</v>
      </c>
      <c r="Q935" s="41"/>
      <c r="R935" s="111"/>
      <c r="S935" s="110"/>
    </row>
    <row r="936" spans="1:19">
      <c r="A936" s="105">
        <v>2318</v>
      </c>
      <c r="B936" s="41">
        <v>120000000</v>
      </c>
      <c r="C936" s="41">
        <v>1.9E-3</v>
      </c>
      <c r="D936" s="41">
        <v>2.8283999999999998</v>
      </c>
      <c r="E936" s="41">
        <v>30</v>
      </c>
      <c r="F936" s="41">
        <v>0</v>
      </c>
      <c r="G936" s="41" t="s">
        <v>505</v>
      </c>
      <c r="H936" s="41">
        <v>2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3034</v>
      </c>
      <c r="P936" s="109">
        <v>10740</v>
      </c>
      <c r="Q936" s="41"/>
      <c r="R936" s="111"/>
      <c r="S936" s="110"/>
    </row>
    <row r="937" spans="1:19">
      <c r="A937" s="105">
        <v>2319</v>
      </c>
      <c r="B937" s="41">
        <v>120000000</v>
      </c>
      <c r="C937" s="41">
        <v>1.9E-3</v>
      </c>
      <c r="D937" s="41">
        <v>4</v>
      </c>
      <c r="E937" s="41">
        <v>30</v>
      </c>
      <c r="F937" s="41">
        <v>0</v>
      </c>
      <c r="G937" s="41" t="s">
        <v>505</v>
      </c>
      <c r="H937" s="41">
        <v>2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3035</v>
      </c>
      <c r="P937" s="109">
        <v>10740</v>
      </c>
      <c r="Q937" s="41"/>
      <c r="R937" s="111"/>
      <c r="S937" s="110"/>
    </row>
    <row r="938" spans="1:19">
      <c r="A938" s="105">
        <v>2320</v>
      </c>
      <c r="B938" s="41">
        <v>120000000</v>
      </c>
      <c r="C938" s="41">
        <v>1.9E-3</v>
      </c>
      <c r="D938" s="41">
        <v>5.6569000000000003</v>
      </c>
      <c r="E938" s="41">
        <v>30</v>
      </c>
      <c r="F938" s="41">
        <v>0</v>
      </c>
      <c r="G938" s="41" t="s">
        <v>505</v>
      </c>
      <c r="H938" s="41">
        <v>2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3036</v>
      </c>
      <c r="P938" s="109">
        <v>10740</v>
      </c>
      <c r="Q938" s="41"/>
      <c r="R938" s="111"/>
      <c r="S938" s="110"/>
    </row>
    <row r="939" spans="1:19">
      <c r="A939" s="105">
        <v>2321</v>
      </c>
      <c r="B939" s="41">
        <v>120000000</v>
      </c>
      <c r="C939" s="41">
        <v>1.9E-3</v>
      </c>
      <c r="D939" s="41">
        <v>8</v>
      </c>
      <c r="E939" s="41">
        <v>30</v>
      </c>
      <c r="F939" s="41">
        <v>0</v>
      </c>
      <c r="G939" s="41" t="s">
        <v>505</v>
      </c>
      <c r="H939" s="41">
        <v>2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3037</v>
      </c>
      <c r="P939" s="109">
        <v>10740</v>
      </c>
      <c r="Q939" s="41"/>
      <c r="R939" s="111"/>
      <c r="S939" s="110"/>
    </row>
    <row r="940" spans="1:19">
      <c r="A940" s="105">
        <v>2322</v>
      </c>
      <c r="B940" s="41">
        <v>120000000</v>
      </c>
      <c r="C940" s="41">
        <v>1.9E-3</v>
      </c>
      <c r="D940" s="41">
        <v>11.313700000000001</v>
      </c>
      <c r="E940" s="41">
        <v>30</v>
      </c>
      <c r="F940" s="41">
        <v>0</v>
      </c>
      <c r="G940" s="41" t="s">
        <v>505</v>
      </c>
      <c r="H940" s="41">
        <v>2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3038</v>
      </c>
      <c r="P940" s="109">
        <v>10740</v>
      </c>
      <c r="Q940" s="41"/>
      <c r="R940" s="111"/>
      <c r="S940" s="110"/>
    </row>
    <row r="941" spans="1:19">
      <c r="A941" s="105">
        <v>2323</v>
      </c>
      <c r="B941" s="41">
        <v>120000000</v>
      </c>
      <c r="C941" s="41">
        <v>1.9E-3</v>
      </c>
      <c r="D941" s="41">
        <v>16</v>
      </c>
      <c r="E941" s="41">
        <v>30</v>
      </c>
      <c r="F941" s="41">
        <v>0</v>
      </c>
      <c r="G941" s="41" t="s">
        <v>505</v>
      </c>
      <c r="H941" s="41">
        <v>2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3039</v>
      </c>
      <c r="P941" s="109">
        <v>10740</v>
      </c>
      <c r="Q941" s="41"/>
      <c r="R941" s="111"/>
      <c r="S941" s="110"/>
    </row>
    <row r="942" spans="1:19">
      <c r="A942" s="105">
        <v>2324</v>
      </c>
      <c r="B942" s="41">
        <v>120000000</v>
      </c>
      <c r="C942" s="41">
        <v>1.9E-3</v>
      </c>
      <c r="D942" s="41">
        <v>22.627400000000002</v>
      </c>
      <c r="E942" s="41">
        <v>30</v>
      </c>
      <c r="F942" s="41">
        <v>0</v>
      </c>
      <c r="G942" s="41" t="s">
        <v>505</v>
      </c>
      <c r="H942" s="41">
        <v>2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3040</v>
      </c>
      <c r="P942" s="109">
        <v>10740</v>
      </c>
      <c r="Q942" s="41"/>
      <c r="R942" s="111"/>
      <c r="S942" s="110"/>
    </row>
    <row r="943" spans="1:19">
      <c r="A943" s="105">
        <v>2325</v>
      </c>
      <c r="B943" s="41">
        <v>120000000</v>
      </c>
      <c r="C943" s="41">
        <v>1.9E-3</v>
      </c>
      <c r="D943" s="41">
        <v>32</v>
      </c>
      <c r="E943" s="41">
        <v>30</v>
      </c>
      <c r="F943" s="41">
        <v>0</v>
      </c>
      <c r="G943" s="41" t="s">
        <v>505</v>
      </c>
      <c r="H943" s="41">
        <v>2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3041</v>
      </c>
      <c r="P943" s="109">
        <v>10740</v>
      </c>
      <c r="Q943" s="41"/>
      <c r="R943" s="111"/>
      <c r="S943" s="110"/>
    </row>
    <row r="944" spans="1:19">
      <c r="A944" s="105">
        <v>2326</v>
      </c>
      <c r="B944" s="41">
        <v>120000000</v>
      </c>
      <c r="C944" s="41">
        <v>2.0999999999999999E-3</v>
      </c>
      <c r="D944" s="41">
        <v>1.4141999999999999</v>
      </c>
      <c r="E944" s="41">
        <v>30</v>
      </c>
      <c r="F944" s="41">
        <v>0</v>
      </c>
      <c r="G944" s="41" t="s">
        <v>505</v>
      </c>
      <c r="H944" s="41">
        <v>2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2</v>
      </c>
      <c r="O944" s="111" t="s">
        <v>3042</v>
      </c>
      <c r="P944" s="109"/>
      <c r="Q944" s="41"/>
      <c r="R944" s="111"/>
      <c r="S944" s="110"/>
    </row>
    <row r="945" spans="1:19">
      <c r="A945" s="105">
        <v>2327</v>
      </c>
      <c r="B945" s="41">
        <v>120000000</v>
      </c>
      <c r="C945" s="41">
        <v>2.0999999999999999E-3</v>
      </c>
      <c r="D945" s="41">
        <v>2</v>
      </c>
      <c r="E945" s="41">
        <v>30</v>
      </c>
      <c r="F945" s="41">
        <v>0</v>
      </c>
      <c r="G945" s="41" t="s">
        <v>505</v>
      </c>
      <c r="H945" s="41">
        <v>2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2</v>
      </c>
      <c r="O945" s="111" t="s">
        <v>3043</v>
      </c>
      <c r="P945" s="109"/>
      <c r="Q945" s="41"/>
      <c r="R945" s="111"/>
      <c r="S945" s="110"/>
    </row>
    <row r="946" spans="1:19">
      <c r="A946" s="105">
        <v>2328</v>
      </c>
      <c r="B946" s="41">
        <v>120000000</v>
      </c>
      <c r="C946" s="41">
        <v>2.0999999999999999E-3</v>
      </c>
      <c r="D946" s="41">
        <v>2.8283999999999998</v>
      </c>
      <c r="E946" s="41">
        <v>30</v>
      </c>
      <c r="F946" s="41">
        <v>0</v>
      </c>
      <c r="G946" s="41" t="s">
        <v>505</v>
      </c>
      <c r="H946" s="41">
        <v>2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2</v>
      </c>
      <c r="O946" s="111" t="s">
        <v>3044</v>
      </c>
      <c r="P946" s="109"/>
      <c r="Q946" s="41"/>
      <c r="R946" s="111"/>
      <c r="S946" s="110"/>
    </row>
    <row r="947" spans="1:19">
      <c r="A947" s="105">
        <v>2329</v>
      </c>
      <c r="B947" s="41">
        <v>120000000</v>
      </c>
      <c r="C947" s="41">
        <v>2.0999999999999999E-3</v>
      </c>
      <c r="D947" s="41">
        <v>4</v>
      </c>
      <c r="E947" s="41">
        <v>30</v>
      </c>
      <c r="F947" s="41">
        <v>0</v>
      </c>
      <c r="G947" s="41" t="s">
        <v>505</v>
      </c>
      <c r="H947" s="41">
        <v>2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2</v>
      </c>
      <c r="O947" s="111" t="s">
        <v>3045</v>
      </c>
      <c r="P947" s="109"/>
      <c r="Q947" s="41"/>
      <c r="R947" s="111"/>
      <c r="S947" s="110"/>
    </row>
    <row r="948" spans="1:19">
      <c r="A948" s="105">
        <v>2330</v>
      </c>
      <c r="B948" s="41">
        <v>120000000</v>
      </c>
      <c r="C948" s="41">
        <v>2.0999999999999999E-3</v>
      </c>
      <c r="D948" s="41">
        <v>5.6569000000000003</v>
      </c>
      <c r="E948" s="41">
        <v>30</v>
      </c>
      <c r="F948" s="41">
        <v>0</v>
      </c>
      <c r="G948" s="41" t="s">
        <v>505</v>
      </c>
      <c r="H948" s="41">
        <v>2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2</v>
      </c>
      <c r="O948" s="111" t="s">
        <v>3046</v>
      </c>
      <c r="P948" s="109"/>
      <c r="Q948" s="41"/>
      <c r="R948" s="111"/>
      <c r="S948" s="110"/>
    </row>
    <row r="949" spans="1:19">
      <c r="A949" s="105">
        <v>2331</v>
      </c>
      <c r="B949" s="41">
        <v>120000000</v>
      </c>
      <c r="C949" s="41">
        <v>2.0999999999999999E-3</v>
      </c>
      <c r="D949" s="41">
        <v>8</v>
      </c>
      <c r="E949" s="41">
        <v>30</v>
      </c>
      <c r="F949" s="41">
        <v>0</v>
      </c>
      <c r="G949" s="41" t="s">
        <v>505</v>
      </c>
      <c r="H949" s="41">
        <v>2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2</v>
      </c>
      <c r="O949" s="111" t="s">
        <v>3047</v>
      </c>
      <c r="P949" s="109"/>
      <c r="Q949" s="41"/>
      <c r="R949" s="111"/>
      <c r="S949" s="110"/>
    </row>
    <row r="950" spans="1:19">
      <c r="A950" s="105">
        <v>2332</v>
      </c>
      <c r="B950" s="41">
        <v>120000000</v>
      </c>
      <c r="C950" s="41">
        <v>2.0999999999999999E-3</v>
      </c>
      <c r="D950" s="41">
        <v>11.313700000000001</v>
      </c>
      <c r="E950" s="41">
        <v>30</v>
      </c>
      <c r="F950" s="41">
        <v>0</v>
      </c>
      <c r="G950" s="41" t="s">
        <v>505</v>
      </c>
      <c r="H950" s="41">
        <v>2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2</v>
      </c>
      <c r="O950" s="111" t="s">
        <v>3048</v>
      </c>
      <c r="P950" s="109"/>
      <c r="Q950" s="41"/>
      <c r="R950" s="111"/>
      <c r="S950" s="110"/>
    </row>
    <row r="951" spans="1:19">
      <c r="A951" s="105">
        <v>2333</v>
      </c>
      <c r="B951" s="41">
        <v>120000000</v>
      </c>
      <c r="C951" s="41">
        <v>2.0999999999999999E-3</v>
      </c>
      <c r="D951" s="41">
        <v>16</v>
      </c>
      <c r="E951" s="41">
        <v>30</v>
      </c>
      <c r="F951" s="41">
        <v>0</v>
      </c>
      <c r="G951" s="41" t="s">
        <v>505</v>
      </c>
      <c r="H951" s="41">
        <v>2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2</v>
      </c>
      <c r="O951" s="111" t="s">
        <v>3049</v>
      </c>
      <c r="P951" s="109"/>
      <c r="Q951" s="41"/>
      <c r="R951" s="111"/>
      <c r="S951" s="110"/>
    </row>
    <row r="952" spans="1:19">
      <c r="A952" s="105">
        <v>2334</v>
      </c>
      <c r="B952" s="41">
        <v>120000000</v>
      </c>
      <c r="C952" s="41">
        <v>2.0999999999999999E-3</v>
      </c>
      <c r="D952" s="41">
        <v>22.627400000000002</v>
      </c>
      <c r="E952" s="41">
        <v>30</v>
      </c>
      <c r="F952" s="41">
        <v>0</v>
      </c>
      <c r="G952" s="41" t="s">
        <v>505</v>
      </c>
      <c r="H952" s="41">
        <v>2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2</v>
      </c>
      <c r="O952" s="111" t="s">
        <v>3050</v>
      </c>
      <c r="P952" s="109"/>
      <c r="Q952" s="41"/>
      <c r="R952" s="111"/>
      <c r="S952" s="110"/>
    </row>
    <row r="953" spans="1:19">
      <c r="A953" s="105">
        <v>2335</v>
      </c>
      <c r="B953" s="41">
        <v>120000000</v>
      </c>
      <c r="C953" s="41">
        <v>2.0999999999999999E-3</v>
      </c>
      <c r="D953" s="41">
        <v>32</v>
      </c>
      <c r="E953" s="41">
        <v>30</v>
      </c>
      <c r="F953" s="41">
        <v>0</v>
      </c>
      <c r="G953" s="41" t="s">
        <v>505</v>
      </c>
      <c r="H953" s="41">
        <v>2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2</v>
      </c>
      <c r="O953" s="111" t="s">
        <v>3051</v>
      </c>
      <c r="P953" s="109"/>
      <c r="Q953" s="41"/>
      <c r="R953" s="111"/>
      <c r="S953" s="110"/>
    </row>
    <row r="954" spans="1:19">
      <c r="A954" s="105">
        <v>2336</v>
      </c>
      <c r="B954" s="41">
        <v>120000000</v>
      </c>
      <c r="C954" s="41">
        <v>2.3E-3</v>
      </c>
      <c r="D954" s="41">
        <v>2</v>
      </c>
      <c r="E954" s="41">
        <v>30</v>
      </c>
      <c r="F954" s="41">
        <v>0</v>
      </c>
      <c r="G954" s="41" t="s">
        <v>505</v>
      </c>
      <c r="H954" s="41">
        <v>2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2</v>
      </c>
      <c r="O954" s="111" t="s">
        <v>3052</v>
      </c>
      <c r="P954" s="109"/>
      <c r="Q954" s="41"/>
      <c r="R954" s="111"/>
      <c r="S954" s="110"/>
    </row>
    <row r="955" spans="1:19">
      <c r="A955" s="105">
        <v>2337</v>
      </c>
      <c r="B955" s="41">
        <v>120000000</v>
      </c>
      <c r="C955" s="41">
        <v>2.3E-3</v>
      </c>
      <c r="D955" s="41">
        <v>2.8283999999999998</v>
      </c>
      <c r="E955" s="41">
        <v>30</v>
      </c>
      <c r="F955" s="41">
        <v>0</v>
      </c>
      <c r="G955" s="41" t="s">
        <v>505</v>
      </c>
      <c r="H955" s="41">
        <v>2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2</v>
      </c>
      <c r="O955" s="111" t="s">
        <v>3053</v>
      </c>
      <c r="P955" s="109"/>
      <c r="Q955" s="41"/>
      <c r="R955" s="111"/>
      <c r="S955" s="110"/>
    </row>
    <row r="956" spans="1:19">
      <c r="A956" s="105">
        <v>2338</v>
      </c>
      <c r="B956" s="41">
        <v>120000000</v>
      </c>
      <c r="C956" s="41">
        <v>2.3E-3</v>
      </c>
      <c r="D956" s="41">
        <v>4</v>
      </c>
      <c r="E956" s="41">
        <v>30</v>
      </c>
      <c r="F956" s="41">
        <v>0</v>
      </c>
      <c r="G956" s="41" t="s">
        <v>505</v>
      </c>
      <c r="H956" s="41">
        <v>2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2</v>
      </c>
      <c r="O956" s="111" t="s">
        <v>3054</v>
      </c>
      <c r="P956" s="109"/>
      <c r="Q956" s="41"/>
      <c r="R956" s="111"/>
      <c r="S956" s="110"/>
    </row>
    <row r="957" spans="1:19">
      <c r="A957" s="105">
        <v>2339</v>
      </c>
      <c r="B957" s="41">
        <v>120000000</v>
      </c>
      <c r="C957" s="41">
        <v>2.3E-3</v>
      </c>
      <c r="D957" s="41">
        <v>5.6569000000000003</v>
      </c>
      <c r="E957" s="41">
        <v>30</v>
      </c>
      <c r="F957" s="41">
        <v>0</v>
      </c>
      <c r="G957" s="41" t="s">
        <v>505</v>
      </c>
      <c r="H957" s="41">
        <v>2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2</v>
      </c>
      <c r="O957" s="111" t="s">
        <v>3055</v>
      </c>
      <c r="P957" s="109"/>
      <c r="Q957" s="41"/>
      <c r="R957" s="111"/>
      <c r="S957" s="110"/>
    </row>
    <row r="958" spans="1:19">
      <c r="A958" s="105">
        <v>2340</v>
      </c>
      <c r="B958" s="41">
        <v>120000000</v>
      </c>
      <c r="C958" s="41">
        <v>2.3E-3</v>
      </c>
      <c r="D958" s="41">
        <v>8</v>
      </c>
      <c r="E958" s="41">
        <v>30</v>
      </c>
      <c r="F958" s="41">
        <v>0</v>
      </c>
      <c r="G958" s="41" t="s">
        <v>505</v>
      </c>
      <c r="H958" s="41">
        <v>2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2</v>
      </c>
      <c r="O958" s="111" t="s">
        <v>3056</v>
      </c>
      <c r="P958" s="109"/>
      <c r="Q958" s="41"/>
      <c r="R958" s="111"/>
      <c r="S958" s="110"/>
    </row>
    <row r="959" spans="1:19">
      <c r="A959" s="105">
        <v>2341</v>
      </c>
      <c r="B959" s="41">
        <v>120000000</v>
      </c>
      <c r="C959" s="41">
        <v>2.3E-3</v>
      </c>
      <c r="D959" s="41">
        <v>11.313700000000001</v>
      </c>
      <c r="E959" s="41">
        <v>30</v>
      </c>
      <c r="F959" s="41">
        <v>0</v>
      </c>
      <c r="G959" s="41" t="s">
        <v>505</v>
      </c>
      <c r="H959" s="41">
        <v>2</v>
      </c>
      <c r="I959" s="41">
        <v>1</v>
      </c>
      <c r="J959" s="108">
        <v>0</v>
      </c>
      <c r="K959" s="41">
        <v>0</v>
      </c>
      <c r="L959" s="41">
        <v>55</v>
      </c>
      <c r="M959" s="41">
        <v>-1</v>
      </c>
      <c r="N959" s="41">
        <v>2</v>
      </c>
      <c r="O959" s="111" t="s">
        <v>3057</v>
      </c>
      <c r="P959" s="109"/>
      <c r="Q959" s="41"/>
      <c r="R959" s="111"/>
      <c r="S959" s="110"/>
    </row>
    <row r="960" spans="1:19">
      <c r="A960" s="105">
        <v>2342</v>
      </c>
      <c r="B960" s="41">
        <v>120000000</v>
      </c>
      <c r="C960" s="41">
        <v>2.3E-3</v>
      </c>
      <c r="D960" s="41">
        <v>16</v>
      </c>
      <c r="E960" s="41">
        <v>30</v>
      </c>
      <c r="F960" s="41">
        <v>0</v>
      </c>
      <c r="G960" s="41" t="s">
        <v>505</v>
      </c>
      <c r="H960" s="41">
        <v>2</v>
      </c>
      <c r="I960" s="41">
        <v>1</v>
      </c>
      <c r="J960" s="108">
        <v>0</v>
      </c>
      <c r="K960" s="41">
        <v>0</v>
      </c>
      <c r="L960" s="41">
        <v>55</v>
      </c>
      <c r="M960" s="41">
        <v>-1</v>
      </c>
      <c r="N960" s="41">
        <v>2</v>
      </c>
      <c r="O960" s="111" t="s">
        <v>3058</v>
      </c>
      <c r="P960" s="109"/>
      <c r="Q960" s="41"/>
      <c r="R960" s="111"/>
      <c r="S960" s="110"/>
    </row>
    <row r="961" spans="1:19">
      <c r="A961" s="105">
        <v>2343</v>
      </c>
      <c r="B961" s="41">
        <v>120000000</v>
      </c>
      <c r="C961" s="41">
        <v>2.3E-3</v>
      </c>
      <c r="D961" s="41">
        <v>22.627400000000002</v>
      </c>
      <c r="E961" s="41">
        <v>30</v>
      </c>
      <c r="F961" s="41">
        <v>0</v>
      </c>
      <c r="G961" s="41" t="s">
        <v>505</v>
      </c>
      <c r="H961" s="41">
        <v>2</v>
      </c>
      <c r="I961" s="41">
        <v>1</v>
      </c>
      <c r="J961" s="108">
        <v>0</v>
      </c>
      <c r="K961" s="41">
        <v>0</v>
      </c>
      <c r="L961" s="41">
        <v>55</v>
      </c>
      <c r="M961" s="41">
        <v>-1</v>
      </c>
      <c r="N961" s="41">
        <v>2</v>
      </c>
      <c r="O961" s="111" t="s">
        <v>3059</v>
      </c>
      <c r="P961" s="109"/>
      <c r="Q961" s="41"/>
      <c r="R961" s="111"/>
      <c r="S961" s="110"/>
    </row>
    <row r="962" spans="1:19">
      <c r="A962" s="105">
        <v>2344</v>
      </c>
      <c r="B962" s="41">
        <v>120000000</v>
      </c>
      <c r="C962" s="41">
        <v>2.3E-3</v>
      </c>
      <c r="D962" s="41">
        <v>32</v>
      </c>
      <c r="E962" s="41">
        <v>30</v>
      </c>
      <c r="F962" s="41">
        <v>0</v>
      </c>
      <c r="G962" s="41" t="s">
        <v>505</v>
      </c>
      <c r="H962" s="41">
        <v>2</v>
      </c>
      <c r="I962" s="41">
        <v>1</v>
      </c>
      <c r="J962" s="108">
        <v>0</v>
      </c>
      <c r="K962" s="41">
        <v>0</v>
      </c>
      <c r="L962" s="41">
        <v>55</v>
      </c>
      <c r="M962" s="41">
        <v>-1</v>
      </c>
      <c r="N962" s="41">
        <v>2</v>
      </c>
      <c r="O962" s="111" t="s">
        <v>3060</v>
      </c>
      <c r="P962" s="109"/>
      <c r="Q962" s="41"/>
      <c r="R962" s="111"/>
      <c r="S962" s="110"/>
    </row>
    <row r="963" spans="1:19">
      <c r="A963" s="105">
        <v>2345</v>
      </c>
      <c r="B963" s="41">
        <v>120000000</v>
      </c>
      <c r="C963" s="41">
        <v>2.3E-3</v>
      </c>
      <c r="D963" s="41">
        <v>45.254800000000003</v>
      </c>
      <c r="E963" s="41">
        <v>30</v>
      </c>
      <c r="F963" s="41">
        <v>0</v>
      </c>
      <c r="G963" s="41" t="s">
        <v>505</v>
      </c>
      <c r="H963" s="41">
        <v>2</v>
      </c>
      <c r="I963" s="41">
        <v>1</v>
      </c>
      <c r="J963" s="108">
        <v>0</v>
      </c>
      <c r="K963" s="41">
        <v>0</v>
      </c>
      <c r="L963" s="41">
        <v>55</v>
      </c>
      <c r="M963" s="41">
        <v>-1</v>
      </c>
      <c r="N963" s="41">
        <v>2</v>
      </c>
      <c r="O963" s="111" t="s">
        <v>3061</v>
      </c>
      <c r="P963" s="109"/>
      <c r="Q963" s="41"/>
      <c r="R963" s="111"/>
      <c r="S963" s="110"/>
    </row>
    <row r="964" spans="1:19">
      <c r="A964" s="105">
        <v>2346</v>
      </c>
      <c r="B964" s="41">
        <v>120000000</v>
      </c>
      <c r="C964" s="41">
        <v>2.5000000000000001E-3</v>
      </c>
      <c r="D964" s="41">
        <v>2</v>
      </c>
      <c r="E964" s="41">
        <v>30</v>
      </c>
      <c r="F964" s="41">
        <v>0</v>
      </c>
      <c r="G964" s="41" t="s">
        <v>505</v>
      </c>
      <c r="H964" s="41">
        <v>2</v>
      </c>
      <c r="I964" s="41">
        <v>1</v>
      </c>
      <c r="J964" s="108">
        <v>0</v>
      </c>
      <c r="K964" s="41">
        <v>0</v>
      </c>
      <c r="L964" s="41">
        <v>55</v>
      </c>
      <c r="M964" s="41">
        <v>-1</v>
      </c>
      <c r="N964" s="41">
        <v>2</v>
      </c>
      <c r="O964" s="111" t="s">
        <v>3062</v>
      </c>
      <c r="P964" s="109"/>
      <c r="Q964" s="41"/>
      <c r="R964" s="111"/>
      <c r="S964" s="110"/>
    </row>
    <row r="965" spans="1:19">
      <c r="A965" s="105">
        <v>2347</v>
      </c>
      <c r="B965" s="41">
        <v>120000000</v>
      </c>
      <c r="C965" s="41">
        <v>2.5000000000000001E-3</v>
      </c>
      <c r="D965" s="41">
        <v>2.8283999999999998</v>
      </c>
      <c r="E965" s="41">
        <v>30</v>
      </c>
      <c r="F965" s="41">
        <v>0</v>
      </c>
      <c r="G965" s="41" t="s">
        <v>505</v>
      </c>
      <c r="H965" s="41">
        <v>2</v>
      </c>
      <c r="I965" s="41">
        <v>1</v>
      </c>
      <c r="J965" s="108">
        <v>0</v>
      </c>
      <c r="K965" s="41">
        <v>0</v>
      </c>
      <c r="L965" s="41">
        <v>55</v>
      </c>
      <c r="M965" s="41">
        <v>-1</v>
      </c>
      <c r="N965" s="41">
        <v>2</v>
      </c>
      <c r="O965" s="111" t="s">
        <v>3063</v>
      </c>
      <c r="P965" s="109"/>
      <c r="Q965" s="41"/>
      <c r="R965" s="111"/>
      <c r="S965" s="110"/>
    </row>
    <row r="966" spans="1:19">
      <c r="A966" s="105">
        <v>2348</v>
      </c>
      <c r="B966" s="41">
        <v>120000000</v>
      </c>
      <c r="C966" s="41">
        <v>2.5000000000000001E-3</v>
      </c>
      <c r="D966" s="41">
        <v>4</v>
      </c>
      <c r="E966" s="41">
        <v>30</v>
      </c>
      <c r="F966" s="41">
        <v>0</v>
      </c>
      <c r="G966" s="41" t="s">
        <v>505</v>
      </c>
      <c r="H966" s="41">
        <v>2</v>
      </c>
      <c r="I966" s="41">
        <v>1</v>
      </c>
      <c r="J966" s="108">
        <v>0</v>
      </c>
      <c r="K966" s="41">
        <v>0</v>
      </c>
      <c r="L966" s="41">
        <v>55</v>
      </c>
      <c r="M966" s="41">
        <v>-1</v>
      </c>
      <c r="N966" s="41">
        <v>2</v>
      </c>
      <c r="O966" s="111" t="s">
        <v>3064</v>
      </c>
      <c r="P966" s="109"/>
      <c r="Q966" s="41"/>
      <c r="R966" s="111"/>
      <c r="S966" s="110"/>
    </row>
    <row r="967" spans="1:19">
      <c r="A967" s="105">
        <v>2349</v>
      </c>
      <c r="B967" s="41">
        <v>120000000</v>
      </c>
      <c r="C967" s="41">
        <v>2.5000000000000001E-3</v>
      </c>
      <c r="D967" s="41">
        <v>5.6569000000000003</v>
      </c>
      <c r="E967" s="41">
        <v>30</v>
      </c>
      <c r="F967" s="41">
        <v>0</v>
      </c>
      <c r="G967" s="41" t="s">
        <v>505</v>
      </c>
      <c r="H967" s="41">
        <v>2</v>
      </c>
      <c r="I967" s="41">
        <v>1</v>
      </c>
      <c r="J967" s="108">
        <v>0</v>
      </c>
      <c r="K967" s="41">
        <v>0</v>
      </c>
      <c r="L967" s="41">
        <v>55</v>
      </c>
      <c r="M967" s="41">
        <v>-1</v>
      </c>
      <c r="N967" s="41">
        <v>2</v>
      </c>
      <c r="O967" s="111" t="s">
        <v>3065</v>
      </c>
      <c r="P967" s="109"/>
      <c r="Q967" s="41"/>
      <c r="R967" s="111"/>
      <c r="S967" s="110"/>
    </row>
    <row r="968" spans="1:19">
      <c r="A968" s="105">
        <v>2350</v>
      </c>
      <c r="B968" s="41">
        <v>120000000</v>
      </c>
      <c r="C968" s="41">
        <v>2.5000000000000001E-3</v>
      </c>
      <c r="D968" s="41">
        <v>8</v>
      </c>
      <c r="E968" s="41">
        <v>30</v>
      </c>
      <c r="F968" s="41">
        <v>0</v>
      </c>
      <c r="G968" s="41" t="s">
        <v>505</v>
      </c>
      <c r="H968" s="41">
        <v>2</v>
      </c>
      <c r="I968" s="41">
        <v>1</v>
      </c>
      <c r="J968" s="108">
        <v>0</v>
      </c>
      <c r="K968" s="41">
        <v>0</v>
      </c>
      <c r="L968" s="41">
        <v>55</v>
      </c>
      <c r="M968" s="41">
        <v>-1</v>
      </c>
      <c r="N968" s="41">
        <v>2</v>
      </c>
      <c r="O968" s="111" t="s">
        <v>3066</v>
      </c>
      <c r="P968" s="109"/>
      <c r="Q968" s="41"/>
      <c r="R968" s="111"/>
      <c r="S968" s="110"/>
    </row>
    <row r="969" spans="1:19">
      <c r="A969" s="105">
        <v>2351</v>
      </c>
      <c r="B969" s="41">
        <v>120000000</v>
      </c>
      <c r="C969" s="41">
        <v>2.5000000000000001E-3</v>
      </c>
      <c r="D969" s="41">
        <v>11.313700000000001</v>
      </c>
      <c r="E969" s="41">
        <v>30</v>
      </c>
      <c r="F969" s="41">
        <v>0</v>
      </c>
      <c r="G969" s="41" t="s">
        <v>505</v>
      </c>
      <c r="H969" s="41">
        <v>2</v>
      </c>
      <c r="I969" s="41">
        <v>1</v>
      </c>
      <c r="J969" s="108">
        <v>0</v>
      </c>
      <c r="K969" s="41">
        <v>0</v>
      </c>
      <c r="L969" s="41">
        <v>55</v>
      </c>
      <c r="M969" s="41">
        <v>-1</v>
      </c>
      <c r="N969" s="41">
        <v>2</v>
      </c>
      <c r="O969" s="111" t="s">
        <v>3067</v>
      </c>
      <c r="P969" s="109"/>
      <c r="Q969" s="41"/>
      <c r="R969" s="111"/>
      <c r="S969" s="110"/>
    </row>
    <row r="970" spans="1:19">
      <c r="A970" s="105">
        <v>2352</v>
      </c>
      <c r="B970" s="41">
        <v>120000000</v>
      </c>
      <c r="C970" s="41">
        <v>2.5000000000000001E-3</v>
      </c>
      <c r="D970" s="41">
        <v>16</v>
      </c>
      <c r="E970" s="41">
        <v>30</v>
      </c>
      <c r="F970" s="41">
        <v>0</v>
      </c>
      <c r="G970" s="41" t="s">
        <v>505</v>
      </c>
      <c r="H970" s="41">
        <v>2</v>
      </c>
      <c r="I970" s="41">
        <v>1</v>
      </c>
      <c r="J970" s="108">
        <v>0</v>
      </c>
      <c r="K970" s="41">
        <v>0</v>
      </c>
      <c r="L970" s="41">
        <v>55</v>
      </c>
      <c r="M970" s="41">
        <v>-1</v>
      </c>
      <c r="N970" s="41">
        <v>2</v>
      </c>
      <c r="O970" s="111" t="s">
        <v>3068</v>
      </c>
      <c r="P970" s="109"/>
      <c r="Q970" s="41"/>
      <c r="R970" s="111"/>
      <c r="S970" s="110"/>
    </row>
    <row r="971" spans="1:19">
      <c r="A971" s="105">
        <v>2353</v>
      </c>
      <c r="B971" s="41">
        <v>120000000</v>
      </c>
      <c r="C971" s="41">
        <v>2.5000000000000001E-3</v>
      </c>
      <c r="D971" s="41">
        <v>22.627400000000002</v>
      </c>
      <c r="E971" s="41">
        <v>30</v>
      </c>
      <c r="F971" s="41">
        <v>0</v>
      </c>
      <c r="G971" s="41" t="s">
        <v>505</v>
      </c>
      <c r="H971" s="41">
        <v>2</v>
      </c>
      <c r="I971" s="41">
        <v>1</v>
      </c>
      <c r="J971" s="108">
        <v>0</v>
      </c>
      <c r="K971" s="41">
        <v>0</v>
      </c>
      <c r="L971" s="41">
        <v>55</v>
      </c>
      <c r="M971" s="41">
        <v>-1</v>
      </c>
      <c r="N971" s="41">
        <v>2</v>
      </c>
      <c r="O971" s="111" t="s">
        <v>3069</v>
      </c>
      <c r="P971" s="109"/>
      <c r="Q971" s="41"/>
      <c r="R971" s="111"/>
      <c r="S971" s="110"/>
    </row>
    <row r="972" spans="1:19">
      <c r="A972" s="105">
        <v>2354</v>
      </c>
      <c r="B972" s="41">
        <v>120000000</v>
      </c>
      <c r="C972" s="41">
        <v>2.5000000000000001E-3</v>
      </c>
      <c r="D972" s="41">
        <v>32</v>
      </c>
      <c r="E972" s="41">
        <v>30</v>
      </c>
      <c r="F972" s="41">
        <v>0</v>
      </c>
      <c r="G972" s="41" t="s">
        <v>505</v>
      </c>
      <c r="H972" s="41">
        <v>2</v>
      </c>
      <c r="I972" s="41">
        <v>1</v>
      </c>
      <c r="J972" s="108">
        <v>0</v>
      </c>
      <c r="K972" s="41">
        <v>0</v>
      </c>
      <c r="L972" s="41">
        <v>55</v>
      </c>
      <c r="M972" s="41">
        <v>-1</v>
      </c>
      <c r="N972" s="41">
        <v>2</v>
      </c>
      <c r="O972" s="111" t="s">
        <v>3070</v>
      </c>
      <c r="P972" s="109"/>
      <c r="Q972" s="41"/>
      <c r="R972" s="111"/>
      <c r="S972" s="110"/>
    </row>
    <row r="973" spans="1:19">
      <c r="A973" s="105">
        <v>2355</v>
      </c>
      <c r="B973" s="41">
        <v>120000000</v>
      </c>
      <c r="C973" s="41">
        <v>2.5000000000000001E-3</v>
      </c>
      <c r="D973" s="41">
        <v>45.254800000000003</v>
      </c>
      <c r="E973" s="41">
        <v>30</v>
      </c>
      <c r="F973" s="41">
        <v>0</v>
      </c>
      <c r="G973" s="41" t="s">
        <v>505</v>
      </c>
      <c r="H973" s="41">
        <v>2</v>
      </c>
      <c r="I973" s="41">
        <v>1</v>
      </c>
      <c r="J973" s="108">
        <v>0</v>
      </c>
      <c r="K973" s="41">
        <v>0</v>
      </c>
      <c r="L973" s="41">
        <v>55</v>
      </c>
      <c r="M973" s="41">
        <v>-1</v>
      </c>
      <c r="N973" s="41">
        <v>2</v>
      </c>
      <c r="O973" s="111" t="s">
        <v>3071</v>
      </c>
      <c r="P973" s="109"/>
      <c r="Q973" s="41"/>
      <c r="R973" s="111"/>
      <c r="S973" s="110"/>
    </row>
    <row r="974" spans="1:19">
      <c r="A974" s="105">
        <v>2356</v>
      </c>
      <c r="B974" s="41">
        <v>120000000</v>
      </c>
      <c r="C974" s="41">
        <v>2.7000000000000001E-3</v>
      </c>
      <c r="D974" s="41">
        <v>2.8283999999999998</v>
      </c>
      <c r="E974" s="41">
        <v>30</v>
      </c>
      <c r="F974" s="41">
        <v>0</v>
      </c>
      <c r="G974" s="41" t="s">
        <v>505</v>
      </c>
      <c r="H974" s="41">
        <v>2</v>
      </c>
      <c r="I974" s="41">
        <v>1</v>
      </c>
      <c r="J974" s="108">
        <v>0</v>
      </c>
      <c r="K974" s="41">
        <v>0</v>
      </c>
      <c r="L974" s="41">
        <v>55</v>
      </c>
      <c r="M974" s="41">
        <v>-1</v>
      </c>
      <c r="N974" s="41">
        <v>2</v>
      </c>
      <c r="O974" s="111" t="s">
        <v>3072</v>
      </c>
      <c r="P974" s="109"/>
      <c r="Q974" s="41"/>
      <c r="R974" s="111"/>
      <c r="S974" s="110"/>
    </row>
    <row r="975" spans="1:19">
      <c r="A975" s="105">
        <v>2357</v>
      </c>
      <c r="B975" s="41">
        <v>120000000</v>
      </c>
      <c r="C975" s="41">
        <v>2.7000000000000001E-3</v>
      </c>
      <c r="D975" s="41">
        <v>4</v>
      </c>
      <c r="E975" s="41">
        <v>30</v>
      </c>
      <c r="F975" s="41">
        <v>0</v>
      </c>
      <c r="G975" s="41" t="s">
        <v>505</v>
      </c>
      <c r="H975" s="41">
        <v>2</v>
      </c>
      <c r="I975" s="41">
        <v>1</v>
      </c>
      <c r="J975" s="108">
        <v>0</v>
      </c>
      <c r="K975" s="41">
        <v>0</v>
      </c>
      <c r="L975" s="41">
        <v>55</v>
      </c>
      <c r="M975" s="41">
        <v>-1</v>
      </c>
      <c r="N975" s="41">
        <v>2</v>
      </c>
      <c r="O975" s="111" t="s">
        <v>3073</v>
      </c>
      <c r="P975" s="109"/>
      <c r="Q975" s="41"/>
      <c r="R975" s="111"/>
      <c r="S975" s="110"/>
    </row>
    <row r="976" spans="1:19">
      <c r="A976" s="105">
        <v>2358</v>
      </c>
      <c r="B976" s="41">
        <v>120000000</v>
      </c>
      <c r="C976" s="41">
        <v>2.7000000000000001E-3</v>
      </c>
      <c r="D976" s="41">
        <v>5.6569000000000003</v>
      </c>
      <c r="E976" s="41">
        <v>30</v>
      </c>
      <c r="F976" s="41">
        <v>0</v>
      </c>
      <c r="G976" s="41" t="s">
        <v>505</v>
      </c>
      <c r="H976" s="41">
        <v>2</v>
      </c>
      <c r="I976" s="41">
        <v>1</v>
      </c>
      <c r="J976" s="108">
        <v>0</v>
      </c>
      <c r="K976" s="41">
        <v>0</v>
      </c>
      <c r="L976" s="41">
        <v>55</v>
      </c>
      <c r="M976" s="41">
        <v>-1</v>
      </c>
      <c r="N976" s="41">
        <v>2</v>
      </c>
      <c r="O976" s="111" t="s">
        <v>3074</v>
      </c>
      <c r="P976" s="109"/>
      <c r="Q976" s="41"/>
      <c r="R976" s="111"/>
      <c r="S976" s="110"/>
    </row>
    <row r="977" spans="1:19">
      <c r="A977" s="105">
        <v>2359</v>
      </c>
      <c r="B977" s="41">
        <v>120000000</v>
      </c>
      <c r="C977" s="41">
        <v>2.7000000000000001E-3</v>
      </c>
      <c r="D977" s="41">
        <v>8</v>
      </c>
      <c r="E977" s="41">
        <v>30</v>
      </c>
      <c r="F977" s="41">
        <v>0</v>
      </c>
      <c r="G977" s="41" t="s">
        <v>505</v>
      </c>
      <c r="H977" s="41">
        <v>2</v>
      </c>
      <c r="I977" s="41">
        <v>1</v>
      </c>
      <c r="J977" s="108">
        <v>0</v>
      </c>
      <c r="K977" s="41">
        <v>0</v>
      </c>
      <c r="L977" s="41">
        <v>55</v>
      </c>
      <c r="M977" s="41">
        <v>-1</v>
      </c>
      <c r="N977" s="41">
        <v>2</v>
      </c>
      <c r="O977" s="111" t="s">
        <v>3075</v>
      </c>
      <c r="P977" s="109"/>
      <c r="Q977" s="41"/>
      <c r="R977" s="111"/>
      <c r="S977" s="110"/>
    </row>
    <row r="978" spans="1:19">
      <c r="A978" s="105">
        <v>2360</v>
      </c>
      <c r="B978" s="41">
        <v>120000000</v>
      </c>
      <c r="C978" s="41">
        <v>2.7000000000000001E-3</v>
      </c>
      <c r="D978" s="41">
        <v>11.313700000000001</v>
      </c>
      <c r="E978" s="41">
        <v>30</v>
      </c>
      <c r="F978" s="41">
        <v>0</v>
      </c>
      <c r="G978" s="41" t="s">
        <v>505</v>
      </c>
      <c r="H978" s="41">
        <v>2</v>
      </c>
      <c r="I978" s="41">
        <v>1</v>
      </c>
      <c r="J978" s="108">
        <v>0</v>
      </c>
      <c r="K978" s="41">
        <v>0</v>
      </c>
      <c r="L978" s="41">
        <v>55</v>
      </c>
      <c r="M978" s="41">
        <v>-1</v>
      </c>
      <c r="N978" s="41">
        <v>2</v>
      </c>
      <c r="O978" s="111" t="s">
        <v>3076</v>
      </c>
      <c r="P978" s="109"/>
      <c r="Q978" s="41"/>
      <c r="R978" s="111"/>
      <c r="S978" s="110"/>
    </row>
    <row r="979" spans="1:19">
      <c r="A979" s="105">
        <v>2361</v>
      </c>
      <c r="B979" s="41">
        <v>120000000</v>
      </c>
      <c r="C979" s="41">
        <v>2.7000000000000001E-3</v>
      </c>
      <c r="D979" s="41">
        <v>16</v>
      </c>
      <c r="E979" s="41">
        <v>30</v>
      </c>
      <c r="F979" s="41">
        <v>0</v>
      </c>
      <c r="G979" s="41" t="s">
        <v>505</v>
      </c>
      <c r="H979" s="41">
        <v>2</v>
      </c>
      <c r="I979" s="41">
        <v>1</v>
      </c>
      <c r="J979" s="108">
        <v>0</v>
      </c>
      <c r="K979" s="41">
        <v>0</v>
      </c>
      <c r="L979" s="41">
        <v>55</v>
      </c>
      <c r="M979" s="41">
        <v>-1</v>
      </c>
      <c r="N979" s="41">
        <v>2</v>
      </c>
      <c r="O979" s="111" t="s">
        <v>3077</v>
      </c>
      <c r="P979" s="109"/>
      <c r="Q979" s="41"/>
      <c r="R979" s="111"/>
      <c r="S979" s="110"/>
    </row>
    <row r="980" spans="1:19">
      <c r="A980" s="105">
        <v>2362</v>
      </c>
      <c r="B980" s="41">
        <v>120000000</v>
      </c>
      <c r="C980" s="41">
        <v>2.7000000000000001E-3</v>
      </c>
      <c r="D980" s="41">
        <v>22.627400000000002</v>
      </c>
      <c r="E980" s="41">
        <v>30</v>
      </c>
      <c r="F980" s="41">
        <v>0</v>
      </c>
      <c r="G980" s="41" t="s">
        <v>505</v>
      </c>
      <c r="H980" s="41">
        <v>2</v>
      </c>
      <c r="I980" s="41">
        <v>1</v>
      </c>
      <c r="J980" s="108">
        <v>0</v>
      </c>
      <c r="K980" s="41">
        <v>0</v>
      </c>
      <c r="L980" s="41">
        <v>55</v>
      </c>
      <c r="M980" s="41">
        <v>-1</v>
      </c>
      <c r="N980" s="41">
        <v>2</v>
      </c>
      <c r="O980" s="111" t="s">
        <v>3078</v>
      </c>
      <c r="P980" s="109"/>
      <c r="Q980" s="41"/>
      <c r="R980" s="111"/>
      <c r="S980" s="110"/>
    </row>
    <row r="981" spans="1:19">
      <c r="A981" s="105">
        <v>2363</v>
      </c>
      <c r="B981" s="41">
        <v>120000000</v>
      </c>
      <c r="C981" s="41">
        <v>2.7000000000000001E-3</v>
      </c>
      <c r="D981" s="41">
        <v>32</v>
      </c>
      <c r="E981" s="41">
        <v>30</v>
      </c>
      <c r="F981" s="41">
        <v>0</v>
      </c>
      <c r="G981" s="41" t="s">
        <v>505</v>
      </c>
      <c r="H981" s="41">
        <v>2</v>
      </c>
      <c r="I981" s="41">
        <v>1</v>
      </c>
      <c r="J981" s="108">
        <v>0</v>
      </c>
      <c r="K981" s="41">
        <v>0</v>
      </c>
      <c r="L981" s="41">
        <v>55</v>
      </c>
      <c r="M981" s="41">
        <v>-1</v>
      </c>
      <c r="N981" s="41">
        <v>2</v>
      </c>
      <c r="O981" s="111" t="s">
        <v>3079</v>
      </c>
      <c r="P981" s="109"/>
      <c r="Q981" s="41"/>
      <c r="R981" s="111"/>
      <c r="S981" s="110"/>
    </row>
    <row r="982" spans="1:19">
      <c r="A982" s="105">
        <v>2364</v>
      </c>
      <c r="B982" s="41">
        <v>120000000</v>
      </c>
      <c r="C982" s="41">
        <v>2.7000000000000001E-3</v>
      </c>
      <c r="D982" s="41">
        <v>45.254800000000003</v>
      </c>
      <c r="E982" s="41">
        <v>30</v>
      </c>
      <c r="F982" s="41">
        <v>0</v>
      </c>
      <c r="G982" s="41" t="s">
        <v>505</v>
      </c>
      <c r="H982" s="41">
        <v>2</v>
      </c>
      <c r="I982" s="41">
        <v>1</v>
      </c>
      <c r="J982" s="108">
        <v>0</v>
      </c>
      <c r="K982" s="41">
        <v>0</v>
      </c>
      <c r="L982" s="41">
        <v>55</v>
      </c>
      <c r="M982" s="41">
        <v>-1</v>
      </c>
      <c r="N982" s="41">
        <v>2</v>
      </c>
      <c r="O982" s="111" t="s">
        <v>3080</v>
      </c>
      <c r="P982" s="109"/>
      <c r="Q982" s="41"/>
      <c r="R982" s="111"/>
      <c r="S982" s="110"/>
    </row>
    <row r="983" spans="1:19">
      <c r="A983" s="105">
        <v>2365</v>
      </c>
      <c r="B983" s="41">
        <v>120000000</v>
      </c>
      <c r="C983" s="41">
        <v>2.8999999999999998E-3</v>
      </c>
      <c r="D983" s="41">
        <v>2.8283999999999998</v>
      </c>
      <c r="E983" s="41">
        <v>30</v>
      </c>
      <c r="F983" s="41">
        <v>0</v>
      </c>
      <c r="G983" s="41" t="s">
        <v>505</v>
      </c>
      <c r="H983" s="41">
        <v>2</v>
      </c>
      <c r="I983" s="41">
        <v>1</v>
      </c>
      <c r="J983" s="108">
        <v>0</v>
      </c>
      <c r="K983" s="41">
        <v>0</v>
      </c>
      <c r="L983" s="41">
        <v>55</v>
      </c>
      <c r="M983" s="41">
        <v>-1</v>
      </c>
      <c r="N983" s="41">
        <v>2</v>
      </c>
      <c r="O983" s="111" t="s">
        <v>3081</v>
      </c>
      <c r="P983" s="109"/>
      <c r="Q983" s="41"/>
      <c r="R983" s="111"/>
      <c r="S983" s="110"/>
    </row>
    <row r="984" spans="1:19">
      <c r="A984" s="105">
        <v>2366</v>
      </c>
      <c r="B984" s="41">
        <v>120000000</v>
      </c>
      <c r="C984" s="41">
        <v>2.8999999999999998E-3</v>
      </c>
      <c r="D984" s="41">
        <v>4</v>
      </c>
      <c r="E984" s="41">
        <v>30</v>
      </c>
      <c r="F984" s="41">
        <v>0</v>
      </c>
      <c r="G984" s="41" t="s">
        <v>505</v>
      </c>
      <c r="H984" s="41">
        <v>2</v>
      </c>
      <c r="I984" s="41">
        <v>1</v>
      </c>
      <c r="J984" s="108">
        <v>0</v>
      </c>
      <c r="K984" s="41">
        <v>0</v>
      </c>
      <c r="L984" s="41">
        <v>55</v>
      </c>
      <c r="M984" s="41">
        <v>-1</v>
      </c>
      <c r="N984" s="41">
        <v>2</v>
      </c>
      <c r="O984" s="111" t="s">
        <v>3082</v>
      </c>
      <c r="P984" s="109"/>
      <c r="Q984" s="41"/>
      <c r="R984" s="111"/>
      <c r="S984" s="110"/>
    </row>
    <row r="985" spans="1:19">
      <c r="A985" s="105">
        <v>2367</v>
      </c>
      <c r="B985" s="41">
        <v>120000000</v>
      </c>
      <c r="C985" s="41">
        <v>2.8999999999999998E-3</v>
      </c>
      <c r="D985" s="41">
        <v>5.6569000000000003</v>
      </c>
      <c r="E985" s="41">
        <v>30</v>
      </c>
      <c r="F985" s="41">
        <v>0</v>
      </c>
      <c r="G985" s="41" t="s">
        <v>505</v>
      </c>
      <c r="H985" s="41">
        <v>2</v>
      </c>
      <c r="I985" s="41">
        <v>1</v>
      </c>
      <c r="J985" s="108">
        <v>0</v>
      </c>
      <c r="K985" s="41">
        <v>0</v>
      </c>
      <c r="L985" s="41">
        <v>55</v>
      </c>
      <c r="M985" s="41">
        <v>-1</v>
      </c>
      <c r="N985" s="41">
        <v>2</v>
      </c>
      <c r="O985" s="111" t="s">
        <v>3083</v>
      </c>
      <c r="P985" s="109"/>
      <c r="Q985" s="41"/>
      <c r="R985" s="111"/>
      <c r="S985" s="110"/>
    </row>
    <row r="986" spans="1:19">
      <c r="A986" s="105">
        <v>2368</v>
      </c>
      <c r="B986" s="41">
        <v>120000000</v>
      </c>
      <c r="C986" s="41">
        <v>2.8999999999999998E-3</v>
      </c>
      <c r="D986" s="41">
        <v>8</v>
      </c>
      <c r="E986" s="41">
        <v>30</v>
      </c>
      <c r="F986" s="41">
        <v>0</v>
      </c>
      <c r="G986" s="41" t="s">
        <v>505</v>
      </c>
      <c r="H986" s="41">
        <v>2</v>
      </c>
      <c r="I986" s="41">
        <v>1</v>
      </c>
      <c r="J986" s="108">
        <v>0</v>
      </c>
      <c r="K986" s="41">
        <v>0</v>
      </c>
      <c r="L986" s="41">
        <v>55</v>
      </c>
      <c r="M986" s="41">
        <v>-1</v>
      </c>
      <c r="N986" s="41">
        <v>2</v>
      </c>
      <c r="O986" s="111" t="s">
        <v>3084</v>
      </c>
      <c r="P986" s="109"/>
      <c r="Q986" s="41"/>
      <c r="R986" s="111"/>
      <c r="S986" s="110"/>
    </row>
    <row r="987" spans="1:19">
      <c r="A987" s="105">
        <v>2369</v>
      </c>
      <c r="B987" s="41">
        <v>120000000</v>
      </c>
      <c r="C987" s="41">
        <v>2.8999999999999998E-3</v>
      </c>
      <c r="D987" s="41">
        <v>11.313700000000001</v>
      </c>
      <c r="E987" s="41">
        <v>30</v>
      </c>
      <c r="F987" s="41">
        <v>0</v>
      </c>
      <c r="G987" s="41" t="s">
        <v>505</v>
      </c>
      <c r="H987" s="41">
        <v>2</v>
      </c>
      <c r="I987" s="41">
        <v>1</v>
      </c>
      <c r="J987" s="108">
        <v>0</v>
      </c>
      <c r="K987" s="41">
        <v>0</v>
      </c>
      <c r="L987" s="41">
        <v>55</v>
      </c>
      <c r="M987" s="41">
        <v>-1</v>
      </c>
      <c r="N987" s="41">
        <v>2</v>
      </c>
      <c r="O987" s="111" t="s">
        <v>3085</v>
      </c>
      <c r="P987" s="109"/>
      <c r="Q987" s="41"/>
      <c r="R987" s="111"/>
      <c r="S987" s="110"/>
    </row>
    <row r="988" spans="1:19">
      <c r="A988" s="105">
        <v>2370</v>
      </c>
      <c r="B988" s="41">
        <v>120000000</v>
      </c>
      <c r="C988" s="41">
        <v>2.8999999999999998E-3</v>
      </c>
      <c r="D988" s="41">
        <v>16</v>
      </c>
      <c r="E988" s="41">
        <v>30</v>
      </c>
      <c r="F988" s="41">
        <v>0</v>
      </c>
      <c r="G988" s="41" t="s">
        <v>505</v>
      </c>
      <c r="H988" s="41">
        <v>2</v>
      </c>
      <c r="I988" s="41">
        <v>1</v>
      </c>
      <c r="J988" s="108">
        <v>0</v>
      </c>
      <c r="K988" s="41">
        <v>0</v>
      </c>
      <c r="L988" s="41">
        <v>55</v>
      </c>
      <c r="M988" s="41">
        <v>-1</v>
      </c>
      <c r="N988" s="41">
        <v>2</v>
      </c>
      <c r="O988" s="111" t="s">
        <v>3086</v>
      </c>
      <c r="P988" s="109"/>
      <c r="Q988" s="41"/>
      <c r="R988" s="111"/>
      <c r="S988" s="110"/>
    </row>
    <row r="989" spans="1:19">
      <c r="A989" s="105">
        <v>2371</v>
      </c>
      <c r="B989" s="41">
        <v>120000000</v>
      </c>
      <c r="C989" s="41">
        <v>2.8999999999999998E-3</v>
      </c>
      <c r="D989" s="41">
        <v>22.627400000000002</v>
      </c>
      <c r="E989" s="41">
        <v>30</v>
      </c>
      <c r="F989" s="41">
        <v>0</v>
      </c>
      <c r="G989" s="41" t="s">
        <v>505</v>
      </c>
      <c r="H989" s="41">
        <v>2</v>
      </c>
      <c r="I989" s="41">
        <v>1</v>
      </c>
      <c r="J989" s="108">
        <v>0</v>
      </c>
      <c r="K989" s="41">
        <v>0</v>
      </c>
      <c r="L989" s="41">
        <v>55</v>
      </c>
      <c r="M989" s="41">
        <v>-1</v>
      </c>
      <c r="N989" s="41">
        <v>2</v>
      </c>
      <c r="O989" s="111" t="s">
        <v>3087</v>
      </c>
      <c r="P989" s="109"/>
      <c r="Q989" s="41"/>
      <c r="R989" s="111"/>
      <c r="S989" s="110"/>
    </row>
    <row r="990" spans="1:19">
      <c r="A990" s="105">
        <v>2372</v>
      </c>
      <c r="B990" s="41">
        <v>120000000</v>
      </c>
      <c r="C990" s="41">
        <v>2.8999999999999998E-3</v>
      </c>
      <c r="D990" s="41">
        <v>32</v>
      </c>
      <c r="E990" s="41">
        <v>30</v>
      </c>
      <c r="F990" s="41">
        <v>0</v>
      </c>
      <c r="G990" s="41" t="s">
        <v>505</v>
      </c>
      <c r="H990" s="41">
        <v>2</v>
      </c>
      <c r="I990" s="41">
        <v>1</v>
      </c>
      <c r="J990" s="108">
        <v>0</v>
      </c>
      <c r="K990" s="41">
        <v>0</v>
      </c>
      <c r="L990" s="41">
        <v>55</v>
      </c>
      <c r="M990" s="41">
        <v>-1</v>
      </c>
      <c r="N990" s="41">
        <v>2</v>
      </c>
      <c r="O990" s="111" t="s">
        <v>3088</v>
      </c>
      <c r="P990" s="109"/>
      <c r="Q990" s="41"/>
      <c r="R990" s="111"/>
      <c r="S990" s="110"/>
    </row>
    <row r="991" spans="1:19">
      <c r="A991" s="105">
        <v>2373</v>
      </c>
      <c r="B991" s="41">
        <v>120000000</v>
      </c>
      <c r="C991" s="41">
        <v>2.8999999999999998E-3</v>
      </c>
      <c r="D991" s="41">
        <v>45.254800000000003</v>
      </c>
      <c r="E991" s="41">
        <v>30</v>
      </c>
      <c r="F991" s="41">
        <v>0</v>
      </c>
      <c r="G991" s="41" t="s">
        <v>505</v>
      </c>
      <c r="H991" s="41">
        <v>2</v>
      </c>
      <c r="I991" s="41">
        <v>1</v>
      </c>
      <c r="J991" s="108">
        <v>0</v>
      </c>
      <c r="K991" s="41">
        <v>0</v>
      </c>
      <c r="L991" s="41">
        <v>55</v>
      </c>
      <c r="M991" s="41">
        <v>-1</v>
      </c>
      <c r="N991" s="41">
        <v>2</v>
      </c>
      <c r="O991" s="111" t="s">
        <v>3089</v>
      </c>
      <c r="P991" s="109"/>
      <c r="Q991" s="41"/>
      <c r="R991" s="111"/>
      <c r="S991" s="110"/>
    </row>
    <row r="992" spans="1:19">
      <c r="A992" s="105">
        <v>2374</v>
      </c>
      <c r="B992" s="41">
        <v>120000000</v>
      </c>
      <c r="C992" s="41">
        <v>3.2000000000000002E-3</v>
      </c>
      <c r="D992" s="41">
        <v>4</v>
      </c>
      <c r="E992" s="41">
        <v>30</v>
      </c>
      <c r="F992" s="41">
        <v>0</v>
      </c>
      <c r="G992" s="41" t="s">
        <v>505</v>
      </c>
      <c r="H992" s="41">
        <v>2</v>
      </c>
      <c r="I992" s="41">
        <v>1</v>
      </c>
      <c r="J992" s="108">
        <v>0</v>
      </c>
      <c r="K992" s="41">
        <v>0</v>
      </c>
      <c r="L992" s="41">
        <v>55</v>
      </c>
      <c r="M992" s="41">
        <v>-1</v>
      </c>
      <c r="N992" s="41">
        <v>2</v>
      </c>
      <c r="O992" s="111" t="s">
        <v>3090</v>
      </c>
      <c r="P992" s="109"/>
      <c r="Q992" s="41"/>
      <c r="R992" s="111"/>
      <c r="S992" s="110"/>
    </row>
    <row r="993" spans="1:19">
      <c r="A993" s="105">
        <v>2375</v>
      </c>
      <c r="B993" s="41">
        <v>120000000</v>
      </c>
      <c r="C993" s="41">
        <v>3.2000000000000002E-3</v>
      </c>
      <c r="D993" s="41">
        <v>5.6569000000000003</v>
      </c>
      <c r="E993" s="41">
        <v>30</v>
      </c>
      <c r="F993" s="41">
        <v>0</v>
      </c>
      <c r="G993" s="41" t="s">
        <v>505</v>
      </c>
      <c r="H993" s="41">
        <v>2</v>
      </c>
      <c r="I993" s="41">
        <v>1</v>
      </c>
      <c r="J993" s="108">
        <v>0</v>
      </c>
      <c r="K993" s="41">
        <v>0</v>
      </c>
      <c r="L993" s="41">
        <v>55</v>
      </c>
      <c r="M993" s="41">
        <v>-1</v>
      </c>
      <c r="N993" s="41">
        <v>2</v>
      </c>
      <c r="O993" s="111" t="s">
        <v>3091</v>
      </c>
      <c r="P993" s="109"/>
      <c r="Q993" s="41"/>
      <c r="R993" s="111"/>
      <c r="S993" s="110"/>
    </row>
    <row r="994" spans="1:19">
      <c r="A994" s="105">
        <v>2376</v>
      </c>
      <c r="B994" s="41">
        <v>120000000</v>
      </c>
      <c r="C994" s="41">
        <v>3.2000000000000002E-3</v>
      </c>
      <c r="D994" s="41">
        <v>8</v>
      </c>
      <c r="E994" s="41">
        <v>30</v>
      </c>
      <c r="F994" s="41">
        <v>0</v>
      </c>
      <c r="G994" s="41" t="s">
        <v>505</v>
      </c>
      <c r="H994" s="41">
        <v>2</v>
      </c>
      <c r="I994" s="41">
        <v>1</v>
      </c>
      <c r="J994" s="108">
        <v>0</v>
      </c>
      <c r="K994" s="41">
        <v>0</v>
      </c>
      <c r="L994" s="41">
        <v>55</v>
      </c>
      <c r="M994" s="41">
        <v>-1</v>
      </c>
      <c r="N994" s="41">
        <v>2</v>
      </c>
      <c r="O994" s="111" t="s">
        <v>3092</v>
      </c>
      <c r="P994" s="109"/>
      <c r="Q994" s="41"/>
      <c r="R994" s="111"/>
      <c r="S994" s="110"/>
    </row>
    <row r="995" spans="1:19">
      <c r="A995" s="105">
        <v>2377</v>
      </c>
      <c r="B995" s="41">
        <v>120000000</v>
      </c>
      <c r="C995" s="41">
        <v>3.2000000000000002E-3</v>
      </c>
      <c r="D995" s="41">
        <v>11.313700000000001</v>
      </c>
      <c r="E995" s="41">
        <v>30</v>
      </c>
      <c r="F995" s="41">
        <v>0</v>
      </c>
      <c r="G995" s="41" t="s">
        <v>505</v>
      </c>
      <c r="H995" s="41">
        <v>2</v>
      </c>
      <c r="I995" s="41">
        <v>1</v>
      </c>
      <c r="J995" s="108">
        <v>0</v>
      </c>
      <c r="K995" s="41">
        <v>0</v>
      </c>
      <c r="L995" s="41">
        <v>55</v>
      </c>
      <c r="M995" s="41">
        <v>-1</v>
      </c>
      <c r="N995" s="41">
        <v>2</v>
      </c>
      <c r="O995" s="111" t="s">
        <v>3093</v>
      </c>
      <c r="P995" s="109"/>
      <c r="Q995" s="41"/>
      <c r="R995" s="111"/>
      <c r="S995" s="110"/>
    </row>
    <row r="996" spans="1:19">
      <c r="A996" s="105">
        <v>2378</v>
      </c>
      <c r="B996" s="41">
        <v>120000000</v>
      </c>
      <c r="C996" s="41">
        <v>3.2000000000000002E-3</v>
      </c>
      <c r="D996" s="41">
        <v>16</v>
      </c>
      <c r="E996" s="41">
        <v>30</v>
      </c>
      <c r="F996" s="41">
        <v>0</v>
      </c>
      <c r="G996" s="41" t="s">
        <v>505</v>
      </c>
      <c r="H996" s="41">
        <v>2</v>
      </c>
      <c r="I996" s="41">
        <v>1</v>
      </c>
      <c r="J996" s="108">
        <v>0</v>
      </c>
      <c r="K996" s="41">
        <v>0</v>
      </c>
      <c r="L996" s="41">
        <v>55</v>
      </c>
      <c r="M996" s="41">
        <v>-1</v>
      </c>
      <c r="N996" s="41">
        <v>2</v>
      </c>
      <c r="O996" s="111" t="s">
        <v>3094</v>
      </c>
      <c r="P996" s="109"/>
      <c r="Q996" s="41"/>
      <c r="R996" s="111"/>
      <c r="S996" s="110"/>
    </row>
    <row r="997" spans="1:19">
      <c r="A997" s="105">
        <v>2379</v>
      </c>
      <c r="B997" s="41">
        <v>120000000</v>
      </c>
      <c r="C997" s="41">
        <v>3.2000000000000002E-3</v>
      </c>
      <c r="D997" s="41">
        <v>22.627400000000002</v>
      </c>
      <c r="E997" s="41">
        <v>30</v>
      </c>
      <c r="F997" s="41">
        <v>0</v>
      </c>
      <c r="G997" s="41" t="s">
        <v>505</v>
      </c>
      <c r="H997" s="41">
        <v>2</v>
      </c>
      <c r="I997" s="41">
        <v>1</v>
      </c>
      <c r="J997" s="108">
        <v>0</v>
      </c>
      <c r="K997" s="41">
        <v>0</v>
      </c>
      <c r="L997" s="41">
        <v>55</v>
      </c>
      <c r="M997" s="41">
        <v>-1</v>
      </c>
      <c r="N997" s="41">
        <v>2</v>
      </c>
      <c r="O997" s="111" t="s">
        <v>3095</v>
      </c>
      <c r="P997" s="109"/>
      <c r="Q997" s="41"/>
      <c r="R997" s="111"/>
      <c r="S997" s="110"/>
    </row>
    <row r="998" spans="1:19">
      <c r="A998" s="105">
        <v>2380</v>
      </c>
      <c r="B998" s="41">
        <v>120000000</v>
      </c>
      <c r="C998" s="41">
        <v>3.2000000000000002E-3</v>
      </c>
      <c r="D998" s="41">
        <v>32</v>
      </c>
      <c r="E998" s="41">
        <v>30</v>
      </c>
      <c r="F998" s="41">
        <v>0</v>
      </c>
      <c r="G998" s="41" t="s">
        <v>505</v>
      </c>
      <c r="H998" s="41">
        <v>2</v>
      </c>
      <c r="I998" s="41">
        <v>1</v>
      </c>
      <c r="J998" s="108">
        <v>0</v>
      </c>
      <c r="K998" s="41">
        <v>0</v>
      </c>
      <c r="L998" s="41">
        <v>55</v>
      </c>
      <c r="M998" s="41">
        <v>-1</v>
      </c>
      <c r="N998" s="41">
        <v>2</v>
      </c>
      <c r="O998" s="111" t="s">
        <v>3096</v>
      </c>
      <c r="P998" s="109"/>
      <c r="Q998" s="41"/>
      <c r="R998" s="111"/>
      <c r="S998" s="110"/>
    </row>
    <row r="999" spans="1:19">
      <c r="A999" s="105">
        <v>2381</v>
      </c>
      <c r="B999" s="41">
        <v>120000000</v>
      </c>
      <c r="C999" s="41">
        <v>3.2000000000000002E-3</v>
      </c>
      <c r="D999" s="41">
        <v>45.254800000000003</v>
      </c>
      <c r="E999" s="41">
        <v>30</v>
      </c>
      <c r="F999" s="41">
        <v>0</v>
      </c>
      <c r="G999" s="41" t="s">
        <v>505</v>
      </c>
      <c r="H999" s="41">
        <v>2</v>
      </c>
      <c r="I999" s="41">
        <v>1</v>
      </c>
      <c r="J999" s="108">
        <v>0</v>
      </c>
      <c r="K999" s="41">
        <v>0</v>
      </c>
      <c r="L999" s="41">
        <v>55</v>
      </c>
      <c r="M999" s="41">
        <v>-1</v>
      </c>
      <c r="N999" s="41">
        <v>2</v>
      </c>
      <c r="O999" s="111" t="s">
        <v>3097</v>
      </c>
      <c r="P999" s="109"/>
      <c r="Q999" s="41"/>
      <c r="R999" s="111"/>
      <c r="S999" s="110"/>
    </row>
    <row r="1000" spans="1:19">
      <c r="A1000" s="105">
        <v>2382</v>
      </c>
      <c r="B1000" s="41">
        <v>120000000</v>
      </c>
      <c r="C1000" s="41">
        <v>3.5000000000000001E-3</v>
      </c>
      <c r="D1000" s="41">
        <v>4</v>
      </c>
      <c r="E1000" s="41">
        <v>30</v>
      </c>
      <c r="F1000" s="41">
        <v>0</v>
      </c>
      <c r="G1000" s="41" t="s">
        <v>505</v>
      </c>
      <c r="H1000" s="41">
        <v>2</v>
      </c>
      <c r="I1000" s="41">
        <v>1</v>
      </c>
      <c r="J1000" s="108">
        <v>0</v>
      </c>
      <c r="K1000" s="41">
        <v>0</v>
      </c>
      <c r="L1000" s="41">
        <v>55</v>
      </c>
      <c r="M1000" s="41">
        <v>-1</v>
      </c>
      <c r="N1000" s="41">
        <v>2</v>
      </c>
      <c r="O1000" s="111" t="s">
        <v>3098</v>
      </c>
      <c r="P1000" s="109"/>
      <c r="Q1000" s="41"/>
      <c r="R1000" s="111"/>
      <c r="S1000" s="110"/>
    </row>
    <row r="1001" spans="1:19">
      <c r="A1001" s="105">
        <v>2383</v>
      </c>
      <c r="B1001" s="41">
        <v>120000000</v>
      </c>
      <c r="C1001" s="41">
        <v>3.5000000000000001E-3</v>
      </c>
      <c r="D1001" s="41">
        <v>5.6569000000000003</v>
      </c>
      <c r="E1001" s="41">
        <v>30</v>
      </c>
      <c r="F1001" s="41">
        <v>0</v>
      </c>
      <c r="G1001" s="41" t="s">
        <v>505</v>
      </c>
      <c r="H1001" s="41">
        <v>2</v>
      </c>
      <c r="I1001" s="41">
        <v>1</v>
      </c>
      <c r="J1001" s="108">
        <v>0</v>
      </c>
      <c r="K1001" s="41">
        <v>0</v>
      </c>
      <c r="L1001" s="41">
        <v>55</v>
      </c>
      <c r="M1001" s="41">
        <v>-1</v>
      </c>
      <c r="N1001" s="41">
        <v>2</v>
      </c>
      <c r="O1001" s="111" t="s">
        <v>3099</v>
      </c>
      <c r="P1001" s="109"/>
      <c r="Q1001" s="41"/>
      <c r="R1001" s="111"/>
      <c r="S1001" s="110"/>
    </row>
    <row r="1002" spans="1:19">
      <c r="A1002" s="105">
        <v>2384</v>
      </c>
      <c r="B1002" s="41">
        <v>120000000</v>
      </c>
      <c r="C1002" s="41">
        <v>3.5000000000000001E-3</v>
      </c>
      <c r="D1002" s="41">
        <v>8</v>
      </c>
      <c r="E1002" s="41">
        <v>30</v>
      </c>
      <c r="F1002" s="41">
        <v>0</v>
      </c>
      <c r="G1002" s="41" t="s">
        <v>505</v>
      </c>
      <c r="H1002" s="41">
        <v>2</v>
      </c>
      <c r="I1002" s="41">
        <v>1</v>
      </c>
      <c r="J1002" s="108">
        <v>0</v>
      </c>
      <c r="K1002" s="41">
        <v>0</v>
      </c>
      <c r="L1002" s="41">
        <v>55</v>
      </c>
      <c r="M1002" s="41">
        <v>-1</v>
      </c>
      <c r="N1002" s="41">
        <v>2</v>
      </c>
      <c r="O1002" s="111" t="s">
        <v>3100</v>
      </c>
      <c r="P1002" s="109"/>
      <c r="Q1002" s="41"/>
      <c r="R1002" s="111"/>
      <c r="S1002" s="110"/>
    </row>
    <row r="1003" spans="1:19">
      <c r="A1003" s="105">
        <v>2385</v>
      </c>
      <c r="B1003" s="41">
        <v>120000000</v>
      </c>
      <c r="C1003" s="41">
        <v>3.5000000000000001E-3</v>
      </c>
      <c r="D1003" s="41">
        <v>11.313700000000001</v>
      </c>
      <c r="E1003" s="41">
        <v>30</v>
      </c>
      <c r="F1003" s="41">
        <v>0</v>
      </c>
      <c r="G1003" s="41" t="s">
        <v>505</v>
      </c>
      <c r="H1003" s="41">
        <v>2</v>
      </c>
      <c r="I1003" s="41">
        <v>1</v>
      </c>
      <c r="J1003" s="108">
        <v>0</v>
      </c>
      <c r="K1003" s="41">
        <v>0</v>
      </c>
      <c r="L1003" s="41">
        <v>55</v>
      </c>
      <c r="M1003" s="41">
        <v>-1</v>
      </c>
      <c r="N1003" s="41">
        <v>2</v>
      </c>
      <c r="O1003" s="111" t="s">
        <v>3101</v>
      </c>
      <c r="P1003" s="109"/>
      <c r="Q1003" s="41"/>
      <c r="R1003" s="111"/>
      <c r="S1003" s="110"/>
    </row>
    <row r="1004" spans="1:19">
      <c r="A1004" s="105">
        <v>2386</v>
      </c>
      <c r="B1004" s="41">
        <v>120000000</v>
      </c>
      <c r="C1004" s="41">
        <v>3.5000000000000001E-3</v>
      </c>
      <c r="D1004" s="41">
        <v>16</v>
      </c>
      <c r="E1004" s="41">
        <v>30</v>
      </c>
      <c r="F1004" s="41">
        <v>0</v>
      </c>
      <c r="G1004" s="41" t="s">
        <v>505</v>
      </c>
      <c r="H1004" s="41">
        <v>2</v>
      </c>
      <c r="I1004" s="41">
        <v>1</v>
      </c>
      <c r="J1004" s="108">
        <v>0</v>
      </c>
      <c r="K1004" s="41">
        <v>0</v>
      </c>
      <c r="L1004" s="41">
        <v>55</v>
      </c>
      <c r="M1004" s="41">
        <v>-1</v>
      </c>
      <c r="N1004" s="41">
        <v>2</v>
      </c>
      <c r="O1004" s="111" t="s">
        <v>3102</v>
      </c>
      <c r="P1004" s="109"/>
      <c r="Q1004" s="41"/>
      <c r="R1004" s="111"/>
      <c r="S1004" s="110"/>
    </row>
    <row r="1005" spans="1:19">
      <c r="A1005" s="105">
        <v>2387</v>
      </c>
      <c r="B1005" s="41">
        <v>120000000</v>
      </c>
      <c r="C1005" s="41">
        <v>3.5000000000000001E-3</v>
      </c>
      <c r="D1005" s="41">
        <v>22.627400000000002</v>
      </c>
      <c r="E1005" s="41">
        <v>30</v>
      </c>
      <c r="F1005" s="41">
        <v>0</v>
      </c>
      <c r="G1005" s="41" t="s">
        <v>505</v>
      </c>
      <c r="H1005" s="41">
        <v>2</v>
      </c>
      <c r="I1005" s="41">
        <v>1</v>
      </c>
      <c r="J1005" s="108">
        <v>0</v>
      </c>
      <c r="K1005" s="41">
        <v>0</v>
      </c>
      <c r="L1005" s="41">
        <v>55</v>
      </c>
      <c r="M1005" s="41">
        <v>-1</v>
      </c>
      <c r="N1005" s="41">
        <v>2</v>
      </c>
      <c r="O1005" s="111" t="s">
        <v>3103</v>
      </c>
      <c r="P1005" s="109"/>
      <c r="Q1005" s="41"/>
      <c r="R1005" s="111"/>
      <c r="S1005" s="110"/>
    </row>
    <row r="1006" spans="1:19">
      <c r="A1006" s="105">
        <v>2388</v>
      </c>
      <c r="B1006" s="41">
        <v>120000000</v>
      </c>
      <c r="C1006" s="41">
        <v>3.5000000000000001E-3</v>
      </c>
      <c r="D1006" s="41">
        <v>32</v>
      </c>
      <c r="E1006" s="41">
        <v>30</v>
      </c>
      <c r="F1006" s="41">
        <v>0</v>
      </c>
      <c r="G1006" s="41" t="s">
        <v>505</v>
      </c>
      <c r="H1006" s="41">
        <v>2</v>
      </c>
      <c r="I1006" s="41">
        <v>1</v>
      </c>
      <c r="J1006" s="108">
        <v>0</v>
      </c>
      <c r="K1006" s="41">
        <v>0</v>
      </c>
      <c r="L1006" s="41">
        <v>55</v>
      </c>
      <c r="M1006" s="41">
        <v>-1</v>
      </c>
      <c r="N1006" s="41">
        <v>2</v>
      </c>
      <c r="O1006" s="111" t="s">
        <v>3104</v>
      </c>
      <c r="P1006" s="109"/>
      <c r="Q1006" s="41"/>
      <c r="R1006" s="111"/>
      <c r="S1006" s="110"/>
    </row>
    <row r="1007" spans="1:19">
      <c r="A1007" s="105">
        <v>2389</v>
      </c>
      <c r="B1007" s="41">
        <v>120000000</v>
      </c>
      <c r="C1007" s="41">
        <v>3.5000000000000001E-3</v>
      </c>
      <c r="D1007" s="41">
        <v>45.254800000000003</v>
      </c>
      <c r="E1007" s="41">
        <v>30</v>
      </c>
      <c r="F1007" s="41">
        <v>0</v>
      </c>
      <c r="G1007" s="41" t="s">
        <v>505</v>
      </c>
      <c r="H1007" s="41">
        <v>2</v>
      </c>
      <c r="I1007" s="41">
        <v>1</v>
      </c>
      <c r="J1007" s="108">
        <v>0</v>
      </c>
      <c r="K1007" s="41">
        <v>0</v>
      </c>
      <c r="L1007" s="41">
        <v>55</v>
      </c>
      <c r="M1007" s="41">
        <v>-1</v>
      </c>
      <c r="N1007" s="41">
        <v>2</v>
      </c>
      <c r="O1007" s="111" t="s">
        <v>3105</v>
      </c>
      <c r="P1007" s="109"/>
      <c r="Q1007" s="41"/>
      <c r="R1007" s="111"/>
      <c r="S1007" s="110"/>
    </row>
    <row r="1008" spans="1:19">
      <c r="A1008" s="105">
        <v>2390</v>
      </c>
      <c r="B1008" s="41">
        <v>120000000</v>
      </c>
      <c r="C1008" s="41">
        <v>3.8E-3</v>
      </c>
      <c r="D1008" s="41">
        <v>5.6569000000000003</v>
      </c>
      <c r="E1008" s="41">
        <v>30</v>
      </c>
      <c r="F1008" s="41">
        <v>0</v>
      </c>
      <c r="G1008" s="41" t="s">
        <v>505</v>
      </c>
      <c r="H1008" s="41">
        <v>2</v>
      </c>
      <c r="I1008" s="41">
        <v>1</v>
      </c>
      <c r="J1008" s="108">
        <v>0</v>
      </c>
      <c r="K1008" s="41">
        <v>0</v>
      </c>
      <c r="L1008" s="41">
        <v>55</v>
      </c>
      <c r="M1008" s="41">
        <v>-1</v>
      </c>
      <c r="N1008" s="41">
        <v>2</v>
      </c>
      <c r="O1008" s="111" t="s">
        <v>3106</v>
      </c>
      <c r="P1008" s="109"/>
      <c r="Q1008" s="41"/>
      <c r="R1008" s="111"/>
      <c r="S1008" s="110"/>
    </row>
    <row r="1009" spans="1:19">
      <c r="A1009" s="105">
        <v>2391</v>
      </c>
      <c r="B1009" s="41">
        <v>120000000</v>
      </c>
      <c r="C1009" s="41">
        <v>3.8E-3</v>
      </c>
      <c r="D1009" s="41">
        <v>8</v>
      </c>
      <c r="E1009" s="41">
        <v>30</v>
      </c>
      <c r="F1009" s="41">
        <v>0</v>
      </c>
      <c r="G1009" s="41" t="s">
        <v>505</v>
      </c>
      <c r="H1009" s="41">
        <v>2</v>
      </c>
      <c r="I1009" s="41">
        <v>1</v>
      </c>
      <c r="J1009" s="108">
        <v>0</v>
      </c>
      <c r="K1009" s="41">
        <v>0</v>
      </c>
      <c r="L1009" s="41">
        <v>55</v>
      </c>
      <c r="M1009" s="41">
        <v>-1</v>
      </c>
      <c r="N1009" s="41">
        <v>2</v>
      </c>
      <c r="O1009" s="111" t="s">
        <v>3107</v>
      </c>
      <c r="P1009" s="109"/>
      <c r="Q1009" s="41"/>
      <c r="R1009" s="111"/>
      <c r="S1009" s="110"/>
    </row>
    <row r="1010" spans="1:19">
      <c r="A1010" s="105">
        <v>2392</v>
      </c>
      <c r="B1010" s="41">
        <v>120000000</v>
      </c>
      <c r="C1010" s="41">
        <v>3.8E-3</v>
      </c>
      <c r="D1010" s="41">
        <v>11.313700000000001</v>
      </c>
      <c r="E1010" s="41">
        <v>30</v>
      </c>
      <c r="F1010" s="41">
        <v>0</v>
      </c>
      <c r="G1010" s="41" t="s">
        <v>505</v>
      </c>
      <c r="H1010" s="41">
        <v>2</v>
      </c>
      <c r="I1010" s="41">
        <v>1</v>
      </c>
      <c r="J1010" s="108">
        <v>0</v>
      </c>
      <c r="K1010" s="41">
        <v>0</v>
      </c>
      <c r="L1010" s="41">
        <v>55</v>
      </c>
      <c r="M1010" s="41">
        <v>-1</v>
      </c>
      <c r="N1010" s="41">
        <v>2</v>
      </c>
      <c r="O1010" s="111" t="s">
        <v>3108</v>
      </c>
      <c r="P1010" s="109"/>
      <c r="Q1010" s="41"/>
      <c r="R1010" s="111"/>
      <c r="S1010" s="110"/>
    </row>
    <row r="1011" spans="1:19">
      <c r="A1011" s="105">
        <v>2393</v>
      </c>
      <c r="B1011" s="41">
        <v>120000000</v>
      </c>
      <c r="C1011" s="41">
        <v>3.8E-3</v>
      </c>
      <c r="D1011" s="41">
        <v>16</v>
      </c>
      <c r="E1011" s="41">
        <v>30</v>
      </c>
      <c r="F1011" s="41">
        <v>0</v>
      </c>
      <c r="G1011" s="41" t="s">
        <v>505</v>
      </c>
      <c r="H1011" s="41">
        <v>2</v>
      </c>
      <c r="I1011" s="41">
        <v>1</v>
      </c>
      <c r="J1011" s="108">
        <v>0</v>
      </c>
      <c r="K1011" s="41">
        <v>0</v>
      </c>
      <c r="L1011" s="41">
        <v>55</v>
      </c>
      <c r="M1011" s="41">
        <v>-1</v>
      </c>
      <c r="N1011" s="41">
        <v>2</v>
      </c>
      <c r="O1011" s="111" t="s">
        <v>3109</v>
      </c>
      <c r="P1011" s="109"/>
      <c r="Q1011" s="41"/>
      <c r="R1011" s="111"/>
      <c r="S1011" s="110"/>
    </row>
    <row r="1012" spans="1:19">
      <c r="A1012" s="105">
        <v>2394</v>
      </c>
      <c r="B1012" s="41">
        <v>120000000</v>
      </c>
      <c r="C1012" s="41">
        <v>3.8E-3</v>
      </c>
      <c r="D1012" s="41">
        <v>22.627400000000002</v>
      </c>
      <c r="E1012" s="41">
        <v>30</v>
      </c>
      <c r="F1012" s="41">
        <v>0</v>
      </c>
      <c r="G1012" s="41" t="s">
        <v>505</v>
      </c>
      <c r="H1012" s="41">
        <v>2</v>
      </c>
      <c r="I1012" s="41">
        <v>1</v>
      </c>
      <c r="J1012" s="108">
        <v>0</v>
      </c>
      <c r="K1012" s="41">
        <v>0</v>
      </c>
      <c r="L1012" s="41">
        <v>55</v>
      </c>
      <c r="M1012" s="41">
        <v>-1</v>
      </c>
      <c r="N1012" s="41">
        <v>2</v>
      </c>
      <c r="O1012" s="111" t="s">
        <v>3110</v>
      </c>
      <c r="P1012" s="109"/>
      <c r="Q1012" s="41"/>
      <c r="R1012" s="111"/>
      <c r="S1012" s="110"/>
    </row>
    <row r="1013" spans="1:19">
      <c r="A1013" s="105">
        <v>2395</v>
      </c>
      <c r="B1013" s="41">
        <v>120000000</v>
      </c>
      <c r="C1013" s="41">
        <v>3.8E-3</v>
      </c>
      <c r="D1013" s="41">
        <v>32</v>
      </c>
      <c r="E1013" s="41">
        <v>30</v>
      </c>
      <c r="F1013" s="41">
        <v>0</v>
      </c>
      <c r="G1013" s="41" t="s">
        <v>505</v>
      </c>
      <c r="H1013" s="41">
        <v>2</v>
      </c>
      <c r="I1013" s="41">
        <v>1</v>
      </c>
      <c r="J1013" s="108">
        <v>0</v>
      </c>
      <c r="K1013" s="41">
        <v>0</v>
      </c>
      <c r="L1013" s="41">
        <v>55</v>
      </c>
      <c r="M1013" s="41">
        <v>-1</v>
      </c>
      <c r="N1013" s="41">
        <v>2</v>
      </c>
      <c r="O1013" s="111" t="s">
        <v>3111</v>
      </c>
      <c r="P1013" s="109"/>
      <c r="Q1013" s="41"/>
      <c r="R1013" s="111"/>
      <c r="S1013" s="110"/>
    </row>
    <row r="1014" spans="1:19">
      <c r="A1014" s="105">
        <v>2396</v>
      </c>
      <c r="B1014" s="41">
        <v>120000000</v>
      </c>
      <c r="C1014" s="41">
        <v>3.8E-3</v>
      </c>
      <c r="D1014" s="41">
        <v>45.254800000000003</v>
      </c>
      <c r="E1014" s="41">
        <v>30</v>
      </c>
      <c r="F1014" s="41">
        <v>0</v>
      </c>
      <c r="G1014" s="41" t="s">
        <v>505</v>
      </c>
      <c r="H1014" s="41">
        <v>2</v>
      </c>
      <c r="I1014" s="41">
        <v>1</v>
      </c>
      <c r="J1014" s="108">
        <v>0</v>
      </c>
      <c r="K1014" s="41">
        <v>0</v>
      </c>
      <c r="L1014" s="41">
        <v>55</v>
      </c>
      <c r="M1014" s="41">
        <v>-1</v>
      </c>
      <c r="N1014" s="41">
        <v>2</v>
      </c>
      <c r="O1014" s="111" t="s">
        <v>3112</v>
      </c>
      <c r="P1014" s="109"/>
      <c r="Q1014" s="41"/>
      <c r="R1014" s="111"/>
      <c r="S1014" s="110"/>
    </row>
    <row r="1015" spans="1:19">
      <c r="A1015" s="105">
        <v>2397</v>
      </c>
      <c r="B1015" s="41">
        <v>120000000</v>
      </c>
      <c r="C1015" s="41">
        <v>4.1999999999999997E-3</v>
      </c>
      <c r="D1015" s="41">
        <v>5.6569000000000003</v>
      </c>
      <c r="E1015" s="41">
        <v>30</v>
      </c>
      <c r="F1015" s="41">
        <v>0</v>
      </c>
      <c r="G1015" s="41" t="s">
        <v>505</v>
      </c>
      <c r="H1015" s="41">
        <v>2</v>
      </c>
      <c r="I1015" s="41">
        <v>1</v>
      </c>
      <c r="J1015" s="108">
        <v>0</v>
      </c>
      <c r="K1015" s="41">
        <v>0</v>
      </c>
      <c r="L1015" s="41">
        <v>55</v>
      </c>
      <c r="M1015" s="41">
        <v>-1</v>
      </c>
      <c r="N1015" s="41">
        <v>2</v>
      </c>
      <c r="O1015" s="111" t="s">
        <v>3113</v>
      </c>
      <c r="P1015" s="109"/>
      <c r="Q1015" s="41"/>
      <c r="R1015" s="111"/>
      <c r="S1015" s="110"/>
    </row>
    <row r="1016" spans="1:19">
      <c r="A1016" s="105">
        <v>2398</v>
      </c>
      <c r="B1016" s="41">
        <v>120000000</v>
      </c>
      <c r="C1016" s="41">
        <v>4.1999999999999997E-3</v>
      </c>
      <c r="D1016" s="41">
        <v>8</v>
      </c>
      <c r="E1016" s="41">
        <v>30</v>
      </c>
      <c r="F1016" s="41">
        <v>0</v>
      </c>
      <c r="G1016" s="41" t="s">
        <v>505</v>
      </c>
      <c r="H1016" s="41">
        <v>2</v>
      </c>
      <c r="I1016" s="41">
        <v>1</v>
      </c>
      <c r="J1016" s="108">
        <v>0</v>
      </c>
      <c r="K1016" s="41">
        <v>0</v>
      </c>
      <c r="L1016" s="41">
        <v>55</v>
      </c>
      <c r="M1016" s="41">
        <v>-1</v>
      </c>
      <c r="N1016" s="41">
        <v>2</v>
      </c>
      <c r="O1016" s="111" t="s">
        <v>3114</v>
      </c>
      <c r="P1016" s="109"/>
      <c r="Q1016" s="41"/>
      <c r="R1016" s="111"/>
      <c r="S1016" s="110"/>
    </row>
    <row r="1017" spans="1:19">
      <c r="A1017" s="105">
        <v>2399</v>
      </c>
      <c r="B1017" s="41">
        <v>120000000</v>
      </c>
      <c r="C1017" s="41">
        <v>4.1999999999999997E-3</v>
      </c>
      <c r="D1017" s="41">
        <v>11.313700000000001</v>
      </c>
      <c r="E1017" s="41">
        <v>30</v>
      </c>
      <c r="F1017" s="41">
        <v>0</v>
      </c>
      <c r="G1017" s="41" t="s">
        <v>505</v>
      </c>
      <c r="H1017" s="41">
        <v>2</v>
      </c>
      <c r="I1017" s="41">
        <v>1</v>
      </c>
      <c r="J1017" s="108">
        <v>0</v>
      </c>
      <c r="K1017" s="41">
        <v>0</v>
      </c>
      <c r="L1017" s="41">
        <v>55</v>
      </c>
      <c r="M1017" s="41">
        <v>-1</v>
      </c>
      <c r="N1017" s="41">
        <v>2</v>
      </c>
      <c r="O1017" s="111" t="s">
        <v>3115</v>
      </c>
      <c r="P1017" s="109"/>
      <c r="Q1017" s="41"/>
      <c r="R1017" s="111"/>
      <c r="S1017" s="110"/>
    </row>
    <row r="1018" spans="1:19">
      <c r="A1018" s="105">
        <v>2400</v>
      </c>
      <c r="B1018" s="41">
        <v>120000000</v>
      </c>
      <c r="C1018" s="41">
        <v>4.1999999999999997E-3</v>
      </c>
      <c r="D1018" s="41">
        <v>16</v>
      </c>
      <c r="E1018" s="41">
        <v>30</v>
      </c>
      <c r="F1018" s="41">
        <v>0</v>
      </c>
      <c r="G1018" s="41" t="s">
        <v>505</v>
      </c>
      <c r="H1018" s="41">
        <v>2</v>
      </c>
      <c r="I1018" s="41">
        <v>1</v>
      </c>
      <c r="J1018" s="108">
        <v>0</v>
      </c>
      <c r="K1018" s="41">
        <v>0</v>
      </c>
      <c r="L1018" s="41">
        <v>55</v>
      </c>
      <c r="M1018" s="41">
        <v>-1</v>
      </c>
      <c r="N1018" s="41">
        <v>2</v>
      </c>
      <c r="O1018" s="111" t="s">
        <v>3116</v>
      </c>
      <c r="P1018" s="109"/>
      <c r="Q1018" s="41"/>
      <c r="R1018" s="111"/>
      <c r="S1018" s="110"/>
    </row>
    <row r="1019" spans="1:19">
      <c r="A1019" s="105">
        <v>2401</v>
      </c>
      <c r="B1019" s="41">
        <v>120000000</v>
      </c>
      <c r="C1019" s="41">
        <v>4.1999999999999997E-3</v>
      </c>
      <c r="D1019" s="41">
        <v>22.627400000000002</v>
      </c>
      <c r="E1019" s="41">
        <v>30</v>
      </c>
      <c r="F1019" s="41">
        <v>0</v>
      </c>
      <c r="G1019" s="41" t="s">
        <v>505</v>
      </c>
      <c r="H1019" s="41">
        <v>2</v>
      </c>
      <c r="I1019" s="41">
        <v>1</v>
      </c>
      <c r="J1019" s="108">
        <v>0</v>
      </c>
      <c r="K1019" s="41">
        <v>0</v>
      </c>
      <c r="L1019" s="41">
        <v>55</v>
      </c>
      <c r="M1019" s="41">
        <v>-1</v>
      </c>
      <c r="N1019" s="41">
        <v>2</v>
      </c>
      <c r="O1019" s="111" t="s">
        <v>3117</v>
      </c>
      <c r="P1019" s="109"/>
      <c r="Q1019" s="41"/>
      <c r="R1019" s="111"/>
      <c r="S1019" s="110"/>
    </row>
    <row r="1020" spans="1:19">
      <c r="A1020" s="105">
        <v>2402</v>
      </c>
      <c r="B1020" s="41">
        <v>120000000</v>
      </c>
      <c r="C1020" s="41">
        <v>4.1999999999999997E-3</v>
      </c>
      <c r="D1020" s="41">
        <v>32</v>
      </c>
      <c r="E1020" s="41">
        <v>30</v>
      </c>
      <c r="F1020" s="41">
        <v>0</v>
      </c>
      <c r="G1020" s="41" t="s">
        <v>505</v>
      </c>
      <c r="H1020" s="41">
        <v>2</v>
      </c>
      <c r="I1020" s="41">
        <v>1</v>
      </c>
      <c r="J1020" s="108">
        <v>0</v>
      </c>
      <c r="K1020" s="41">
        <v>0</v>
      </c>
      <c r="L1020" s="41">
        <v>55</v>
      </c>
      <c r="M1020" s="41">
        <v>-1</v>
      </c>
      <c r="N1020" s="41">
        <v>2</v>
      </c>
      <c r="O1020" s="111" t="s">
        <v>3118</v>
      </c>
      <c r="P1020" s="109"/>
      <c r="Q1020" s="41"/>
      <c r="R1020" s="111"/>
      <c r="S1020" s="110"/>
    </row>
    <row r="1021" spans="1:19">
      <c r="A1021" s="105">
        <v>2403</v>
      </c>
      <c r="B1021" s="41">
        <v>120000000</v>
      </c>
      <c r="C1021" s="41">
        <v>4.1999999999999997E-3</v>
      </c>
      <c r="D1021" s="41">
        <v>45.254800000000003</v>
      </c>
      <c r="E1021" s="41">
        <v>30</v>
      </c>
      <c r="F1021" s="41">
        <v>0</v>
      </c>
      <c r="G1021" s="41" t="s">
        <v>505</v>
      </c>
      <c r="H1021" s="41">
        <v>2</v>
      </c>
      <c r="I1021" s="41">
        <v>1</v>
      </c>
      <c r="J1021" s="108">
        <v>0</v>
      </c>
      <c r="K1021" s="41">
        <v>0</v>
      </c>
      <c r="L1021" s="41">
        <v>55</v>
      </c>
      <c r="M1021" s="41">
        <v>-1</v>
      </c>
      <c r="N1021" s="41">
        <v>2</v>
      </c>
      <c r="O1021" s="111" t="s">
        <v>3119</v>
      </c>
      <c r="P1021" s="109"/>
      <c r="Q1021" s="41"/>
      <c r="R1021" s="111"/>
      <c r="S1021" s="110"/>
    </row>
    <row r="1022" spans="1:19">
      <c r="A1022" s="105">
        <v>2404</v>
      </c>
      <c r="B1022" s="41">
        <v>120000000</v>
      </c>
      <c r="C1022" s="41">
        <v>4.4999999999999997E-3</v>
      </c>
      <c r="D1022" s="41">
        <v>8</v>
      </c>
      <c r="E1022" s="41">
        <v>30</v>
      </c>
      <c r="F1022" s="41">
        <v>0</v>
      </c>
      <c r="G1022" s="41" t="s">
        <v>505</v>
      </c>
      <c r="H1022" s="41">
        <v>2</v>
      </c>
      <c r="I1022" s="41">
        <v>1</v>
      </c>
      <c r="J1022" s="108">
        <v>0</v>
      </c>
      <c r="K1022" s="41">
        <v>0</v>
      </c>
      <c r="L1022" s="41">
        <v>55</v>
      </c>
      <c r="M1022" s="41">
        <v>-1</v>
      </c>
      <c r="N1022" s="41">
        <v>2</v>
      </c>
      <c r="O1022" s="111" t="s">
        <v>3120</v>
      </c>
      <c r="P1022" s="109"/>
      <c r="Q1022" s="41"/>
      <c r="R1022" s="111"/>
      <c r="S1022" s="110"/>
    </row>
    <row r="1023" spans="1:19">
      <c r="A1023" s="105">
        <v>2405</v>
      </c>
      <c r="B1023" s="41">
        <v>120000000</v>
      </c>
      <c r="C1023" s="41">
        <v>4.4999999999999997E-3</v>
      </c>
      <c r="D1023" s="41">
        <v>11.313700000000001</v>
      </c>
      <c r="E1023" s="41">
        <v>30</v>
      </c>
      <c r="F1023" s="41">
        <v>0</v>
      </c>
      <c r="G1023" s="41" t="s">
        <v>505</v>
      </c>
      <c r="H1023" s="41">
        <v>2</v>
      </c>
      <c r="I1023" s="41">
        <v>1</v>
      </c>
      <c r="J1023" s="108">
        <v>0</v>
      </c>
      <c r="K1023" s="41">
        <v>0</v>
      </c>
      <c r="L1023" s="41">
        <v>55</v>
      </c>
      <c r="M1023" s="41">
        <v>-1</v>
      </c>
      <c r="N1023" s="41">
        <v>2</v>
      </c>
      <c r="O1023" s="111" t="s">
        <v>3121</v>
      </c>
      <c r="P1023" s="109"/>
      <c r="Q1023" s="41"/>
      <c r="R1023" s="111"/>
      <c r="S1023" s="110"/>
    </row>
    <row r="1024" spans="1:19">
      <c r="A1024" s="105">
        <v>2406</v>
      </c>
      <c r="B1024" s="41">
        <v>120000000</v>
      </c>
      <c r="C1024" s="41">
        <v>4.4999999999999997E-3</v>
      </c>
      <c r="D1024" s="41">
        <v>16</v>
      </c>
      <c r="E1024" s="41">
        <v>30</v>
      </c>
      <c r="F1024" s="41">
        <v>0</v>
      </c>
      <c r="G1024" s="41" t="s">
        <v>505</v>
      </c>
      <c r="H1024" s="41">
        <v>2</v>
      </c>
      <c r="I1024" s="41">
        <v>1</v>
      </c>
      <c r="J1024" s="108">
        <v>0</v>
      </c>
      <c r="K1024" s="41">
        <v>0</v>
      </c>
      <c r="L1024" s="41">
        <v>55</v>
      </c>
      <c r="M1024" s="41">
        <v>-1</v>
      </c>
      <c r="N1024" s="41">
        <v>2</v>
      </c>
      <c r="O1024" s="111" t="s">
        <v>3122</v>
      </c>
      <c r="P1024" s="109"/>
      <c r="Q1024" s="41"/>
      <c r="R1024" s="111"/>
      <c r="S1024" s="110"/>
    </row>
    <row r="1025" spans="1:19">
      <c r="A1025" s="105">
        <v>2407</v>
      </c>
      <c r="B1025" s="41">
        <v>120000000</v>
      </c>
      <c r="C1025" s="41">
        <v>4.4999999999999997E-3</v>
      </c>
      <c r="D1025" s="41">
        <v>22.627400000000002</v>
      </c>
      <c r="E1025" s="41">
        <v>30</v>
      </c>
      <c r="F1025" s="41">
        <v>0</v>
      </c>
      <c r="G1025" s="41" t="s">
        <v>505</v>
      </c>
      <c r="H1025" s="41">
        <v>2</v>
      </c>
      <c r="I1025" s="41">
        <v>1</v>
      </c>
      <c r="J1025" s="108">
        <v>0</v>
      </c>
      <c r="K1025" s="41">
        <v>0</v>
      </c>
      <c r="L1025" s="41">
        <v>55</v>
      </c>
      <c r="M1025" s="41">
        <v>-1</v>
      </c>
      <c r="N1025" s="41">
        <v>2</v>
      </c>
      <c r="O1025" s="111" t="s">
        <v>3123</v>
      </c>
      <c r="P1025" s="109"/>
      <c r="Q1025" s="41"/>
      <c r="R1025" s="111"/>
      <c r="S1025" s="110"/>
    </row>
    <row r="1026" spans="1:19">
      <c r="A1026" s="105">
        <v>2408</v>
      </c>
      <c r="B1026" s="41">
        <v>120000000</v>
      </c>
      <c r="C1026" s="41">
        <v>4.4999999999999997E-3</v>
      </c>
      <c r="D1026" s="41">
        <v>32</v>
      </c>
      <c r="E1026" s="41">
        <v>30</v>
      </c>
      <c r="F1026" s="41">
        <v>0</v>
      </c>
      <c r="G1026" s="41" t="s">
        <v>505</v>
      </c>
      <c r="H1026" s="41">
        <v>2</v>
      </c>
      <c r="I1026" s="41">
        <v>1</v>
      </c>
      <c r="J1026" s="108">
        <v>0</v>
      </c>
      <c r="K1026" s="41">
        <v>0</v>
      </c>
      <c r="L1026" s="41">
        <v>55</v>
      </c>
      <c r="M1026" s="41">
        <v>-1</v>
      </c>
      <c r="N1026" s="41">
        <v>2</v>
      </c>
      <c r="O1026" s="111" t="s">
        <v>3124</v>
      </c>
      <c r="P1026" s="109"/>
      <c r="Q1026" s="41"/>
      <c r="R1026" s="111"/>
      <c r="S1026" s="110"/>
    </row>
    <row r="1027" spans="1:19">
      <c r="A1027" s="105">
        <v>2409</v>
      </c>
      <c r="B1027" s="41">
        <v>120000000</v>
      </c>
      <c r="C1027" s="41">
        <v>4.4999999999999997E-3</v>
      </c>
      <c r="D1027" s="41">
        <v>45.254800000000003</v>
      </c>
      <c r="E1027" s="41">
        <v>30</v>
      </c>
      <c r="F1027" s="41">
        <v>0</v>
      </c>
      <c r="G1027" s="41" t="s">
        <v>505</v>
      </c>
      <c r="H1027" s="41">
        <v>2</v>
      </c>
      <c r="I1027" s="41">
        <v>1</v>
      </c>
      <c r="J1027" s="108">
        <v>0</v>
      </c>
      <c r="K1027" s="41">
        <v>0</v>
      </c>
      <c r="L1027" s="41">
        <v>55</v>
      </c>
      <c r="M1027" s="41">
        <v>-1</v>
      </c>
      <c r="N1027" s="41">
        <v>2</v>
      </c>
      <c r="O1027" s="111" t="s">
        <v>3125</v>
      </c>
      <c r="P1027" s="109"/>
      <c r="Q1027" s="41"/>
      <c r="R1027" s="111"/>
      <c r="S1027" s="110"/>
    </row>
    <row r="1028" spans="1:19">
      <c r="A1028" s="105">
        <v>2410</v>
      </c>
      <c r="B1028" s="41">
        <v>120000000</v>
      </c>
      <c r="C1028" s="41">
        <v>4.8999999999999998E-3</v>
      </c>
      <c r="D1028" s="41">
        <v>8</v>
      </c>
      <c r="E1028" s="41">
        <v>30</v>
      </c>
      <c r="F1028" s="41">
        <v>0</v>
      </c>
      <c r="G1028" s="41" t="s">
        <v>505</v>
      </c>
      <c r="H1028" s="41">
        <v>2</v>
      </c>
      <c r="I1028" s="41">
        <v>1</v>
      </c>
      <c r="J1028" s="108">
        <v>0</v>
      </c>
      <c r="K1028" s="41">
        <v>0</v>
      </c>
      <c r="L1028" s="41">
        <v>55</v>
      </c>
      <c r="M1028" s="41">
        <v>-1</v>
      </c>
      <c r="N1028" s="41">
        <v>2</v>
      </c>
      <c r="O1028" s="111" t="s">
        <v>3126</v>
      </c>
      <c r="P1028" s="109"/>
      <c r="Q1028" s="41"/>
      <c r="R1028" s="111"/>
      <c r="S1028" s="110"/>
    </row>
    <row r="1029" spans="1:19">
      <c r="A1029" s="105">
        <v>2411</v>
      </c>
      <c r="B1029" s="41">
        <v>120000000</v>
      </c>
      <c r="C1029" s="41">
        <v>4.8999999999999998E-3</v>
      </c>
      <c r="D1029" s="41">
        <v>11.313700000000001</v>
      </c>
      <c r="E1029" s="41">
        <v>30</v>
      </c>
      <c r="F1029" s="41">
        <v>0</v>
      </c>
      <c r="G1029" s="41" t="s">
        <v>505</v>
      </c>
      <c r="H1029" s="41">
        <v>2</v>
      </c>
      <c r="I1029" s="41">
        <v>1</v>
      </c>
      <c r="J1029" s="108">
        <v>0</v>
      </c>
      <c r="K1029" s="41">
        <v>0</v>
      </c>
      <c r="L1029" s="41">
        <v>55</v>
      </c>
      <c r="M1029" s="41">
        <v>-1</v>
      </c>
      <c r="N1029" s="41">
        <v>2</v>
      </c>
      <c r="O1029" s="111" t="s">
        <v>3127</v>
      </c>
      <c r="P1029" s="109"/>
      <c r="Q1029" s="41"/>
      <c r="R1029" s="111"/>
      <c r="S1029" s="110"/>
    </row>
    <row r="1030" spans="1:19">
      <c r="A1030" s="105">
        <v>2412</v>
      </c>
      <c r="B1030" s="41">
        <v>120000000</v>
      </c>
      <c r="C1030" s="41">
        <v>4.8999999999999998E-3</v>
      </c>
      <c r="D1030" s="41">
        <v>16</v>
      </c>
      <c r="E1030" s="41">
        <v>30</v>
      </c>
      <c r="F1030" s="41">
        <v>0</v>
      </c>
      <c r="G1030" s="41" t="s">
        <v>505</v>
      </c>
      <c r="H1030" s="41">
        <v>2</v>
      </c>
      <c r="I1030" s="41">
        <v>1</v>
      </c>
      <c r="J1030" s="108">
        <v>0</v>
      </c>
      <c r="K1030" s="41">
        <v>0</v>
      </c>
      <c r="L1030" s="41">
        <v>55</v>
      </c>
      <c r="M1030" s="41">
        <v>-1</v>
      </c>
      <c r="N1030" s="41">
        <v>2</v>
      </c>
      <c r="O1030" s="111" t="s">
        <v>3128</v>
      </c>
      <c r="P1030" s="109"/>
      <c r="Q1030" s="41"/>
      <c r="R1030" s="111"/>
      <c r="S1030" s="110"/>
    </row>
    <row r="1031" spans="1:19">
      <c r="A1031" s="105">
        <v>2413</v>
      </c>
      <c r="B1031" s="41">
        <v>120000000</v>
      </c>
      <c r="C1031" s="41">
        <v>4.8999999999999998E-3</v>
      </c>
      <c r="D1031" s="41">
        <v>22.627400000000002</v>
      </c>
      <c r="E1031" s="41">
        <v>30</v>
      </c>
      <c r="F1031" s="41">
        <v>0</v>
      </c>
      <c r="G1031" s="41" t="s">
        <v>505</v>
      </c>
      <c r="H1031" s="41">
        <v>2</v>
      </c>
      <c r="I1031" s="41">
        <v>1</v>
      </c>
      <c r="J1031" s="108">
        <v>0</v>
      </c>
      <c r="K1031" s="41">
        <v>0</v>
      </c>
      <c r="L1031" s="41">
        <v>55</v>
      </c>
      <c r="M1031" s="41">
        <v>-1</v>
      </c>
      <c r="N1031" s="41">
        <v>2</v>
      </c>
      <c r="O1031" s="111" t="s">
        <v>3129</v>
      </c>
      <c r="P1031" s="109"/>
      <c r="Q1031" s="41"/>
      <c r="R1031" s="111"/>
      <c r="S1031" s="110"/>
    </row>
    <row r="1032" spans="1:19">
      <c r="A1032" s="105">
        <v>2414</v>
      </c>
      <c r="B1032" s="41">
        <v>120000000</v>
      </c>
      <c r="C1032" s="41">
        <v>4.8999999999999998E-3</v>
      </c>
      <c r="D1032" s="41">
        <v>32</v>
      </c>
      <c r="E1032" s="41">
        <v>30</v>
      </c>
      <c r="F1032" s="41">
        <v>0</v>
      </c>
      <c r="G1032" s="41" t="s">
        <v>505</v>
      </c>
      <c r="H1032" s="41">
        <v>2</v>
      </c>
      <c r="I1032" s="41">
        <v>1</v>
      </c>
      <c r="J1032" s="108">
        <v>0</v>
      </c>
      <c r="K1032" s="41">
        <v>0</v>
      </c>
      <c r="L1032" s="41">
        <v>55</v>
      </c>
      <c r="M1032" s="41">
        <v>-1</v>
      </c>
      <c r="N1032" s="41">
        <v>2</v>
      </c>
      <c r="O1032" s="111" t="s">
        <v>3130</v>
      </c>
      <c r="P1032" s="109"/>
      <c r="Q1032" s="41"/>
      <c r="R1032" s="111"/>
      <c r="S1032" s="110"/>
    </row>
    <row r="1033" spans="1:19">
      <c r="A1033" s="105">
        <v>2415</v>
      </c>
      <c r="B1033" s="41">
        <v>120000000</v>
      </c>
      <c r="C1033" s="41">
        <v>4.8999999999999998E-3</v>
      </c>
      <c r="D1033" s="41">
        <v>45.254800000000003</v>
      </c>
      <c r="E1033" s="41">
        <v>30</v>
      </c>
      <c r="F1033" s="41">
        <v>0</v>
      </c>
      <c r="G1033" s="41" t="s">
        <v>505</v>
      </c>
      <c r="H1033" s="41">
        <v>2</v>
      </c>
      <c r="I1033" s="41">
        <v>1</v>
      </c>
      <c r="J1033" s="108">
        <v>0</v>
      </c>
      <c r="K1033" s="41">
        <v>0</v>
      </c>
      <c r="L1033" s="41">
        <v>55</v>
      </c>
      <c r="M1033" s="41">
        <v>-1</v>
      </c>
      <c r="N1033" s="41">
        <v>2</v>
      </c>
      <c r="O1033" s="111" t="s">
        <v>3131</v>
      </c>
      <c r="P1033" s="109"/>
      <c r="Q1033" s="41"/>
      <c r="R1033" s="111"/>
      <c r="S1033" s="110"/>
    </row>
    <row r="1034" spans="1:19">
      <c r="A1034" s="105">
        <v>2416</v>
      </c>
      <c r="B1034" s="41">
        <v>120000000</v>
      </c>
      <c r="C1034" s="41">
        <v>5.4000000000000003E-3</v>
      </c>
      <c r="D1034" s="41">
        <v>11.313700000000001</v>
      </c>
      <c r="E1034" s="41">
        <v>30</v>
      </c>
      <c r="F1034" s="41">
        <v>0</v>
      </c>
      <c r="G1034" s="41" t="s">
        <v>505</v>
      </c>
      <c r="H1034" s="41">
        <v>2</v>
      </c>
      <c r="I1034" s="41">
        <v>1</v>
      </c>
      <c r="J1034" s="108">
        <v>0</v>
      </c>
      <c r="K1034" s="41">
        <v>0</v>
      </c>
      <c r="L1034" s="41">
        <v>55</v>
      </c>
      <c r="M1034" s="41">
        <v>-1</v>
      </c>
      <c r="N1034" s="41">
        <v>2</v>
      </c>
      <c r="O1034" s="111" t="s">
        <v>3132</v>
      </c>
      <c r="P1034" s="109"/>
      <c r="Q1034" s="41"/>
      <c r="R1034" s="111"/>
      <c r="S1034" s="110"/>
    </row>
    <row r="1035" spans="1:19">
      <c r="A1035" s="105">
        <v>2417</v>
      </c>
      <c r="B1035" s="41">
        <v>120000000</v>
      </c>
      <c r="C1035" s="41">
        <v>5.4000000000000003E-3</v>
      </c>
      <c r="D1035" s="41">
        <v>16</v>
      </c>
      <c r="E1035" s="41">
        <v>30</v>
      </c>
      <c r="F1035" s="41">
        <v>0</v>
      </c>
      <c r="G1035" s="41" t="s">
        <v>505</v>
      </c>
      <c r="H1035" s="41">
        <v>2</v>
      </c>
      <c r="I1035" s="41">
        <v>1</v>
      </c>
      <c r="J1035" s="108">
        <v>0</v>
      </c>
      <c r="K1035" s="41">
        <v>0</v>
      </c>
      <c r="L1035" s="41">
        <v>55</v>
      </c>
      <c r="M1035" s="41">
        <v>-1</v>
      </c>
      <c r="N1035" s="41">
        <v>2</v>
      </c>
      <c r="O1035" s="111" t="s">
        <v>3133</v>
      </c>
      <c r="P1035" s="109"/>
      <c r="Q1035" s="41"/>
      <c r="R1035" s="111"/>
      <c r="S1035" s="110"/>
    </row>
    <row r="1036" spans="1:19">
      <c r="A1036" s="105">
        <v>2418</v>
      </c>
      <c r="B1036" s="41">
        <v>120000000</v>
      </c>
      <c r="C1036" s="41">
        <v>5.4000000000000003E-3</v>
      </c>
      <c r="D1036" s="41">
        <v>22.627400000000002</v>
      </c>
      <c r="E1036" s="41">
        <v>30</v>
      </c>
      <c r="F1036" s="41">
        <v>0</v>
      </c>
      <c r="G1036" s="41" t="s">
        <v>505</v>
      </c>
      <c r="H1036" s="41">
        <v>2</v>
      </c>
      <c r="I1036" s="41">
        <v>1</v>
      </c>
      <c r="J1036" s="108">
        <v>0</v>
      </c>
      <c r="K1036" s="41">
        <v>0</v>
      </c>
      <c r="L1036" s="41">
        <v>55</v>
      </c>
      <c r="M1036" s="41">
        <v>-1</v>
      </c>
      <c r="N1036" s="41">
        <v>2</v>
      </c>
      <c r="O1036" s="111" t="s">
        <v>3134</v>
      </c>
      <c r="P1036" s="109"/>
      <c r="Q1036" s="41"/>
      <c r="R1036" s="111"/>
      <c r="S1036" s="110"/>
    </row>
    <row r="1037" spans="1:19">
      <c r="A1037" s="105">
        <v>2419</v>
      </c>
      <c r="B1037" s="41">
        <v>120000000</v>
      </c>
      <c r="C1037" s="41">
        <v>5.4000000000000003E-3</v>
      </c>
      <c r="D1037" s="41">
        <v>32</v>
      </c>
      <c r="E1037" s="41">
        <v>30</v>
      </c>
      <c r="F1037" s="41">
        <v>0</v>
      </c>
      <c r="G1037" s="41" t="s">
        <v>505</v>
      </c>
      <c r="H1037" s="41">
        <v>2</v>
      </c>
      <c r="I1037" s="41">
        <v>1</v>
      </c>
      <c r="J1037" s="108">
        <v>0</v>
      </c>
      <c r="K1037" s="41">
        <v>0</v>
      </c>
      <c r="L1037" s="41">
        <v>55</v>
      </c>
      <c r="M1037" s="41">
        <v>-1</v>
      </c>
      <c r="N1037" s="41">
        <v>2</v>
      </c>
      <c r="O1037" s="111" t="s">
        <v>3135</v>
      </c>
      <c r="P1037" s="109"/>
      <c r="Q1037" s="41"/>
      <c r="R1037" s="111"/>
      <c r="S1037" s="110"/>
    </row>
    <row r="1038" spans="1:19">
      <c r="A1038" s="105">
        <v>2420</v>
      </c>
      <c r="B1038" s="41">
        <v>120000000</v>
      </c>
      <c r="C1038" s="41">
        <v>5.4000000000000003E-3</v>
      </c>
      <c r="D1038" s="41">
        <v>45.254800000000003</v>
      </c>
      <c r="E1038" s="41">
        <v>30</v>
      </c>
      <c r="F1038" s="41">
        <v>0</v>
      </c>
      <c r="G1038" s="41" t="s">
        <v>505</v>
      </c>
      <c r="H1038" s="41">
        <v>2</v>
      </c>
      <c r="I1038" s="41">
        <v>1</v>
      </c>
      <c r="J1038" s="108">
        <v>0</v>
      </c>
      <c r="K1038" s="41">
        <v>0</v>
      </c>
      <c r="L1038" s="41">
        <v>55</v>
      </c>
      <c r="M1038" s="41">
        <v>-1</v>
      </c>
      <c r="N1038" s="41">
        <v>2</v>
      </c>
      <c r="O1038" s="111" t="s">
        <v>3136</v>
      </c>
      <c r="P1038" s="109"/>
      <c r="Q1038" s="41"/>
      <c r="R1038" s="111"/>
      <c r="S1038" s="110"/>
    </row>
    <row r="1039" spans="1:19">
      <c r="A1039" s="105">
        <v>2421</v>
      </c>
      <c r="B1039" s="41">
        <v>120000000</v>
      </c>
      <c r="C1039" s="41">
        <v>5.8999999999999999E-3</v>
      </c>
      <c r="D1039" s="41">
        <v>11.313700000000001</v>
      </c>
      <c r="E1039" s="41">
        <v>30</v>
      </c>
      <c r="F1039" s="41">
        <v>0</v>
      </c>
      <c r="G1039" s="41" t="s">
        <v>505</v>
      </c>
      <c r="H1039" s="41">
        <v>2</v>
      </c>
      <c r="I1039" s="41">
        <v>1</v>
      </c>
      <c r="J1039" s="108">
        <v>0</v>
      </c>
      <c r="K1039" s="41">
        <v>0</v>
      </c>
      <c r="L1039" s="41">
        <v>55</v>
      </c>
      <c r="M1039" s="41">
        <v>-1</v>
      </c>
      <c r="N1039" s="41">
        <v>2</v>
      </c>
      <c r="O1039" s="111" t="s">
        <v>3137</v>
      </c>
      <c r="P1039" s="109"/>
      <c r="Q1039" s="41"/>
      <c r="R1039" s="111"/>
      <c r="S1039" s="110"/>
    </row>
    <row r="1040" spans="1:19">
      <c r="A1040" s="105">
        <v>2422</v>
      </c>
      <c r="B1040" s="41">
        <v>120000000</v>
      </c>
      <c r="C1040" s="41">
        <v>5.8999999999999999E-3</v>
      </c>
      <c r="D1040" s="41">
        <v>16</v>
      </c>
      <c r="E1040" s="41">
        <v>30</v>
      </c>
      <c r="F1040" s="41">
        <v>0</v>
      </c>
      <c r="G1040" s="41" t="s">
        <v>505</v>
      </c>
      <c r="H1040" s="41">
        <v>2</v>
      </c>
      <c r="I1040" s="41">
        <v>1</v>
      </c>
      <c r="J1040" s="108">
        <v>0</v>
      </c>
      <c r="K1040" s="41">
        <v>0</v>
      </c>
      <c r="L1040" s="41">
        <v>55</v>
      </c>
      <c r="M1040" s="41">
        <v>-1</v>
      </c>
      <c r="N1040" s="41">
        <v>2</v>
      </c>
      <c r="O1040" s="111" t="s">
        <v>3138</v>
      </c>
      <c r="P1040" s="109"/>
      <c r="Q1040" s="41"/>
      <c r="R1040" s="111"/>
      <c r="S1040" s="110"/>
    </row>
    <row r="1041" spans="1:19">
      <c r="A1041" s="105">
        <v>2423</v>
      </c>
      <c r="B1041" s="41">
        <v>120000000</v>
      </c>
      <c r="C1041" s="41">
        <v>5.8999999999999999E-3</v>
      </c>
      <c r="D1041" s="41">
        <v>22.627400000000002</v>
      </c>
      <c r="E1041" s="41">
        <v>30</v>
      </c>
      <c r="F1041" s="41">
        <v>0</v>
      </c>
      <c r="G1041" s="41" t="s">
        <v>505</v>
      </c>
      <c r="H1041" s="41">
        <v>2</v>
      </c>
      <c r="I1041" s="41">
        <v>1</v>
      </c>
      <c r="J1041" s="108">
        <v>0</v>
      </c>
      <c r="K1041" s="41">
        <v>0</v>
      </c>
      <c r="L1041" s="41">
        <v>55</v>
      </c>
      <c r="M1041" s="41">
        <v>-1</v>
      </c>
      <c r="N1041" s="41">
        <v>2</v>
      </c>
      <c r="O1041" s="111" t="s">
        <v>3139</v>
      </c>
      <c r="P1041" s="109"/>
      <c r="Q1041" s="41"/>
      <c r="R1041" s="111"/>
      <c r="S1041" s="110"/>
    </row>
    <row r="1042" spans="1:19">
      <c r="A1042" s="105">
        <v>2424</v>
      </c>
      <c r="B1042" s="41">
        <v>120000000</v>
      </c>
      <c r="C1042" s="41">
        <v>5.8999999999999999E-3</v>
      </c>
      <c r="D1042" s="41">
        <v>32</v>
      </c>
      <c r="E1042" s="41">
        <v>30</v>
      </c>
      <c r="F1042" s="41">
        <v>0</v>
      </c>
      <c r="G1042" s="41" t="s">
        <v>505</v>
      </c>
      <c r="H1042" s="41">
        <v>2</v>
      </c>
      <c r="I1042" s="41">
        <v>1</v>
      </c>
      <c r="J1042" s="108">
        <v>0</v>
      </c>
      <c r="K1042" s="41">
        <v>0</v>
      </c>
      <c r="L1042" s="41">
        <v>55</v>
      </c>
      <c r="M1042" s="41">
        <v>-1</v>
      </c>
      <c r="N1042" s="41">
        <v>2</v>
      </c>
      <c r="O1042" s="111" t="s">
        <v>3140</v>
      </c>
      <c r="P1042" s="109"/>
      <c r="Q1042" s="41"/>
      <c r="R1042" s="111"/>
      <c r="S1042" s="110"/>
    </row>
    <row r="1043" spans="1:19">
      <c r="A1043" s="105">
        <v>2425</v>
      </c>
      <c r="B1043" s="41">
        <v>120000000</v>
      </c>
      <c r="C1043" s="41">
        <v>5.8999999999999999E-3</v>
      </c>
      <c r="D1043" s="41">
        <v>45.254800000000003</v>
      </c>
      <c r="E1043" s="41">
        <v>30</v>
      </c>
      <c r="F1043" s="41">
        <v>0</v>
      </c>
      <c r="G1043" s="41" t="s">
        <v>505</v>
      </c>
      <c r="H1043" s="41">
        <v>2</v>
      </c>
      <c r="I1043" s="41">
        <v>1</v>
      </c>
      <c r="J1043" s="108">
        <v>0</v>
      </c>
      <c r="K1043" s="41">
        <v>0</v>
      </c>
      <c r="L1043" s="41">
        <v>55</v>
      </c>
      <c r="M1043" s="41">
        <v>-1</v>
      </c>
      <c r="N1043" s="41">
        <v>2</v>
      </c>
      <c r="O1043" s="111" t="s">
        <v>3141</v>
      </c>
      <c r="P1043" s="109"/>
      <c r="Q1043" s="41"/>
      <c r="R1043" s="111"/>
      <c r="S1043" s="110"/>
    </row>
    <row r="1044" spans="1:19">
      <c r="A1044" s="105">
        <v>2426</v>
      </c>
      <c r="B1044" s="41">
        <v>120000000</v>
      </c>
      <c r="C1044" s="41">
        <v>6.4000000000000003E-3</v>
      </c>
      <c r="D1044" s="41">
        <v>16</v>
      </c>
      <c r="E1044" s="41">
        <v>30</v>
      </c>
      <c r="F1044" s="41">
        <v>0</v>
      </c>
      <c r="G1044" s="41" t="s">
        <v>505</v>
      </c>
      <c r="H1044" s="41">
        <v>2</v>
      </c>
      <c r="I1044" s="41">
        <v>1</v>
      </c>
      <c r="J1044" s="108">
        <v>0</v>
      </c>
      <c r="K1044" s="41">
        <v>0</v>
      </c>
      <c r="L1044" s="41">
        <v>55</v>
      </c>
      <c r="M1044" s="41">
        <v>-1</v>
      </c>
      <c r="N1044" s="41">
        <v>2</v>
      </c>
      <c r="O1044" s="111" t="s">
        <v>3142</v>
      </c>
      <c r="P1044" s="109"/>
      <c r="Q1044" s="41"/>
      <c r="R1044" s="111"/>
      <c r="S1044" s="110"/>
    </row>
    <row r="1045" spans="1:19">
      <c r="A1045" s="105">
        <v>2427</v>
      </c>
      <c r="B1045" s="41">
        <v>120000000</v>
      </c>
      <c r="C1045" s="41">
        <v>6.4000000000000003E-3</v>
      </c>
      <c r="D1045" s="41">
        <v>22.627400000000002</v>
      </c>
      <c r="E1045" s="41">
        <v>30</v>
      </c>
      <c r="F1045" s="41">
        <v>0</v>
      </c>
      <c r="G1045" s="41" t="s">
        <v>505</v>
      </c>
      <c r="H1045" s="41">
        <v>2</v>
      </c>
      <c r="I1045" s="41">
        <v>1</v>
      </c>
      <c r="J1045" s="108">
        <v>0</v>
      </c>
      <c r="K1045" s="41">
        <v>0</v>
      </c>
      <c r="L1045" s="41">
        <v>55</v>
      </c>
      <c r="M1045" s="41">
        <v>-1</v>
      </c>
      <c r="N1045" s="41">
        <v>2</v>
      </c>
      <c r="O1045" s="111" t="s">
        <v>3143</v>
      </c>
      <c r="P1045" s="109"/>
      <c r="Q1045" s="41"/>
      <c r="R1045" s="111"/>
      <c r="S1045" s="110"/>
    </row>
    <row r="1046" spans="1:19">
      <c r="A1046" s="105">
        <v>2428</v>
      </c>
      <c r="B1046" s="41">
        <v>120000000</v>
      </c>
      <c r="C1046" s="41">
        <v>6.4000000000000003E-3</v>
      </c>
      <c r="D1046" s="41">
        <v>32</v>
      </c>
      <c r="E1046" s="41">
        <v>30</v>
      </c>
      <c r="F1046" s="41">
        <v>0</v>
      </c>
      <c r="G1046" s="41" t="s">
        <v>505</v>
      </c>
      <c r="H1046" s="41">
        <v>2</v>
      </c>
      <c r="I1046" s="41">
        <v>1</v>
      </c>
      <c r="J1046" s="108">
        <v>0</v>
      </c>
      <c r="K1046" s="41">
        <v>0</v>
      </c>
      <c r="L1046" s="41">
        <v>55</v>
      </c>
      <c r="M1046" s="41">
        <v>-1</v>
      </c>
      <c r="N1046" s="41">
        <v>2</v>
      </c>
      <c r="O1046" s="111" t="s">
        <v>3144</v>
      </c>
      <c r="P1046" s="109"/>
      <c r="Q1046" s="41"/>
      <c r="R1046" s="111"/>
      <c r="S1046" s="110"/>
    </row>
    <row r="1047" spans="1:19">
      <c r="A1047" s="105">
        <v>2429</v>
      </c>
      <c r="B1047" s="41">
        <v>120000000</v>
      </c>
      <c r="C1047" s="41">
        <v>6.4000000000000003E-3</v>
      </c>
      <c r="D1047" s="41">
        <v>45.254800000000003</v>
      </c>
      <c r="E1047" s="41">
        <v>30</v>
      </c>
      <c r="F1047" s="41">
        <v>0</v>
      </c>
      <c r="G1047" s="41" t="s">
        <v>505</v>
      </c>
      <c r="H1047" s="41">
        <v>2</v>
      </c>
      <c r="I1047" s="41">
        <v>1</v>
      </c>
      <c r="J1047" s="108">
        <v>0</v>
      </c>
      <c r="K1047" s="41">
        <v>0</v>
      </c>
      <c r="L1047" s="41">
        <v>55</v>
      </c>
      <c r="M1047" s="41">
        <v>-1</v>
      </c>
      <c r="N1047" s="41">
        <v>2</v>
      </c>
      <c r="O1047" s="111" t="s">
        <v>3145</v>
      </c>
      <c r="P1047" s="109"/>
      <c r="Q1047" s="41"/>
      <c r="R1047" s="111"/>
      <c r="S1047" s="110"/>
    </row>
    <row r="1048" spans="1:19">
      <c r="A1048" s="105">
        <v>2430</v>
      </c>
      <c r="B1048" s="41">
        <v>120000000</v>
      </c>
      <c r="C1048" s="41">
        <v>7.0000000000000001E-3</v>
      </c>
      <c r="D1048" s="41">
        <v>16</v>
      </c>
      <c r="E1048" s="41">
        <v>30</v>
      </c>
      <c r="F1048" s="41">
        <v>0</v>
      </c>
      <c r="G1048" s="41" t="s">
        <v>505</v>
      </c>
      <c r="H1048" s="41">
        <v>2</v>
      </c>
      <c r="I1048" s="41">
        <v>1</v>
      </c>
      <c r="J1048" s="108">
        <v>0</v>
      </c>
      <c r="K1048" s="41">
        <v>0</v>
      </c>
      <c r="L1048" s="41">
        <v>55</v>
      </c>
      <c r="M1048" s="41">
        <v>-1</v>
      </c>
      <c r="N1048" s="41">
        <v>2</v>
      </c>
      <c r="O1048" s="111" t="s">
        <v>3146</v>
      </c>
      <c r="P1048" s="109"/>
      <c r="Q1048" s="41"/>
      <c r="R1048" s="111"/>
      <c r="S1048" s="110"/>
    </row>
    <row r="1049" spans="1:19">
      <c r="A1049" s="105">
        <v>2431</v>
      </c>
      <c r="B1049" s="41">
        <v>120000000</v>
      </c>
      <c r="C1049" s="41">
        <v>7.0000000000000001E-3</v>
      </c>
      <c r="D1049" s="41">
        <v>22.627400000000002</v>
      </c>
      <c r="E1049" s="41">
        <v>30</v>
      </c>
      <c r="F1049" s="41">
        <v>0</v>
      </c>
      <c r="G1049" s="41" t="s">
        <v>505</v>
      </c>
      <c r="H1049" s="41">
        <v>2</v>
      </c>
      <c r="I1049" s="41">
        <v>1</v>
      </c>
      <c r="J1049" s="108">
        <v>0</v>
      </c>
      <c r="K1049" s="41">
        <v>0</v>
      </c>
      <c r="L1049" s="41">
        <v>55</v>
      </c>
      <c r="M1049" s="41">
        <v>-1</v>
      </c>
      <c r="N1049" s="41">
        <v>2</v>
      </c>
      <c r="O1049" s="111" t="s">
        <v>3147</v>
      </c>
      <c r="P1049" s="109"/>
      <c r="Q1049" s="41"/>
      <c r="R1049" s="111"/>
      <c r="S1049" s="110"/>
    </row>
    <row r="1050" spans="1:19">
      <c r="A1050" s="105">
        <v>2432</v>
      </c>
      <c r="B1050" s="41">
        <v>120000000</v>
      </c>
      <c r="C1050" s="41">
        <v>7.0000000000000001E-3</v>
      </c>
      <c r="D1050" s="41">
        <v>32</v>
      </c>
      <c r="E1050" s="41">
        <v>30</v>
      </c>
      <c r="F1050" s="41">
        <v>0</v>
      </c>
      <c r="G1050" s="41" t="s">
        <v>505</v>
      </c>
      <c r="H1050" s="41">
        <v>2</v>
      </c>
      <c r="I1050" s="41">
        <v>1</v>
      </c>
      <c r="J1050" s="108">
        <v>0</v>
      </c>
      <c r="K1050" s="41">
        <v>0</v>
      </c>
      <c r="L1050" s="41">
        <v>55</v>
      </c>
      <c r="M1050" s="41">
        <v>-1</v>
      </c>
      <c r="N1050" s="41">
        <v>2</v>
      </c>
      <c r="O1050" s="111" t="s">
        <v>3148</v>
      </c>
      <c r="P1050" s="109"/>
      <c r="Q1050" s="41"/>
      <c r="R1050" s="111"/>
      <c r="S1050" s="110"/>
    </row>
    <row r="1051" spans="1:19">
      <c r="A1051" s="105">
        <v>2433</v>
      </c>
      <c r="B1051" s="41">
        <v>120000000</v>
      </c>
      <c r="C1051" s="41">
        <v>7.0000000000000001E-3</v>
      </c>
      <c r="D1051" s="41">
        <v>45.254800000000003</v>
      </c>
      <c r="E1051" s="41">
        <v>30</v>
      </c>
      <c r="F1051" s="41">
        <v>0</v>
      </c>
      <c r="G1051" s="41" t="s">
        <v>505</v>
      </c>
      <c r="H1051" s="41">
        <v>2</v>
      </c>
      <c r="I1051" s="41">
        <v>1</v>
      </c>
      <c r="J1051" s="108">
        <v>0</v>
      </c>
      <c r="K1051" s="41">
        <v>0</v>
      </c>
      <c r="L1051" s="41">
        <v>55</v>
      </c>
      <c r="M1051" s="41">
        <v>-1</v>
      </c>
      <c r="N1051" s="41">
        <v>2</v>
      </c>
      <c r="O1051" s="111" t="s">
        <v>3149</v>
      </c>
      <c r="P1051" s="109"/>
      <c r="Q1051" s="41"/>
      <c r="R1051" s="111"/>
      <c r="S1051" s="110"/>
    </row>
    <row r="1052" spans="1:19">
      <c r="A1052" s="105">
        <v>2434</v>
      </c>
      <c r="B1052" s="41">
        <v>120000000</v>
      </c>
      <c r="C1052" s="41">
        <v>7.6E-3</v>
      </c>
      <c r="D1052" s="41">
        <v>22.627400000000002</v>
      </c>
      <c r="E1052" s="41">
        <v>30</v>
      </c>
      <c r="F1052" s="41">
        <v>0</v>
      </c>
      <c r="G1052" s="41" t="s">
        <v>505</v>
      </c>
      <c r="H1052" s="41">
        <v>2</v>
      </c>
      <c r="I1052" s="41">
        <v>1</v>
      </c>
      <c r="J1052" s="108">
        <v>0</v>
      </c>
      <c r="K1052" s="41">
        <v>0</v>
      </c>
      <c r="L1052" s="41">
        <v>55</v>
      </c>
      <c r="M1052" s="41">
        <v>-1</v>
      </c>
      <c r="N1052" s="41">
        <v>2</v>
      </c>
      <c r="O1052" s="111" t="s">
        <v>3150</v>
      </c>
      <c r="P1052" s="109"/>
      <c r="Q1052" s="41"/>
      <c r="R1052" s="111"/>
      <c r="S1052" s="110"/>
    </row>
    <row r="1053" spans="1:19">
      <c r="A1053" s="105">
        <v>2435</v>
      </c>
      <c r="B1053" s="41">
        <v>120000000</v>
      </c>
      <c r="C1053" s="41">
        <v>7.6E-3</v>
      </c>
      <c r="D1053" s="41">
        <v>32</v>
      </c>
      <c r="E1053" s="41">
        <v>30</v>
      </c>
      <c r="F1053" s="41">
        <v>0</v>
      </c>
      <c r="G1053" s="41" t="s">
        <v>505</v>
      </c>
      <c r="H1053" s="41">
        <v>2</v>
      </c>
      <c r="I1053" s="41">
        <v>1</v>
      </c>
      <c r="J1053" s="108">
        <v>0</v>
      </c>
      <c r="K1053" s="41">
        <v>0</v>
      </c>
      <c r="L1053" s="41">
        <v>55</v>
      </c>
      <c r="M1053" s="41">
        <v>-1</v>
      </c>
      <c r="N1053" s="41">
        <v>2</v>
      </c>
      <c r="O1053" s="111" t="s">
        <v>3151</v>
      </c>
      <c r="P1053" s="109"/>
      <c r="Q1053" s="41"/>
      <c r="R1053" s="111"/>
      <c r="S1053" s="110"/>
    </row>
    <row r="1054" spans="1:19">
      <c r="A1054" s="105">
        <v>2436</v>
      </c>
      <c r="B1054" s="41">
        <v>120000000</v>
      </c>
      <c r="C1054" s="41">
        <v>7.6E-3</v>
      </c>
      <c r="D1054" s="41">
        <v>45.254800000000003</v>
      </c>
      <c r="E1054" s="41">
        <v>30</v>
      </c>
      <c r="F1054" s="41">
        <v>0</v>
      </c>
      <c r="G1054" s="41" t="s">
        <v>505</v>
      </c>
      <c r="H1054" s="41">
        <v>2</v>
      </c>
      <c r="I1054" s="41">
        <v>1</v>
      </c>
      <c r="J1054" s="108">
        <v>0</v>
      </c>
      <c r="K1054" s="41">
        <v>0</v>
      </c>
      <c r="L1054" s="41">
        <v>55</v>
      </c>
      <c r="M1054" s="41">
        <v>-1</v>
      </c>
      <c r="N1054" s="41">
        <v>2</v>
      </c>
      <c r="O1054" s="111" t="s">
        <v>3152</v>
      </c>
      <c r="P1054" s="109"/>
      <c r="Q1054" s="41"/>
      <c r="R1054" s="111"/>
      <c r="S1054" s="110"/>
    </row>
    <row r="1055" spans="1:19">
      <c r="A1055" s="105">
        <v>2437</v>
      </c>
      <c r="B1055" s="41">
        <v>120000000</v>
      </c>
      <c r="C1055" s="41">
        <v>8.3000000000000001E-3</v>
      </c>
      <c r="D1055" s="41">
        <v>22.627400000000002</v>
      </c>
      <c r="E1055" s="41">
        <v>30</v>
      </c>
      <c r="F1055" s="41">
        <v>0</v>
      </c>
      <c r="G1055" s="41" t="s">
        <v>505</v>
      </c>
      <c r="H1055" s="41">
        <v>2</v>
      </c>
      <c r="I1055" s="41">
        <v>1</v>
      </c>
      <c r="J1055" s="108">
        <v>0</v>
      </c>
      <c r="K1055" s="41">
        <v>0</v>
      </c>
      <c r="L1055" s="41">
        <v>55</v>
      </c>
      <c r="M1055" s="41">
        <v>-1</v>
      </c>
      <c r="N1055" s="41">
        <v>2</v>
      </c>
      <c r="O1055" s="111" t="s">
        <v>3153</v>
      </c>
      <c r="P1055" s="109"/>
      <c r="Q1055" s="41"/>
      <c r="R1055" s="111"/>
      <c r="S1055" s="110"/>
    </row>
    <row r="1056" spans="1:19">
      <c r="A1056" s="105">
        <v>2438</v>
      </c>
      <c r="B1056" s="41">
        <v>120000000</v>
      </c>
      <c r="C1056" s="41">
        <v>8.3000000000000001E-3</v>
      </c>
      <c r="D1056" s="41">
        <v>32</v>
      </c>
      <c r="E1056" s="41">
        <v>30</v>
      </c>
      <c r="F1056" s="41">
        <v>0</v>
      </c>
      <c r="G1056" s="41" t="s">
        <v>505</v>
      </c>
      <c r="H1056" s="41">
        <v>2</v>
      </c>
      <c r="I1056" s="41">
        <v>1</v>
      </c>
      <c r="J1056" s="108">
        <v>0</v>
      </c>
      <c r="K1056" s="41">
        <v>0</v>
      </c>
      <c r="L1056" s="41">
        <v>55</v>
      </c>
      <c r="M1056" s="41">
        <v>-1</v>
      </c>
      <c r="N1056" s="41">
        <v>2</v>
      </c>
      <c r="O1056" s="111" t="s">
        <v>3154</v>
      </c>
      <c r="P1056" s="109"/>
      <c r="Q1056" s="41"/>
      <c r="R1056" s="111"/>
      <c r="S1056" s="110"/>
    </row>
    <row r="1057" spans="1:19">
      <c r="A1057" s="105">
        <v>2439</v>
      </c>
      <c r="B1057" s="41">
        <v>120000000</v>
      </c>
      <c r="C1057" s="41">
        <v>8.3000000000000001E-3</v>
      </c>
      <c r="D1057" s="41">
        <v>45.254800000000003</v>
      </c>
      <c r="E1057" s="41">
        <v>30</v>
      </c>
      <c r="F1057" s="41">
        <v>0</v>
      </c>
      <c r="G1057" s="41" t="s">
        <v>505</v>
      </c>
      <c r="H1057" s="41">
        <v>2</v>
      </c>
      <c r="I1057" s="41">
        <v>1</v>
      </c>
      <c r="J1057" s="108">
        <v>0</v>
      </c>
      <c r="K1057" s="41">
        <v>0</v>
      </c>
      <c r="L1057" s="41">
        <v>55</v>
      </c>
      <c r="M1057" s="41">
        <v>-1</v>
      </c>
      <c r="N1057" s="41">
        <v>2</v>
      </c>
      <c r="O1057" s="111" t="s">
        <v>3155</v>
      </c>
      <c r="P1057" s="109"/>
      <c r="Q1057" s="41"/>
      <c r="R1057" s="111"/>
      <c r="S1057" s="110"/>
    </row>
    <row r="1058" spans="1:19">
      <c r="A1058" s="105">
        <v>2440</v>
      </c>
      <c r="B1058" s="41">
        <v>120000000</v>
      </c>
      <c r="C1058" s="41">
        <v>9.1000000000000004E-3</v>
      </c>
      <c r="D1058" s="41">
        <v>32</v>
      </c>
      <c r="E1058" s="41">
        <v>30</v>
      </c>
      <c r="F1058" s="41">
        <v>0</v>
      </c>
      <c r="G1058" s="41" t="s">
        <v>505</v>
      </c>
      <c r="H1058" s="41">
        <v>2</v>
      </c>
      <c r="I1058" s="41">
        <v>1</v>
      </c>
      <c r="J1058" s="108">
        <v>0</v>
      </c>
      <c r="K1058" s="41">
        <v>0</v>
      </c>
      <c r="L1058" s="41">
        <v>55</v>
      </c>
      <c r="M1058" s="41">
        <v>-1</v>
      </c>
      <c r="N1058" s="41">
        <v>2</v>
      </c>
      <c r="O1058" s="111" t="s">
        <v>3156</v>
      </c>
      <c r="P1058" s="109"/>
      <c r="Q1058" s="41"/>
      <c r="R1058" s="111"/>
      <c r="S1058" s="110"/>
    </row>
    <row r="1059" spans="1:19">
      <c r="A1059" s="105">
        <v>2441</v>
      </c>
      <c r="B1059" s="41">
        <v>120000000</v>
      </c>
      <c r="C1059" s="41">
        <v>9.1000000000000004E-3</v>
      </c>
      <c r="D1059" s="41">
        <v>45.254800000000003</v>
      </c>
      <c r="E1059" s="41">
        <v>30</v>
      </c>
      <c r="F1059" s="41">
        <v>0</v>
      </c>
      <c r="G1059" s="41" t="s">
        <v>505</v>
      </c>
      <c r="H1059" s="41">
        <v>2</v>
      </c>
      <c r="I1059" s="41">
        <v>1</v>
      </c>
      <c r="J1059" s="108">
        <v>0</v>
      </c>
      <c r="K1059" s="41">
        <v>0</v>
      </c>
      <c r="L1059" s="41">
        <v>55</v>
      </c>
      <c r="M1059" s="41">
        <v>-1</v>
      </c>
      <c r="N1059" s="41">
        <v>2</v>
      </c>
      <c r="O1059" s="111" t="s">
        <v>3157</v>
      </c>
      <c r="P1059" s="109"/>
      <c r="Q1059" s="41"/>
      <c r="R1059" s="111"/>
      <c r="S1059" s="110"/>
    </row>
    <row r="1060" spans="1:19">
      <c r="A1060" s="105">
        <v>2442</v>
      </c>
      <c r="B1060" s="41">
        <v>120000000</v>
      </c>
      <c r="C1060" s="41">
        <v>9.9000000000000008E-3</v>
      </c>
      <c r="D1060" s="41">
        <v>32</v>
      </c>
      <c r="E1060" s="41">
        <v>30</v>
      </c>
      <c r="F1060" s="41">
        <v>0</v>
      </c>
      <c r="G1060" s="41" t="s">
        <v>505</v>
      </c>
      <c r="H1060" s="41">
        <v>2</v>
      </c>
      <c r="I1060" s="41">
        <v>1</v>
      </c>
      <c r="J1060" s="108">
        <v>0</v>
      </c>
      <c r="K1060" s="41">
        <v>0</v>
      </c>
      <c r="L1060" s="41">
        <v>55</v>
      </c>
      <c r="M1060" s="41">
        <v>-1</v>
      </c>
      <c r="N1060" s="41">
        <v>2</v>
      </c>
      <c r="O1060" s="111" t="s">
        <v>3158</v>
      </c>
      <c r="P1060" s="109"/>
      <c r="Q1060" s="41"/>
      <c r="R1060" s="111"/>
      <c r="S1060" s="110"/>
    </row>
    <row r="1061" spans="1:19">
      <c r="A1061" s="105">
        <v>2443</v>
      </c>
      <c r="B1061" s="41">
        <v>120000000</v>
      </c>
      <c r="C1061" s="41">
        <v>9.9000000000000008E-3</v>
      </c>
      <c r="D1061" s="41">
        <v>45.254800000000003</v>
      </c>
      <c r="E1061" s="41">
        <v>30</v>
      </c>
      <c r="F1061" s="41">
        <v>0</v>
      </c>
      <c r="G1061" s="41" t="s">
        <v>505</v>
      </c>
      <c r="H1061" s="41">
        <v>2</v>
      </c>
      <c r="I1061" s="41">
        <v>1</v>
      </c>
      <c r="J1061" s="108">
        <v>0</v>
      </c>
      <c r="K1061" s="41">
        <v>0</v>
      </c>
      <c r="L1061" s="41">
        <v>55</v>
      </c>
      <c r="M1061" s="41">
        <v>-1</v>
      </c>
      <c r="N1061" s="41">
        <v>2</v>
      </c>
      <c r="O1061" s="111" t="s">
        <v>3159</v>
      </c>
      <c r="P1061" s="109"/>
      <c r="Q1061" s="41"/>
      <c r="R1061" s="111"/>
      <c r="S1061" s="110"/>
    </row>
    <row r="1062" spans="1:19">
      <c r="A1062" s="105">
        <v>2444</v>
      </c>
      <c r="B1062" s="41">
        <v>120000000</v>
      </c>
      <c r="C1062" s="41">
        <v>1.0800000000000001E-2</v>
      </c>
      <c r="D1062" s="41">
        <v>45.254800000000003</v>
      </c>
      <c r="E1062" s="41">
        <v>30</v>
      </c>
      <c r="F1062" s="41">
        <v>0</v>
      </c>
      <c r="G1062" s="41" t="s">
        <v>505</v>
      </c>
      <c r="H1062" s="41">
        <v>2</v>
      </c>
      <c r="I1062" s="41">
        <v>1</v>
      </c>
      <c r="J1062" s="108">
        <v>0</v>
      </c>
      <c r="K1062" s="41">
        <v>0</v>
      </c>
      <c r="L1062" s="41">
        <v>55</v>
      </c>
      <c r="M1062" s="41">
        <v>-1</v>
      </c>
      <c r="N1062" s="41">
        <v>2</v>
      </c>
      <c r="O1062" s="111" t="s">
        <v>3160</v>
      </c>
      <c r="P1062" s="109"/>
      <c r="Q1062" s="41"/>
      <c r="R1062" s="111"/>
      <c r="S1062" s="110"/>
    </row>
    <row r="1063" spans="1:19">
      <c r="A1063" s="105">
        <v>2445</v>
      </c>
      <c r="B1063" s="41">
        <v>120000000</v>
      </c>
      <c r="C1063" s="41">
        <v>1.18E-2</v>
      </c>
      <c r="D1063" s="41">
        <v>45.254800000000003</v>
      </c>
      <c r="E1063" s="41">
        <v>30</v>
      </c>
      <c r="F1063" s="41">
        <v>0</v>
      </c>
      <c r="G1063" s="41" t="s">
        <v>505</v>
      </c>
      <c r="H1063" s="41">
        <v>2</v>
      </c>
      <c r="I1063" s="41">
        <v>1</v>
      </c>
      <c r="J1063" s="108">
        <v>0</v>
      </c>
      <c r="K1063" s="41">
        <v>0</v>
      </c>
      <c r="L1063" s="41">
        <v>55</v>
      </c>
      <c r="M1063" s="41">
        <v>-1</v>
      </c>
      <c r="N1063" s="41">
        <v>2</v>
      </c>
      <c r="O1063" s="111" t="s">
        <v>3161</v>
      </c>
      <c r="P1063" s="109"/>
      <c r="Q1063" s="41"/>
      <c r="R1063" s="111"/>
      <c r="S1063" s="110"/>
    </row>
    <row r="1064" spans="1:19">
      <c r="A1064" s="105">
        <v>2446</v>
      </c>
      <c r="B1064" s="41">
        <v>120000000</v>
      </c>
      <c r="C1064" s="41">
        <v>2.8999999999999998E-3</v>
      </c>
      <c r="D1064" s="41">
        <v>8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POWER(POWER(Table210[[#This Row],[mv]],4)/10,0.25)</f>
        <v>1.6307898430520129E-3</v>
      </c>
      <c r="K1064" s="41">
        <v>0</v>
      </c>
      <c r="L1064" s="41">
        <v>55</v>
      </c>
      <c r="M1064" s="41">
        <v>-1</v>
      </c>
      <c r="N1064" s="41">
        <v>2</v>
      </c>
      <c r="O1064" s="111" t="s">
        <v>3165</v>
      </c>
      <c r="P1064" s="109"/>
      <c r="Q1064" s="41"/>
      <c r="R1064" s="111"/>
      <c r="S1064" s="109" t="s">
        <v>3364</v>
      </c>
    </row>
    <row r="1065" spans="1:19">
      <c r="A1065" s="105">
        <v>2447</v>
      </c>
      <c r="B1065" s="41">
        <v>120000000</v>
      </c>
      <c r="C1065" s="41">
        <v>3.3E-3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POWER(POWER(Table210[[#This Row],[mv]],4)/10,0.25)</f>
        <v>1.8557263731281523E-3</v>
      </c>
      <c r="K1065" s="41">
        <v>0</v>
      </c>
      <c r="L1065" s="41">
        <v>55</v>
      </c>
      <c r="M1065" s="41">
        <v>-1</v>
      </c>
      <c r="N1065" s="41">
        <v>2</v>
      </c>
      <c r="O1065" s="111" t="s">
        <v>3166</v>
      </c>
      <c r="P1065" s="109"/>
      <c r="Q1065" s="41"/>
      <c r="R1065" s="111"/>
      <c r="S1065" s="110"/>
    </row>
    <row r="1066" spans="1:19">
      <c r="A1066" s="105">
        <v>2448</v>
      </c>
      <c r="B1066" s="41">
        <v>120000000</v>
      </c>
      <c r="C1066" s="41">
        <v>3.7000000000000002E-3</v>
      </c>
      <c r="D1066" s="41">
        <v>8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POWER(POWER(Table210[[#This Row],[mv]],4)/10,0.25)</f>
        <v>2.0806629032042918E-3</v>
      </c>
      <c r="K1066" s="41">
        <v>0</v>
      </c>
      <c r="L1066" s="41">
        <v>55</v>
      </c>
      <c r="M1066" s="41">
        <v>-1</v>
      </c>
      <c r="N1066" s="41">
        <v>2</v>
      </c>
      <c r="O1066" s="111" t="s">
        <v>3167</v>
      </c>
      <c r="P1066" s="109"/>
      <c r="Q1066" s="41"/>
      <c r="R1066" s="111"/>
      <c r="S1066" s="110"/>
    </row>
    <row r="1067" spans="1:19">
      <c r="A1067" s="105">
        <v>2449</v>
      </c>
      <c r="B1067" s="41">
        <v>120000000</v>
      </c>
      <c r="C1067" s="41">
        <v>4.1000000000000003E-3</v>
      </c>
      <c r="D1067" s="41">
        <v>8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POWER(POWER(Table210[[#This Row],[mv]],4)/10,0.25)</f>
        <v>2.3055994332804308E-3</v>
      </c>
      <c r="K1067" s="41">
        <v>0</v>
      </c>
      <c r="L1067" s="41">
        <v>55</v>
      </c>
      <c r="M1067" s="41">
        <v>-1</v>
      </c>
      <c r="N1067" s="41">
        <v>2</v>
      </c>
      <c r="O1067" s="111" t="s">
        <v>3168</v>
      </c>
      <c r="P1067" s="109"/>
      <c r="Q1067" s="41"/>
      <c r="R1067" s="111"/>
      <c r="S1067" s="110"/>
    </row>
    <row r="1068" spans="1:19">
      <c r="A1068" s="105">
        <v>2450</v>
      </c>
      <c r="B1068" s="41">
        <v>120000000</v>
      </c>
      <c r="C1068" s="41">
        <v>4.4999999999999997E-3</v>
      </c>
      <c r="D1068" s="41">
        <v>8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POWER(POWER(Table210[[#This Row],[mv]],4)/10,0.25)</f>
        <v>2.5305359633565699E-3</v>
      </c>
      <c r="K1068" s="41">
        <v>0</v>
      </c>
      <c r="L1068" s="41">
        <v>55</v>
      </c>
      <c r="M1068" s="41">
        <v>-1</v>
      </c>
      <c r="N1068" s="41">
        <v>2</v>
      </c>
      <c r="O1068" s="111" t="s">
        <v>3169</v>
      </c>
      <c r="P1068" s="109"/>
      <c r="Q1068" s="41"/>
      <c r="R1068" s="111"/>
      <c r="S1068" s="110"/>
    </row>
    <row r="1069" spans="1:19">
      <c r="A1069" s="105">
        <v>2451</v>
      </c>
      <c r="B1069" s="41">
        <v>120000000</v>
      </c>
      <c r="C1069" s="41">
        <v>4.8999999999999998E-3</v>
      </c>
      <c r="D1069" s="41">
        <v>8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POWER(POWER(Table210[[#This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2</v>
      </c>
      <c r="O1069" s="111" t="s">
        <v>3170</v>
      </c>
      <c r="P1069" s="109"/>
      <c r="Q1069" s="41"/>
      <c r="R1069" s="111"/>
      <c r="S1069" s="110"/>
    </row>
    <row r="1070" spans="1:19">
      <c r="A1070" s="105">
        <v>2452</v>
      </c>
      <c r="B1070" s="41">
        <v>120000000</v>
      </c>
      <c r="C1070" s="41">
        <v>2.8999999999999998E-3</v>
      </c>
      <c r="D1070" s="41">
        <v>8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v>0</v>
      </c>
      <c r="K1070" s="41">
        <v>0</v>
      </c>
      <c r="L1070" s="41">
        <v>55</v>
      </c>
      <c r="M1070" s="41">
        <v>-1</v>
      </c>
      <c r="N1070" s="41">
        <v>2</v>
      </c>
      <c r="O1070" s="111" t="s">
        <v>3171</v>
      </c>
      <c r="P1070" s="109"/>
      <c r="Q1070" s="41"/>
      <c r="R1070" s="111"/>
      <c r="S1070" s="110"/>
    </row>
    <row r="1071" spans="1:19">
      <c r="A1071" s="105">
        <v>2453</v>
      </c>
      <c r="B1071" s="41">
        <v>120000000</v>
      </c>
      <c r="C1071" s="41">
        <v>3.3E-3</v>
      </c>
      <c r="D1071" s="41">
        <v>8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v>0</v>
      </c>
      <c r="K1071" s="41">
        <v>0</v>
      </c>
      <c r="L1071" s="41">
        <v>55</v>
      </c>
      <c r="M1071" s="41">
        <v>-1</v>
      </c>
      <c r="N1071" s="41">
        <v>2</v>
      </c>
      <c r="O1071" s="111" t="s">
        <v>3172</v>
      </c>
      <c r="P1071" s="109"/>
      <c r="Q1071" s="41"/>
      <c r="R1071" s="111"/>
      <c r="S1071" s="110"/>
    </row>
    <row r="1072" spans="1:19">
      <c r="A1072" s="105">
        <v>2454</v>
      </c>
      <c r="B1072" s="41">
        <v>120000000</v>
      </c>
      <c r="C1072" s="41">
        <v>3.7000000000000002E-3</v>
      </c>
      <c r="D1072" s="41">
        <v>8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v>0</v>
      </c>
      <c r="K1072" s="41">
        <v>0</v>
      </c>
      <c r="L1072" s="41">
        <v>55</v>
      </c>
      <c r="M1072" s="41">
        <v>-1</v>
      </c>
      <c r="N1072" s="41">
        <v>2</v>
      </c>
      <c r="O1072" s="111" t="s">
        <v>3173</v>
      </c>
      <c r="P1072" s="109"/>
      <c r="Q1072" s="41"/>
      <c r="R1072" s="111"/>
      <c r="S1072" s="110"/>
    </row>
    <row r="1073" spans="1:19">
      <c r="A1073" s="105">
        <v>2455</v>
      </c>
      <c r="B1073" s="41">
        <v>120000000</v>
      </c>
      <c r="C1073" s="41">
        <v>4.1000000000000003E-3</v>
      </c>
      <c r="D1073" s="41">
        <v>8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v>0</v>
      </c>
      <c r="K1073" s="41">
        <v>0</v>
      </c>
      <c r="L1073" s="41">
        <v>55</v>
      </c>
      <c r="M1073" s="41">
        <v>-1</v>
      </c>
      <c r="N1073" s="41">
        <v>2</v>
      </c>
      <c r="O1073" s="111" t="s">
        <v>3174</v>
      </c>
      <c r="P1073" s="109"/>
      <c r="Q1073" s="41"/>
      <c r="R1073" s="111"/>
      <c r="S1073" s="110"/>
    </row>
    <row r="1074" spans="1:19">
      <c r="A1074" s="105">
        <v>2456</v>
      </c>
      <c r="B1074" s="41">
        <v>120000000</v>
      </c>
      <c r="C1074" s="41">
        <v>4.4999999999999997E-3</v>
      </c>
      <c r="D1074" s="41">
        <v>8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v>0</v>
      </c>
      <c r="K1074" s="41">
        <v>0</v>
      </c>
      <c r="L1074" s="41">
        <v>55</v>
      </c>
      <c r="M1074" s="41">
        <v>-1</v>
      </c>
      <c r="N1074" s="41">
        <v>2</v>
      </c>
      <c r="O1074" s="111" t="s">
        <v>3175</v>
      </c>
      <c r="P1074" s="109"/>
      <c r="Q1074" s="41"/>
      <c r="R1074" s="111"/>
      <c r="S1074" s="110"/>
    </row>
    <row r="1075" spans="1:19">
      <c r="A1075" s="105">
        <v>2457</v>
      </c>
      <c r="B1075" s="41">
        <v>120000000</v>
      </c>
      <c r="C1075" s="41">
        <v>4.8999999999999998E-3</v>
      </c>
      <c r="D1075" s="41">
        <v>8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v>0</v>
      </c>
      <c r="K1075" s="41">
        <v>0</v>
      </c>
      <c r="L1075" s="41">
        <v>55</v>
      </c>
      <c r="M1075" s="41">
        <v>-1</v>
      </c>
      <c r="N1075" s="41">
        <v>2</v>
      </c>
      <c r="O1075" s="111" t="s">
        <v>3176</v>
      </c>
      <c r="P1075" s="109"/>
      <c r="Q1075" s="41"/>
      <c r="R1075" s="111"/>
      <c r="S1075" s="110"/>
    </row>
    <row r="1076" spans="1:19">
      <c r="A1076" s="105">
        <v>2458</v>
      </c>
      <c r="B1076" s="41">
        <v>12000000</v>
      </c>
      <c r="C1076" s="41">
        <v>1.1999999999999999E-3</v>
      </c>
      <c r="D1076" s="41">
        <v>0.5</v>
      </c>
      <c r="E1076" s="41">
        <v>30</v>
      </c>
      <c r="F1076" s="41">
        <v>0</v>
      </c>
      <c r="G1076" s="41" t="s">
        <v>505</v>
      </c>
      <c r="H1076" s="41">
        <v>1</v>
      </c>
      <c r="I1076" s="41">
        <v>1</v>
      </c>
      <c r="J1076" s="108">
        <v>0</v>
      </c>
      <c r="K1076" s="41">
        <v>0</v>
      </c>
      <c r="L1076" s="41">
        <v>55</v>
      </c>
      <c r="M1076" s="41">
        <v>-1</v>
      </c>
      <c r="N1076" s="41">
        <v>2</v>
      </c>
      <c r="O1076" s="111" t="s">
        <v>3177</v>
      </c>
      <c r="P1076" s="109">
        <v>20185</v>
      </c>
      <c r="Q1076" s="41"/>
      <c r="R1076" s="111"/>
      <c r="S1076" s="110" t="s">
        <v>3363</v>
      </c>
    </row>
    <row r="1077" spans="1:19">
      <c r="A1077" s="105">
        <v>2459</v>
      </c>
      <c r="B1077" s="41">
        <v>12000000</v>
      </c>
      <c r="C1077" s="41">
        <v>1.1999999999999999E-3</v>
      </c>
      <c r="D1077" s="41">
        <v>0.70709999999999995</v>
      </c>
      <c r="E1077" s="41">
        <v>30</v>
      </c>
      <c r="F1077" s="41">
        <v>0</v>
      </c>
      <c r="G1077" s="41" t="s">
        <v>505</v>
      </c>
      <c r="H1077" s="41">
        <v>1</v>
      </c>
      <c r="I1077" s="41">
        <v>1</v>
      </c>
      <c r="J1077" s="108">
        <f>POWER(POWER(Table210[[#This Row],[mv]],4)/10,0.25)</f>
        <v>6.7480959022841905E-4</v>
      </c>
      <c r="K1077" s="41">
        <v>0</v>
      </c>
      <c r="L1077" s="41">
        <v>55</v>
      </c>
      <c r="M1077" s="41">
        <v>-1</v>
      </c>
      <c r="N1077" s="41">
        <v>2</v>
      </c>
      <c r="O1077" s="111" t="s">
        <v>3178</v>
      </c>
      <c r="P1077" s="109"/>
      <c r="Q1077" s="41"/>
      <c r="R1077" s="111"/>
      <c r="S1077" s="110"/>
    </row>
    <row r="1078" spans="1:19">
      <c r="A1078" s="105">
        <v>2460</v>
      </c>
      <c r="B1078" s="41">
        <v>12000000</v>
      </c>
      <c r="C1078" s="41">
        <v>1.1999999999999999E-3</v>
      </c>
      <c r="D1078" s="41">
        <v>1</v>
      </c>
      <c r="E1078" s="41">
        <v>30</v>
      </c>
      <c r="F1078" s="41">
        <v>0</v>
      </c>
      <c r="G1078" s="41" t="s">
        <v>505</v>
      </c>
      <c r="H1078" s="41">
        <v>1</v>
      </c>
      <c r="I1078" s="41">
        <v>1</v>
      </c>
      <c r="J1078" s="108">
        <f>POWER(POWER(Table210[[#This Row],[mv]],4)/10,0.25)</f>
        <v>6.7480959022841905E-4</v>
      </c>
      <c r="K1078" s="41">
        <v>0</v>
      </c>
      <c r="L1078" s="41">
        <v>55</v>
      </c>
      <c r="M1078" s="41">
        <v>-1</v>
      </c>
      <c r="N1078" s="41">
        <v>2</v>
      </c>
      <c r="O1078" s="111" t="s">
        <v>3179</v>
      </c>
      <c r="P1078" s="109"/>
      <c r="Q1078" s="41"/>
      <c r="R1078" s="111"/>
      <c r="S1078" s="110"/>
    </row>
    <row r="1079" spans="1:19">
      <c r="A1079" s="105">
        <v>2461</v>
      </c>
      <c r="B1079" s="41">
        <v>12000000</v>
      </c>
      <c r="C1079" s="41">
        <v>1.1999999999999999E-3</v>
      </c>
      <c r="D1079" s="41">
        <v>1.4141999999999999</v>
      </c>
      <c r="E1079" s="41">
        <v>30</v>
      </c>
      <c r="F1079" s="41">
        <v>0</v>
      </c>
      <c r="G1079" s="41" t="s">
        <v>505</v>
      </c>
      <c r="H1079" s="41">
        <v>1</v>
      </c>
      <c r="I1079" s="41">
        <v>1</v>
      </c>
      <c r="J1079" s="108">
        <f>POWER(POWER(Table210[[#This Row],[mv]],4)/10,0.25)</f>
        <v>6.7480959022841905E-4</v>
      </c>
      <c r="K1079" s="41">
        <v>0</v>
      </c>
      <c r="L1079" s="41">
        <v>55</v>
      </c>
      <c r="M1079" s="41">
        <v>-1</v>
      </c>
      <c r="N1079" s="41">
        <v>2</v>
      </c>
      <c r="O1079" s="111" t="s">
        <v>3180</v>
      </c>
      <c r="P1079" s="109"/>
      <c r="Q1079" s="41"/>
      <c r="R1079" s="111"/>
      <c r="S1079" s="110"/>
    </row>
    <row r="1080" spans="1:19">
      <c r="A1080" s="105">
        <v>2462</v>
      </c>
      <c r="B1080" s="41">
        <v>12000000</v>
      </c>
      <c r="C1080" s="41">
        <v>1.1999999999999999E-3</v>
      </c>
      <c r="D1080" s="41">
        <v>2</v>
      </c>
      <c r="E1080" s="41">
        <v>30</v>
      </c>
      <c r="F1080" s="41">
        <v>0</v>
      </c>
      <c r="G1080" s="41" t="s">
        <v>505</v>
      </c>
      <c r="H1080" s="41">
        <v>1</v>
      </c>
      <c r="I1080" s="41">
        <v>1</v>
      </c>
      <c r="J1080" s="108">
        <f>POWER(POWER(Table210[[#This Row],[mv]],4)/10,0.25)</f>
        <v>6.7480959022841905E-4</v>
      </c>
      <c r="K1080" s="41">
        <v>0</v>
      </c>
      <c r="L1080" s="41">
        <v>55</v>
      </c>
      <c r="M1080" s="41">
        <v>-1</v>
      </c>
      <c r="N1080" s="41">
        <v>2</v>
      </c>
      <c r="O1080" s="111" t="s">
        <v>3181</v>
      </c>
      <c r="P1080" s="109"/>
      <c r="Q1080" s="41"/>
      <c r="R1080" s="111"/>
      <c r="S1080" s="110"/>
    </row>
    <row r="1081" spans="1:19">
      <c r="A1081" s="105">
        <v>2463</v>
      </c>
      <c r="B1081" s="41">
        <v>12000000</v>
      </c>
      <c r="C1081" s="41">
        <v>1.1999999999999999E-3</v>
      </c>
      <c r="D1081" s="41">
        <v>2.8283999999999998</v>
      </c>
      <c r="E1081" s="41">
        <v>30</v>
      </c>
      <c r="F1081" s="41">
        <v>0</v>
      </c>
      <c r="G1081" s="41" t="s">
        <v>505</v>
      </c>
      <c r="H1081" s="41">
        <v>1</v>
      </c>
      <c r="I1081" s="41">
        <v>1</v>
      </c>
      <c r="J1081" s="108">
        <f>POWER(POWER(Table210[[#This Row],[mv]],4)/10,0.25)</f>
        <v>6.7480959022841905E-4</v>
      </c>
      <c r="K1081" s="41">
        <v>0</v>
      </c>
      <c r="L1081" s="41">
        <v>55</v>
      </c>
      <c r="M1081" s="41">
        <v>-1</v>
      </c>
      <c r="N1081" s="41">
        <v>2</v>
      </c>
      <c r="O1081" s="111" t="s">
        <v>3182</v>
      </c>
      <c r="P1081" s="109"/>
      <c r="Q1081" s="41"/>
      <c r="R1081" s="111"/>
      <c r="S1081" s="110"/>
    </row>
    <row r="1082" spans="1:19">
      <c r="A1082" s="105">
        <v>2464</v>
      </c>
      <c r="B1082" s="41">
        <v>12000000</v>
      </c>
      <c r="C1082" s="41">
        <v>1.1999999999999999E-3</v>
      </c>
      <c r="D1082" s="41">
        <v>4</v>
      </c>
      <c r="E1082" s="41">
        <v>30</v>
      </c>
      <c r="F1082" s="41">
        <v>0</v>
      </c>
      <c r="G1082" s="41" t="s">
        <v>505</v>
      </c>
      <c r="H1082" s="41">
        <v>1</v>
      </c>
      <c r="I1082" s="41">
        <v>1</v>
      </c>
      <c r="J1082" s="108">
        <f>POWER(POWER(Table210[[#This Row],[mv]],4)/10,0.25)</f>
        <v>6.7480959022841905E-4</v>
      </c>
      <c r="K1082" s="41">
        <v>0</v>
      </c>
      <c r="L1082" s="41">
        <v>55</v>
      </c>
      <c r="M1082" s="41">
        <v>-1</v>
      </c>
      <c r="N1082" s="41">
        <v>2</v>
      </c>
      <c r="O1082" s="111" t="s">
        <v>3183</v>
      </c>
      <c r="P1082" s="109"/>
      <c r="Q1082" s="41"/>
      <c r="R1082" s="111"/>
      <c r="S1082" s="110"/>
    </row>
    <row r="1083" spans="1:19">
      <c r="A1083" s="105">
        <v>2465</v>
      </c>
      <c r="B1083" s="41">
        <v>12000000</v>
      </c>
      <c r="C1083" s="41">
        <v>1.1999999999999999E-3</v>
      </c>
      <c r="D1083" s="41">
        <v>5.6569000000000003</v>
      </c>
      <c r="E1083" s="41">
        <v>30</v>
      </c>
      <c r="F1083" s="41">
        <v>0</v>
      </c>
      <c r="G1083" s="41" t="s">
        <v>505</v>
      </c>
      <c r="H1083" s="41">
        <v>1</v>
      </c>
      <c r="I1083" s="41">
        <v>1</v>
      </c>
      <c r="J1083" s="108">
        <f>POWER(POWER(Table210[[#This Row],[mv]],4)/10,0.25)</f>
        <v>6.7480959022841905E-4</v>
      </c>
      <c r="K1083" s="41">
        <v>0</v>
      </c>
      <c r="L1083" s="41">
        <v>55</v>
      </c>
      <c r="M1083" s="41">
        <v>-1</v>
      </c>
      <c r="N1083" s="41">
        <v>2</v>
      </c>
      <c r="O1083" s="111" t="s">
        <v>3184</v>
      </c>
      <c r="P1083" s="109"/>
      <c r="Q1083" s="41"/>
      <c r="R1083" s="111"/>
      <c r="S1083" s="110"/>
    </row>
    <row r="1084" spans="1:19">
      <c r="A1084" s="105">
        <v>2466</v>
      </c>
      <c r="B1084" s="41">
        <v>12000000</v>
      </c>
      <c r="C1084" s="41">
        <v>1.1999999999999999E-3</v>
      </c>
      <c r="D1084" s="41">
        <v>8</v>
      </c>
      <c r="E1084" s="41">
        <v>30</v>
      </c>
      <c r="F1084" s="41">
        <v>0</v>
      </c>
      <c r="G1084" s="41" t="s">
        <v>505</v>
      </c>
      <c r="H1084" s="41">
        <v>1</v>
      </c>
      <c r="I1084" s="41">
        <v>1</v>
      </c>
      <c r="J1084" s="108">
        <f>POWER(POWER(Table210[[#This Row],[mv]],4)/10,0.25)</f>
        <v>6.7480959022841905E-4</v>
      </c>
      <c r="K1084" s="41">
        <v>0</v>
      </c>
      <c r="L1084" s="41">
        <v>55</v>
      </c>
      <c r="M1084" s="41">
        <v>-1</v>
      </c>
      <c r="N1084" s="41">
        <v>2</v>
      </c>
      <c r="O1084" s="111" t="s">
        <v>3185</v>
      </c>
      <c r="P1084" s="109"/>
      <c r="Q1084" s="41"/>
      <c r="R1084" s="111"/>
      <c r="S1084" s="110"/>
    </row>
    <row r="1085" spans="1:19">
      <c r="A1085" s="105">
        <v>2467</v>
      </c>
      <c r="B1085" s="41">
        <v>12000000</v>
      </c>
      <c r="C1085" s="41">
        <v>1.1999999999999999E-3</v>
      </c>
      <c r="D1085" s="41">
        <v>11.313700000000001</v>
      </c>
      <c r="E1085" s="41">
        <v>30</v>
      </c>
      <c r="F1085" s="41">
        <v>0</v>
      </c>
      <c r="G1085" s="41" t="s">
        <v>505</v>
      </c>
      <c r="H1085" s="41">
        <v>1</v>
      </c>
      <c r="I1085" s="41">
        <v>1</v>
      </c>
      <c r="J1085" s="108">
        <f>POWER(POWER(Table210[[#This Row],[mv]],4)/10,0.25)</f>
        <v>6.7480959022841905E-4</v>
      </c>
      <c r="K1085" s="41">
        <v>0</v>
      </c>
      <c r="L1085" s="41">
        <v>55</v>
      </c>
      <c r="M1085" s="41">
        <v>-1</v>
      </c>
      <c r="N1085" s="41">
        <v>2</v>
      </c>
      <c r="O1085" s="111" t="s">
        <v>3186</v>
      </c>
      <c r="P1085" s="109"/>
      <c r="Q1085" s="41"/>
      <c r="R1085" s="111"/>
      <c r="S1085" s="110"/>
    </row>
    <row r="1086" spans="1:19">
      <c r="A1086" s="105">
        <v>2468</v>
      </c>
      <c r="B1086" s="41">
        <v>12000000</v>
      </c>
      <c r="C1086" s="41">
        <v>1.2999999999999999E-3</v>
      </c>
      <c r="D1086" s="41">
        <v>0.70709999999999995</v>
      </c>
      <c r="E1086" s="41">
        <v>30</v>
      </c>
      <c r="F1086" s="41">
        <v>0</v>
      </c>
      <c r="G1086" s="41" t="s">
        <v>505</v>
      </c>
      <c r="H1086" s="41">
        <v>1</v>
      </c>
      <c r="I1086" s="41">
        <v>1</v>
      </c>
      <c r="J1086" s="108">
        <f>POWER(POWER(Table210[[#This Row],[mv]],4)/10,0.25)</f>
        <v>7.3104372274745391E-4</v>
      </c>
      <c r="K1086" s="41">
        <v>0</v>
      </c>
      <c r="L1086" s="41">
        <v>55</v>
      </c>
      <c r="M1086" s="41">
        <v>-1</v>
      </c>
      <c r="N1086" s="41">
        <v>2</v>
      </c>
      <c r="O1086" s="111" t="s">
        <v>3187</v>
      </c>
      <c r="P1086" s="109"/>
      <c r="Q1086" s="41"/>
      <c r="R1086" s="111"/>
      <c r="S1086" s="110"/>
    </row>
    <row r="1087" spans="1:19">
      <c r="A1087" s="105">
        <v>2469</v>
      </c>
      <c r="B1087" s="41">
        <v>12000000</v>
      </c>
      <c r="C1087" s="41">
        <v>1.2999999999999999E-3</v>
      </c>
      <c r="D1087" s="41">
        <v>1</v>
      </c>
      <c r="E1087" s="41">
        <v>30</v>
      </c>
      <c r="F1087" s="41">
        <v>0</v>
      </c>
      <c r="G1087" s="41" t="s">
        <v>505</v>
      </c>
      <c r="H1087" s="41">
        <v>1</v>
      </c>
      <c r="I1087" s="41">
        <v>1</v>
      </c>
      <c r="J1087" s="108">
        <f>POWER(POWER(Table210[[#This Row],[mv]],4)/10,0.25)</f>
        <v>7.3104372274745391E-4</v>
      </c>
      <c r="K1087" s="41">
        <v>0</v>
      </c>
      <c r="L1087" s="41">
        <v>55</v>
      </c>
      <c r="M1087" s="41">
        <v>-1</v>
      </c>
      <c r="N1087" s="41">
        <v>2</v>
      </c>
      <c r="O1087" s="111" t="s">
        <v>3188</v>
      </c>
      <c r="P1087" s="109"/>
      <c r="Q1087" s="41"/>
      <c r="R1087" s="111"/>
      <c r="S1087" s="110"/>
    </row>
    <row r="1088" spans="1:19">
      <c r="A1088" s="105">
        <v>2470</v>
      </c>
      <c r="B1088" s="41">
        <v>12000000</v>
      </c>
      <c r="C1088" s="41">
        <v>1.2999999999999999E-3</v>
      </c>
      <c r="D1088" s="41">
        <v>1.4141999999999999</v>
      </c>
      <c r="E1088" s="41">
        <v>30</v>
      </c>
      <c r="F1088" s="41">
        <v>0</v>
      </c>
      <c r="G1088" s="41" t="s">
        <v>505</v>
      </c>
      <c r="H1088" s="41">
        <v>1</v>
      </c>
      <c r="I1088" s="41">
        <v>1</v>
      </c>
      <c r="J1088" s="108">
        <f>POWER(POWER(Table210[[#This Row],[mv]],4)/10,0.25)</f>
        <v>7.3104372274745391E-4</v>
      </c>
      <c r="K1088" s="41">
        <v>0</v>
      </c>
      <c r="L1088" s="41">
        <v>55</v>
      </c>
      <c r="M1088" s="41">
        <v>-1</v>
      </c>
      <c r="N1088" s="41">
        <v>2</v>
      </c>
      <c r="O1088" s="111" t="s">
        <v>3189</v>
      </c>
      <c r="P1088" s="109"/>
      <c r="Q1088" s="41"/>
      <c r="R1088" s="111"/>
      <c r="S1088" s="110"/>
    </row>
    <row r="1089" spans="1:19">
      <c r="A1089" s="105">
        <v>2471</v>
      </c>
      <c r="B1089" s="41">
        <v>12000000</v>
      </c>
      <c r="C1089" s="41">
        <v>1.2999999999999999E-3</v>
      </c>
      <c r="D1089" s="41">
        <v>2</v>
      </c>
      <c r="E1089" s="41">
        <v>30</v>
      </c>
      <c r="F1089" s="41">
        <v>0</v>
      </c>
      <c r="G1089" s="41" t="s">
        <v>505</v>
      </c>
      <c r="H1089" s="41">
        <v>1</v>
      </c>
      <c r="I1089" s="41">
        <v>1</v>
      </c>
      <c r="J1089" s="108">
        <f>POWER(POWER(Table210[[#This Row],[mv]],4)/10,0.25)</f>
        <v>7.3104372274745391E-4</v>
      </c>
      <c r="K1089" s="41">
        <v>0</v>
      </c>
      <c r="L1089" s="41">
        <v>55</v>
      </c>
      <c r="M1089" s="41">
        <v>-1</v>
      </c>
      <c r="N1089" s="41">
        <v>2</v>
      </c>
      <c r="O1089" s="111" t="s">
        <v>3190</v>
      </c>
      <c r="P1089" s="109"/>
      <c r="Q1089" s="41"/>
      <c r="R1089" s="111"/>
      <c r="S1089" s="110"/>
    </row>
    <row r="1090" spans="1:19">
      <c r="A1090" s="105">
        <v>2472</v>
      </c>
      <c r="B1090" s="41">
        <v>12000000</v>
      </c>
      <c r="C1090" s="41">
        <v>1.2999999999999999E-3</v>
      </c>
      <c r="D1090" s="41">
        <v>2.8283999999999998</v>
      </c>
      <c r="E1090" s="41">
        <v>30</v>
      </c>
      <c r="F1090" s="41">
        <v>0</v>
      </c>
      <c r="G1090" s="41" t="s">
        <v>505</v>
      </c>
      <c r="H1090" s="41">
        <v>1</v>
      </c>
      <c r="I1090" s="41">
        <v>1</v>
      </c>
      <c r="J1090" s="108">
        <f>POWER(POWER(Table210[[#This Row],[mv]],4)/10,0.25)</f>
        <v>7.3104372274745391E-4</v>
      </c>
      <c r="K1090" s="41">
        <v>0</v>
      </c>
      <c r="L1090" s="41">
        <v>55</v>
      </c>
      <c r="M1090" s="41">
        <v>-1</v>
      </c>
      <c r="N1090" s="41">
        <v>2</v>
      </c>
      <c r="O1090" s="111" t="s">
        <v>3191</v>
      </c>
      <c r="P1090" s="109"/>
      <c r="Q1090" s="41"/>
      <c r="R1090" s="111"/>
      <c r="S1090" s="110"/>
    </row>
    <row r="1091" spans="1:19">
      <c r="A1091" s="105">
        <v>2473</v>
      </c>
      <c r="B1091" s="41">
        <v>12000000</v>
      </c>
      <c r="C1091" s="41">
        <v>1.2999999999999999E-3</v>
      </c>
      <c r="D1091" s="41">
        <v>4</v>
      </c>
      <c r="E1091" s="41">
        <v>30</v>
      </c>
      <c r="F1091" s="41">
        <v>0</v>
      </c>
      <c r="G1091" s="41" t="s">
        <v>505</v>
      </c>
      <c r="H1091" s="41">
        <v>1</v>
      </c>
      <c r="I1091" s="41">
        <v>1</v>
      </c>
      <c r="J1091" s="108">
        <f>POWER(POWER(Table210[[#This Row],[mv]],4)/10,0.25)</f>
        <v>7.3104372274745391E-4</v>
      </c>
      <c r="K1091" s="41">
        <v>0</v>
      </c>
      <c r="L1091" s="41">
        <v>55</v>
      </c>
      <c r="M1091" s="41">
        <v>-1</v>
      </c>
      <c r="N1091" s="41">
        <v>2</v>
      </c>
      <c r="O1091" s="111" t="s">
        <v>3192</v>
      </c>
      <c r="P1091" s="109"/>
      <c r="Q1091" s="41"/>
      <c r="R1091" s="111"/>
      <c r="S1091" s="110"/>
    </row>
    <row r="1092" spans="1:19">
      <c r="A1092" s="105">
        <v>2474</v>
      </c>
      <c r="B1092" s="41">
        <v>12000000</v>
      </c>
      <c r="C1092" s="41">
        <v>1.2999999999999999E-3</v>
      </c>
      <c r="D1092" s="41">
        <v>5.6569000000000003</v>
      </c>
      <c r="E1092" s="41">
        <v>30</v>
      </c>
      <c r="F1092" s="41">
        <v>0</v>
      </c>
      <c r="G1092" s="41" t="s">
        <v>505</v>
      </c>
      <c r="H1092" s="41">
        <v>1</v>
      </c>
      <c r="I1092" s="41">
        <v>1</v>
      </c>
      <c r="J1092" s="108">
        <f>POWER(POWER(Table210[[#This Row],[mv]],4)/10,0.25)</f>
        <v>7.3104372274745391E-4</v>
      </c>
      <c r="K1092" s="41">
        <v>0</v>
      </c>
      <c r="L1092" s="41">
        <v>55</v>
      </c>
      <c r="M1092" s="41">
        <v>-1</v>
      </c>
      <c r="N1092" s="41">
        <v>2</v>
      </c>
      <c r="O1092" s="111" t="s">
        <v>3193</v>
      </c>
      <c r="P1092" s="109"/>
      <c r="Q1092" s="41"/>
      <c r="R1092" s="111"/>
      <c r="S1092" s="110"/>
    </row>
    <row r="1093" spans="1:19">
      <c r="A1093" s="105">
        <v>2475</v>
      </c>
      <c r="B1093" s="41">
        <v>12000000</v>
      </c>
      <c r="C1093" s="41">
        <v>1.2999999999999999E-3</v>
      </c>
      <c r="D1093" s="41">
        <v>8</v>
      </c>
      <c r="E1093" s="41">
        <v>30</v>
      </c>
      <c r="F1093" s="41">
        <v>0</v>
      </c>
      <c r="G1093" s="41" t="s">
        <v>505</v>
      </c>
      <c r="H1093" s="41">
        <v>1</v>
      </c>
      <c r="I1093" s="41">
        <v>1</v>
      </c>
      <c r="J1093" s="108">
        <f>POWER(POWER(Table210[[#This Row],[mv]],4)/10,0.25)</f>
        <v>7.3104372274745391E-4</v>
      </c>
      <c r="K1093" s="41">
        <v>0</v>
      </c>
      <c r="L1093" s="41">
        <v>55</v>
      </c>
      <c r="M1093" s="41">
        <v>-1</v>
      </c>
      <c r="N1093" s="41">
        <v>2</v>
      </c>
      <c r="O1093" s="111" t="s">
        <v>3194</v>
      </c>
      <c r="P1093" s="109"/>
      <c r="Q1093" s="41"/>
      <c r="R1093" s="111"/>
      <c r="S1093" s="110"/>
    </row>
    <row r="1094" spans="1:19">
      <c r="A1094" s="105">
        <v>2476</v>
      </c>
      <c r="B1094" s="41">
        <v>12000000</v>
      </c>
      <c r="C1094" s="41">
        <v>1.2999999999999999E-3</v>
      </c>
      <c r="D1094" s="41">
        <v>11.313700000000001</v>
      </c>
      <c r="E1094" s="41">
        <v>30</v>
      </c>
      <c r="F1094" s="41">
        <v>0</v>
      </c>
      <c r="G1094" s="41" t="s">
        <v>505</v>
      </c>
      <c r="H1094" s="41">
        <v>1</v>
      </c>
      <c r="I1094" s="41">
        <v>1</v>
      </c>
      <c r="J1094" s="108">
        <f>POWER(POWER(Table210[[#This Row],[mv]],4)/10,0.25)</f>
        <v>7.3104372274745391E-4</v>
      </c>
      <c r="K1094" s="41">
        <v>0</v>
      </c>
      <c r="L1094" s="41">
        <v>55</v>
      </c>
      <c r="M1094" s="41">
        <v>-1</v>
      </c>
      <c r="N1094" s="41">
        <v>2</v>
      </c>
      <c r="O1094" s="111" t="s">
        <v>3195</v>
      </c>
      <c r="P1094" s="109"/>
      <c r="Q1094" s="41"/>
      <c r="R1094" s="111"/>
      <c r="S1094" s="110"/>
    </row>
    <row r="1095" spans="1:19">
      <c r="A1095" s="105">
        <v>2477</v>
      </c>
      <c r="B1095" s="41">
        <v>12000000</v>
      </c>
      <c r="C1095" s="41">
        <v>1.2999999999999999E-3</v>
      </c>
      <c r="D1095" s="41">
        <v>16</v>
      </c>
      <c r="E1095" s="41">
        <v>30</v>
      </c>
      <c r="F1095" s="41">
        <v>0</v>
      </c>
      <c r="G1095" s="41" t="s">
        <v>505</v>
      </c>
      <c r="H1095" s="41">
        <v>1</v>
      </c>
      <c r="I1095" s="41">
        <v>1</v>
      </c>
      <c r="J1095" s="108">
        <f>POWER(POWER(Table210[[#This Row],[mv]],4)/10,0.25)</f>
        <v>7.3104372274745391E-4</v>
      </c>
      <c r="K1095" s="41">
        <v>0</v>
      </c>
      <c r="L1095" s="41">
        <v>55</v>
      </c>
      <c r="M1095" s="41">
        <v>-1</v>
      </c>
      <c r="N1095" s="41">
        <v>2</v>
      </c>
      <c r="O1095" s="111" t="s">
        <v>3196</v>
      </c>
      <c r="P1095" s="109"/>
      <c r="Q1095" s="41"/>
      <c r="R1095" s="111"/>
      <c r="S1095" s="110"/>
    </row>
    <row r="1096" spans="1:19">
      <c r="A1096" s="105">
        <v>2478</v>
      </c>
      <c r="B1096" s="41">
        <v>12000000</v>
      </c>
      <c r="C1096" s="41">
        <v>1.5E-3</v>
      </c>
      <c r="D1096" s="41">
        <v>0.70709999999999995</v>
      </c>
      <c r="E1096" s="41">
        <v>30</v>
      </c>
      <c r="F1096" s="41">
        <v>0</v>
      </c>
      <c r="G1096" s="41" t="s">
        <v>505</v>
      </c>
      <c r="H1096" s="41">
        <v>1</v>
      </c>
      <c r="I1096" s="41">
        <v>1</v>
      </c>
      <c r="J1096" s="108">
        <f>POWER(POWER(Table210[[#This Row],[mv]],4)/10,0.25)</f>
        <v>8.4351198778552375E-4</v>
      </c>
      <c r="K1096" s="41">
        <v>0</v>
      </c>
      <c r="L1096" s="41">
        <v>55</v>
      </c>
      <c r="M1096" s="41">
        <v>-1</v>
      </c>
      <c r="N1096" s="41">
        <v>2</v>
      </c>
      <c r="O1096" s="111" t="s">
        <v>3197</v>
      </c>
      <c r="P1096" s="109"/>
      <c r="Q1096" s="41"/>
      <c r="R1096" s="111"/>
      <c r="S1096" s="110"/>
    </row>
    <row r="1097" spans="1:19">
      <c r="A1097" s="105">
        <v>2479</v>
      </c>
      <c r="B1097" s="41">
        <v>12000000</v>
      </c>
      <c r="C1097" s="41">
        <v>1.5E-3</v>
      </c>
      <c r="D1097" s="41">
        <v>1</v>
      </c>
      <c r="E1097" s="41">
        <v>30</v>
      </c>
      <c r="F1097" s="41">
        <v>0</v>
      </c>
      <c r="G1097" s="41" t="s">
        <v>505</v>
      </c>
      <c r="H1097" s="41">
        <v>1</v>
      </c>
      <c r="I1097" s="41">
        <v>1</v>
      </c>
      <c r="J1097" s="108">
        <f>POWER(POWER(Table210[[#This Row],[mv]],4)/10,0.25)</f>
        <v>8.4351198778552375E-4</v>
      </c>
      <c r="K1097" s="41">
        <v>0</v>
      </c>
      <c r="L1097" s="41">
        <v>55</v>
      </c>
      <c r="M1097" s="41">
        <v>-1</v>
      </c>
      <c r="N1097" s="41">
        <v>2</v>
      </c>
      <c r="O1097" s="111" t="s">
        <v>3198</v>
      </c>
      <c r="P1097" s="109"/>
      <c r="Q1097" s="41"/>
      <c r="R1097" s="111"/>
      <c r="S1097" s="110"/>
    </row>
    <row r="1098" spans="1:19">
      <c r="A1098" s="105">
        <v>2480</v>
      </c>
      <c r="B1098" s="41">
        <v>12000000</v>
      </c>
      <c r="C1098" s="41">
        <v>1.5E-3</v>
      </c>
      <c r="D1098" s="41">
        <v>1.4141999999999999</v>
      </c>
      <c r="E1098" s="41">
        <v>30</v>
      </c>
      <c r="F1098" s="41">
        <v>0</v>
      </c>
      <c r="G1098" s="41" t="s">
        <v>505</v>
      </c>
      <c r="H1098" s="41">
        <v>1</v>
      </c>
      <c r="I1098" s="41">
        <v>1</v>
      </c>
      <c r="J1098" s="108">
        <f>POWER(POWER(Table210[[#This Row],[mv]],4)/10,0.25)</f>
        <v>8.4351198778552375E-4</v>
      </c>
      <c r="K1098" s="41">
        <v>0</v>
      </c>
      <c r="L1098" s="41">
        <v>55</v>
      </c>
      <c r="M1098" s="41">
        <v>-1</v>
      </c>
      <c r="N1098" s="41">
        <v>2</v>
      </c>
      <c r="O1098" s="111" t="s">
        <v>3199</v>
      </c>
      <c r="P1098" s="109"/>
      <c r="Q1098" s="41"/>
      <c r="R1098" s="111"/>
      <c r="S1098" s="110"/>
    </row>
    <row r="1099" spans="1:19">
      <c r="A1099" s="105">
        <v>2481</v>
      </c>
      <c r="B1099" s="41">
        <v>12000000</v>
      </c>
      <c r="C1099" s="41">
        <v>1.5E-3</v>
      </c>
      <c r="D1099" s="41">
        <v>2</v>
      </c>
      <c r="E1099" s="41">
        <v>30</v>
      </c>
      <c r="F1099" s="41">
        <v>0</v>
      </c>
      <c r="G1099" s="41" t="s">
        <v>505</v>
      </c>
      <c r="H1099" s="41">
        <v>1</v>
      </c>
      <c r="I1099" s="41">
        <v>1</v>
      </c>
      <c r="J1099" s="108">
        <f>POWER(POWER(Table210[[#This Row],[mv]],4)/10,0.25)</f>
        <v>8.4351198778552375E-4</v>
      </c>
      <c r="K1099" s="41">
        <v>0</v>
      </c>
      <c r="L1099" s="41">
        <v>55</v>
      </c>
      <c r="M1099" s="41">
        <v>-1</v>
      </c>
      <c r="N1099" s="41">
        <v>2</v>
      </c>
      <c r="O1099" s="111" t="s">
        <v>3200</v>
      </c>
      <c r="P1099" s="109"/>
      <c r="Q1099" s="41"/>
      <c r="R1099" s="111"/>
      <c r="S1099" s="110"/>
    </row>
    <row r="1100" spans="1:19">
      <c r="A1100" s="105">
        <v>2482</v>
      </c>
      <c r="B1100" s="41">
        <v>12000000</v>
      </c>
      <c r="C1100" s="41">
        <v>1.5E-3</v>
      </c>
      <c r="D1100" s="41">
        <v>2.8283999999999998</v>
      </c>
      <c r="E1100" s="41">
        <v>30</v>
      </c>
      <c r="F1100" s="41">
        <v>0</v>
      </c>
      <c r="G1100" s="41" t="s">
        <v>505</v>
      </c>
      <c r="H1100" s="41">
        <v>1</v>
      </c>
      <c r="I1100" s="41">
        <v>1</v>
      </c>
      <c r="J1100" s="108">
        <f>POWER(POWER(Table210[[#This Row],[mv]],4)/10,0.25)</f>
        <v>8.4351198778552375E-4</v>
      </c>
      <c r="K1100" s="41">
        <v>0</v>
      </c>
      <c r="L1100" s="41">
        <v>55</v>
      </c>
      <c r="M1100" s="41">
        <v>-1</v>
      </c>
      <c r="N1100" s="41">
        <v>2</v>
      </c>
      <c r="O1100" s="111" t="s">
        <v>3201</v>
      </c>
      <c r="P1100" s="109"/>
      <c r="Q1100" s="41"/>
      <c r="R1100" s="111"/>
      <c r="S1100" s="110"/>
    </row>
    <row r="1101" spans="1:19">
      <c r="A1101" s="105">
        <v>2483</v>
      </c>
      <c r="B1101" s="41">
        <v>12000000</v>
      </c>
      <c r="C1101" s="41">
        <v>1.5E-3</v>
      </c>
      <c r="D1101" s="41">
        <v>4</v>
      </c>
      <c r="E1101" s="41">
        <v>30</v>
      </c>
      <c r="F1101" s="41">
        <v>0</v>
      </c>
      <c r="G1101" s="41" t="s">
        <v>505</v>
      </c>
      <c r="H1101" s="41">
        <v>1</v>
      </c>
      <c r="I1101" s="41">
        <v>1</v>
      </c>
      <c r="J1101" s="108">
        <f>POWER(POWER(Table210[[#This Row],[mv]],4)/10,0.25)</f>
        <v>8.4351198778552375E-4</v>
      </c>
      <c r="K1101" s="41">
        <v>0</v>
      </c>
      <c r="L1101" s="41">
        <v>55</v>
      </c>
      <c r="M1101" s="41">
        <v>-1</v>
      </c>
      <c r="N1101" s="41">
        <v>2</v>
      </c>
      <c r="O1101" s="111" t="s">
        <v>3202</v>
      </c>
      <c r="P1101" s="109"/>
      <c r="Q1101" s="41"/>
      <c r="R1101" s="111"/>
      <c r="S1101" s="110"/>
    </row>
    <row r="1102" spans="1:19">
      <c r="A1102" s="105">
        <v>2484</v>
      </c>
      <c r="B1102" s="41">
        <v>12000000</v>
      </c>
      <c r="C1102" s="41">
        <v>1.5E-3</v>
      </c>
      <c r="D1102" s="41">
        <v>5.6569000000000003</v>
      </c>
      <c r="E1102" s="41">
        <v>30</v>
      </c>
      <c r="F1102" s="41">
        <v>0</v>
      </c>
      <c r="G1102" s="41" t="s">
        <v>505</v>
      </c>
      <c r="H1102" s="41">
        <v>1</v>
      </c>
      <c r="I1102" s="41">
        <v>1</v>
      </c>
      <c r="J1102" s="108">
        <f>POWER(POWER(Table210[[#This Row],[mv]],4)/10,0.25)</f>
        <v>8.4351198778552375E-4</v>
      </c>
      <c r="K1102" s="41">
        <v>0</v>
      </c>
      <c r="L1102" s="41">
        <v>55</v>
      </c>
      <c r="M1102" s="41">
        <v>-1</v>
      </c>
      <c r="N1102" s="41">
        <v>2</v>
      </c>
      <c r="O1102" s="111" t="s">
        <v>3203</v>
      </c>
      <c r="P1102" s="109"/>
      <c r="Q1102" s="41"/>
      <c r="R1102" s="111"/>
      <c r="S1102" s="110"/>
    </row>
    <row r="1103" spans="1:19">
      <c r="A1103" s="105">
        <v>2485</v>
      </c>
      <c r="B1103" s="41">
        <v>12000000</v>
      </c>
      <c r="C1103" s="41">
        <v>1.5E-3</v>
      </c>
      <c r="D1103" s="41">
        <v>8</v>
      </c>
      <c r="E1103" s="41">
        <v>30</v>
      </c>
      <c r="F1103" s="41">
        <v>0</v>
      </c>
      <c r="G1103" s="41" t="s">
        <v>505</v>
      </c>
      <c r="H1103" s="41">
        <v>1</v>
      </c>
      <c r="I1103" s="41">
        <v>1</v>
      </c>
      <c r="J1103" s="108">
        <f>POWER(POWER(Table210[[#This Row],[mv]],4)/10,0.25)</f>
        <v>8.4351198778552375E-4</v>
      </c>
      <c r="K1103" s="41">
        <v>0</v>
      </c>
      <c r="L1103" s="41">
        <v>55</v>
      </c>
      <c r="M1103" s="41">
        <v>-1</v>
      </c>
      <c r="N1103" s="41">
        <v>2</v>
      </c>
      <c r="O1103" s="111" t="s">
        <v>3204</v>
      </c>
      <c r="P1103" s="109"/>
      <c r="Q1103" s="41"/>
      <c r="R1103" s="111"/>
      <c r="S1103" s="110"/>
    </row>
    <row r="1104" spans="1:19">
      <c r="A1104" s="105">
        <v>2486</v>
      </c>
      <c r="B1104" s="41">
        <v>12000000</v>
      </c>
      <c r="C1104" s="41">
        <v>1.5E-3</v>
      </c>
      <c r="D1104" s="41">
        <v>11.313700000000001</v>
      </c>
      <c r="E1104" s="41">
        <v>30</v>
      </c>
      <c r="F1104" s="41">
        <v>0</v>
      </c>
      <c r="G1104" s="41" t="s">
        <v>505</v>
      </c>
      <c r="H1104" s="41">
        <v>1</v>
      </c>
      <c r="I1104" s="41">
        <v>1</v>
      </c>
      <c r="J1104" s="108">
        <f>POWER(POWER(Table210[[#This Row],[mv]],4)/10,0.25)</f>
        <v>8.4351198778552375E-4</v>
      </c>
      <c r="K1104" s="41">
        <v>0</v>
      </c>
      <c r="L1104" s="41">
        <v>55</v>
      </c>
      <c r="M1104" s="41">
        <v>-1</v>
      </c>
      <c r="N1104" s="41">
        <v>2</v>
      </c>
      <c r="O1104" s="111" t="s">
        <v>3205</v>
      </c>
      <c r="P1104" s="109"/>
      <c r="Q1104" s="41"/>
      <c r="R1104" s="111"/>
      <c r="S1104" s="110"/>
    </row>
    <row r="1105" spans="1:19">
      <c r="A1105" s="105">
        <v>2487</v>
      </c>
      <c r="B1105" s="41">
        <v>12000000</v>
      </c>
      <c r="C1105" s="41">
        <v>1.5E-3</v>
      </c>
      <c r="D1105" s="41">
        <v>16</v>
      </c>
      <c r="E1105" s="41">
        <v>30</v>
      </c>
      <c r="F1105" s="41">
        <v>0</v>
      </c>
      <c r="G1105" s="41" t="s">
        <v>505</v>
      </c>
      <c r="H1105" s="41">
        <v>1</v>
      </c>
      <c r="I1105" s="41">
        <v>1</v>
      </c>
      <c r="J1105" s="108">
        <f>POWER(POWER(Table210[[#This Row],[mv]],4)/10,0.25)</f>
        <v>8.4351198778552375E-4</v>
      </c>
      <c r="K1105" s="41">
        <v>0</v>
      </c>
      <c r="L1105" s="41">
        <v>55</v>
      </c>
      <c r="M1105" s="41">
        <v>-1</v>
      </c>
      <c r="N1105" s="41">
        <v>2</v>
      </c>
      <c r="O1105" s="111" t="s">
        <v>3206</v>
      </c>
      <c r="P1105" s="109"/>
      <c r="Q1105" s="41"/>
      <c r="R1105" s="111"/>
      <c r="S1105" s="110"/>
    </row>
    <row r="1106" spans="1:19">
      <c r="A1106" s="105">
        <v>2488</v>
      </c>
      <c r="B1106" s="41">
        <v>12000000</v>
      </c>
      <c r="C1106" s="41">
        <v>1.6000000000000001E-3</v>
      </c>
      <c r="D1106" s="41">
        <v>1</v>
      </c>
      <c r="E1106" s="41">
        <v>30</v>
      </c>
      <c r="F1106" s="41">
        <v>0</v>
      </c>
      <c r="G1106" s="41" t="s">
        <v>505</v>
      </c>
      <c r="H1106" s="41">
        <v>1</v>
      </c>
      <c r="I1106" s="41">
        <v>1</v>
      </c>
      <c r="J1106" s="108">
        <f>POWER(POWER(Table210[[#This Row],[mv]],4)/10,0.25)</f>
        <v>8.9974612030455862E-4</v>
      </c>
      <c r="K1106" s="41">
        <v>0</v>
      </c>
      <c r="L1106" s="41">
        <v>55</v>
      </c>
      <c r="M1106" s="41">
        <v>-1</v>
      </c>
      <c r="N1106" s="41">
        <v>2</v>
      </c>
      <c r="O1106" s="111" t="s">
        <v>3207</v>
      </c>
      <c r="P1106" s="109"/>
      <c r="Q1106" s="41"/>
      <c r="R1106" s="111"/>
      <c r="S1106" s="110"/>
    </row>
    <row r="1107" spans="1:19">
      <c r="A1107" s="105">
        <v>2489</v>
      </c>
      <c r="B1107" s="41">
        <v>12000000</v>
      </c>
      <c r="C1107" s="41">
        <v>1.6000000000000001E-3</v>
      </c>
      <c r="D1107" s="41">
        <v>1.4141999999999999</v>
      </c>
      <c r="E1107" s="41">
        <v>30</v>
      </c>
      <c r="F1107" s="41">
        <v>0</v>
      </c>
      <c r="G1107" s="41" t="s">
        <v>505</v>
      </c>
      <c r="H1107" s="41">
        <v>1</v>
      </c>
      <c r="I1107" s="41">
        <v>1</v>
      </c>
      <c r="J1107" s="108">
        <f>POWER(POWER(Table210[[#This Row],[mv]],4)/10,0.25)</f>
        <v>8.9974612030455862E-4</v>
      </c>
      <c r="K1107" s="41">
        <v>0</v>
      </c>
      <c r="L1107" s="41">
        <v>55</v>
      </c>
      <c r="M1107" s="41">
        <v>-1</v>
      </c>
      <c r="N1107" s="41">
        <v>2</v>
      </c>
      <c r="O1107" s="111" t="s">
        <v>3208</v>
      </c>
      <c r="P1107" s="109"/>
      <c r="Q1107" s="41"/>
      <c r="R1107" s="111"/>
      <c r="S1107" s="110"/>
    </row>
    <row r="1108" spans="1:19">
      <c r="A1108" s="105">
        <v>2490</v>
      </c>
      <c r="B1108" s="41">
        <v>12000000</v>
      </c>
      <c r="C1108" s="41">
        <v>1.6000000000000001E-3</v>
      </c>
      <c r="D1108" s="41">
        <v>2</v>
      </c>
      <c r="E1108" s="41">
        <v>30</v>
      </c>
      <c r="F1108" s="41">
        <v>0</v>
      </c>
      <c r="G1108" s="41" t="s">
        <v>505</v>
      </c>
      <c r="H1108" s="41">
        <v>1</v>
      </c>
      <c r="I1108" s="41">
        <v>1</v>
      </c>
      <c r="J1108" s="108">
        <f>POWER(POWER(Table210[[#This Row],[mv]],4)/10,0.25)</f>
        <v>8.9974612030455862E-4</v>
      </c>
      <c r="K1108" s="41">
        <v>0</v>
      </c>
      <c r="L1108" s="41">
        <v>55</v>
      </c>
      <c r="M1108" s="41">
        <v>-1</v>
      </c>
      <c r="N1108" s="41">
        <v>2</v>
      </c>
      <c r="O1108" s="111" t="s">
        <v>3209</v>
      </c>
      <c r="P1108" s="109"/>
      <c r="Q1108" s="41"/>
      <c r="R1108" s="111"/>
      <c r="S1108" s="110"/>
    </row>
    <row r="1109" spans="1:19">
      <c r="A1109" s="105">
        <v>2491</v>
      </c>
      <c r="B1109" s="41">
        <v>12000000</v>
      </c>
      <c r="C1109" s="41">
        <v>1.6000000000000001E-3</v>
      </c>
      <c r="D1109" s="41">
        <v>2.8283999999999998</v>
      </c>
      <c r="E1109" s="41">
        <v>30</v>
      </c>
      <c r="F1109" s="41">
        <v>0</v>
      </c>
      <c r="G1109" s="41" t="s">
        <v>505</v>
      </c>
      <c r="H1109" s="41">
        <v>1</v>
      </c>
      <c r="I1109" s="41">
        <v>1</v>
      </c>
      <c r="J1109" s="108">
        <f>POWER(POWER(Table210[[#This Row],[mv]],4)/10,0.25)</f>
        <v>8.9974612030455862E-4</v>
      </c>
      <c r="K1109" s="41">
        <v>0</v>
      </c>
      <c r="L1109" s="41">
        <v>55</v>
      </c>
      <c r="M1109" s="41">
        <v>-1</v>
      </c>
      <c r="N1109" s="41">
        <v>2</v>
      </c>
      <c r="O1109" s="111" t="s">
        <v>3210</v>
      </c>
      <c r="P1109" s="109"/>
      <c r="Q1109" s="41"/>
      <c r="R1109" s="111"/>
      <c r="S1109" s="110"/>
    </row>
    <row r="1110" spans="1:19">
      <c r="A1110" s="105">
        <v>2492</v>
      </c>
      <c r="B1110" s="41">
        <v>12000000</v>
      </c>
      <c r="C1110" s="41">
        <v>1.6000000000000001E-3</v>
      </c>
      <c r="D1110" s="41">
        <v>4</v>
      </c>
      <c r="E1110" s="41">
        <v>30</v>
      </c>
      <c r="F1110" s="41">
        <v>0</v>
      </c>
      <c r="G1110" s="41" t="s">
        <v>505</v>
      </c>
      <c r="H1110" s="41">
        <v>1</v>
      </c>
      <c r="I1110" s="41">
        <v>1</v>
      </c>
      <c r="J1110" s="108">
        <f>POWER(POWER(Table210[[#This Row],[mv]],4)/10,0.25)</f>
        <v>8.9974612030455862E-4</v>
      </c>
      <c r="K1110" s="41">
        <v>0</v>
      </c>
      <c r="L1110" s="41">
        <v>55</v>
      </c>
      <c r="M1110" s="41">
        <v>-1</v>
      </c>
      <c r="N1110" s="41">
        <v>2</v>
      </c>
      <c r="O1110" s="111" t="s">
        <v>3211</v>
      </c>
      <c r="P1110" s="109"/>
      <c r="Q1110" s="41"/>
      <c r="R1110" s="111"/>
      <c r="S1110" s="110"/>
    </row>
    <row r="1111" spans="1:19">
      <c r="A1111" s="105">
        <v>2493</v>
      </c>
      <c r="B1111" s="41">
        <v>12000000</v>
      </c>
      <c r="C1111" s="41">
        <v>1.6000000000000001E-3</v>
      </c>
      <c r="D1111" s="41">
        <v>5.6569000000000003</v>
      </c>
      <c r="E1111" s="41">
        <v>30</v>
      </c>
      <c r="F1111" s="41">
        <v>0</v>
      </c>
      <c r="G1111" s="41" t="s">
        <v>505</v>
      </c>
      <c r="H1111" s="41">
        <v>1</v>
      </c>
      <c r="I1111" s="41">
        <v>1</v>
      </c>
      <c r="J1111" s="108">
        <f>POWER(POWER(Table210[[#This Row],[mv]],4)/10,0.25)</f>
        <v>8.9974612030455862E-4</v>
      </c>
      <c r="K1111" s="41">
        <v>0</v>
      </c>
      <c r="L1111" s="41">
        <v>55</v>
      </c>
      <c r="M1111" s="41">
        <v>-1</v>
      </c>
      <c r="N1111" s="41">
        <v>2</v>
      </c>
      <c r="O1111" s="111" t="s">
        <v>3212</v>
      </c>
      <c r="P1111" s="109"/>
      <c r="Q1111" s="41"/>
      <c r="R1111" s="111"/>
      <c r="S1111" s="110"/>
    </row>
    <row r="1112" spans="1:19">
      <c r="A1112" s="105">
        <v>2494</v>
      </c>
      <c r="B1112" s="41">
        <v>12000000</v>
      </c>
      <c r="C1112" s="41">
        <v>1.6000000000000001E-3</v>
      </c>
      <c r="D1112" s="41">
        <v>8</v>
      </c>
      <c r="E1112" s="41">
        <v>30</v>
      </c>
      <c r="F1112" s="41">
        <v>0</v>
      </c>
      <c r="G1112" s="41" t="s">
        <v>505</v>
      </c>
      <c r="H1112" s="41">
        <v>1</v>
      </c>
      <c r="I1112" s="41">
        <v>1</v>
      </c>
      <c r="J1112" s="108">
        <f>POWER(POWER(Table210[[#This Row],[mv]],4)/10,0.25)</f>
        <v>8.9974612030455862E-4</v>
      </c>
      <c r="K1112" s="41">
        <v>0</v>
      </c>
      <c r="L1112" s="41">
        <v>55</v>
      </c>
      <c r="M1112" s="41">
        <v>-1</v>
      </c>
      <c r="N1112" s="41">
        <v>2</v>
      </c>
      <c r="O1112" s="111" t="s">
        <v>3213</v>
      </c>
      <c r="P1112" s="109"/>
      <c r="Q1112" s="41"/>
      <c r="R1112" s="111"/>
      <c r="S1112" s="110"/>
    </row>
    <row r="1113" spans="1:19">
      <c r="A1113" s="105">
        <v>2495</v>
      </c>
      <c r="B1113" s="41">
        <v>12000000</v>
      </c>
      <c r="C1113" s="41">
        <v>1.6000000000000001E-3</v>
      </c>
      <c r="D1113" s="41">
        <v>11.313700000000001</v>
      </c>
      <c r="E1113" s="41">
        <v>30</v>
      </c>
      <c r="F1113" s="41">
        <v>0</v>
      </c>
      <c r="G1113" s="41" t="s">
        <v>505</v>
      </c>
      <c r="H1113" s="41">
        <v>1</v>
      </c>
      <c r="I1113" s="41">
        <v>1</v>
      </c>
      <c r="J1113" s="108">
        <f>POWER(POWER(Table210[[#This Row],[mv]],4)/10,0.25)</f>
        <v>8.9974612030455862E-4</v>
      </c>
      <c r="K1113" s="41">
        <v>0</v>
      </c>
      <c r="L1113" s="41">
        <v>55</v>
      </c>
      <c r="M1113" s="41">
        <v>-1</v>
      </c>
      <c r="N1113" s="41">
        <v>2</v>
      </c>
      <c r="O1113" s="111" t="s">
        <v>3214</v>
      </c>
      <c r="P1113" s="109"/>
      <c r="Q1113" s="41"/>
      <c r="R1113" s="111"/>
      <c r="S1113" s="110"/>
    </row>
    <row r="1114" spans="1:19">
      <c r="A1114" s="105">
        <v>2496</v>
      </c>
      <c r="B1114" s="41">
        <v>12000000</v>
      </c>
      <c r="C1114" s="41">
        <v>1.6000000000000001E-3</v>
      </c>
      <c r="D1114" s="41">
        <v>16</v>
      </c>
      <c r="E1114" s="41">
        <v>30</v>
      </c>
      <c r="F1114" s="41">
        <v>0</v>
      </c>
      <c r="G1114" s="41" t="s">
        <v>505</v>
      </c>
      <c r="H1114" s="41">
        <v>1</v>
      </c>
      <c r="I1114" s="41">
        <v>1</v>
      </c>
      <c r="J1114" s="108">
        <f>POWER(POWER(Table210[[#This Row],[mv]],4)/10,0.25)</f>
        <v>8.9974612030455862E-4</v>
      </c>
      <c r="K1114" s="41">
        <v>0</v>
      </c>
      <c r="L1114" s="41">
        <v>55</v>
      </c>
      <c r="M1114" s="41">
        <v>-1</v>
      </c>
      <c r="N1114" s="41">
        <v>2</v>
      </c>
      <c r="O1114" s="111" t="s">
        <v>3215</v>
      </c>
      <c r="P1114" s="109"/>
      <c r="Q1114" s="41"/>
      <c r="R1114" s="111"/>
      <c r="S1114" s="110"/>
    </row>
    <row r="1115" spans="1:19">
      <c r="A1115" s="105">
        <v>2497</v>
      </c>
      <c r="B1115" s="41">
        <v>12000000</v>
      </c>
      <c r="C1115" s="41">
        <v>1.6000000000000001E-3</v>
      </c>
      <c r="D1115" s="41">
        <v>22.627400000000002</v>
      </c>
      <c r="E1115" s="41">
        <v>30</v>
      </c>
      <c r="F1115" s="41">
        <v>0</v>
      </c>
      <c r="G1115" s="41" t="s">
        <v>505</v>
      </c>
      <c r="H1115" s="41">
        <v>1</v>
      </c>
      <c r="I1115" s="41">
        <v>1</v>
      </c>
      <c r="J1115" s="108">
        <f>POWER(POWER(Table210[[#This Row],[mv]],4)/10,0.25)</f>
        <v>8.9974612030455862E-4</v>
      </c>
      <c r="K1115" s="41">
        <v>0</v>
      </c>
      <c r="L1115" s="41">
        <v>55</v>
      </c>
      <c r="M1115" s="41">
        <v>-1</v>
      </c>
      <c r="N1115" s="41">
        <v>2</v>
      </c>
      <c r="O1115" s="111" t="s">
        <v>3216</v>
      </c>
      <c r="P1115" s="109"/>
      <c r="Q1115" s="41"/>
      <c r="R1115" s="111"/>
      <c r="S1115" s="110"/>
    </row>
    <row r="1116" spans="1:19">
      <c r="A1116" s="105">
        <v>2498</v>
      </c>
      <c r="B1116" s="41">
        <v>12000000</v>
      </c>
      <c r="C1116" s="41">
        <v>1.6999999999999999E-3</v>
      </c>
      <c r="D1116" s="41">
        <v>1</v>
      </c>
      <c r="E1116" s="41">
        <v>30</v>
      </c>
      <c r="F1116" s="41">
        <v>0</v>
      </c>
      <c r="G1116" s="41" t="s">
        <v>505</v>
      </c>
      <c r="H1116" s="41">
        <v>1</v>
      </c>
      <c r="I1116" s="41">
        <v>1</v>
      </c>
      <c r="J1116" s="108">
        <f>POWER(POWER(Table210[[#This Row],[mv]],4)/10,0.25)</f>
        <v>9.5598025282359327E-4</v>
      </c>
      <c r="K1116" s="41">
        <v>0</v>
      </c>
      <c r="L1116" s="41">
        <v>55</v>
      </c>
      <c r="M1116" s="41">
        <v>-1</v>
      </c>
      <c r="N1116" s="41">
        <v>2</v>
      </c>
      <c r="O1116" s="111" t="s">
        <v>3217</v>
      </c>
      <c r="P1116" s="109">
        <v>20186</v>
      </c>
      <c r="Q1116" s="41"/>
      <c r="R1116" s="111"/>
      <c r="S1116" s="110"/>
    </row>
    <row r="1117" spans="1:19">
      <c r="A1117" s="105">
        <v>2499</v>
      </c>
      <c r="B1117" s="41">
        <v>12000000</v>
      </c>
      <c r="C1117" s="41">
        <v>1.6999999999999999E-3</v>
      </c>
      <c r="D1117" s="41">
        <v>1.4141999999999999</v>
      </c>
      <c r="E1117" s="41">
        <v>30</v>
      </c>
      <c r="F1117" s="41">
        <v>0</v>
      </c>
      <c r="G1117" s="41" t="s">
        <v>505</v>
      </c>
      <c r="H1117" s="41">
        <v>1</v>
      </c>
      <c r="I1117" s="41">
        <v>1</v>
      </c>
      <c r="J1117" s="108">
        <f>POWER(POWER(Table210[[#This Row],[mv]],4)/10,0.25)</f>
        <v>9.5598025282359327E-4</v>
      </c>
      <c r="K1117" s="41">
        <v>0</v>
      </c>
      <c r="L1117" s="41">
        <v>55</v>
      </c>
      <c r="M1117" s="41">
        <v>-1</v>
      </c>
      <c r="N1117" s="41">
        <v>2</v>
      </c>
      <c r="O1117" s="111" t="s">
        <v>3218</v>
      </c>
      <c r="P1117" s="109"/>
      <c r="Q1117" s="41"/>
      <c r="R1117" s="111"/>
      <c r="S1117" s="110"/>
    </row>
    <row r="1118" spans="1:19">
      <c r="A1118" s="105">
        <v>2500</v>
      </c>
      <c r="B1118" s="41">
        <v>12000000</v>
      </c>
      <c r="C1118" s="41">
        <v>1.6999999999999999E-3</v>
      </c>
      <c r="D1118" s="41">
        <v>2</v>
      </c>
      <c r="E1118" s="41">
        <v>30</v>
      </c>
      <c r="F1118" s="41">
        <v>0</v>
      </c>
      <c r="G1118" s="41" t="s">
        <v>505</v>
      </c>
      <c r="H1118" s="41">
        <v>1</v>
      </c>
      <c r="I1118" s="41">
        <v>1</v>
      </c>
      <c r="J1118" s="108">
        <f>POWER(POWER(Table210[[#This Row],[mv]],4)/10,0.25)</f>
        <v>9.5598025282359327E-4</v>
      </c>
      <c r="K1118" s="41">
        <v>0</v>
      </c>
      <c r="L1118" s="41">
        <v>55</v>
      </c>
      <c r="M1118" s="41">
        <v>-1</v>
      </c>
      <c r="N1118" s="41">
        <v>2</v>
      </c>
      <c r="O1118" s="111" t="s">
        <v>3219</v>
      </c>
      <c r="P1118" s="109"/>
      <c r="Q1118" s="41"/>
      <c r="R1118" s="111"/>
      <c r="S1118" s="110"/>
    </row>
    <row r="1119" spans="1:19">
      <c r="A1119" s="105">
        <v>2501</v>
      </c>
      <c r="B1119" s="41">
        <v>12000000</v>
      </c>
      <c r="C1119" s="41">
        <v>1.6999999999999999E-3</v>
      </c>
      <c r="D1119" s="41">
        <v>2.8283999999999998</v>
      </c>
      <c r="E1119" s="41">
        <v>30</v>
      </c>
      <c r="F1119" s="41">
        <v>0</v>
      </c>
      <c r="G1119" s="41" t="s">
        <v>505</v>
      </c>
      <c r="H1119" s="41">
        <v>1</v>
      </c>
      <c r="I1119" s="41">
        <v>1</v>
      </c>
      <c r="J1119" s="108">
        <f>POWER(POWER(Table210[[#This Row],[mv]],4)/10,0.25)</f>
        <v>9.5598025282359327E-4</v>
      </c>
      <c r="K1119" s="41">
        <v>0</v>
      </c>
      <c r="L1119" s="41">
        <v>55</v>
      </c>
      <c r="M1119" s="41">
        <v>-1</v>
      </c>
      <c r="N1119" s="41">
        <v>2</v>
      </c>
      <c r="O1119" s="111" t="s">
        <v>3220</v>
      </c>
      <c r="P1119" s="109"/>
      <c r="Q1119" s="41"/>
      <c r="R1119" s="111"/>
      <c r="S1119" s="110"/>
    </row>
    <row r="1120" spans="1:19">
      <c r="A1120" s="105">
        <v>2502</v>
      </c>
      <c r="B1120" s="41">
        <v>12000000</v>
      </c>
      <c r="C1120" s="41">
        <v>1.6999999999999999E-3</v>
      </c>
      <c r="D1120" s="41">
        <v>4</v>
      </c>
      <c r="E1120" s="41">
        <v>30</v>
      </c>
      <c r="F1120" s="41">
        <v>0</v>
      </c>
      <c r="G1120" s="41" t="s">
        <v>505</v>
      </c>
      <c r="H1120" s="41">
        <v>1</v>
      </c>
      <c r="I1120" s="41">
        <v>1</v>
      </c>
      <c r="J1120" s="108">
        <f>POWER(POWER(Table210[[#This Row],[mv]],4)/10,0.25)</f>
        <v>9.5598025282359327E-4</v>
      </c>
      <c r="K1120" s="41">
        <v>0</v>
      </c>
      <c r="L1120" s="41">
        <v>55</v>
      </c>
      <c r="M1120" s="41">
        <v>-1</v>
      </c>
      <c r="N1120" s="41">
        <v>2</v>
      </c>
      <c r="O1120" s="111" t="s">
        <v>3221</v>
      </c>
      <c r="P1120" s="109"/>
      <c r="Q1120" s="41"/>
      <c r="R1120" s="111"/>
      <c r="S1120" s="110"/>
    </row>
    <row r="1121" spans="1:19">
      <c r="A1121" s="105">
        <v>2503</v>
      </c>
      <c r="B1121" s="41">
        <v>12000000</v>
      </c>
      <c r="C1121" s="41">
        <v>1.6999999999999999E-3</v>
      </c>
      <c r="D1121" s="41">
        <v>5.6569000000000003</v>
      </c>
      <c r="E1121" s="41">
        <v>30</v>
      </c>
      <c r="F1121" s="41">
        <v>0</v>
      </c>
      <c r="G1121" s="41" t="s">
        <v>505</v>
      </c>
      <c r="H1121" s="41">
        <v>1</v>
      </c>
      <c r="I1121" s="41">
        <v>1</v>
      </c>
      <c r="J1121" s="108">
        <f>POWER(POWER(Table210[[#This Row],[mv]],4)/10,0.25)</f>
        <v>9.5598025282359327E-4</v>
      </c>
      <c r="K1121" s="41">
        <v>0</v>
      </c>
      <c r="L1121" s="41">
        <v>55</v>
      </c>
      <c r="M1121" s="41">
        <v>-1</v>
      </c>
      <c r="N1121" s="41">
        <v>2</v>
      </c>
      <c r="O1121" s="111" t="s">
        <v>3222</v>
      </c>
      <c r="P1121" s="109"/>
      <c r="Q1121" s="41"/>
      <c r="R1121" s="111"/>
      <c r="S1121" s="110"/>
    </row>
    <row r="1122" spans="1:19">
      <c r="A1122" s="105">
        <v>2504</v>
      </c>
      <c r="B1122" s="41">
        <v>12000000</v>
      </c>
      <c r="C1122" s="41">
        <v>1.6999999999999999E-3</v>
      </c>
      <c r="D1122" s="41">
        <v>8</v>
      </c>
      <c r="E1122" s="41">
        <v>30</v>
      </c>
      <c r="F1122" s="41">
        <v>0</v>
      </c>
      <c r="G1122" s="41" t="s">
        <v>505</v>
      </c>
      <c r="H1122" s="41">
        <v>1</v>
      </c>
      <c r="I1122" s="41">
        <v>1</v>
      </c>
      <c r="J1122" s="108">
        <f>POWER(POWER(Table210[[#This Row],[mv]],4)/10,0.25)</f>
        <v>9.5598025282359327E-4</v>
      </c>
      <c r="K1122" s="41">
        <v>0</v>
      </c>
      <c r="L1122" s="41">
        <v>55</v>
      </c>
      <c r="M1122" s="41">
        <v>-1</v>
      </c>
      <c r="N1122" s="41">
        <v>2</v>
      </c>
      <c r="O1122" s="111" t="s">
        <v>3223</v>
      </c>
      <c r="P1122" s="109"/>
      <c r="Q1122" s="41"/>
      <c r="R1122" s="111"/>
      <c r="S1122" s="110"/>
    </row>
    <row r="1123" spans="1:19">
      <c r="A1123" s="105">
        <v>2505</v>
      </c>
      <c r="B1123" s="41">
        <v>12000000</v>
      </c>
      <c r="C1123" s="41">
        <v>1.6999999999999999E-3</v>
      </c>
      <c r="D1123" s="41">
        <v>11.313700000000001</v>
      </c>
      <c r="E1123" s="41">
        <v>30</v>
      </c>
      <c r="F1123" s="41">
        <v>0</v>
      </c>
      <c r="G1123" s="41" t="s">
        <v>505</v>
      </c>
      <c r="H1123" s="41">
        <v>1</v>
      </c>
      <c r="I1123" s="41">
        <v>1</v>
      </c>
      <c r="J1123" s="108">
        <f>POWER(POWER(Table210[[#This Row],[mv]],4)/10,0.25)</f>
        <v>9.5598025282359327E-4</v>
      </c>
      <c r="K1123" s="41">
        <v>0</v>
      </c>
      <c r="L1123" s="41">
        <v>55</v>
      </c>
      <c r="M1123" s="41">
        <v>-1</v>
      </c>
      <c r="N1123" s="41">
        <v>2</v>
      </c>
      <c r="O1123" s="111" t="s">
        <v>3224</v>
      </c>
      <c r="P1123" s="109"/>
      <c r="Q1123" s="41"/>
      <c r="R1123" s="111"/>
      <c r="S1123" s="110"/>
    </row>
    <row r="1124" spans="1:19">
      <c r="A1124" s="105">
        <v>2506</v>
      </c>
      <c r="B1124" s="41">
        <v>12000000</v>
      </c>
      <c r="C1124" s="41">
        <v>1.6999999999999999E-3</v>
      </c>
      <c r="D1124" s="41">
        <v>16</v>
      </c>
      <c r="E1124" s="41">
        <v>30</v>
      </c>
      <c r="F1124" s="41">
        <v>0</v>
      </c>
      <c r="G1124" s="41" t="s">
        <v>505</v>
      </c>
      <c r="H1124" s="41">
        <v>1</v>
      </c>
      <c r="I1124" s="41">
        <v>1</v>
      </c>
      <c r="J1124" s="108">
        <f>POWER(POWER(Table210[[#This Row],[mv]],4)/10,0.25)</f>
        <v>9.5598025282359327E-4</v>
      </c>
      <c r="K1124" s="41">
        <v>0</v>
      </c>
      <c r="L1124" s="41">
        <v>55</v>
      </c>
      <c r="M1124" s="41">
        <v>-1</v>
      </c>
      <c r="N1124" s="41">
        <v>2</v>
      </c>
      <c r="O1124" s="111" t="s">
        <v>3225</v>
      </c>
      <c r="P1124" s="109"/>
      <c r="Q1124" s="41"/>
      <c r="R1124" s="111"/>
      <c r="S1124" s="110"/>
    </row>
    <row r="1125" spans="1:19">
      <c r="A1125" s="105">
        <v>2507</v>
      </c>
      <c r="B1125" s="41">
        <v>12000000</v>
      </c>
      <c r="C1125" s="41">
        <v>1.6999999999999999E-3</v>
      </c>
      <c r="D1125" s="41">
        <v>22.627400000000002</v>
      </c>
      <c r="E1125" s="41">
        <v>30</v>
      </c>
      <c r="F1125" s="41">
        <v>0</v>
      </c>
      <c r="G1125" s="41" t="s">
        <v>505</v>
      </c>
      <c r="H1125" s="41">
        <v>1</v>
      </c>
      <c r="I1125" s="41">
        <v>1</v>
      </c>
      <c r="J1125" s="108">
        <f>POWER(POWER(Table210[[#This Row],[mv]],4)/10,0.25)</f>
        <v>9.5598025282359327E-4</v>
      </c>
      <c r="K1125" s="41">
        <v>0</v>
      </c>
      <c r="L1125" s="41">
        <v>55</v>
      </c>
      <c r="M1125" s="41">
        <v>-1</v>
      </c>
      <c r="N1125" s="41">
        <v>2</v>
      </c>
      <c r="O1125" s="111" t="s">
        <v>3226</v>
      </c>
      <c r="P1125" s="109"/>
      <c r="Q1125" s="41"/>
      <c r="R1125" s="111"/>
      <c r="S1125" s="110"/>
    </row>
    <row r="1126" spans="1:19">
      <c r="A1126" s="105">
        <v>2508</v>
      </c>
      <c r="B1126" s="41">
        <v>12000000</v>
      </c>
      <c r="C1126" s="41">
        <v>1.9E-3</v>
      </c>
      <c r="D1126" s="41">
        <v>1.4141999999999999</v>
      </c>
      <c r="E1126" s="41">
        <v>30</v>
      </c>
      <c r="F1126" s="41">
        <v>0</v>
      </c>
      <c r="G1126" s="41" t="s">
        <v>505</v>
      </c>
      <c r="H1126" s="41">
        <v>1</v>
      </c>
      <c r="I1126" s="41">
        <v>1</v>
      </c>
      <c r="J1126" s="108">
        <f>POWER(POWER(Table210[[#This Row],[mv]],4)/10,0.25)</f>
        <v>1.0684485178616638E-3</v>
      </c>
      <c r="K1126" s="41">
        <v>0</v>
      </c>
      <c r="L1126" s="41">
        <v>55</v>
      </c>
      <c r="M1126" s="41">
        <v>-1</v>
      </c>
      <c r="N1126" s="41">
        <v>2</v>
      </c>
      <c r="O1126" s="111" t="s">
        <v>3227</v>
      </c>
      <c r="P1126" s="109"/>
      <c r="Q1126" s="41"/>
      <c r="R1126" s="111"/>
      <c r="S1126" s="110"/>
    </row>
    <row r="1127" spans="1:19">
      <c r="A1127" s="105">
        <v>2509</v>
      </c>
      <c r="B1127" s="41">
        <v>12000000</v>
      </c>
      <c r="C1127" s="41">
        <v>1.9E-3</v>
      </c>
      <c r="D1127" s="41">
        <v>2</v>
      </c>
      <c r="E1127" s="41">
        <v>30</v>
      </c>
      <c r="F1127" s="41">
        <v>0</v>
      </c>
      <c r="G1127" s="41" t="s">
        <v>505</v>
      </c>
      <c r="H1127" s="41">
        <v>1</v>
      </c>
      <c r="I1127" s="41">
        <v>1</v>
      </c>
      <c r="J1127" s="108">
        <f>POWER(POWER(Table210[[#This Row],[mv]],4)/10,0.25)</f>
        <v>1.0684485178616638E-3</v>
      </c>
      <c r="K1127" s="41">
        <v>0</v>
      </c>
      <c r="L1127" s="41">
        <v>55</v>
      </c>
      <c r="M1127" s="41">
        <v>-1</v>
      </c>
      <c r="N1127" s="41">
        <v>2</v>
      </c>
      <c r="O1127" s="111" t="s">
        <v>3228</v>
      </c>
      <c r="P1127" s="109"/>
      <c r="Q1127" s="41"/>
      <c r="R1127" s="111"/>
      <c r="S1127" s="110"/>
    </row>
    <row r="1128" spans="1:19">
      <c r="A1128" s="105">
        <v>2510</v>
      </c>
      <c r="B1128" s="41">
        <v>12000000</v>
      </c>
      <c r="C1128" s="41">
        <v>1.9E-3</v>
      </c>
      <c r="D1128" s="41">
        <v>2.8283999999999998</v>
      </c>
      <c r="E1128" s="41">
        <v>30</v>
      </c>
      <c r="F1128" s="41">
        <v>0</v>
      </c>
      <c r="G1128" s="41" t="s">
        <v>505</v>
      </c>
      <c r="H1128" s="41">
        <v>1</v>
      </c>
      <c r="I1128" s="41">
        <v>1</v>
      </c>
      <c r="J1128" s="108">
        <f>POWER(POWER(Table210[[#This Row],[mv]],4)/10,0.25)</f>
        <v>1.0684485178616638E-3</v>
      </c>
      <c r="K1128" s="41">
        <v>0</v>
      </c>
      <c r="L1128" s="41">
        <v>55</v>
      </c>
      <c r="M1128" s="41">
        <v>-1</v>
      </c>
      <c r="N1128" s="41">
        <v>2</v>
      </c>
      <c r="O1128" s="111" t="s">
        <v>3229</v>
      </c>
      <c r="P1128" s="109"/>
      <c r="Q1128" s="41"/>
      <c r="R1128" s="111"/>
      <c r="S1128" s="110"/>
    </row>
    <row r="1129" spans="1:19">
      <c r="A1129" s="105">
        <v>2511</v>
      </c>
      <c r="B1129" s="41">
        <v>12000000</v>
      </c>
      <c r="C1129" s="41">
        <v>1.9E-3</v>
      </c>
      <c r="D1129" s="41">
        <v>4</v>
      </c>
      <c r="E1129" s="41">
        <v>30</v>
      </c>
      <c r="F1129" s="41">
        <v>0</v>
      </c>
      <c r="G1129" s="41" t="s">
        <v>505</v>
      </c>
      <c r="H1129" s="41">
        <v>1</v>
      </c>
      <c r="I1129" s="41">
        <v>1</v>
      </c>
      <c r="J1129" s="108">
        <f>POWER(POWER(Table210[[#This Row],[mv]],4)/10,0.25)</f>
        <v>1.0684485178616638E-3</v>
      </c>
      <c r="K1129" s="41">
        <v>0</v>
      </c>
      <c r="L1129" s="41">
        <v>55</v>
      </c>
      <c r="M1129" s="41">
        <v>-1</v>
      </c>
      <c r="N1129" s="41">
        <v>2</v>
      </c>
      <c r="O1129" s="111" t="s">
        <v>3230</v>
      </c>
      <c r="P1129" s="109"/>
      <c r="Q1129" s="41"/>
      <c r="R1129" s="111"/>
      <c r="S1129" s="110"/>
    </row>
    <row r="1130" spans="1:19">
      <c r="A1130" s="105">
        <v>2512</v>
      </c>
      <c r="B1130" s="41">
        <v>12000000</v>
      </c>
      <c r="C1130" s="41">
        <v>1.9E-3</v>
      </c>
      <c r="D1130" s="41">
        <v>5.6569000000000003</v>
      </c>
      <c r="E1130" s="41">
        <v>30</v>
      </c>
      <c r="F1130" s="41">
        <v>0</v>
      </c>
      <c r="G1130" s="41" t="s">
        <v>505</v>
      </c>
      <c r="H1130" s="41">
        <v>1</v>
      </c>
      <c r="I1130" s="41">
        <v>1</v>
      </c>
      <c r="J1130" s="108">
        <f>POWER(POWER(Table210[[#This Row],[mv]],4)/10,0.25)</f>
        <v>1.0684485178616638E-3</v>
      </c>
      <c r="K1130" s="41">
        <v>0</v>
      </c>
      <c r="L1130" s="41">
        <v>55</v>
      </c>
      <c r="M1130" s="41">
        <v>-1</v>
      </c>
      <c r="N1130" s="41">
        <v>2</v>
      </c>
      <c r="O1130" s="111" t="s">
        <v>3231</v>
      </c>
      <c r="P1130" s="109"/>
      <c r="Q1130" s="41"/>
      <c r="R1130" s="111"/>
      <c r="S1130" s="110"/>
    </row>
    <row r="1131" spans="1:19">
      <c r="A1131" s="105">
        <v>2513</v>
      </c>
      <c r="B1131" s="41">
        <v>12000000</v>
      </c>
      <c r="C1131" s="41">
        <v>1.9E-3</v>
      </c>
      <c r="D1131" s="41">
        <v>8</v>
      </c>
      <c r="E1131" s="41">
        <v>30</v>
      </c>
      <c r="F1131" s="41">
        <v>0</v>
      </c>
      <c r="G1131" s="41" t="s">
        <v>505</v>
      </c>
      <c r="H1131" s="41">
        <v>1</v>
      </c>
      <c r="I1131" s="41">
        <v>1</v>
      </c>
      <c r="J1131" s="108">
        <f>POWER(POWER(Table210[[#This Row],[mv]],4)/10,0.25)</f>
        <v>1.0684485178616638E-3</v>
      </c>
      <c r="K1131" s="41">
        <v>0</v>
      </c>
      <c r="L1131" s="41">
        <v>55</v>
      </c>
      <c r="M1131" s="41">
        <v>-1</v>
      </c>
      <c r="N1131" s="41">
        <v>2</v>
      </c>
      <c r="O1131" s="111" t="s">
        <v>3232</v>
      </c>
      <c r="P1131" s="109"/>
      <c r="Q1131" s="41"/>
      <c r="R1131" s="111"/>
      <c r="S1131" s="110"/>
    </row>
    <row r="1132" spans="1:19">
      <c r="A1132" s="105">
        <v>2514</v>
      </c>
      <c r="B1132" s="41">
        <v>12000000</v>
      </c>
      <c r="C1132" s="41">
        <v>1.9E-3</v>
      </c>
      <c r="D1132" s="41">
        <v>11.313700000000001</v>
      </c>
      <c r="E1132" s="41">
        <v>30</v>
      </c>
      <c r="F1132" s="41">
        <v>0</v>
      </c>
      <c r="G1132" s="41" t="s">
        <v>505</v>
      </c>
      <c r="H1132" s="41">
        <v>1</v>
      </c>
      <c r="I1132" s="41">
        <v>1</v>
      </c>
      <c r="J1132" s="108">
        <f>POWER(POWER(Table210[[#This Row],[mv]],4)/10,0.25)</f>
        <v>1.0684485178616638E-3</v>
      </c>
      <c r="K1132" s="41">
        <v>0</v>
      </c>
      <c r="L1132" s="41">
        <v>55</v>
      </c>
      <c r="M1132" s="41">
        <v>-1</v>
      </c>
      <c r="N1132" s="41">
        <v>2</v>
      </c>
      <c r="O1132" s="111" t="s">
        <v>3233</v>
      </c>
      <c r="P1132" s="109"/>
      <c r="Q1132" s="41"/>
      <c r="R1132" s="111"/>
      <c r="S1132" s="110"/>
    </row>
    <row r="1133" spans="1:19">
      <c r="A1133" s="105">
        <v>2515</v>
      </c>
      <c r="B1133" s="41">
        <v>12000000</v>
      </c>
      <c r="C1133" s="41">
        <v>1.9E-3</v>
      </c>
      <c r="D1133" s="41">
        <v>16</v>
      </c>
      <c r="E1133" s="41">
        <v>30</v>
      </c>
      <c r="F1133" s="41">
        <v>0</v>
      </c>
      <c r="G1133" s="41" t="s">
        <v>505</v>
      </c>
      <c r="H1133" s="41">
        <v>1</v>
      </c>
      <c r="I1133" s="41">
        <v>1</v>
      </c>
      <c r="J1133" s="108">
        <f>POWER(POWER(Table210[[#This Row],[mv]],4)/10,0.25)</f>
        <v>1.0684485178616638E-3</v>
      </c>
      <c r="K1133" s="41">
        <v>0</v>
      </c>
      <c r="L1133" s="41">
        <v>55</v>
      </c>
      <c r="M1133" s="41">
        <v>-1</v>
      </c>
      <c r="N1133" s="41">
        <v>2</v>
      </c>
      <c r="O1133" s="111" t="s">
        <v>3234</v>
      </c>
      <c r="P1133" s="109"/>
      <c r="Q1133" s="41"/>
      <c r="R1133" s="111"/>
      <c r="S1133" s="110"/>
    </row>
    <row r="1134" spans="1:19">
      <c r="A1134" s="105">
        <v>2516</v>
      </c>
      <c r="B1134" s="41">
        <v>12000000</v>
      </c>
      <c r="C1134" s="41">
        <v>1.9E-3</v>
      </c>
      <c r="D1134" s="41">
        <v>22.627400000000002</v>
      </c>
      <c r="E1134" s="41">
        <v>30</v>
      </c>
      <c r="F1134" s="41">
        <v>0</v>
      </c>
      <c r="G1134" s="41" t="s">
        <v>505</v>
      </c>
      <c r="H1134" s="41">
        <v>1</v>
      </c>
      <c r="I1134" s="41">
        <v>1</v>
      </c>
      <c r="J1134" s="108">
        <f>POWER(POWER(Table210[[#This Row],[mv]],4)/10,0.25)</f>
        <v>1.0684485178616638E-3</v>
      </c>
      <c r="K1134" s="41">
        <v>0</v>
      </c>
      <c r="L1134" s="41">
        <v>55</v>
      </c>
      <c r="M1134" s="41">
        <v>-1</v>
      </c>
      <c r="N1134" s="41">
        <v>2</v>
      </c>
      <c r="O1134" s="111" t="s">
        <v>3235</v>
      </c>
      <c r="P1134" s="109"/>
      <c r="Q1134" s="41"/>
      <c r="R1134" s="111"/>
      <c r="S1134" s="110"/>
    </row>
    <row r="1135" spans="1:19">
      <c r="A1135" s="105">
        <v>2517</v>
      </c>
      <c r="B1135" s="41">
        <v>12000000</v>
      </c>
      <c r="C1135" s="41">
        <v>1.9E-3</v>
      </c>
      <c r="D1135" s="41">
        <v>32</v>
      </c>
      <c r="E1135" s="41">
        <v>30</v>
      </c>
      <c r="F1135" s="41">
        <v>0</v>
      </c>
      <c r="G1135" s="41" t="s">
        <v>505</v>
      </c>
      <c r="H1135" s="41">
        <v>1</v>
      </c>
      <c r="I1135" s="41">
        <v>1</v>
      </c>
      <c r="J1135" s="108">
        <f>POWER(POWER(Table210[[#This Row],[mv]],4)/10,0.25)</f>
        <v>1.0684485178616638E-3</v>
      </c>
      <c r="K1135" s="41">
        <v>0</v>
      </c>
      <c r="L1135" s="41">
        <v>55</v>
      </c>
      <c r="M1135" s="41">
        <v>-1</v>
      </c>
      <c r="N1135" s="41">
        <v>2</v>
      </c>
      <c r="O1135" s="111" t="s">
        <v>3236</v>
      </c>
      <c r="P1135" s="109"/>
      <c r="Q1135" s="41"/>
      <c r="R1135" s="111"/>
      <c r="S1135" s="110"/>
    </row>
    <row r="1136" spans="1:19">
      <c r="A1136" s="105">
        <v>2518</v>
      </c>
      <c r="B1136" s="41">
        <v>12000000</v>
      </c>
      <c r="C1136" s="41">
        <v>2.0999999999999999E-3</v>
      </c>
      <c r="D1136" s="41">
        <v>1.4141999999999999</v>
      </c>
      <c r="E1136" s="41">
        <v>30</v>
      </c>
      <c r="F1136" s="41">
        <v>0</v>
      </c>
      <c r="G1136" s="41" t="s">
        <v>505</v>
      </c>
      <c r="H1136" s="41">
        <v>1</v>
      </c>
      <c r="I1136" s="41">
        <v>1</v>
      </c>
      <c r="J1136" s="108">
        <f>POWER(POWER(Table210[[#This Row],[mv]],4)/10,0.25)</f>
        <v>1.1809167828997333E-3</v>
      </c>
      <c r="K1136" s="41">
        <v>0</v>
      </c>
      <c r="L1136" s="41">
        <v>55</v>
      </c>
      <c r="M1136" s="41">
        <v>-1</v>
      </c>
      <c r="N1136" s="41">
        <v>2</v>
      </c>
      <c r="O1136" s="111" t="s">
        <v>3237</v>
      </c>
      <c r="P1136" s="109"/>
      <c r="Q1136" s="41"/>
      <c r="R1136" s="111"/>
      <c r="S1136" s="110"/>
    </row>
    <row r="1137" spans="1:19">
      <c r="A1137" s="105">
        <v>2519</v>
      </c>
      <c r="B1137" s="41">
        <v>12000000</v>
      </c>
      <c r="C1137" s="41">
        <v>2.0999999999999999E-3</v>
      </c>
      <c r="D1137" s="41">
        <v>2</v>
      </c>
      <c r="E1137" s="41">
        <v>30</v>
      </c>
      <c r="F1137" s="41">
        <v>0</v>
      </c>
      <c r="G1137" s="41" t="s">
        <v>505</v>
      </c>
      <c r="H1137" s="41">
        <v>1</v>
      </c>
      <c r="I1137" s="41">
        <v>1</v>
      </c>
      <c r="J1137" s="108">
        <f>POWER(POWER(Table210[[#This Row],[mv]],4)/10,0.25)</f>
        <v>1.1809167828997333E-3</v>
      </c>
      <c r="K1137" s="41">
        <v>0</v>
      </c>
      <c r="L1137" s="41">
        <v>55</v>
      </c>
      <c r="M1137" s="41">
        <v>-1</v>
      </c>
      <c r="N1137" s="41">
        <v>2</v>
      </c>
      <c r="O1137" s="111" t="s">
        <v>3238</v>
      </c>
      <c r="P1137" s="109"/>
      <c r="Q1137" s="41"/>
      <c r="R1137" s="111"/>
      <c r="S1137" s="110"/>
    </row>
    <row r="1138" spans="1:19">
      <c r="A1138" s="105">
        <v>2520</v>
      </c>
      <c r="B1138" s="41">
        <v>12000000</v>
      </c>
      <c r="C1138" s="41">
        <v>2.0999999999999999E-3</v>
      </c>
      <c r="D1138" s="41">
        <v>2.8283999999999998</v>
      </c>
      <c r="E1138" s="41">
        <v>30</v>
      </c>
      <c r="F1138" s="41">
        <v>0</v>
      </c>
      <c r="G1138" s="41" t="s">
        <v>505</v>
      </c>
      <c r="H1138" s="41">
        <v>1</v>
      </c>
      <c r="I1138" s="41">
        <v>1</v>
      </c>
      <c r="J1138" s="108">
        <f>POWER(POWER(Table210[[#This Row],[mv]],4)/10,0.25)</f>
        <v>1.1809167828997333E-3</v>
      </c>
      <c r="K1138" s="41">
        <v>0</v>
      </c>
      <c r="L1138" s="41">
        <v>55</v>
      </c>
      <c r="M1138" s="41">
        <v>-1</v>
      </c>
      <c r="N1138" s="41">
        <v>2</v>
      </c>
      <c r="O1138" s="111" t="s">
        <v>3239</v>
      </c>
      <c r="P1138" s="109"/>
      <c r="Q1138" s="41"/>
      <c r="R1138" s="111"/>
      <c r="S1138" s="110"/>
    </row>
    <row r="1139" spans="1:19">
      <c r="A1139" s="105">
        <v>2521</v>
      </c>
      <c r="B1139" s="41">
        <v>12000000</v>
      </c>
      <c r="C1139" s="41">
        <v>2.0999999999999999E-3</v>
      </c>
      <c r="D1139" s="41">
        <v>4</v>
      </c>
      <c r="E1139" s="41">
        <v>30</v>
      </c>
      <c r="F1139" s="41">
        <v>0</v>
      </c>
      <c r="G1139" s="41" t="s">
        <v>505</v>
      </c>
      <c r="H1139" s="41">
        <v>1</v>
      </c>
      <c r="I1139" s="41">
        <v>1</v>
      </c>
      <c r="J1139" s="108">
        <f>POWER(POWER(Table210[[#This Row],[mv]],4)/10,0.25)</f>
        <v>1.1809167828997333E-3</v>
      </c>
      <c r="K1139" s="41">
        <v>0</v>
      </c>
      <c r="L1139" s="41">
        <v>55</v>
      </c>
      <c r="M1139" s="41">
        <v>-1</v>
      </c>
      <c r="N1139" s="41">
        <v>2</v>
      </c>
      <c r="O1139" s="111" t="s">
        <v>3240</v>
      </c>
      <c r="P1139" s="109"/>
      <c r="Q1139" s="41"/>
      <c r="R1139" s="111"/>
      <c r="S1139" s="110"/>
    </row>
    <row r="1140" spans="1:19">
      <c r="A1140" s="105">
        <v>2522</v>
      </c>
      <c r="B1140" s="41">
        <v>12000000</v>
      </c>
      <c r="C1140" s="41">
        <v>2.0999999999999999E-3</v>
      </c>
      <c r="D1140" s="41">
        <v>5.6569000000000003</v>
      </c>
      <c r="E1140" s="41">
        <v>30</v>
      </c>
      <c r="F1140" s="41">
        <v>0</v>
      </c>
      <c r="G1140" s="41" t="s">
        <v>505</v>
      </c>
      <c r="H1140" s="41">
        <v>1</v>
      </c>
      <c r="I1140" s="41">
        <v>1</v>
      </c>
      <c r="J1140" s="108">
        <f>POWER(POWER(Table210[[#This Row],[mv]],4)/10,0.25)</f>
        <v>1.1809167828997333E-3</v>
      </c>
      <c r="K1140" s="41">
        <v>0</v>
      </c>
      <c r="L1140" s="41">
        <v>55</v>
      </c>
      <c r="M1140" s="41">
        <v>-1</v>
      </c>
      <c r="N1140" s="41">
        <v>2</v>
      </c>
      <c r="O1140" s="111" t="s">
        <v>3241</v>
      </c>
      <c r="P1140" s="109"/>
      <c r="Q1140" s="41"/>
      <c r="R1140" s="111"/>
      <c r="S1140" s="110"/>
    </row>
    <row r="1141" spans="1:19">
      <c r="A1141" s="105">
        <v>2523</v>
      </c>
      <c r="B1141" s="41">
        <v>12000000</v>
      </c>
      <c r="C1141" s="41">
        <v>2.0999999999999999E-3</v>
      </c>
      <c r="D1141" s="41">
        <v>8</v>
      </c>
      <c r="E1141" s="41">
        <v>30</v>
      </c>
      <c r="F1141" s="41">
        <v>0</v>
      </c>
      <c r="G1141" s="41" t="s">
        <v>505</v>
      </c>
      <c r="H1141" s="41">
        <v>1</v>
      </c>
      <c r="I1141" s="41">
        <v>1</v>
      </c>
      <c r="J1141" s="108">
        <f>POWER(POWER(Table210[[#This Row],[mv]],4)/10,0.25)</f>
        <v>1.1809167828997333E-3</v>
      </c>
      <c r="K1141" s="41">
        <v>0</v>
      </c>
      <c r="L1141" s="41">
        <v>55</v>
      </c>
      <c r="M1141" s="41">
        <v>-1</v>
      </c>
      <c r="N1141" s="41">
        <v>2</v>
      </c>
      <c r="O1141" s="111" t="s">
        <v>3242</v>
      </c>
      <c r="P1141" s="109"/>
      <c r="Q1141" s="41"/>
      <c r="R1141" s="111"/>
      <c r="S1141" s="110"/>
    </row>
    <row r="1142" spans="1:19">
      <c r="A1142" s="105">
        <v>2524</v>
      </c>
      <c r="B1142" s="41">
        <v>12000000</v>
      </c>
      <c r="C1142" s="41">
        <v>2.0999999999999999E-3</v>
      </c>
      <c r="D1142" s="41">
        <v>11.313700000000001</v>
      </c>
      <c r="E1142" s="41">
        <v>30</v>
      </c>
      <c r="F1142" s="41">
        <v>0</v>
      </c>
      <c r="G1142" s="41" t="s">
        <v>505</v>
      </c>
      <c r="H1142" s="41">
        <v>1</v>
      </c>
      <c r="I1142" s="41">
        <v>1</v>
      </c>
      <c r="J1142" s="108">
        <f>POWER(POWER(Table210[[#This Row],[mv]],4)/10,0.25)</f>
        <v>1.1809167828997333E-3</v>
      </c>
      <c r="K1142" s="41">
        <v>0</v>
      </c>
      <c r="L1142" s="41">
        <v>55</v>
      </c>
      <c r="M1142" s="41">
        <v>-1</v>
      </c>
      <c r="N1142" s="41">
        <v>2</v>
      </c>
      <c r="O1142" s="111" t="s">
        <v>3243</v>
      </c>
      <c r="P1142" s="109"/>
      <c r="Q1142" s="41"/>
      <c r="R1142" s="111"/>
      <c r="S1142" s="110"/>
    </row>
    <row r="1143" spans="1:19">
      <c r="A1143" s="105">
        <v>2525</v>
      </c>
      <c r="B1143" s="41">
        <v>12000000</v>
      </c>
      <c r="C1143" s="41">
        <v>2.0999999999999999E-3</v>
      </c>
      <c r="D1143" s="41">
        <v>16</v>
      </c>
      <c r="E1143" s="41">
        <v>30</v>
      </c>
      <c r="F1143" s="41">
        <v>0</v>
      </c>
      <c r="G1143" s="41" t="s">
        <v>505</v>
      </c>
      <c r="H1143" s="41">
        <v>1</v>
      </c>
      <c r="I1143" s="41">
        <v>1</v>
      </c>
      <c r="J1143" s="108">
        <f>POWER(POWER(Table210[[#This Row],[mv]],4)/10,0.25)</f>
        <v>1.1809167828997333E-3</v>
      </c>
      <c r="K1143" s="41">
        <v>0</v>
      </c>
      <c r="L1143" s="41">
        <v>55</v>
      </c>
      <c r="M1143" s="41">
        <v>-1</v>
      </c>
      <c r="N1143" s="41">
        <v>2</v>
      </c>
      <c r="O1143" s="111" t="s">
        <v>3244</v>
      </c>
      <c r="P1143" s="109"/>
      <c r="Q1143" s="41"/>
      <c r="R1143" s="111"/>
      <c r="S1143" s="110"/>
    </row>
    <row r="1144" spans="1:19">
      <c r="A1144" s="105">
        <v>2526</v>
      </c>
      <c r="B1144" s="41">
        <v>12000000</v>
      </c>
      <c r="C1144" s="41">
        <v>2.0999999999999999E-3</v>
      </c>
      <c r="D1144" s="41">
        <v>22.627400000000002</v>
      </c>
      <c r="E1144" s="41">
        <v>30</v>
      </c>
      <c r="F1144" s="41">
        <v>0</v>
      </c>
      <c r="G1144" s="41" t="s">
        <v>505</v>
      </c>
      <c r="H1144" s="41">
        <v>1</v>
      </c>
      <c r="I1144" s="41">
        <v>1</v>
      </c>
      <c r="J1144" s="108">
        <f>POWER(POWER(Table210[[#This Row],[mv]],4)/10,0.25)</f>
        <v>1.1809167828997333E-3</v>
      </c>
      <c r="K1144" s="41">
        <v>0</v>
      </c>
      <c r="L1144" s="41">
        <v>55</v>
      </c>
      <c r="M1144" s="41">
        <v>-1</v>
      </c>
      <c r="N1144" s="41">
        <v>2</v>
      </c>
      <c r="O1144" s="111" t="s">
        <v>3245</v>
      </c>
      <c r="P1144" s="109"/>
      <c r="Q1144" s="41"/>
      <c r="R1144" s="111"/>
      <c r="S1144" s="110"/>
    </row>
    <row r="1145" spans="1:19">
      <c r="A1145" s="105">
        <v>2527</v>
      </c>
      <c r="B1145" s="41">
        <v>12000000</v>
      </c>
      <c r="C1145" s="41">
        <v>2.0999999999999999E-3</v>
      </c>
      <c r="D1145" s="41">
        <v>32</v>
      </c>
      <c r="E1145" s="41">
        <v>30</v>
      </c>
      <c r="F1145" s="41">
        <v>0</v>
      </c>
      <c r="G1145" s="41" t="s">
        <v>505</v>
      </c>
      <c r="H1145" s="41">
        <v>1</v>
      </c>
      <c r="I1145" s="41">
        <v>1</v>
      </c>
      <c r="J1145" s="108">
        <f>POWER(POWER(Table210[[#This Row],[mv]],4)/10,0.25)</f>
        <v>1.1809167828997333E-3</v>
      </c>
      <c r="K1145" s="41">
        <v>0</v>
      </c>
      <c r="L1145" s="41">
        <v>55</v>
      </c>
      <c r="M1145" s="41">
        <v>-1</v>
      </c>
      <c r="N1145" s="41">
        <v>2</v>
      </c>
      <c r="O1145" s="111" t="s">
        <v>3246</v>
      </c>
      <c r="P1145" s="109"/>
      <c r="Q1145" s="41"/>
      <c r="R1145" s="111"/>
      <c r="S1145" s="110"/>
    </row>
    <row r="1146" spans="1:19">
      <c r="A1146" s="105">
        <v>2528</v>
      </c>
      <c r="B1146" s="41">
        <v>12000000</v>
      </c>
      <c r="C1146" s="41">
        <v>2.3E-3</v>
      </c>
      <c r="D1146" s="41">
        <v>2</v>
      </c>
      <c r="E1146" s="41">
        <v>30</v>
      </c>
      <c r="F1146" s="41">
        <v>0</v>
      </c>
      <c r="G1146" s="41" t="s">
        <v>505</v>
      </c>
      <c r="H1146" s="41">
        <v>1</v>
      </c>
      <c r="I1146" s="41">
        <v>1</v>
      </c>
      <c r="J1146" s="108">
        <f>POWER(POWER(Table210[[#This Row],[mv]],4)/10,0.25)</f>
        <v>1.2933850479378026E-3</v>
      </c>
      <c r="K1146" s="41">
        <v>0</v>
      </c>
      <c r="L1146" s="41">
        <v>55</v>
      </c>
      <c r="M1146" s="41">
        <v>-1</v>
      </c>
      <c r="N1146" s="41">
        <v>2</v>
      </c>
      <c r="O1146" s="111" t="s">
        <v>3247</v>
      </c>
      <c r="P1146" s="109"/>
      <c r="Q1146" s="41"/>
      <c r="R1146" s="111"/>
      <c r="S1146" s="110"/>
    </row>
    <row r="1147" spans="1:19">
      <c r="A1147" s="105">
        <v>2529</v>
      </c>
      <c r="B1147" s="41">
        <v>12000000</v>
      </c>
      <c r="C1147" s="41">
        <v>2.3E-3</v>
      </c>
      <c r="D1147" s="41">
        <v>2.8283999999999998</v>
      </c>
      <c r="E1147" s="41">
        <v>30</v>
      </c>
      <c r="F1147" s="41">
        <v>0</v>
      </c>
      <c r="G1147" s="41" t="s">
        <v>505</v>
      </c>
      <c r="H1147" s="41">
        <v>1</v>
      </c>
      <c r="I1147" s="41">
        <v>1</v>
      </c>
      <c r="J1147" s="108">
        <f>POWER(POWER(Table210[[#This Row],[mv]],4)/10,0.25)</f>
        <v>1.2933850479378026E-3</v>
      </c>
      <c r="K1147" s="41">
        <v>0</v>
      </c>
      <c r="L1147" s="41">
        <v>55</v>
      </c>
      <c r="M1147" s="41">
        <v>-1</v>
      </c>
      <c r="N1147" s="41">
        <v>2</v>
      </c>
      <c r="O1147" s="111" t="s">
        <v>3248</v>
      </c>
      <c r="P1147" s="109"/>
      <c r="Q1147" s="41"/>
      <c r="R1147" s="111"/>
      <c r="S1147" s="110"/>
    </row>
    <row r="1148" spans="1:19">
      <c r="A1148" s="105">
        <v>2530</v>
      </c>
      <c r="B1148" s="41">
        <v>12000000</v>
      </c>
      <c r="C1148" s="41">
        <v>2.3E-3</v>
      </c>
      <c r="D1148" s="41">
        <v>4</v>
      </c>
      <c r="E1148" s="41">
        <v>30</v>
      </c>
      <c r="F1148" s="41">
        <v>0</v>
      </c>
      <c r="G1148" s="41" t="s">
        <v>505</v>
      </c>
      <c r="H1148" s="41">
        <v>1</v>
      </c>
      <c r="I1148" s="41">
        <v>1</v>
      </c>
      <c r="J1148" s="108">
        <f>POWER(POWER(Table210[[#This Row],[mv]],4)/10,0.25)</f>
        <v>1.2933850479378026E-3</v>
      </c>
      <c r="K1148" s="41">
        <v>0</v>
      </c>
      <c r="L1148" s="41">
        <v>55</v>
      </c>
      <c r="M1148" s="41">
        <v>-1</v>
      </c>
      <c r="N1148" s="41">
        <v>2</v>
      </c>
      <c r="O1148" s="111" t="s">
        <v>3249</v>
      </c>
      <c r="P1148" s="109"/>
      <c r="Q1148" s="41"/>
      <c r="R1148" s="111"/>
      <c r="S1148" s="110"/>
    </row>
    <row r="1149" spans="1:19">
      <c r="A1149" s="105">
        <v>2531</v>
      </c>
      <c r="B1149" s="41">
        <v>12000000</v>
      </c>
      <c r="C1149" s="41">
        <v>2.3E-3</v>
      </c>
      <c r="D1149" s="41">
        <v>5.6569000000000003</v>
      </c>
      <c r="E1149" s="41">
        <v>30</v>
      </c>
      <c r="F1149" s="41">
        <v>0</v>
      </c>
      <c r="G1149" s="41" t="s">
        <v>505</v>
      </c>
      <c r="H1149" s="41">
        <v>1</v>
      </c>
      <c r="I1149" s="41">
        <v>1</v>
      </c>
      <c r="J1149" s="108">
        <f>POWER(POWER(Table210[[#This Row],[mv]],4)/10,0.25)</f>
        <v>1.2933850479378026E-3</v>
      </c>
      <c r="K1149" s="41">
        <v>0</v>
      </c>
      <c r="L1149" s="41">
        <v>55</v>
      </c>
      <c r="M1149" s="41">
        <v>-1</v>
      </c>
      <c r="N1149" s="41">
        <v>2</v>
      </c>
      <c r="O1149" s="111" t="s">
        <v>3250</v>
      </c>
      <c r="P1149" s="109"/>
      <c r="Q1149" s="41"/>
      <c r="R1149" s="111"/>
      <c r="S1149" s="110"/>
    </row>
    <row r="1150" spans="1:19">
      <c r="A1150" s="105">
        <v>2532</v>
      </c>
      <c r="B1150" s="41">
        <v>12000000</v>
      </c>
      <c r="C1150" s="41">
        <v>2.3E-3</v>
      </c>
      <c r="D1150" s="41">
        <v>8</v>
      </c>
      <c r="E1150" s="41">
        <v>30</v>
      </c>
      <c r="F1150" s="41">
        <v>0</v>
      </c>
      <c r="G1150" s="41" t="s">
        <v>505</v>
      </c>
      <c r="H1150" s="41">
        <v>1</v>
      </c>
      <c r="I1150" s="41">
        <v>1</v>
      </c>
      <c r="J1150" s="108">
        <f>POWER(POWER(Table210[[#This Row],[mv]],4)/10,0.25)</f>
        <v>1.2933850479378026E-3</v>
      </c>
      <c r="K1150" s="41">
        <v>0</v>
      </c>
      <c r="L1150" s="41">
        <v>55</v>
      </c>
      <c r="M1150" s="41">
        <v>-1</v>
      </c>
      <c r="N1150" s="41">
        <v>2</v>
      </c>
      <c r="O1150" s="111" t="s">
        <v>3251</v>
      </c>
      <c r="P1150" s="109"/>
      <c r="Q1150" s="41"/>
      <c r="R1150" s="111"/>
      <c r="S1150" s="110"/>
    </row>
    <row r="1151" spans="1:19">
      <c r="A1151" s="105">
        <v>2533</v>
      </c>
      <c r="B1151" s="41">
        <v>12000000</v>
      </c>
      <c r="C1151" s="41">
        <v>2.3E-3</v>
      </c>
      <c r="D1151" s="41">
        <v>11.313700000000001</v>
      </c>
      <c r="E1151" s="41">
        <v>30</v>
      </c>
      <c r="F1151" s="41">
        <v>0</v>
      </c>
      <c r="G1151" s="41" t="s">
        <v>505</v>
      </c>
      <c r="H1151" s="41">
        <v>1</v>
      </c>
      <c r="I1151" s="41">
        <v>1</v>
      </c>
      <c r="J1151" s="108">
        <f>POWER(POWER(Table210[[#This Row],[mv]],4)/10,0.25)</f>
        <v>1.2933850479378026E-3</v>
      </c>
      <c r="K1151" s="41">
        <v>0</v>
      </c>
      <c r="L1151" s="41">
        <v>55</v>
      </c>
      <c r="M1151" s="41">
        <v>-1</v>
      </c>
      <c r="N1151" s="41">
        <v>2</v>
      </c>
      <c r="O1151" s="111" t="s">
        <v>3252</v>
      </c>
      <c r="P1151" s="109"/>
      <c r="Q1151" s="41"/>
      <c r="R1151" s="111"/>
      <c r="S1151" s="110"/>
    </row>
    <row r="1152" spans="1:19">
      <c r="A1152" s="105">
        <v>2534</v>
      </c>
      <c r="B1152" s="41">
        <v>12000000</v>
      </c>
      <c r="C1152" s="41">
        <v>2.3E-3</v>
      </c>
      <c r="D1152" s="41">
        <v>16</v>
      </c>
      <c r="E1152" s="41">
        <v>30</v>
      </c>
      <c r="F1152" s="41">
        <v>0</v>
      </c>
      <c r="G1152" s="41" t="s">
        <v>505</v>
      </c>
      <c r="H1152" s="41">
        <v>1</v>
      </c>
      <c r="I1152" s="41">
        <v>1</v>
      </c>
      <c r="J1152" s="108">
        <f>POWER(POWER(Table210[[#This Row],[mv]],4)/10,0.25)</f>
        <v>1.2933850479378026E-3</v>
      </c>
      <c r="K1152" s="41">
        <v>0</v>
      </c>
      <c r="L1152" s="41">
        <v>55</v>
      </c>
      <c r="M1152" s="41">
        <v>-1</v>
      </c>
      <c r="N1152" s="41">
        <v>2</v>
      </c>
      <c r="O1152" s="111" t="s">
        <v>3253</v>
      </c>
      <c r="P1152" s="109"/>
      <c r="Q1152" s="41"/>
      <c r="R1152" s="111"/>
      <c r="S1152" s="110"/>
    </row>
    <row r="1153" spans="1:19">
      <c r="A1153" s="105">
        <v>2535</v>
      </c>
      <c r="B1153" s="41">
        <v>12000000</v>
      </c>
      <c r="C1153" s="41">
        <v>2.3E-3</v>
      </c>
      <c r="D1153" s="41">
        <v>22.627400000000002</v>
      </c>
      <c r="E1153" s="41">
        <v>30</v>
      </c>
      <c r="F1153" s="41">
        <v>0</v>
      </c>
      <c r="G1153" s="41" t="s">
        <v>505</v>
      </c>
      <c r="H1153" s="41">
        <v>1</v>
      </c>
      <c r="I1153" s="41">
        <v>1</v>
      </c>
      <c r="J1153" s="108">
        <f>POWER(POWER(Table210[[#This Row],[mv]],4)/10,0.25)</f>
        <v>1.2933850479378026E-3</v>
      </c>
      <c r="K1153" s="41">
        <v>0</v>
      </c>
      <c r="L1153" s="41">
        <v>55</v>
      </c>
      <c r="M1153" s="41">
        <v>-1</v>
      </c>
      <c r="N1153" s="41">
        <v>2</v>
      </c>
      <c r="O1153" s="111" t="s">
        <v>3254</v>
      </c>
      <c r="P1153" s="109"/>
      <c r="Q1153" s="41"/>
      <c r="R1153" s="111"/>
      <c r="S1153" s="110"/>
    </row>
    <row r="1154" spans="1:19">
      <c r="A1154" s="105">
        <v>2536</v>
      </c>
      <c r="B1154" s="41">
        <v>12000000</v>
      </c>
      <c r="C1154" s="41">
        <v>2.3E-3</v>
      </c>
      <c r="D1154" s="41">
        <v>32</v>
      </c>
      <c r="E1154" s="41">
        <v>30</v>
      </c>
      <c r="F1154" s="41">
        <v>0</v>
      </c>
      <c r="G1154" s="41" t="s">
        <v>505</v>
      </c>
      <c r="H1154" s="41">
        <v>1</v>
      </c>
      <c r="I1154" s="41">
        <v>1</v>
      </c>
      <c r="J1154" s="108">
        <f>POWER(POWER(Table210[[#This Row],[mv]],4)/10,0.25)</f>
        <v>1.2933850479378026E-3</v>
      </c>
      <c r="K1154" s="41">
        <v>0</v>
      </c>
      <c r="L1154" s="41">
        <v>55</v>
      </c>
      <c r="M1154" s="41">
        <v>-1</v>
      </c>
      <c r="N1154" s="41">
        <v>2</v>
      </c>
      <c r="O1154" s="111" t="s">
        <v>3255</v>
      </c>
      <c r="P1154" s="109"/>
      <c r="Q1154" s="41"/>
      <c r="R1154" s="111"/>
      <c r="S1154" s="110"/>
    </row>
    <row r="1155" spans="1:19">
      <c r="A1155" s="105">
        <v>2537</v>
      </c>
      <c r="B1155" s="41">
        <v>12000000</v>
      </c>
      <c r="C1155" s="41">
        <v>2.3E-3</v>
      </c>
      <c r="D1155" s="41">
        <v>45.254800000000003</v>
      </c>
      <c r="E1155" s="41">
        <v>30</v>
      </c>
      <c r="F1155" s="41">
        <v>0</v>
      </c>
      <c r="G1155" s="41" t="s">
        <v>505</v>
      </c>
      <c r="H1155" s="41">
        <v>1</v>
      </c>
      <c r="I1155" s="41">
        <v>1</v>
      </c>
      <c r="J1155" s="108">
        <f>POWER(POWER(Table210[[#This Row],[mv]],4)/10,0.25)</f>
        <v>1.2933850479378026E-3</v>
      </c>
      <c r="K1155" s="41">
        <v>0</v>
      </c>
      <c r="L1155" s="41">
        <v>55</v>
      </c>
      <c r="M1155" s="41">
        <v>-1</v>
      </c>
      <c r="N1155" s="41">
        <v>2</v>
      </c>
      <c r="O1155" s="111" t="s">
        <v>3256</v>
      </c>
      <c r="P1155" s="109"/>
      <c r="Q1155" s="41"/>
      <c r="R1155" s="111"/>
      <c r="S1155" s="110"/>
    </row>
    <row r="1156" spans="1:19">
      <c r="A1156" s="105">
        <v>2538</v>
      </c>
      <c r="B1156" s="41">
        <v>12000000</v>
      </c>
      <c r="C1156" s="41">
        <v>2.5000000000000001E-3</v>
      </c>
      <c r="D1156" s="41">
        <v>2</v>
      </c>
      <c r="E1156" s="41">
        <v>30</v>
      </c>
      <c r="F1156" s="41">
        <v>0</v>
      </c>
      <c r="G1156" s="41" t="s">
        <v>505</v>
      </c>
      <c r="H1156" s="41">
        <v>1</v>
      </c>
      <c r="I1156" s="41">
        <v>1</v>
      </c>
      <c r="J1156" s="108">
        <f>POWER(POWER(Table210[[#This Row],[mv]],4)/10,0.25)</f>
        <v>1.4058533129758727E-3</v>
      </c>
      <c r="K1156" s="41">
        <v>0</v>
      </c>
      <c r="L1156" s="41">
        <v>55</v>
      </c>
      <c r="M1156" s="41">
        <v>-1</v>
      </c>
      <c r="N1156" s="41">
        <v>2</v>
      </c>
      <c r="O1156" s="111" t="s">
        <v>3257</v>
      </c>
      <c r="P1156" s="109">
        <v>20727</v>
      </c>
      <c r="Q1156" s="41"/>
      <c r="R1156" s="111"/>
      <c r="S1156" s="110"/>
    </row>
    <row r="1157" spans="1:19">
      <c r="A1157" s="105">
        <v>2539</v>
      </c>
      <c r="B1157" s="41">
        <v>12000000</v>
      </c>
      <c r="C1157" s="41">
        <v>2.5000000000000001E-3</v>
      </c>
      <c r="D1157" s="41">
        <v>2.8283999999999998</v>
      </c>
      <c r="E1157" s="41">
        <v>30</v>
      </c>
      <c r="F1157" s="41">
        <v>0</v>
      </c>
      <c r="G1157" s="41" t="s">
        <v>505</v>
      </c>
      <c r="H1157" s="41">
        <v>1</v>
      </c>
      <c r="I1157" s="41">
        <v>1</v>
      </c>
      <c r="J1157" s="108">
        <f>POWER(POWER(Table210[[#This Row],[mv]],4)/10,0.25)</f>
        <v>1.4058533129758727E-3</v>
      </c>
      <c r="K1157" s="41">
        <v>0</v>
      </c>
      <c r="L1157" s="41">
        <v>55</v>
      </c>
      <c r="M1157" s="41">
        <v>-1</v>
      </c>
      <c r="N1157" s="41">
        <v>2</v>
      </c>
      <c r="O1157" s="111" t="s">
        <v>3258</v>
      </c>
      <c r="P1157" s="109"/>
      <c r="Q1157" s="41"/>
      <c r="R1157" s="111"/>
      <c r="S1157" s="110"/>
    </row>
    <row r="1158" spans="1:19">
      <c r="A1158" s="105">
        <v>2540</v>
      </c>
      <c r="B1158" s="41">
        <v>12000000</v>
      </c>
      <c r="C1158" s="41">
        <v>2.5000000000000001E-3</v>
      </c>
      <c r="D1158" s="41">
        <v>4</v>
      </c>
      <c r="E1158" s="41">
        <v>30</v>
      </c>
      <c r="F1158" s="41">
        <v>0</v>
      </c>
      <c r="G1158" s="41" t="s">
        <v>505</v>
      </c>
      <c r="H1158" s="41">
        <v>1</v>
      </c>
      <c r="I1158" s="41">
        <v>1</v>
      </c>
      <c r="J1158" s="108">
        <f>POWER(POWER(Table210[[#This Row],[mv]],4)/10,0.25)</f>
        <v>1.4058533129758727E-3</v>
      </c>
      <c r="K1158" s="41">
        <v>0</v>
      </c>
      <c r="L1158" s="41">
        <v>55</v>
      </c>
      <c r="M1158" s="41">
        <v>-1</v>
      </c>
      <c r="N1158" s="41">
        <v>2</v>
      </c>
      <c r="O1158" s="111" t="s">
        <v>3259</v>
      </c>
      <c r="P1158" s="109"/>
      <c r="Q1158" s="41"/>
      <c r="R1158" s="111"/>
      <c r="S1158" s="110"/>
    </row>
    <row r="1159" spans="1:19">
      <c r="A1159" s="105">
        <v>2541</v>
      </c>
      <c r="B1159" s="41">
        <v>12000000</v>
      </c>
      <c r="C1159" s="41">
        <v>2.5000000000000001E-3</v>
      </c>
      <c r="D1159" s="41">
        <v>5.6569000000000003</v>
      </c>
      <c r="E1159" s="41">
        <v>30</v>
      </c>
      <c r="F1159" s="41">
        <v>0</v>
      </c>
      <c r="G1159" s="41" t="s">
        <v>505</v>
      </c>
      <c r="H1159" s="41">
        <v>1</v>
      </c>
      <c r="I1159" s="41">
        <v>1</v>
      </c>
      <c r="J1159" s="108">
        <f>POWER(POWER(Table210[[#This Row],[mv]],4)/10,0.25)</f>
        <v>1.4058533129758727E-3</v>
      </c>
      <c r="K1159" s="41">
        <v>0</v>
      </c>
      <c r="L1159" s="41">
        <v>55</v>
      </c>
      <c r="M1159" s="41">
        <v>-1</v>
      </c>
      <c r="N1159" s="41">
        <v>2</v>
      </c>
      <c r="O1159" s="111" t="s">
        <v>3260</v>
      </c>
      <c r="P1159" s="109"/>
      <c r="Q1159" s="41"/>
      <c r="R1159" s="111"/>
      <c r="S1159" s="110"/>
    </row>
    <row r="1160" spans="1:19">
      <c r="A1160" s="105">
        <v>2542</v>
      </c>
      <c r="B1160" s="41">
        <v>12000000</v>
      </c>
      <c r="C1160" s="41">
        <v>2.5000000000000001E-3</v>
      </c>
      <c r="D1160" s="41">
        <v>8</v>
      </c>
      <c r="E1160" s="41">
        <v>30</v>
      </c>
      <c r="F1160" s="41">
        <v>0</v>
      </c>
      <c r="G1160" s="41" t="s">
        <v>505</v>
      </c>
      <c r="H1160" s="41">
        <v>1</v>
      </c>
      <c r="I1160" s="41">
        <v>1</v>
      </c>
      <c r="J1160" s="108">
        <f>POWER(POWER(Table210[[#This Row],[mv]],4)/10,0.25)</f>
        <v>1.4058533129758727E-3</v>
      </c>
      <c r="K1160" s="41">
        <v>0</v>
      </c>
      <c r="L1160" s="41">
        <v>55</v>
      </c>
      <c r="M1160" s="41">
        <v>-1</v>
      </c>
      <c r="N1160" s="41">
        <v>2</v>
      </c>
      <c r="O1160" s="111" t="s">
        <v>3261</v>
      </c>
      <c r="P1160" s="109"/>
      <c r="Q1160" s="41"/>
      <c r="R1160" s="111"/>
      <c r="S1160" s="110"/>
    </row>
    <row r="1161" spans="1:19">
      <c r="A1161" s="105">
        <v>2543</v>
      </c>
      <c r="B1161" s="41">
        <v>12000000</v>
      </c>
      <c r="C1161" s="41">
        <v>2.5000000000000001E-3</v>
      </c>
      <c r="D1161" s="41">
        <v>11.313700000000001</v>
      </c>
      <c r="E1161" s="41">
        <v>30</v>
      </c>
      <c r="F1161" s="41">
        <v>0</v>
      </c>
      <c r="G1161" s="41" t="s">
        <v>505</v>
      </c>
      <c r="H1161" s="41">
        <v>1</v>
      </c>
      <c r="I1161" s="41">
        <v>1</v>
      </c>
      <c r="J1161" s="108">
        <f>POWER(POWER(Table210[[#This Row],[mv]],4)/10,0.25)</f>
        <v>1.4058533129758727E-3</v>
      </c>
      <c r="K1161" s="41">
        <v>0</v>
      </c>
      <c r="L1161" s="41">
        <v>55</v>
      </c>
      <c r="M1161" s="41">
        <v>-1</v>
      </c>
      <c r="N1161" s="41">
        <v>2</v>
      </c>
      <c r="O1161" s="111" t="s">
        <v>3262</v>
      </c>
      <c r="P1161" s="109"/>
      <c r="Q1161" s="41"/>
      <c r="R1161" s="111"/>
      <c r="S1161" s="110"/>
    </row>
    <row r="1162" spans="1:19">
      <c r="A1162" s="105">
        <v>2544</v>
      </c>
      <c r="B1162" s="41">
        <v>12000000</v>
      </c>
      <c r="C1162" s="41">
        <v>2.5000000000000001E-3</v>
      </c>
      <c r="D1162" s="41">
        <v>16</v>
      </c>
      <c r="E1162" s="41">
        <v>30</v>
      </c>
      <c r="F1162" s="41">
        <v>0</v>
      </c>
      <c r="G1162" s="41" t="s">
        <v>505</v>
      </c>
      <c r="H1162" s="41">
        <v>1</v>
      </c>
      <c r="I1162" s="41">
        <v>1</v>
      </c>
      <c r="J1162" s="108">
        <f>POWER(POWER(Table210[[#This Row],[mv]],4)/10,0.25)</f>
        <v>1.4058533129758727E-3</v>
      </c>
      <c r="K1162" s="41">
        <v>0</v>
      </c>
      <c r="L1162" s="41">
        <v>55</v>
      </c>
      <c r="M1162" s="41">
        <v>-1</v>
      </c>
      <c r="N1162" s="41">
        <v>2</v>
      </c>
      <c r="O1162" s="111" t="s">
        <v>3263</v>
      </c>
      <c r="P1162" s="109"/>
      <c r="Q1162" s="41"/>
      <c r="R1162" s="111"/>
      <c r="S1162" s="110"/>
    </row>
    <row r="1163" spans="1:19">
      <c r="A1163" s="105">
        <v>2545</v>
      </c>
      <c r="B1163" s="41">
        <v>12000000</v>
      </c>
      <c r="C1163" s="41">
        <v>2.5000000000000001E-3</v>
      </c>
      <c r="D1163" s="41">
        <v>22.627400000000002</v>
      </c>
      <c r="E1163" s="41">
        <v>30</v>
      </c>
      <c r="F1163" s="41">
        <v>0</v>
      </c>
      <c r="G1163" s="41" t="s">
        <v>505</v>
      </c>
      <c r="H1163" s="41">
        <v>1</v>
      </c>
      <c r="I1163" s="41">
        <v>1</v>
      </c>
      <c r="J1163" s="108">
        <f>POWER(POWER(Table210[[#This Row],[mv]],4)/10,0.25)</f>
        <v>1.4058533129758727E-3</v>
      </c>
      <c r="K1163" s="41">
        <v>0</v>
      </c>
      <c r="L1163" s="41">
        <v>55</v>
      </c>
      <c r="M1163" s="41">
        <v>-1</v>
      </c>
      <c r="N1163" s="41">
        <v>2</v>
      </c>
      <c r="O1163" s="111" t="s">
        <v>3264</v>
      </c>
      <c r="P1163" s="109"/>
      <c r="Q1163" s="41"/>
      <c r="R1163" s="111"/>
      <c r="S1163" s="110"/>
    </row>
    <row r="1164" spans="1:19">
      <c r="A1164" s="105">
        <v>2546</v>
      </c>
      <c r="B1164" s="41">
        <v>12000000</v>
      </c>
      <c r="C1164" s="41">
        <v>2.5000000000000001E-3</v>
      </c>
      <c r="D1164" s="41">
        <v>32</v>
      </c>
      <c r="E1164" s="41">
        <v>30</v>
      </c>
      <c r="F1164" s="41">
        <v>0</v>
      </c>
      <c r="G1164" s="41" t="s">
        <v>505</v>
      </c>
      <c r="H1164" s="41">
        <v>1</v>
      </c>
      <c r="I1164" s="41">
        <v>1</v>
      </c>
      <c r="J1164" s="108">
        <f>POWER(POWER(Table210[[#This Row],[mv]],4)/10,0.25)</f>
        <v>1.4058533129758727E-3</v>
      </c>
      <c r="K1164" s="41">
        <v>0</v>
      </c>
      <c r="L1164" s="41">
        <v>55</v>
      </c>
      <c r="M1164" s="41">
        <v>-1</v>
      </c>
      <c r="N1164" s="41">
        <v>2</v>
      </c>
      <c r="O1164" s="111" t="s">
        <v>3265</v>
      </c>
      <c r="P1164" s="109"/>
      <c r="Q1164" s="41"/>
      <c r="R1164" s="111"/>
      <c r="S1164" s="110"/>
    </row>
    <row r="1165" spans="1:19">
      <c r="A1165" s="105">
        <v>2547</v>
      </c>
      <c r="B1165" s="41">
        <v>12000000</v>
      </c>
      <c r="C1165" s="41">
        <v>2.5000000000000001E-3</v>
      </c>
      <c r="D1165" s="41">
        <v>45.254800000000003</v>
      </c>
      <c r="E1165" s="41">
        <v>30</v>
      </c>
      <c r="F1165" s="41">
        <v>0</v>
      </c>
      <c r="G1165" s="41" t="s">
        <v>505</v>
      </c>
      <c r="H1165" s="41">
        <v>1</v>
      </c>
      <c r="I1165" s="41">
        <v>1</v>
      </c>
      <c r="J1165" s="108">
        <f>POWER(POWER(Table210[[#This Row],[mv]],4)/10,0.25)</f>
        <v>1.4058533129758727E-3</v>
      </c>
      <c r="K1165" s="41">
        <v>0</v>
      </c>
      <c r="L1165" s="41">
        <v>55</v>
      </c>
      <c r="M1165" s="41">
        <v>-1</v>
      </c>
      <c r="N1165" s="41">
        <v>2</v>
      </c>
      <c r="O1165" s="111" t="s">
        <v>3266</v>
      </c>
      <c r="P1165" s="109"/>
      <c r="Q1165" s="41"/>
      <c r="R1165" s="111"/>
      <c r="S1165" s="110"/>
    </row>
    <row r="1166" spans="1:19">
      <c r="A1166" s="105">
        <v>2548</v>
      </c>
      <c r="B1166" s="41">
        <v>12000000</v>
      </c>
      <c r="C1166" s="41">
        <v>2.7000000000000001E-3</v>
      </c>
      <c r="D1166" s="41">
        <v>2.8283999999999998</v>
      </c>
      <c r="E1166" s="41">
        <v>30</v>
      </c>
      <c r="F1166" s="41">
        <v>0</v>
      </c>
      <c r="G1166" s="41" t="s">
        <v>505</v>
      </c>
      <c r="H1166" s="41">
        <v>1</v>
      </c>
      <c r="I1166" s="41">
        <v>1</v>
      </c>
      <c r="J1166" s="108">
        <f>POWER(POWER(Table210[[#This Row],[mv]],4)/10,0.25)</f>
        <v>1.5183215780139423E-3</v>
      </c>
      <c r="K1166" s="41">
        <v>0</v>
      </c>
      <c r="L1166" s="41">
        <v>55</v>
      </c>
      <c r="M1166" s="41">
        <v>-1</v>
      </c>
      <c r="N1166" s="41">
        <v>2</v>
      </c>
      <c r="O1166" s="111" t="s">
        <v>3267</v>
      </c>
      <c r="P1166" s="109"/>
      <c r="Q1166" s="41"/>
      <c r="R1166" s="111"/>
      <c r="S1166" s="110"/>
    </row>
    <row r="1167" spans="1:19">
      <c r="A1167" s="105">
        <v>2549</v>
      </c>
      <c r="B1167" s="41">
        <v>12000000</v>
      </c>
      <c r="C1167" s="41">
        <v>2.7000000000000001E-3</v>
      </c>
      <c r="D1167" s="41">
        <v>4</v>
      </c>
      <c r="E1167" s="41">
        <v>30</v>
      </c>
      <c r="F1167" s="41">
        <v>0</v>
      </c>
      <c r="G1167" s="41" t="s">
        <v>505</v>
      </c>
      <c r="H1167" s="41">
        <v>1</v>
      </c>
      <c r="I1167" s="41">
        <v>1</v>
      </c>
      <c r="J1167" s="108">
        <f>POWER(POWER(Table210[[#This Row],[mv]],4)/10,0.25)</f>
        <v>1.5183215780139423E-3</v>
      </c>
      <c r="K1167" s="41">
        <v>0</v>
      </c>
      <c r="L1167" s="41">
        <v>55</v>
      </c>
      <c r="M1167" s="41">
        <v>-1</v>
      </c>
      <c r="N1167" s="41">
        <v>2</v>
      </c>
      <c r="O1167" s="111" t="s">
        <v>3268</v>
      </c>
      <c r="P1167" s="109"/>
      <c r="Q1167" s="41"/>
      <c r="R1167" s="111"/>
      <c r="S1167" s="110"/>
    </row>
    <row r="1168" spans="1:19">
      <c r="A1168" s="105">
        <v>2550</v>
      </c>
      <c r="B1168" s="41">
        <v>12000000</v>
      </c>
      <c r="C1168" s="41">
        <v>2.7000000000000001E-3</v>
      </c>
      <c r="D1168" s="41">
        <v>5.6569000000000003</v>
      </c>
      <c r="E1168" s="41">
        <v>30</v>
      </c>
      <c r="F1168" s="41">
        <v>0</v>
      </c>
      <c r="G1168" s="41" t="s">
        <v>505</v>
      </c>
      <c r="H1168" s="41">
        <v>1</v>
      </c>
      <c r="I1168" s="41">
        <v>1</v>
      </c>
      <c r="J1168" s="108">
        <f>POWER(POWER(Table210[[#This Row],[mv]],4)/10,0.25)</f>
        <v>1.5183215780139423E-3</v>
      </c>
      <c r="K1168" s="41">
        <v>0</v>
      </c>
      <c r="L1168" s="41">
        <v>55</v>
      </c>
      <c r="M1168" s="41">
        <v>-1</v>
      </c>
      <c r="N1168" s="41">
        <v>2</v>
      </c>
      <c r="O1168" s="111" t="s">
        <v>3269</v>
      </c>
      <c r="P1168" s="109"/>
      <c r="Q1168" s="41"/>
      <c r="R1168" s="111"/>
      <c r="S1168" s="110"/>
    </row>
    <row r="1169" spans="1:19">
      <c r="A1169" s="105">
        <v>2551</v>
      </c>
      <c r="B1169" s="41">
        <v>12000000</v>
      </c>
      <c r="C1169" s="41">
        <v>2.7000000000000001E-3</v>
      </c>
      <c r="D1169" s="41">
        <v>8</v>
      </c>
      <c r="E1169" s="41">
        <v>30</v>
      </c>
      <c r="F1169" s="41">
        <v>0</v>
      </c>
      <c r="G1169" s="41" t="s">
        <v>505</v>
      </c>
      <c r="H1169" s="41">
        <v>1</v>
      </c>
      <c r="I1169" s="41">
        <v>1</v>
      </c>
      <c r="J1169" s="108">
        <f>POWER(POWER(Table210[[#This Row],[mv]],4)/10,0.25)</f>
        <v>1.5183215780139423E-3</v>
      </c>
      <c r="K1169" s="41">
        <v>0</v>
      </c>
      <c r="L1169" s="41">
        <v>55</v>
      </c>
      <c r="M1169" s="41">
        <v>-1</v>
      </c>
      <c r="N1169" s="41">
        <v>2</v>
      </c>
      <c r="O1169" s="111" t="s">
        <v>3270</v>
      </c>
      <c r="P1169" s="109"/>
      <c r="Q1169" s="41"/>
      <c r="R1169" s="111"/>
      <c r="S1169" s="110"/>
    </row>
    <row r="1170" spans="1:19">
      <c r="A1170" s="105">
        <v>2552</v>
      </c>
      <c r="B1170" s="41">
        <v>12000000</v>
      </c>
      <c r="C1170" s="41">
        <v>2.7000000000000001E-3</v>
      </c>
      <c r="D1170" s="41">
        <v>11.313700000000001</v>
      </c>
      <c r="E1170" s="41">
        <v>30</v>
      </c>
      <c r="F1170" s="41">
        <v>0</v>
      </c>
      <c r="G1170" s="41" t="s">
        <v>505</v>
      </c>
      <c r="H1170" s="41">
        <v>1</v>
      </c>
      <c r="I1170" s="41">
        <v>1</v>
      </c>
      <c r="J1170" s="108">
        <f>POWER(POWER(Table210[[#This Row],[mv]],4)/10,0.25)</f>
        <v>1.5183215780139423E-3</v>
      </c>
      <c r="K1170" s="41">
        <v>0</v>
      </c>
      <c r="L1170" s="41">
        <v>55</v>
      </c>
      <c r="M1170" s="41">
        <v>-1</v>
      </c>
      <c r="N1170" s="41">
        <v>2</v>
      </c>
      <c r="O1170" s="111" t="s">
        <v>3271</v>
      </c>
      <c r="P1170" s="109"/>
      <c r="Q1170" s="41"/>
      <c r="R1170" s="111"/>
      <c r="S1170" s="110"/>
    </row>
    <row r="1171" spans="1:19">
      <c r="A1171" s="105">
        <v>2553</v>
      </c>
      <c r="B1171" s="41">
        <v>12000000</v>
      </c>
      <c r="C1171" s="41">
        <v>2.7000000000000001E-3</v>
      </c>
      <c r="D1171" s="41">
        <v>16</v>
      </c>
      <c r="E1171" s="41">
        <v>30</v>
      </c>
      <c r="F1171" s="41">
        <v>0</v>
      </c>
      <c r="G1171" s="41" t="s">
        <v>505</v>
      </c>
      <c r="H1171" s="41">
        <v>1</v>
      </c>
      <c r="I1171" s="41">
        <v>1</v>
      </c>
      <c r="J1171" s="108">
        <f>POWER(POWER(Table210[[#This Row],[mv]],4)/10,0.25)</f>
        <v>1.5183215780139423E-3</v>
      </c>
      <c r="K1171" s="41">
        <v>0</v>
      </c>
      <c r="L1171" s="41">
        <v>55</v>
      </c>
      <c r="M1171" s="41">
        <v>-1</v>
      </c>
      <c r="N1171" s="41">
        <v>2</v>
      </c>
      <c r="O1171" s="111" t="s">
        <v>3272</v>
      </c>
      <c r="P1171" s="109"/>
      <c r="Q1171" s="41"/>
      <c r="R1171" s="111"/>
      <c r="S1171" s="110"/>
    </row>
    <row r="1172" spans="1:19">
      <c r="A1172" s="105">
        <v>2554</v>
      </c>
      <c r="B1172" s="41">
        <v>12000000</v>
      </c>
      <c r="C1172" s="41">
        <v>2.7000000000000001E-3</v>
      </c>
      <c r="D1172" s="41">
        <v>22.627400000000002</v>
      </c>
      <c r="E1172" s="41">
        <v>30</v>
      </c>
      <c r="F1172" s="41">
        <v>0</v>
      </c>
      <c r="G1172" s="41" t="s">
        <v>505</v>
      </c>
      <c r="H1172" s="41">
        <v>1</v>
      </c>
      <c r="I1172" s="41">
        <v>1</v>
      </c>
      <c r="J1172" s="108">
        <f>POWER(POWER(Table210[[#This Row],[mv]],4)/10,0.25)</f>
        <v>1.5183215780139423E-3</v>
      </c>
      <c r="K1172" s="41">
        <v>0</v>
      </c>
      <c r="L1172" s="41">
        <v>55</v>
      </c>
      <c r="M1172" s="41">
        <v>-1</v>
      </c>
      <c r="N1172" s="41">
        <v>2</v>
      </c>
      <c r="O1172" s="111" t="s">
        <v>3273</v>
      </c>
      <c r="P1172" s="109"/>
      <c r="Q1172" s="41"/>
      <c r="R1172" s="111"/>
      <c r="S1172" s="110"/>
    </row>
    <row r="1173" spans="1:19">
      <c r="A1173" s="105">
        <v>2555</v>
      </c>
      <c r="B1173" s="41">
        <v>12000000</v>
      </c>
      <c r="C1173" s="41">
        <v>2.7000000000000001E-3</v>
      </c>
      <c r="D1173" s="41">
        <v>32</v>
      </c>
      <c r="E1173" s="41">
        <v>30</v>
      </c>
      <c r="F1173" s="41">
        <v>0</v>
      </c>
      <c r="G1173" s="41" t="s">
        <v>505</v>
      </c>
      <c r="H1173" s="41">
        <v>1</v>
      </c>
      <c r="I1173" s="41">
        <v>1</v>
      </c>
      <c r="J1173" s="108">
        <f>POWER(POWER(Table210[[#This Row],[mv]],4)/10,0.25)</f>
        <v>1.5183215780139423E-3</v>
      </c>
      <c r="K1173" s="41">
        <v>0</v>
      </c>
      <c r="L1173" s="41">
        <v>55</v>
      </c>
      <c r="M1173" s="41">
        <v>-1</v>
      </c>
      <c r="N1173" s="41">
        <v>2</v>
      </c>
      <c r="O1173" s="111" t="s">
        <v>3274</v>
      </c>
      <c r="P1173" s="109"/>
      <c r="Q1173" s="41"/>
      <c r="R1173" s="111"/>
      <c r="S1173" s="110"/>
    </row>
    <row r="1174" spans="1:19">
      <c r="A1174" s="105">
        <v>2556</v>
      </c>
      <c r="B1174" s="41">
        <v>12000000</v>
      </c>
      <c r="C1174" s="41">
        <v>2.7000000000000001E-3</v>
      </c>
      <c r="D1174" s="41">
        <v>45.254800000000003</v>
      </c>
      <c r="E1174" s="41">
        <v>30</v>
      </c>
      <c r="F1174" s="41">
        <v>0</v>
      </c>
      <c r="G1174" s="41" t="s">
        <v>505</v>
      </c>
      <c r="H1174" s="41">
        <v>1</v>
      </c>
      <c r="I1174" s="41">
        <v>1</v>
      </c>
      <c r="J1174" s="108">
        <f>POWER(POWER(Table210[[#This Row],[mv]],4)/10,0.25)</f>
        <v>1.5183215780139423E-3</v>
      </c>
      <c r="K1174" s="41">
        <v>0</v>
      </c>
      <c r="L1174" s="41">
        <v>55</v>
      </c>
      <c r="M1174" s="41">
        <v>-1</v>
      </c>
      <c r="N1174" s="41">
        <v>2</v>
      </c>
      <c r="O1174" s="111" t="s">
        <v>3275</v>
      </c>
      <c r="P1174" s="109"/>
      <c r="Q1174" s="41"/>
      <c r="R1174" s="111"/>
      <c r="S1174" s="110"/>
    </row>
    <row r="1175" spans="1:19">
      <c r="A1175" s="105">
        <v>2557</v>
      </c>
      <c r="B1175" s="41">
        <v>12000000</v>
      </c>
      <c r="C1175" s="41">
        <v>2.8999999999999998E-3</v>
      </c>
      <c r="D1175" s="41">
        <v>2.8283999999999998</v>
      </c>
      <c r="E1175" s="41">
        <v>30</v>
      </c>
      <c r="F1175" s="41">
        <v>0</v>
      </c>
      <c r="G1175" s="41" t="s">
        <v>505</v>
      </c>
      <c r="H1175" s="41">
        <v>1</v>
      </c>
      <c r="I1175" s="41">
        <v>1</v>
      </c>
      <c r="J1175" s="108">
        <f>POWER(POWER(Table210[[#This Row],[mv]],4)/10,0.25)</f>
        <v>1.6307898430520129E-3</v>
      </c>
      <c r="K1175" s="41">
        <v>0</v>
      </c>
      <c r="L1175" s="41">
        <v>55</v>
      </c>
      <c r="M1175" s="41">
        <v>-1</v>
      </c>
      <c r="N1175" s="41">
        <v>2</v>
      </c>
      <c r="O1175" s="111" t="s">
        <v>3276</v>
      </c>
      <c r="P1175" s="109"/>
      <c r="Q1175" s="41"/>
      <c r="R1175" s="111"/>
      <c r="S1175" s="110"/>
    </row>
    <row r="1176" spans="1:19">
      <c r="A1176" s="105">
        <v>2558</v>
      </c>
      <c r="B1176" s="41">
        <v>12000000</v>
      </c>
      <c r="C1176" s="41">
        <v>2.8999999999999998E-3</v>
      </c>
      <c r="D1176" s="41">
        <v>4</v>
      </c>
      <c r="E1176" s="41">
        <v>30</v>
      </c>
      <c r="F1176" s="41">
        <v>0</v>
      </c>
      <c r="G1176" s="41" t="s">
        <v>505</v>
      </c>
      <c r="H1176" s="41">
        <v>1</v>
      </c>
      <c r="I1176" s="41">
        <v>1</v>
      </c>
      <c r="J1176" s="108">
        <f>POWER(POWER(Table210[[#This Row],[mv]],4)/10,0.25)</f>
        <v>1.6307898430520129E-3</v>
      </c>
      <c r="K1176" s="41">
        <v>0</v>
      </c>
      <c r="L1176" s="41">
        <v>55</v>
      </c>
      <c r="M1176" s="41">
        <v>-1</v>
      </c>
      <c r="N1176" s="41">
        <v>2</v>
      </c>
      <c r="O1176" s="111" t="s">
        <v>3277</v>
      </c>
      <c r="P1176" s="109"/>
      <c r="Q1176" s="41"/>
      <c r="R1176" s="111"/>
      <c r="S1176" s="110"/>
    </row>
    <row r="1177" spans="1:19">
      <c r="A1177" s="105">
        <v>2559</v>
      </c>
      <c r="B1177" s="41">
        <v>12000000</v>
      </c>
      <c r="C1177" s="41">
        <v>2.8999999999999998E-3</v>
      </c>
      <c r="D1177" s="41">
        <v>5.6569000000000003</v>
      </c>
      <c r="E1177" s="41">
        <v>30</v>
      </c>
      <c r="F1177" s="41">
        <v>0</v>
      </c>
      <c r="G1177" s="41" t="s">
        <v>505</v>
      </c>
      <c r="H1177" s="41">
        <v>1</v>
      </c>
      <c r="I1177" s="41">
        <v>1</v>
      </c>
      <c r="J1177" s="108">
        <f>POWER(POWER(Table210[[#This Row],[mv]],4)/10,0.25)</f>
        <v>1.6307898430520129E-3</v>
      </c>
      <c r="K1177" s="41">
        <v>0</v>
      </c>
      <c r="L1177" s="41">
        <v>55</v>
      </c>
      <c r="M1177" s="41">
        <v>-1</v>
      </c>
      <c r="N1177" s="41">
        <v>2</v>
      </c>
      <c r="O1177" s="111" t="s">
        <v>3278</v>
      </c>
      <c r="P1177" s="109"/>
      <c r="Q1177" s="41"/>
      <c r="R1177" s="111"/>
      <c r="S1177" s="110"/>
    </row>
    <row r="1178" spans="1:19">
      <c r="A1178" s="105">
        <v>2560</v>
      </c>
      <c r="B1178" s="41">
        <v>12000000</v>
      </c>
      <c r="C1178" s="41">
        <v>2.8999999999999998E-3</v>
      </c>
      <c r="D1178" s="41">
        <v>8</v>
      </c>
      <c r="E1178" s="41">
        <v>30</v>
      </c>
      <c r="F1178" s="41">
        <v>0</v>
      </c>
      <c r="G1178" s="41" t="s">
        <v>505</v>
      </c>
      <c r="H1178" s="41">
        <v>1</v>
      </c>
      <c r="I1178" s="41">
        <v>1</v>
      </c>
      <c r="J1178" s="108">
        <f>POWER(POWER(Table210[[#This Row],[mv]],4)/10,0.25)</f>
        <v>1.6307898430520129E-3</v>
      </c>
      <c r="K1178" s="41">
        <v>0</v>
      </c>
      <c r="L1178" s="41">
        <v>55</v>
      </c>
      <c r="M1178" s="41">
        <v>-1</v>
      </c>
      <c r="N1178" s="41">
        <v>2</v>
      </c>
      <c r="O1178" s="111" t="s">
        <v>3279</v>
      </c>
      <c r="P1178" s="109"/>
      <c r="Q1178" s="41"/>
      <c r="R1178" s="111"/>
      <c r="S1178" s="110"/>
    </row>
    <row r="1179" spans="1:19">
      <c r="A1179" s="105">
        <v>2561</v>
      </c>
      <c r="B1179" s="41">
        <v>12000000</v>
      </c>
      <c r="C1179" s="41">
        <v>2.8999999999999998E-3</v>
      </c>
      <c r="D1179" s="41">
        <v>11.313700000000001</v>
      </c>
      <c r="E1179" s="41">
        <v>30</v>
      </c>
      <c r="F1179" s="41">
        <v>0</v>
      </c>
      <c r="G1179" s="41" t="s">
        <v>505</v>
      </c>
      <c r="H1179" s="41">
        <v>1</v>
      </c>
      <c r="I1179" s="41">
        <v>1</v>
      </c>
      <c r="J1179" s="108">
        <f>POWER(POWER(Table210[[#This Row],[mv]],4)/10,0.25)</f>
        <v>1.6307898430520129E-3</v>
      </c>
      <c r="K1179" s="41">
        <v>0</v>
      </c>
      <c r="L1179" s="41">
        <v>55</v>
      </c>
      <c r="M1179" s="41">
        <v>-1</v>
      </c>
      <c r="N1179" s="41">
        <v>2</v>
      </c>
      <c r="O1179" s="111" t="s">
        <v>3280</v>
      </c>
      <c r="P1179" s="109"/>
      <c r="Q1179" s="41"/>
      <c r="R1179" s="111"/>
      <c r="S1179" s="110"/>
    </row>
    <row r="1180" spans="1:19">
      <c r="A1180" s="105">
        <v>2562</v>
      </c>
      <c r="B1180" s="41">
        <v>12000000</v>
      </c>
      <c r="C1180" s="41">
        <v>2.8999999999999998E-3</v>
      </c>
      <c r="D1180" s="41">
        <v>16</v>
      </c>
      <c r="E1180" s="41">
        <v>30</v>
      </c>
      <c r="F1180" s="41">
        <v>0</v>
      </c>
      <c r="G1180" s="41" t="s">
        <v>505</v>
      </c>
      <c r="H1180" s="41">
        <v>1</v>
      </c>
      <c r="I1180" s="41">
        <v>1</v>
      </c>
      <c r="J1180" s="108">
        <f>POWER(POWER(Table210[[#This Row],[mv]],4)/10,0.25)</f>
        <v>1.6307898430520129E-3</v>
      </c>
      <c r="K1180" s="41">
        <v>0</v>
      </c>
      <c r="L1180" s="41">
        <v>55</v>
      </c>
      <c r="M1180" s="41">
        <v>-1</v>
      </c>
      <c r="N1180" s="41">
        <v>2</v>
      </c>
      <c r="O1180" s="111" t="s">
        <v>3281</v>
      </c>
      <c r="P1180" s="109"/>
      <c r="Q1180" s="41"/>
      <c r="R1180" s="111"/>
      <c r="S1180" s="110"/>
    </row>
    <row r="1181" spans="1:19">
      <c r="A1181" s="105">
        <v>2563</v>
      </c>
      <c r="B1181" s="41">
        <v>12000000</v>
      </c>
      <c r="C1181" s="41">
        <v>2.8999999999999998E-3</v>
      </c>
      <c r="D1181" s="41">
        <v>22.627400000000002</v>
      </c>
      <c r="E1181" s="41">
        <v>30</v>
      </c>
      <c r="F1181" s="41">
        <v>0</v>
      </c>
      <c r="G1181" s="41" t="s">
        <v>505</v>
      </c>
      <c r="H1181" s="41">
        <v>1</v>
      </c>
      <c r="I1181" s="41">
        <v>1</v>
      </c>
      <c r="J1181" s="108">
        <f>POWER(POWER(Table210[[#This Row],[mv]],4)/10,0.25)</f>
        <v>1.6307898430520129E-3</v>
      </c>
      <c r="K1181" s="41">
        <v>0</v>
      </c>
      <c r="L1181" s="41">
        <v>55</v>
      </c>
      <c r="M1181" s="41">
        <v>-1</v>
      </c>
      <c r="N1181" s="41">
        <v>2</v>
      </c>
      <c r="O1181" s="111" t="s">
        <v>3282</v>
      </c>
      <c r="P1181" s="109"/>
      <c r="Q1181" s="41"/>
      <c r="R1181" s="111"/>
      <c r="S1181" s="110"/>
    </row>
    <row r="1182" spans="1:19">
      <c r="A1182" s="105">
        <v>2564</v>
      </c>
      <c r="B1182" s="41">
        <v>12000000</v>
      </c>
      <c r="C1182" s="41">
        <v>2.8999999999999998E-3</v>
      </c>
      <c r="D1182" s="41">
        <v>32</v>
      </c>
      <c r="E1182" s="41">
        <v>30</v>
      </c>
      <c r="F1182" s="41">
        <v>0</v>
      </c>
      <c r="G1182" s="41" t="s">
        <v>505</v>
      </c>
      <c r="H1182" s="41">
        <v>1</v>
      </c>
      <c r="I1182" s="41">
        <v>1</v>
      </c>
      <c r="J1182" s="108">
        <f>POWER(POWER(Table210[[#This Row],[mv]],4)/10,0.25)</f>
        <v>1.6307898430520129E-3</v>
      </c>
      <c r="K1182" s="41">
        <v>0</v>
      </c>
      <c r="L1182" s="41">
        <v>55</v>
      </c>
      <c r="M1182" s="41">
        <v>-1</v>
      </c>
      <c r="N1182" s="41">
        <v>2</v>
      </c>
      <c r="O1182" s="111" t="s">
        <v>3283</v>
      </c>
      <c r="P1182" s="109"/>
      <c r="Q1182" s="41"/>
      <c r="R1182" s="111"/>
      <c r="S1182" s="110"/>
    </row>
    <row r="1183" spans="1:19">
      <c r="A1183" s="105">
        <v>2565</v>
      </c>
      <c r="B1183" s="41">
        <v>12000000</v>
      </c>
      <c r="C1183" s="41">
        <v>2.8999999999999998E-3</v>
      </c>
      <c r="D1183" s="41">
        <v>45.254800000000003</v>
      </c>
      <c r="E1183" s="41">
        <v>30</v>
      </c>
      <c r="F1183" s="41">
        <v>0</v>
      </c>
      <c r="G1183" s="41" t="s">
        <v>505</v>
      </c>
      <c r="H1183" s="41">
        <v>1</v>
      </c>
      <c r="I1183" s="41">
        <v>1</v>
      </c>
      <c r="J1183" s="108">
        <f>POWER(POWER(Table210[[#This Row],[mv]],4)/10,0.25)</f>
        <v>1.6307898430520129E-3</v>
      </c>
      <c r="K1183" s="41">
        <v>0</v>
      </c>
      <c r="L1183" s="41">
        <v>55</v>
      </c>
      <c r="M1183" s="41">
        <v>-1</v>
      </c>
      <c r="N1183" s="41">
        <v>2</v>
      </c>
      <c r="O1183" s="111" t="s">
        <v>3284</v>
      </c>
      <c r="P1183" s="109"/>
      <c r="Q1183" s="41"/>
      <c r="R1183" s="111"/>
      <c r="S1183" s="110"/>
    </row>
    <row r="1184" spans="1:19">
      <c r="A1184" s="105">
        <v>2566</v>
      </c>
      <c r="B1184" s="41">
        <v>12000000</v>
      </c>
      <c r="C1184" s="41">
        <v>3.2000000000000002E-3</v>
      </c>
      <c r="D1184" s="41">
        <v>4</v>
      </c>
      <c r="E1184" s="41">
        <v>30</v>
      </c>
      <c r="F1184" s="41">
        <v>0</v>
      </c>
      <c r="G1184" s="41" t="s">
        <v>505</v>
      </c>
      <c r="H1184" s="41">
        <v>1</v>
      </c>
      <c r="I1184" s="41">
        <v>1</v>
      </c>
      <c r="J1184" s="108">
        <f>POWER(POWER(Table210[[#This Row],[mv]],4)/10,0.25)</f>
        <v>1.7994922406091175E-3</v>
      </c>
      <c r="K1184" s="41">
        <v>0</v>
      </c>
      <c r="L1184" s="41">
        <v>55</v>
      </c>
      <c r="M1184" s="41">
        <v>-1</v>
      </c>
      <c r="N1184" s="41">
        <v>2</v>
      </c>
      <c r="O1184" s="111" t="s">
        <v>3285</v>
      </c>
      <c r="P1184" s="109"/>
      <c r="Q1184" s="41"/>
      <c r="R1184" s="111"/>
      <c r="S1184" s="110"/>
    </row>
    <row r="1185" spans="1:19">
      <c r="A1185" s="105">
        <v>2567</v>
      </c>
      <c r="B1185" s="41">
        <v>12000000</v>
      </c>
      <c r="C1185" s="41">
        <v>3.2000000000000002E-3</v>
      </c>
      <c r="D1185" s="41">
        <v>5.6569000000000003</v>
      </c>
      <c r="E1185" s="41">
        <v>30</v>
      </c>
      <c r="F1185" s="41">
        <v>0</v>
      </c>
      <c r="G1185" s="41" t="s">
        <v>505</v>
      </c>
      <c r="H1185" s="41">
        <v>1</v>
      </c>
      <c r="I1185" s="41">
        <v>1</v>
      </c>
      <c r="J1185" s="108">
        <f>POWER(POWER(Table210[[#This Row],[mv]],4)/10,0.25)</f>
        <v>1.7994922406091175E-3</v>
      </c>
      <c r="K1185" s="41">
        <v>0</v>
      </c>
      <c r="L1185" s="41">
        <v>55</v>
      </c>
      <c r="M1185" s="41">
        <v>-1</v>
      </c>
      <c r="N1185" s="41">
        <v>2</v>
      </c>
      <c r="O1185" s="111" t="s">
        <v>3286</v>
      </c>
      <c r="P1185" s="109">
        <v>20730</v>
      </c>
      <c r="Q1185" s="41"/>
      <c r="R1185" s="111"/>
      <c r="S1185" s="110"/>
    </row>
    <row r="1186" spans="1:19">
      <c r="A1186" s="105">
        <v>2568</v>
      </c>
      <c r="B1186" s="41">
        <v>12000000</v>
      </c>
      <c r="C1186" s="41">
        <v>3.2000000000000002E-3</v>
      </c>
      <c r="D1186" s="41">
        <v>8</v>
      </c>
      <c r="E1186" s="41">
        <v>30</v>
      </c>
      <c r="F1186" s="41">
        <v>0</v>
      </c>
      <c r="G1186" s="41" t="s">
        <v>505</v>
      </c>
      <c r="H1186" s="41">
        <v>1</v>
      </c>
      <c r="I1186" s="41">
        <v>1</v>
      </c>
      <c r="J1186" s="108">
        <f>POWER(POWER(Table210[[#This Row],[mv]],4)/10,0.25)</f>
        <v>1.7994922406091175E-3</v>
      </c>
      <c r="K1186" s="41">
        <v>0</v>
      </c>
      <c r="L1186" s="41">
        <v>55</v>
      </c>
      <c r="M1186" s="41">
        <v>-1</v>
      </c>
      <c r="N1186" s="41">
        <v>2</v>
      </c>
      <c r="O1186" s="111" t="s">
        <v>3287</v>
      </c>
      <c r="P1186" s="109"/>
      <c r="Q1186" s="41"/>
      <c r="R1186" s="111"/>
      <c r="S1186" s="110"/>
    </row>
    <row r="1187" spans="1:19">
      <c r="A1187" s="105">
        <v>2569</v>
      </c>
      <c r="B1187" s="41">
        <v>12000000</v>
      </c>
      <c r="C1187" s="41">
        <v>3.2000000000000002E-3</v>
      </c>
      <c r="D1187" s="41">
        <v>11.313700000000001</v>
      </c>
      <c r="E1187" s="41">
        <v>30</v>
      </c>
      <c r="F1187" s="41">
        <v>0</v>
      </c>
      <c r="G1187" s="41" t="s">
        <v>505</v>
      </c>
      <c r="H1187" s="41">
        <v>1</v>
      </c>
      <c r="I1187" s="41">
        <v>1</v>
      </c>
      <c r="J1187" s="108">
        <f>POWER(POWER(Table210[[#This Row],[mv]],4)/10,0.25)</f>
        <v>1.7994922406091175E-3</v>
      </c>
      <c r="K1187" s="41">
        <v>0</v>
      </c>
      <c r="L1187" s="41">
        <v>55</v>
      </c>
      <c r="M1187" s="41">
        <v>-1</v>
      </c>
      <c r="N1187" s="41">
        <v>2</v>
      </c>
      <c r="O1187" s="111" t="s">
        <v>3288</v>
      </c>
      <c r="P1187" s="109"/>
      <c r="Q1187" s="41"/>
      <c r="R1187" s="111"/>
      <c r="S1187" s="110"/>
    </row>
    <row r="1188" spans="1:19">
      <c r="A1188" s="105">
        <v>2570</v>
      </c>
      <c r="B1188" s="41">
        <v>12000000</v>
      </c>
      <c r="C1188" s="41">
        <v>3.2000000000000002E-3</v>
      </c>
      <c r="D1188" s="41">
        <v>16</v>
      </c>
      <c r="E1188" s="41">
        <v>30</v>
      </c>
      <c r="F1188" s="41">
        <v>0</v>
      </c>
      <c r="G1188" s="41" t="s">
        <v>505</v>
      </c>
      <c r="H1188" s="41">
        <v>1</v>
      </c>
      <c r="I1188" s="41">
        <v>1</v>
      </c>
      <c r="J1188" s="108">
        <f>POWER(POWER(Table210[[#This Row],[mv]],4)/10,0.25)</f>
        <v>1.7994922406091175E-3</v>
      </c>
      <c r="K1188" s="41">
        <v>0</v>
      </c>
      <c r="L1188" s="41">
        <v>55</v>
      </c>
      <c r="M1188" s="41">
        <v>-1</v>
      </c>
      <c r="N1188" s="41">
        <v>2</v>
      </c>
      <c r="O1188" s="111" t="s">
        <v>3289</v>
      </c>
      <c r="P1188" s="109"/>
      <c r="Q1188" s="41"/>
      <c r="R1188" s="111"/>
      <c r="S1188" s="110"/>
    </row>
    <row r="1189" spans="1:19">
      <c r="A1189" s="105">
        <v>2571</v>
      </c>
      <c r="B1189" s="41">
        <v>12000000</v>
      </c>
      <c r="C1189" s="41">
        <v>3.2000000000000002E-3</v>
      </c>
      <c r="D1189" s="41">
        <v>22.627400000000002</v>
      </c>
      <c r="E1189" s="41">
        <v>30</v>
      </c>
      <c r="F1189" s="41">
        <v>0</v>
      </c>
      <c r="G1189" s="41" t="s">
        <v>505</v>
      </c>
      <c r="H1189" s="41">
        <v>1</v>
      </c>
      <c r="I1189" s="41">
        <v>1</v>
      </c>
      <c r="J1189" s="108">
        <f>POWER(POWER(Table210[[#This Row],[mv]],4)/10,0.25)</f>
        <v>1.7994922406091175E-3</v>
      </c>
      <c r="K1189" s="41">
        <v>0</v>
      </c>
      <c r="L1189" s="41">
        <v>55</v>
      </c>
      <c r="M1189" s="41">
        <v>-1</v>
      </c>
      <c r="N1189" s="41">
        <v>2</v>
      </c>
      <c r="O1189" s="111" t="s">
        <v>3290</v>
      </c>
      <c r="P1189" s="109"/>
      <c r="Q1189" s="41"/>
      <c r="R1189" s="111"/>
      <c r="S1189" s="110"/>
    </row>
    <row r="1190" spans="1:19">
      <c r="A1190" s="105">
        <v>2572</v>
      </c>
      <c r="B1190" s="41">
        <v>12000000</v>
      </c>
      <c r="C1190" s="41">
        <v>3.2000000000000002E-3</v>
      </c>
      <c r="D1190" s="41">
        <v>32</v>
      </c>
      <c r="E1190" s="41">
        <v>30</v>
      </c>
      <c r="F1190" s="41">
        <v>0</v>
      </c>
      <c r="G1190" s="41" t="s">
        <v>505</v>
      </c>
      <c r="H1190" s="41">
        <v>1</v>
      </c>
      <c r="I1190" s="41">
        <v>1</v>
      </c>
      <c r="J1190" s="108">
        <f>POWER(POWER(Table210[[#This Row],[mv]],4)/10,0.25)</f>
        <v>1.7994922406091175E-3</v>
      </c>
      <c r="K1190" s="41">
        <v>0</v>
      </c>
      <c r="L1190" s="41">
        <v>55</v>
      </c>
      <c r="M1190" s="41">
        <v>-1</v>
      </c>
      <c r="N1190" s="41">
        <v>2</v>
      </c>
      <c r="O1190" s="111" t="s">
        <v>3291</v>
      </c>
      <c r="P1190" s="109"/>
      <c r="Q1190" s="41"/>
      <c r="R1190" s="111"/>
      <c r="S1190" s="110"/>
    </row>
    <row r="1191" spans="1:19">
      <c r="A1191" s="105">
        <v>2573</v>
      </c>
      <c r="B1191" s="41">
        <v>12000000</v>
      </c>
      <c r="C1191" s="41">
        <v>3.2000000000000002E-3</v>
      </c>
      <c r="D1191" s="41">
        <v>45.254800000000003</v>
      </c>
      <c r="E1191" s="41">
        <v>30</v>
      </c>
      <c r="F1191" s="41">
        <v>0</v>
      </c>
      <c r="G1191" s="41" t="s">
        <v>505</v>
      </c>
      <c r="H1191" s="41">
        <v>1</v>
      </c>
      <c r="I1191" s="41">
        <v>1</v>
      </c>
      <c r="J1191" s="108">
        <f>POWER(POWER(Table210[[#This Row],[mv]],4)/10,0.25)</f>
        <v>1.7994922406091175E-3</v>
      </c>
      <c r="K1191" s="41">
        <v>0</v>
      </c>
      <c r="L1191" s="41">
        <v>55</v>
      </c>
      <c r="M1191" s="41">
        <v>-1</v>
      </c>
      <c r="N1191" s="41">
        <v>2</v>
      </c>
      <c r="O1191" s="111" t="s">
        <v>3292</v>
      </c>
      <c r="P1191" s="109"/>
      <c r="Q1191" s="41"/>
      <c r="R1191" s="111"/>
      <c r="S1191" s="110"/>
    </row>
    <row r="1192" spans="1:19">
      <c r="A1192" s="105">
        <v>2574</v>
      </c>
      <c r="B1192" s="41">
        <v>12000000</v>
      </c>
      <c r="C1192" s="41">
        <v>3.5000000000000001E-3</v>
      </c>
      <c r="D1192" s="41">
        <v>4</v>
      </c>
      <c r="E1192" s="41">
        <v>30</v>
      </c>
      <c r="F1192" s="41">
        <v>0</v>
      </c>
      <c r="G1192" s="41" t="s">
        <v>505</v>
      </c>
      <c r="H1192" s="41">
        <v>1</v>
      </c>
      <c r="I1192" s="41">
        <v>1</v>
      </c>
      <c r="J1192" s="108">
        <f>POWER(POWER(Table210[[#This Row],[mv]],4)/10,0.25)</f>
        <v>1.9681946381662216E-3</v>
      </c>
      <c r="K1192" s="41">
        <v>0</v>
      </c>
      <c r="L1192" s="41">
        <v>55</v>
      </c>
      <c r="M1192" s="41">
        <v>-1</v>
      </c>
      <c r="N1192" s="41">
        <v>2</v>
      </c>
      <c r="O1192" s="111" t="s">
        <v>3293</v>
      </c>
      <c r="P1192" s="109"/>
      <c r="Q1192" s="41"/>
      <c r="R1192" s="111"/>
      <c r="S1192" s="110"/>
    </row>
    <row r="1193" spans="1:19">
      <c r="A1193" s="105">
        <v>2575</v>
      </c>
      <c r="B1193" s="41">
        <v>12000000</v>
      </c>
      <c r="C1193" s="41">
        <v>3.5000000000000001E-3</v>
      </c>
      <c r="D1193" s="41">
        <v>5.6569000000000003</v>
      </c>
      <c r="E1193" s="41">
        <v>30</v>
      </c>
      <c r="F1193" s="41">
        <v>0</v>
      </c>
      <c r="G1193" s="41" t="s">
        <v>505</v>
      </c>
      <c r="H1193" s="41">
        <v>1</v>
      </c>
      <c r="I1193" s="41">
        <v>1</v>
      </c>
      <c r="J1193" s="108">
        <f>POWER(POWER(Table210[[#This Row],[mv]],4)/10,0.25)</f>
        <v>1.9681946381662216E-3</v>
      </c>
      <c r="K1193" s="41">
        <v>0</v>
      </c>
      <c r="L1193" s="41">
        <v>55</v>
      </c>
      <c r="M1193" s="41">
        <v>-1</v>
      </c>
      <c r="N1193" s="41">
        <v>2</v>
      </c>
      <c r="O1193" s="111" t="s">
        <v>3294</v>
      </c>
      <c r="P1193" s="109"/>
      <c r="Q1193" s="41"/>
      <c r="R1193" s="111"/>
      <c r="S1193" s="110"/>
    </row>
    <row r="1194" spans="1:19">
      <c r="A1194" s="105">
        <v>2576</v>
      </c>
      <c r="B1194" s="41">
        <v>12000000</v>
      </c>
      <c r="C1194" s="41">
        <v>3.5000000000000001E-3</v>
      </c>
      <c r="D1194" s="41">
        <v>8</v>
      </c>
      <c r="E1194" s="41">
        <v>30</v>
      </c>
      <c r="F1194" s="41">
        <v>0</v>
      </c>
      <c r="G1194" s="41" t="s">
        <v>505</v>
      </c>
      <c r="H1194" s="41">
        <v>1</v>
      </c>
      <c r="I1194" s="41">
        <v>1</v>
      </c>
      <c r="J1194" s="108">
        <f>POWER(POWER(Table210[[#This Row],[mv]],4)/10,0.25)</f>
        <v>1.9681946381662216E-3</v>
      </c>
      <c r="K1194" s="41">
        <v>0</v>
      </c>
      <c r="L1194" s="41">
        <v>55</v>
      </c>
      <c r="M1194" s="41">
        <v>-1</v>
      </c>
      <c r="N1194" s="41">
        <v>2</v>
      </c>
      <c r="O1194" s="111" t="s">
        <v>3295</v>
      </c>
      <c r="P1194" s="109"/>
      <c r="Q1194" s="41"/>
      <c r="R1194" s="111"/>
      <c r="S1194" s="110"/>
    </row>
    <row r="1195" spans="1:19">
      <c r="A1195" s="105">
        <v>2577</v>
      </c>
      <c r="B1195" s="41">
        <v>12000000</v>
      </c>
      <c r="C1195" s="41">
        <v>3.5000000000000001E-3</v>
      </c>
      <c r="D1195" s="41">
        <v>11.313700000000001</v>
      </c>
      <c r="E1195" s="41">
        <v>30</v>
      </c>
      <c r="F1195" s="41">
        <v>0</v>
      </c>
      <c r="G1195" s="41" t="s">
        <v>505</v>
      </c>
      <c r="H1195" s="41">
        <v>1</v>
      </c>
      <c r="I1195" s="41">
        <v>1</v>
      </c>
      <c r="J1195" s="108">
        <f>POWER(POWER(Table210[[#This Row],[mv]],4)/10,0.25)</f>
        <v>1.9681946381662216E-3</v>
      </c>
      <c r="K1195" s="41">
        <v>0</v>
      </c>
      <c r="L1195" s="41">
        <v>55</v>
      </c>
      <c r="M1195" s="41">
        <v>-1</v>
      </c>
      <c r="N1195" s="41">
        <v>2</v>
      </c>
      <c r="O1195" s="111" t="s">
        <v>3296</v>
      </c>
      <c r="P1195" s="109"/>
      <c r="Q1195" s="41"/>
      <c r="R1195" s="111"/>
      <c r="S1195" s="110"/>
    </row>
    <row r="1196" spans="1:19">
      <c r="A1196" s="105">
        <v>2578</v>
      </c>
      <c r="B1196" s="41">
        <v>12000000</v>
      </c>
      <c r="C1196" s="41">
        <v>3.5000000000000001E-3</v>
      </c>
      <c r="D1196" s="41">
        <v>16</v>
      </c>
      <c r="E1196" s="41">
        <v>30</v>
      </c>
      <c r="F1196" s="41">
        <v>0</v>
      </c>
      <c r="G1196" s="41" t="s">
        <v>505</v>
      </c>
      <c r="H1196" s="41">
        <v>1</v>
      </c>
      <c r="I1196" s="41">
        <v>1</v>
      </c>
      <c r="J1196" s="108">
        <f>POWER(POWER(Table210[[#This Row],[mv]],4)/10,0.25)</f>
        <v>1.9681946381662216E-3</v>
      </c>
      <c r="K1196" s="41">
        <v>0</v>
      </c>
      <c r="L1196" s="41">
        <v>55</v>
      </c>
      <c r="M1196" s="41">
        <v>-1</v>
      </c>
      <c r="N1196" s="41">
        <v>2</v>
      </c>
      <c r="O1196" s="111" t="s">
        <v>3297</v>
      </c>
      <c r="P1196" s="109"/>
      <c r="Q1196" s="41"/>
      <c r="R1196" s="111"/>
      <c r="S1196" s="110"/>
    </row>
    <row r="1197" spans="1:19">
      <c r="A1197" s="105">
        <v>2579</v>
      </c>
      <c r="B1197" s="41">
        <v>12000000</v>
      </c>
      <c r="C1197" s="41">
        <v>3.5000000000000001E-3</v>
      </c>
      <c r="D1197" s="41">
        <v>22.627400000000002</v>
      </c>
      <c r="E1197" s="41">
        <v>30</v>
      </c>
      <c r="F1197" s="41">
        <v>0</v>
      </c>
      <c r="G1197" s="41" t="s">
        <v>505</v>
      </c>
      <c r="H1197" s="41">
        <v>1</v>
      </c>
      <c r="I1197" s="41">
        <v>1</v>
      </c>
      <c r="J1197" s="108">
        <f>POWER(POWER(Table210[[#This Row],[mv]],4)/10,0.25)</f>
        <v>1.9681946381662216E-3</v>
      </c>
      <c r="K1197" s="41">
        <v>0</v>
      </c>
      <c r="L1197" s="41">
        <v>55</v>
      </c>
      <c r="M1197" s="41">
        <v>-1</v>
      </c>
      <c r="N1197" s="41">
        <v>2</v>
      </c>
      <c r="O1197" s="111" t="s">
        <v>3298</v>
      </c>
      <c r="P1197" s="109"/>
      <c r="Q1197" s="41"/>
      <c r="R1197" s="111"/>
      <c r="S1197" s="110"/>
    </row>
    <row r="1198" spans="1:19">
      <c r="A1198" s="105">
        <v>2580</v>
      </c>
      <c r="B1198" s="41">
        <v>12000000</v>
      </c>
      <c r="C1198" s="41">
        <v>3.5000000000000001E-3</v>
      </c>
      <c r="D1198" s="41">
        <v>32</v>
      </c>
      <c r="E1198" s="41">
        <v>30</v>
      </c>
      <c r="F1198" s="41">
        <v>0</v>
      </c>
      <c r="G1198" s="41" t="s">
        <v>505</v>
      </c>
      <c r="H1198" s="41">
        <v>1</v>
      </c>
      <c r="I1198" s="41">
        <v>1</v>
      </c>
      <c r="J1198" s="108">
        <f>POWER(POWER(Table210[[#This Row],[mv]],4)/10,0.25)</f>
        <v>1.9681946381662216E-3</v>
      </c>
      <c r="K1198" s="41">
        <v>0</v>
      </c>
      <c r="L1198" s="41">
        <v>55</v>
      </c>
      <c r="M1198" s="41">
        <v>-1</v>
      </c>
      <c r="N1198" s="41">
        <v>2</v>
      </c>
      <c r="O1198" s="111" t="s">
        <v>3299</v>
      </c>
      <c r="P1198" s="109"/>
      <c r="Q1198" s="41"/>
      <c r="R1198" s="111"/>
      <c r="S1198" s="110"/>
    </row>
    <row r="1199" spans="1:19">
      <c r="A1199" s="105">
        <v>2581</v>
      </c>
      <c r="B1199" s="41">
        <v>12000000</v>
      </c>
      <c r="C1199" s="41">
        <v>3.5000000000000001E-3</v>
      </c>
      <c r="D1199" s="41">
        <v>45.254800000000003</v>
      </c>
      <c r="E1199" s="41">
        <v>30</v>
      </c>
      <c r="F1199" s="41">
        <v>0</v>
      </c>
      <c r="G1199" s="41" t="s">
        <v>505</v>
      </c>
      <c r="H1199" s="41">
        <v>1</v>
      </c>
      <c r="I1199" s="41">
        <v>1</v>
      </c>
      <c r="J1199" s="108">
        <f>POWER(POWER(Table210[[#This Row],[mv]],4)/10,0.25)</f>
        <v>1.9681946381662216E-3</v>
      </c>
      <c r="K1199" s="41">
        <v>0</v>
      </c>
      <c r="L1199" s="41">
        <v>55</v>
      </c>
      <c r="M1199" s="41">
        <v>-1</v>
      </c>
      <c r="N1199" s="41">
        <v>2</v>
      </c>
      <c r="O1199" s="111" t="s">
        <v>3300</v>
      </c>
      <c r="P1199" s="109"/>
      <c r="Q1199" s="41"/>
      <c r="R1199" s="111"/>
      <c r="S1199" s="110"/>
    </row>
    <row r="1200" spans="1:19">
      <c r="A1200" s="105">
        <v>2582</v>
      </c>
      <c r="B1200" s="41">
        <v>12000000</v>
      </c>
      <c r="C1200" s="41">
        <v>3.8E-3</v>
      </c>
      <c r="D1200" s="41">
        <v>5.6569000000000003</v>
      </c>
      <c r="E1200" s="41">
        <v>30</v>
      </c>
      <c r="F1200" s="41">
        <v>0</v>
      </c>
      <c r="G1200" s="41" t="s">
        <v>505</v>
      </c>
      <c r="H1200" s="41">
        <v>1</v>
      </c>
      <c r="I1200" s="41">
        <v>1</v>
      </c>
      <c r="J1200" s="108">
        <f>POWER(POWER(Table210[[#This Row],[mv]],4)/10,0.25)</f>
        <v>2.1368970357233258E-3</v>
      </c>
      <c r="K1200" s="41">
        <v>0</v>
      </c>
      <c r="L1200" s="41">
        <v>55</v>
      </c>
      <c r="M1200" s="41">
        <v>-1</v>
      </c>
      <c r="N1200" s="41">
        <v>2</v>
      </c>
      <c r="O1200" s="111" t="s">
        <v>3301</v>
      </c>
      <c r="P1200" s="109"/>
      <c r="Q1200" s="41"/>
      <c r="R1200" s="111"/>
      <c r="S1200" s="110"/>
    </row>
    <row r="1201" spans="1:19">
      <c r="A1201" s="105">
        <v>2583</v>
      </c>
      <c r="B1201" s="41">
        <v>12000000</v>
      </c>
      <c r="C1201" s="41">
        <v>3.8E-3</v>
      </c>
      <c r="D1201" s="41">
        <v>8</v>
      </c>
      <c r="E1201" s="41">
        <v>30</v>
      </c>
      <c r="F1201" s="41">
        <v>0</v>
      </c>
      <c r="G1201" s="41" t="s">
        <v>505</v>
      </c>
      <c r="H1201" s="41">
        <v>1</v>
      </c>
      <c r="I1201" s="41">
        <v>1</v>
      </c>
      <c r="J1201" s="108">
        <f>POWER(POWER(Table210[[#This Row],[mv]],4)/10,0.25)</f>
        <v>2.1368970357233258E-3</v>
      </c>
      <c r="K1201" s="41">
        <v>0</v>
      </c>
      <c r="L1201" s="41">
        <v>55</v>
      </c>
      <c r="M1201" s="41">
        <v>-1</v>
      </c>
      <c r="N1201" s="41">
        <v>2</v>
      </c>
      <c r="O1201" s="111" t="s">
        <v>3302</v>
      </c>
      <c r="P1201" s="109"/>
      <c r="Q1201" s="41"/>
      <c r="R1201" s="111"/>
      <c r="S1201" s="110"/>
    </row>
    <row r="1202" spans="1:19">
      <c r="A1202" s="105">
        <v>2584</v>
      </c>
      <c r="B1202" s="41">
        <v>12000000</v>
      </c>
      <c r="C1202" s="41">
        <v>3.8E-3</v>
      </c>
      <c r="D1202" s="41">
        <v>11.313700000000001</v>
      </c>
      <c r="E1202" s="41">
        <v>30</v>
      </c>
      <c r="F1202" s="41">
        <v>0</v>
      </c>
      <c r="G1202" s="41" t="s">
        <v>505</v>
      </c>
      <c r="H1202" s="41">
        <v>1</v>
      </c>
      <c r="I1202" s="41">
        <v>1</v>
      </c>
      <c r="J1202" s="108">
        <f>POWER(POWER(Table210[[#This Row],[mv]],4)/10,0.25)</f>
        <v>2.1368970357233258E-3</v>
      </c>
      <c r="K1202" s="41">
        <v>0</v>
      </c>
      <c r="L1202" s="41">
        <v>55</v>
      </c>
      <c r="M1202" s="41">
        <v>-1</v>
      </c>
      <c r="N1202" s="41">
        <v>2</v>
      </c>
      <c r="O1202" s="111" t="s">
        <v>3303</v>
      </c>
      <c r="P1202" s="109"/>
      <c r="Q1202" s="41"/>
      <c r="R1202" s="111"/>
      <c r="S1202" s="110"/>
    </row>
    <row r="1203" spans="1:19">
      <c r="A1203" s="105">
        <v>2585</v>
      </c>
      <c r="B1203" s="41">
        <v>12000000</v>
      </c>
      <c r="C1203" s="41">
        <v>3.8E-3</v>
      </c>
      <c r="D1203" s="41">
        <v>16</v>
      </c>
      <c r="E1203" s="41">
        <v>30</v>
      </c>
      <c r="F1203" s="41">
        <v>0</v>
      </c>
      <c r="G1203" s="41" t="s">
        <v>505</v>
      </c>
      <c r="H1203" s="41">
        <v>1</v>
      </c>
      <c r="I1203" s="41">
        <v>1</v>
      </c>
      <c r="J1203" s="108">
        <f>POWER(POWER(Table210[[#This Row],[mv]],4)/10,0.25)</f>
        <v>2.1368970357233258E-3</v>
      </c>
      <c r="K1203" s="41">
        <v>0</v>
      </c>
      <c r="L1203" s="41">
        <v>55</v>
      </c>
      <c r="M1203" s="41">
        <v>-1</v>
      </c>
      <c r="N1203" s="41">
        <v>2</v>
      </c>
      <c r="O1203" s="111" t="s">
        <v>3304</v>
      </c>
      <c r="P1203" s="109"/>
      <c r="Q1203" s="41"/>
      <c r="R1203" s="111"/>
      <c r="S1203" s="110"/>
    </row>
    <row r="1204" spans="1:19">
      <c r="A1204" s="105">
        <v>2586</v>
      </c>
      <c r="B1204" s="41">
        <v>12000000</v>
      </c>
      <c r="C1204" s="41">
        <v>3.8E-3</v>
      </c>
      <c r="D1204" s="41">
        <v>22.627400000000002</v>
      </c>
      <c r="E1204" s="41">
        <v>30</v>
      </c>
      <c r="F1204" s="41">
        <v>0</v>
      </c>
      <c r="G1204" s="41" t="s">
        <v>505</v>
      </c>
      <c r="H1204" s="41">
        <v>1</v>
      </c>
      <c r="I1204" s="41">
        <v>1</v>
      </c>
      <c r="J1204" s="108">
        <f>POWER(POWER(Table210[[#This Row],[mv]],4)/10,0.25)</f>
        <v>2.1368970357233258E-3</v>
      </c>
      <c r="K1204" s="41">
        <v>0</v>
      </c>
      <c r="L1204" s="41">
        <v>55</v>
      </c>
      <c r="M1204" s="41">
        <v>-1</v>
      </c>
      <c r="N1204" s="41">
        <v>2</v>
      </c>
      <c r="O1204" s="111" t="s">
        <v>3305</v>
      </c>
      <c r="P1204" s="109"/>
      <c r="Q1204" s="41"/>
      <c r="R1204" s="111"/>
      <c r="S1204" s="110"/>
    </row>
    <row r="1205" spans="1:19">
      <c r="A1205" s="105">
        <v>2587</v>
      </c>
      <c r="B1205" s="41">
        <v>12000000</v>
      </c>
      <c r="C1205" s="41">
        <v>3.8E-3</v>
      </c>
      <c r="D1205" s="41">
        <v>32</v>
      </c>
      <c r="E1205" s="41">
        <v>30</v>
      </c>
      <c r="F1205" s="41">
        <v>0</v>
      </c>
      <c r="G1205" s="41" t="s">
        <v>505</v>
      </c>
      <c r="H1205" s="41">
        <v>1</v>
      </c>
      <c r="I1205" s="41">
        <v>1</v>
      </c>
      <c r="J1205" s="108">
        <f>POWER(POWER(Table210[[#This Row],[mv]],4)/10,0.25)</f>
        <v>2.1368970357233258E-3</v>
      </c>
      <c r="K1205" s="41">
        <v>0</v>
      </c>
      <c r="L1205" s="41">
        <v>55</v>
      </c>
      <c r="M1205" s="41">
        <v>-1</v>
      </c>
      <c r="N1205" s="41">
        <v>2</v>
      </c>
      <c r="O1205" s="111" t="s">
        <v>3306</v>
      </c>
      <c r="P1205" s="109"/>
      <c r="Q1205" s="41"/>
      <c r="R1205" s="111"/>
      <c r="S1205" s="110"/>
    </row>
    <row r="1206" spans="1:19">
      <c r="A1206" s="105">
        <v>2588</v>
      </c>
      <c r="B1206" s="41">
        <v>12000000</v>
      </c>
      <c r="C1206" s="41">
        <v>3.8E-3</v>
      </c>
      <c r="D1206" s="41">
        <v>45.254800000000003</v>
      </c>
      <c r="E1206" s="41">
        <v>30</v>
      </c>
      <c r="F1206" s="41">
        <v>0</v>
      </c>
      <c r="G1206" s="41" t="s">
        <v>505</v>
      </c>
      <c r="H1206" s="41">
        <v>1</v>
      </c>
      <c r="I1206" s="41">
        <v>1</v>
      </c>
      <c r="J1206" s="108">
        <f>POWER(POWER(Table210[[#This Row],[mv]],4)/10,0.25)</f>
        <v>2.1368970357233258E-3</v>
      </c>
      <c r="K1206" s="41">
        <v>0</v>
      </c>
      <c r="L1206" s="41">
        <v>55</v>
      </c>
      <c r="M1206" s="41">
        <v>-1</v>
      </c>
      <c r="N1206" s="41">
        <v>2</v>
      </c>
      <c r="O1206" s="111" t="s">
        <v>3307</v>
      </c>
      <c r="P1206" s="109"/>
      <c r="Q1206" s="41"/>
      <c r="R1206" s="111"/>
      <c r="S1206" s="110"/>
    </row>
    <row r="1207" spans="1:19">
      <c r="A1207" s="105">
        <v>2589</v>
      </c>
      <c r="B1207" s="41">
        <v>12000000</v>
      </c>
      <c r="C1207" s="41">
        <v>4.1999999999999997E-3</v>
      </c>
      <c r="D1207" s="41">
        <v>5.6569000000000003</v>
      </c>
      <c r="E1207" s="41">
        <v>30</v>
      </c>
      <c r="F1207" s="41">
        <v>0</v>
      </c>
      <c r="G1207" s="41" t="s">
        <v>505</v>
      </c>
      <c r="H1207" s="41">
        <v>1</v>
      </c>
      <c r="I1207" s="41">
        <v>1</v>
      </c>
      <c r="J1207" s="108">
        <f>POWER(POWER(Table210[[#This Row],[mv]],4)/10,0.25)</f>
        <v>2.361833565799467E-3</v>
      </c>
      <c r="K1207" s="41">
        <v>0</v>
      </c>
      <c r="L1207" s="41">
        <v>55</v>
      </c>
      <c r="M1207" s="41">
        <v>-1</v>
      </c>
      <c r="N1207" s="41">
        <v>2</v>
      </c>
      <c r="O1207" s="111" t="s">
        <v>3308</v>
      </c>
      <c r="P1207" s="109"/>
      <c r="Q1207" s="41"/>
      <c r="R1207" s="111"/>
      <c r="S1207" s="110"/>
    </row>
    <row r="1208" spans="1:19">
      <c r="A1208" s="105">
        <v>2590</v>
      </c>
      <c r="B1208" s="41">
        <v>12000000</v>
      </c>
      <c r="C1208" s="41">
        <v>4.1999999999999997E-3</v>
      </c>
      <c r="D1208" s="41">
        <v>8</v>
      </c>
      <c r="E1208" s="41">
        <v>30</v>
      </c>
      <c r="F1208" s="41">
        <v>0</v>
      </c>
      <c r="G1208" s="41" t="s">
        <v>505</v>
      </c>
      <c r="H1208" s="41">
        <v>1</v>
      </c>
      <c r="I1208" s="41">
        <v>1</v>
      </c>
      <c r="J1208" s="108">
        <f>POWER(POWER(Table210[[#This Row],[mv]],4)/10,0.25)</f>
        <v>2.361833565799467E-3</v>
      </c>
      <c r="K1208" s="41">
        <v>0</v>
      </c>
      <c r="L1208" s="41">
        <v>55</v>
      </c>
      <c r="M1208" s="41">
        <v>-1</v>
      </c>
      <c r="N1208" s="41">
        <v>2</v>
      </c>
      <c r="O1208" s="111" t="s">
        <v>3309</v>
      </c>
      <c r="P1208" s="109"/>
      <c r="Q1208" s="41"/>
      <c r="R1208" s="111"/>
      <c r="S1208" s="110"/>
    </row>
    <row r="1209" spans="1:19">
      <c r="A1209" s="105">
        <v>2591</v>
      </c>
      <c r="B1209" s="41">
        <v>12000000</v>
      </c>
      <c r="C1209" s="41">
        <v>4.1999999999999997E-3</v>
      </c>
      <c r="D1209" s="41">
        <v>11.313700000000001</v>
      </c>
      <c r="E1209" s="41">
        <v>30</v>
      </c>
      <c r="F1209" s="41">
        <v>0</v>
      </c>
      <c r="G1209" s="41" t="s">
        <v>505</v>
      </c>
      <c r="H1209" s="41">
        <v>1</v>
      </c>
      <c r="I1209" s="41">
        <v>1</v>
      </c>
      <c r="J1209" s="108">
        <f>POWER(POWER(Table210[[#This Row],[mv]],4)/10,0.25)</f>
        <v>2.361833565799467E-3</v>
      </c>
      <c r="K1209" s="41">
        <v>0</v>
      </c>
      <c r="L1209" s="41">
        <v>55</v>
      </c>
      <c r="M1209" s="41">
        <v>-1</v>
      </c>
      <c r="N1209" s="41">
        <v>2</v>
      </c>
      <c r="O1209" s="111" t="s">
        <v>3310</v>
      </c>
      <c r="P1209" s="109"/>
      <c r="Q1209" s="41"/>
      <c r="R1209" s="111"/>
      <c r="S1209" s="110"/>
    </row>
    <row r="1210" spans="1:19">
      <c r="A1210" s="105">
        <v>2592</v>
      </c>
      <c r="B1210" s="41">
        <v>12000000</v>
      </c>
      <c r="C1210" s="41">
        <v>4.1999999999999997E-3</v>
      </c>
      <c r="D1210" s="41">
        <v>16</v>
      </c>
      <c r="E1210" s="41">
        <v>30</v>
      </c>
      <c r="F1210" s="41">
        <v>0</v>
      </c>
      <c r="G1210" s="41" t="s">
        <v>505</v>
      </c>
      <c r="H1210" s="41">
        <v>1</v>
      </c>
      <c r="I1210" s="41">
        <v>1</v>
      </c>
      <c r="J1210" s="108">
        <f>POWER(POWER(Table210[[#This Row],[mv]],4)/10,0.25)</f>
        <v>2.361833565799467E-3</v>
      </c>
      <c r="K1210" s="41">
        <v>0</v>
      </c>
      <c r="L1210" s="41">
        <v>55</v>
      </c>
      <c r="M1210" s="41">
        <v>-1</v>
      </c>
      <c r="N1210" s="41">
        <v>2</v>
      </c>
      <c r="O1210" s="111" t="s">
        <v>3311</v>
      </c>
      <c r="P1210" s="109"/>
      <c r="Q1210" s="41"/>
      <c r="R1210" s="111"/>
      <c r="S1210" s="110"/>
    </row>
    <row r="1211" spans="1:19">
      <c r="A1211" s="105">
        <v>2593</v>
      </c>
      <c r="B1211" s="41">
        <v>12000000</v>
      </c>
      <c r="C1211" s="41">
        <v>4.1999999999999997E-3</v>
      </c>
      <c r="D1211" s="41">
        <v>22.627400000000002</v>
      </c>
      <c r="E1211" s="41">
        <v>30</v>
      </c>
      <c r="F1211" s="41">
        <v>0</v>
      </c>
      <c r="G1211" s="41" t="s">
        <v>505</v>
      </c>
      <c r="H1211" s="41">
        <v>1</v>
      </c>
      <c r="I1211" s="41">
        <v>1</v>
      </c>
      <c r="J1211" s="108">
        <f>POWER(POWER(Table210[[#This Row],[mv]],4)/10,0.25)</f>
        <v>2.361833565799467E-3</v>
      </c>
      <c r="K1211" s="41">
        <v>0</v>
      </c>
      <c r="L1211" s="41">
        <v>55</v>
      </c>
      <c r="M1211" s="41">
        <v>-1</v>
      </c>
      <c r="N1211" s="41">
        <v>2</v>
      </c>
      <c r="O1211" s="111" t="s">
        <v>3312</v>
      </c>
      <c r="P1211" s="109"/>
      <c r="Q1211" s="41"/>
      <c r="R1211" s="111"/>
      <c r="S1211" s="110"/>
    </row>
    <row r="1212" spans="1:19">
      <c r="A1212" s="105">
        <v>2594</v>
      </c>
      <c r="B1212" s="41">
        <v>12000000</v>
      </c>
      <c r="C1212" s="41">
        <v>4.1999999999999997E-3</v>
      </c>
      <c r="D1212" s="41">
        <v>32</v>
      </c>
      <c r="E1212" s="41">
        <v>30</v>
      </c>
      <c r="F1212" s="41">
        <v>0</v>
      </c>
      <c r="G1212" s="41" t="s">
        <v>505</v>
      </c>
      <c r="H1212" s="41">
        <v>1</v>
      </c>
      <c r="I1212" s="41">
        <v>1</v>
      </c>
      <c r="J1212" s="108">
        <f>POWER(POWER(Table210[[#This Row],[mv]],4)/10,0.25)</f>
        <v>2.361833565799467E-3</v>
      </c>
      <c r="K1212" s="41">
        <v>0</v>
      </c>
      <c r="L1212" s="41">
        <v>55</v>
      </c>
      <c r="M1212" s="41">
        <v>-1</v>
      </c>
      <c r="N1212" s="41">
        <v>2</v>
      </c>
      <c r="O1212" s="111" t="s">
        <v>3313</v>
      </c>
      <c r="P1212" s="109"/>
      <c r="Q1212" s="41"/>
      <c r="R1212" s="111"/>
      <c r="S1212" s="110"/>
    </row>
    <row r="1213" spans="1:19">
      <c r="A1213" s="105">
        <v>2595</v>
      </c>
      <c r="B1213" s="41">
        <v>12000000</v>
      </c>
      <c r="C1213" s="41">
        <v>4.1999999999999997E-3</v>
      </c>
      <c r="D1213" s="41">
        <v>45.254800000000003</v>
      </c>
      <c r="E1213" s="41">
        <v>30</v>
      </c>
      <c r="F1213" s="41">
        <v>0</v>
      </c>
      <c r="G1213" s="41" t="s">
        <v>505</v>
      </c>
      <c r="H1213" s="41">
        <v>1</v>
      </c>
      <c r="I1213" s="41">
        <v>1</v>
      </c>
      <c r="J1213" s="108">
        <f>POWER(POWER(Table210[[#This Row],[mv]],4)/10,0.25)</f>
        <v>2.361833565799467E-3</v>
      </c>
      <c r="K1213" s="41">
        <v>0</v>
      </c>
      <c r="L1213" s="41">
        <v>55</v>
      </c>
      <c r="M1213" s="41">
        <v>-1</v>
      </c>
      <c r="N1213" s="41">
        <v>2</v>
      </c>
      <c r="O1213" s="111" t="s">
        <v>3314</v>
      </c>
      <c r="P1213" s="109"/>
      <c r="Q1213" s="41"/>
      <c r="R1213" s="111"/>
      <c r="S1213" s="110"/>
    </row>
    <row r="1214" spans="1:19">
      <c r="A1214" s="105">
        <v>2596</v>
      </c>
      <c r="B1214" s="41">
        <v>12000000</v>
      </c>
      <c r="C1214" s="41">
        <v>4.4999999999999997E-3</v>
      </c>
      <c r="D1214" s="41">
        <v>8</v>
      </c>
      <c r="E1214" s="41">
        <v>30</v>
      </c>
      <c r="F1214" s="41">
        <v>0</v>
      </c>
      <c r="G1214" s="41" t="s">
        <v>505</v>
      </c>
      <c r="H1214" s="41">
        <v>1</v>
      </c>
      <c r="I1214" s="41">
        <v>1</v>
      </c>
      <c r="J1214" s="108">
        <f>POWER(POWER(Table210[[#This Row],[mv]],4)/10,0.25)</f>
        <v>2.5305359633565699E-3</v>
      </c>
      <c r="K1214" s="41">
        <v>0</v>
      </c>
      <c r="L1214" s="41">
        <v>55</v>
      </c>
      <c r="M1214" s="41">
        <v>-1</v>
      </c>
      <c r="N1214" s="41">
        <v>2</v>
      </c>
      <c r="O1214" s="111" t="s">
        <v>3315</v>
      </c>
      <c r="P1214" s="109"/>
      <c r="Q1214" s="41"/>
      <c r="R1214" s="111"/>
      <c r="S1214" s="110"/>
    </row>
    <row r="1215" spans="1:19">
      <c r="A1215" s="105">
        <v>2597</v>
      </c>
      <c r="B1215" s="41">
        <v>12000000</v>
      </c>
      <c r="C1215" s="41">
        <v>4.4999999999999997E-3</v>
      </c>
      <c r="D1215" s="41">
        <v>11.313700000000001</v>
      </c>
      <c r="E1215" s="41">
        <v>30</v>
      </c>
      <c r="F1215" s="41">
        <v>0</v>
      </c>
      <c r="G1215" s="41" t="s">
        <v>505</v>
      </c>
      <c r="H1215" s="41">
        <v>1</v>
      </c>
      <c r="I1215" s="41">
        <v>1</v>
      </c>
      <c r="J1215" s="108">
        <f>POWER(POWER(Table210[[#This Row],[mv]],4)/10,0.25)</f>
        <v>2.5305359633565699E-3</v>
      </c>
      <c r="K1215" s="41">
        <v>0</v>
      </c>
      <c r="L1215" s="41">
        <v>55</v>
      </c>
      <c r="M1215" s="41">
        <v>-1</v>
      </c>
      <c r="N1215" s="41">
        <v>2</v>
      </c>
      <c r="O1215" s="111" t="s">
        <v>3316</v>
      </c>
      <c r="P1215" s="109"/>
      <c r="Q1215" s="41"/>
      <c r="R1215" s="111"/>
      <c r="S1215" s="110"/>
    </row>
    <row r="1216" spans="1:19">
      <c r="A1216" s="105">
        <v>2598</v>
      </c>
      <c r="B1216" s="41">
        <v>12000000</v>
      </c>
      <c r="C1216" s="41">
        <v>4.4999999999999997E-3</v>
      </c>
      <c r="D1216" s="41">
        <v>16</v>
      </c>
      <c r="E1216" s="41">
        <v>30</v>
      </c>
      <c r="F1216" s="41">
        <v>0</v>
      </c>
      <c r="G1216" s="41" t="s">
        <v>505</v>
      </c>
      <c r="H1216" s="41">
        <v>1</v>
      </c>
      <c r="I1216" s="41">
        <v>1</v>
      </c>
      <c r="J1216" s="108">
        <f>POWER(POWER(Table210[[#This Row],[mv]],4)/10,0.25)</f>
        <v>2.5305359633565699E-3</v>
      </c>
      <c r="K1216" s="41">
        <v>0</v>
      </c>
      <c r="L1216" s="41">
        <v>55</v>
      </c>
      <c r="M1216" s="41">
        <v>-1</v>
      </c>
      <c r="N1216" s="41">
        <v>2</v>
      </c>
      <c r="O1216" s="111" t="s">
        <v>3317</v>
      </c>
      <c r="P1216" s="109">
        <v>20717</v>
      </c>
      <c r="Q1216" s="41"/>
      <c r="R1216" s="111"/>
      <c r="S1216" s="110"/>
    </row>
    <row r="1217" spans="1:19">
      <c r="A1217" s="105">
        <v>2599</v>
      </c>
      <c r="B1217" s="41">
        <v>12000000</v>
      </c>
      <c r="C1217" s="41">
        <v>4.4999999999999997E-3</v>
      </c>
      <c r="D1217" s="41">
        <v>22.627400000000002</v>
      </c>
      <c r="E1217" s="41">
        <v>30</v>
      </c>
      <c r="F1217" s="41">
        <v>0</v>
      </c>
      <c r="G1217" s="41" t="s">
        <v>505</v>
      </c>
      <c r="H1217" s="41">
        <v>1</v>
      </c>
      <c r="I1217" s="41">
        <v>1</v>
      </c>
      <c r="J1217" s="108">
        <f>POWER(POWER(Table210[[#This Row],[mv]],4)/10,0.25)</f>
        <v>2.5305359633565699E-3</v>
      </c>
      <c r="K1217" s="41">
        <v>0</v>
      </c>
      <c r="L1217" s="41">
        <v>55</v>
      </c>
      <c r="M1217" s="41">
        <v>-1</v>
      </c>
      <c r="N1217" s="41">
        <v>2</v>
      </c>
      <c r="O1217" s="111" t="s">
        <v>3318</v>
      </c>
      <c r="P1217" s="109"/>
      <c r="Q1217" s="41"/>
      <c r="R1217" s="111"/>
      <c r="S1217" s="110"/>
    </row>
    <row r="1218" spans="1:19">
      <c r="A1218" s="105">
        <v>2600</v>
      </c>
      <c r="B1218" s="41">
        <v>12000000</v>
      </c>
      <c r="C1218" s="41">
        <v>4.4999999999999997E-3</v>
      </c>
      <c r="D1218" s="41">
        <v>32</v>
      </c>
      <c r="E1218" s="41">
        <v>30</v>
      </c>
      <c r="F1218" s="41">
        <v>0</v>
      </c>
      <c r="G1218" s="41" t="s">
        <v>505</v>
      </c>
      <c r="H1218" s="41">
        <v>1</v>
      </c>
      <c r="I1218" s="41">
        <v>1</v>
      </c>
      <c r="J1218" s="108">
        <f>POWER(POWER(Table210[[#This Row],[mv]],4)/10,0.25)</f>
        <v>2.5305359633565699E-3</v>
      </c>
      <c r="K1218" s="41">
        <v>0</v>
      </c>
      <c r="L1218" s="41">
        <v>55</v>
      </c>
      <c r="M1218" s="41">
        <v>-1</v>
      </c>
      <c r="N1218" s="41">
        <v>2</v>
      </c>
      <c r="O1218" s="111" t="s">
        <v>3319</v>
      </c>
      <c r="P1218" s="109"/>
      <c r="Q1218" s="41"/>
      <c r="R1218" s="111"/>
      <c r="S1218" s="110"/>
    </row>
    <row r="1219" spans="1:19">
      <c r="A1219" s="105">
        <v>2601</v>
      </c>
      <c r="B1219" s="41">
        <v>12000000</v>
      </c>
      <c r="C1219" s="41">
        <v>4.4999999999999997E-3</v>
      </c>
      <c r="D1219" s="41">
        <v>45.254800000000003</v>
      </c>
      <c r="E1219" s="41">
        <v>30</v>
      </c>
      <c r="F1219" s="41">
        <v>0</v>
      </c>
      <c r="G1219" s="41" t="s">
        <v>505</v>
      </c>
      <c r="H1219" s="41">
        <v>1</v>
      </c>
      <c r="I1219" s="41">
        <v>1</v>
      </c>
      <c r="J1219" s="108">
        <f>POWER(POWER(Table210[[#This Row],[mv]],4)/10,0.25)</f>
        <v>2.5305359633565699E-3</v>
      </c>
      <c r="K1219" s="41">
        <v>0</v>
      </c>
      <c r="L1219" s="41">
        <v>55</v>
      </c>
      <c r="M1219" s="41">
        <v>-1</v>
      </c>
      <c r="N1219" s="41">
        <v>2</v>
      </c>
      <c r="O1219" s="111" t="s">
        <v>3320</v>
      </c>
      <c r="P1219" s="109"/>
      <c r="Q1219" s="41"/>
      <c r="R1219" s="111"/>
      <c r="S1219" s="110"/>
    </row>
    <row r="1220" spans="1:19">
      <c r="A1220" s="105">
        <v>2602</v>
      </c>
      <c r="B1220" s="41">
        <v>12000000</v>
      </c>
      <c r="C1220" s="41">
        <v>4.8999999999999998E-3</v>
      </c>
      <c r="D1220" s="41">
        <v>8</v>
      </c>
      <c r="E1220" s="41">
        <v>30</v>
      </c>
      <c r="F1220" s="41">
        <v>0</v>
      </c>
      <c r="G1220" s="41" t="s">
        <v>505</v>
      </c>
      <c r="H1220" s="41">
        <v>1</v>
      </c>
      <c r="I1220" s="41">
        <v>1</v>
      </c>
      <c r="J1220" s="108">
        <f>POWER(POWER(Table210[[#This Row],[mv]],4)/10,0.25)</f>
        <v>2.7554724934327106E-3</v>
      </c>
      <c r="K1220" s="41">
        <v>0</v>
      </c>
      <c r="L1220" s="41">
        <v>55</v>
      </c>
      <c r="M1220" s="41">
        <v>-1</v>
      </c>
      <c r="N1220" s="41">
        <v>2</v>
      </c>
      <c r="O1220" s="111" t="s">
        <v>3321</v>
      </c>
      <c r="P1220" s="109"/>
      <c r="Q1220" s="41"/>
      <c r="R1220" s="111"/>
      <c r="S1220" s="110"/>
    </row>
    <row r="1221" spans="1:19">
      <c r="A1221" s="105">
        <v>2603</v>
      </c>
      <c r="B1221" s="41">
        <v>12000000</v>
      </c>
      <c r="C1221" s="41">
        <v>4.8999999999999998E-3</v>
      </c>
      <c r="D1221" s="41">
        <v>11.313700000000001</v>
      </c>
      <c r="E1221" s="41">
        <v>30</v>
      </c>
      <c r="F1221" s="41">
        <v>0</v>
      </c>
      <c r="G1221" s="41" t="s">
        <v>505</v>
      </c>
      <c r="H1221" s="41">
        <v>1</v>
      </c>
      <c r="I1221" s="41">
        <v>1</v>
      </c>
      <c r="J1221" s="108">
        <f>POWER(POWER(Table210[[#This Row],[mv]],4)/10,0.25)</f>
        <v>2.7554724934327106E-3</v>
      </c>
      <c r="K1221" s="41">
        <v>0</v>
      </c>
      <c r="L1221" s="41">
        <v>55</v>
      </c>
      <c r="M1221" s="41">
        <v>-1</v>
      </c>
      <c r="N1221" s="41">
        <v>2</v>
      </c>
      <c r="O1221" s="111" t="s">
        <v>3322</v>
      </c>
      <c r="P1221" s="109"/>
      <c r="Q1221" s="41"/>
      <c r="R1221" s="111"/>
      <c r="S1221" s="110"/>
    </row>
    <row r="1222" spans="1:19">
      <c r="A1222" s="105">
        <v>2604</v>
      </c>
      <c r="B1222" s="41">
        <v>12000000</v>
      </c>
      <c r="C1222" s="41">
        <v>4.8999999999999998E-3</v>
      </c>
      <c r="D1222" s="41">
        <v>16</v>
      </c>
      <c r="E1222" s="41">
        <v>30</v>
      </c>
      <c r="F1222" s="41">
        <v>0</v>
      </c>
      <c r="G1222" s="41" t="s">
        <v>505</v>
      </c>
      <c r="H1222" s="41">
        <v>1</v>
      </c>
      <c r="I1222" s="41">
        <v>1</v>
      </c>
      <c r="J1222" s="108">
        <f>POWER(POWER(Table210[[#This Row],[mv]],4)/10,0.25)</f>
        <v>2.7554724934327106E-3</v>
      </c>
      <c r="K1222" s="41">
        <v>0</v>
      </c>
      <c r="L1222" s="41">
        <v>55</v>
      </c>
      <c r="M1222" s="41">
        <v>-1</v>
      </c>
      <c r="N1222" s="41">
        <v>2</v>
      </c>
      <c r="O1222" s="111" t="s">
        <v>3323</v>
      </c>
      <c r="P1222" s="109"/>
      <c r="Q1222" s="41"/>
      <c r="R1222" s="111"/>
      <c r="S1222" s="110"/>
    </row>
    <row r="1223" spans="1:19">
      <c r="A1223" s="105">
        <v>2605</v>
      </c>
      <c r="B1223" s="41">
        <v>12000000</v>
      </c>
      <c r="C1223" s="41">
        <v>4.8999999999999998E-3</v>
      </c>
      <c r="D1223" s="41">
        <v>22.627400000000002</v>
      </c>
      <c r="E1223" s="41">
        <v>30</v>
      </c>
      <c r="F1223" s="41">
        <v>0</v>
      </c>
      <c r="G1223" s="41" t="s">
        <v>505</v>
      </c>
      <c r="H1223" s="41">
        <v>1</v>
      </c>
      <c r="I1223" s="41">
        <v>1</v>
      </c>
      <c r="J1223" s="108">
        <f>POWER(POWER(Table210[[#This Row],[mv]],4)/10,0.25)</f>
        <v>2.7554724934327106E-3</v>
      </c>
      <c r="K1223" s="41">
        <v>0</v>
      </c>
      <c r="L1223" s="41">
        <v>55</v>
      </c>
      <c r="M1223" s="41">
        <v>-1</v>
      </c>
      <c r="N1223" s="41">
        <v>2</v>
      </c>
      <c r="O1223" s="111" t="s">
        <v>3324</v>
      </c>
      <c r="P1223" s="109"/>
      <c r="Q1223" s="41"/>
      <c r="R1223" s="111"/>
      <c r="S1223" s="110"/>
    </row>
    <row r="1224" spans="1:19">
      <c r="A1224" s="105">
        <v>2606</v>
      </c>
      <c r="B1224" s="41">
        <v>12000000</v>
      </c>
      <c r="C1224" s="41">
        <v>4.8999999999999998E-3</v>
      </c>
      <c r="D1224" s="41">
        <v>32</v>
      </c>
      <c r="E1224" s="41">
        <v>30</v>
      </c>
      <c r="F1224" s="41">
        <v>0</v>
      </c>
      <c r="G1224" s="41" t="s">
        <v>505</v>
      </c>
      <c r="H1224" s="41">
        <v>1</v>
      </c>
      <c r="I1224" s="41">
        <v>1</v>
      </c>
      <c r="J1224" s="108">
        <f>POWER(POWER(Table210[[#This Row],[mv]],4)/10,0.25)</f>
        <v>2.7554724934327106E-3</v>
      </c>
      <c r="K1224" s="41">
        <v>0</v>
      </c>
      <c r="L1224" s="41">
        <v>55</v>
      </c>
      <c r="M1224" s="41">
        <v>-1</v>
      </c>
      <c r="N1224" s="41">
        <v>2</v>
      </c>
      <c r="O1224" s="111" t="s">
        <v>3325</v>
      </c>
      <c r="P1224" s="109"/>
      <c r="Q1224" s="41"/>
      <c r="R1224" s="111"/>
      <c r="S1224" s="110"/>
    </row>
    <row r="1225" spans="1:19">
      <c r="A1225" s="105">
        <v>2607</v>
      </c>
      <c r="B1225" s="41">
        <v>12000000</v>
      </c>
      <c r="C1225" s="41">
        <v>4.8999999999999998E-3</v>
      </c>
      <c r="D1225" s="41">
        <v>45.254800000000003</v>
      </c>
      <c r="E1225" s="41">
        <v>30</v>
      </c>
      <c r="F1225" s="41">
        <v>0</v>
      </c>
      <c r="G1225" s="41" t="s">
        <v>505</v>
      </c>
      <c r="H1225" s="41">
        <v>1</v>
      </c>
      <c r="I1225" s="41">
        <v>1</v>
      </c>
      <c r="J1225" s="108">
        <f>POWER(POWER(Table210[[#This Row],[mv]],4)/10,0.25)</f>
        <v>2.7554724934327106E-3</v>
      </c>
      <c r="K1225" s="41">
        <v>0</v>
      </c>
      <c r="L1225" s="41">
        <v>55</v>
      </c>
      <c r="M1225" s="41">
        <v>-1</v>
      </c>
      <c r="N1225" s="41">
        <v>2</v>
      </c>
      <c r="O1225" s="111" t="s">
        <v>3326</v>
      </c>
      <c r="P1225" s="109"/>
      <c r="Q1225" s="41"/>
      <c r="R1225" s="111"/>
      <c r="S1225" s="110"/>
    </row>
    <row r="1226" spans="1:19">
      <c r="A1226" s="105">
        <v>2608</v>
      </c>
      <c r="B1226" s="41">
        <v>12000000</v>
      </c>
      <c r="C1226" s="41">
        <v>5.4000000000000003E-3</v>
      </c>
      <c r="D1226" s="41">
        <v>11.313700000000001</v>
      </c>
      <c r="E1226" s="41">
        <v>30</v>
      </c>
      <c r="F1226" s="41">
        <v>0</v>
      </c>
      <c r="G1226" s="41" t="s">
        <v>505</v>
      </c>
      <c r="H1226" s="41">
        <v>1</v>
      </c>
      <c r="I1226" s="41">
        <v>1</v>
      </c>
      <c r="J1226" s="108">
        <f>POWER(POWER(Table210[[#This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2</v>
      </c>
      <c r="O1226" s="111" t="s">
        <v>3327</v>
      </c>
      <c r="P1226" s="109"/>
      <c r="Q1226" s="41"/>
      <c r="R1226" s="111"/>
      <c r="S1226" s="110"/>
    </row>
    <row r="1227" spans="1:19">
      <c r="A1227" s="105">
        <v>2609</v>
      </c>
      <c r="B1227" s="41">
        <v>12000000</v>
      </c>
      <c r="C1227" s="41">
        <v>5.4000000000000003E-3</v>
      </c>
      <c r="D1227" s="41">
        <v>16</v>
      </c>
      <c r="E1227" s="41">
        <v>30</v>
      </c>
      <c r="F1227" s="41">
        <v>0</v>
      </c>
      <c r="G1227" s="41" t="s">
        <v>505</v>
      </c>
      <c r="H1227" s="41">
        <v>1</v>
      </c>
      <c r="I1227" s="41">
        <v>1</v>
      </c>
      <c r="J1227" s="108">
        <f>POWER(POWER(Table210[[#This Row],[mv]],4)/10,0.25)</f>
        <v>3.0366431560278845E-3</v>
      </c>
      <c r="K1227" s="41">
        <v>0</v>
      </c>
      <c r="L1227" s="41">
        <v>55</v>
      </c>
      <c r="M1227" s="41">
        <v>-1</v>
      </c>
      <c r="N1227" s="41">
        <v>2</v>
      </c>
      <c r="O1227" s="111" t="s">
        <v>3328</v>
      </c>
      <c r="P1227" s="109"/>
      <c r="Q1227" s="41"/>
      <c r="R1227" s="111"/>
      <c r="S1227" s="110"/>
    </row>
    <row r="1228" spans="1:19">
      <c r="A1228" s="105">
        <v>2610</v>
      </c>
      <c r="B1228" s="41">
        <v>12000000</v>
      </c>
      <c r="C1228" s="41">
        <v>5.4000000000000003E-3</v>
      </c>
      <c r="D1228" s="41">
        <v>22.627400000000002</v>
      </c>
      <c r="E1228" s="41">
        <v>30</v>
      </c>
      <c r="F1228" s="41">
        <v>0</v>
      </c>
      <c r="G1228" s="41" t="s">
        <v>505</v>
      </c>
      <c r="H1228" s="41">
        <v>1</v>
      </c>
      <c r="I1228" s="41">
        <v>1</v>
      </c>
      <c r="J1228" s="108">
        <f>POWER(POWER(Table210[[#This Row],[mv]],4)/10,0.25)</f>
        <v>3.0366431560278845E-3</v>
      </c>
      <c r="K1228" s="41">
        <v>0</v>
      </c>
      <c r="L1228" s="41">
        <v>55</v>
      </c>
      <c r="M1228" s="41">
        <v>-1</v>
      </c>
      <c r="N1228" s="41">
        <v>2</v>
      </c>
      <c r="O1228" s="111" t="s">
        <v>3329</v>
      </c>
      <c r="P1228" s="109"/>
      <c r="Q1228" s="41"/>
      <c r="R1228" s="111"/>
      <c r="S1228" s="110"/>
    </row>
    <row r="1229" spans="1:19">
      <c r="A1229" s="105">
        <v>2611</v>
      </c>
      <c r="B1229" s="41">
        <v>12000000</v>
      </c>
      <c r="C1229" s="41">
        <v>5.4000000000000003E-3</v>
      </c>
      <c r="D1229" s="41">
        <v>32</v>
      </c>
      <c r="E1229" s="41">
        <v>30</v>
      </c>
      <c r="F1229" s="41">
        <v>0</v>
      </c>
      <c r="G1229" s="41" t="s">
        <v>505</v>
      </c>
      <c r="H1229" s="41">
        <v>1</v>
      </c>
      <c r="I1229" s="41">
        <v>1</v>
      </c>
      <c r="J1229" s="108">
        <f>POWER(POWER(Table210[[#This Row],[mv]],4)/10,0.25)</f>
        <v>3.0366431560278845E-3</v>
      </c>
      <c r="K1229" s="41">
        <v>0</v>
      </c>
      <c r="L1229" s="41">
        <v>55</v>
      </c>
      <c r="M1229" s="41">
        <v>-1</v>
      </c>
      <c r="N1229" s="41">
        <v>2</v>
      </c>
      <c r="O1229" s="111" t="s">
        <v>3330</v>
      </c>
      <c r="P1229" s="109"/>
      <c r="Q1229" s="41"/>
      <c r="R1229" s="111"/>
      <c r="S1229" s="110"/>
    </row>
    <row r="1230" spans="1:19">
      <c r="A1230" s="105">
        <v>2612</v>
      </c>
      <c r="B1230" s="41">
        <v>12000000</v>
      </c>
      <c r="C1230" s="41">
        <v>5.4000000000000003E-3</v>
      </c>
      <c r="D1230" s="41">
        <v>45.254800000000003</v>
      </c>
      <c r="E1230" s="41">
        <v>30</v>
      </c>
      <c r="F1230" s="41">
        <v>0</v>
      </c>
      <c r="G1230" s="41" t="s">
        <v>505</v>
      </c>
      <c r="H1230" s="41">
        <v>1</v>
      </c>
      <c r="I1230" s="41">
        <v>1</v>
      </c>
      <c r="J1230" s="108">
        <f>POWER(POWER(Table210[[#This Row],[mv]],4)/10,0.25)</f>
        <v>3.0366431560278845E-3</v>
      </c>
      <c r="K1230" s="41">
        <v>0</v>
      </c>
      <c r="L1230" s="41">
        <v>55</v>
      </c>
      <c r="M1230" s="41">
        <v>-1</v>
      </c>
      <c r="N1230" s="41">
        <v>2</v>
      </c>
      <c r="O1230" s="111" t="s">
        <v>3331</v>
      </c>
      <c r="P1230" s="109"/>
      <c r="Q1230" s="41"/>
      <c r="R1230" s="111"/>
      <c r="S1230" s="110"/>
    </row>
    <row r="1231" spans="1:19">
      <c r="A1231" s="105">
        <v>2613</v>
      </c>
      <c r="B1231" s="41">
        <v>12000000</v>
      </c>
      <c r="C1231" s="41">
        <v>5.8999999999999999E-3</v>
      </c>
      <c r="D1231" s="41">
        <v>11.313700000000001</v>
      </c>
      <c r="E1231" s="41">
        <v>30</v>
      </c>
      <c r="F1231" s="41">
        <v>0</v>
      </c>
      <c r="G1231" s="41" t="s">
        <v>505</v>
      </c>
      <c r="H1231" s="41">
        <v>1</v>
      </c>
      <c r="I1231" s="41">
        <v>1</v>
      </c>
      <c r="J1231" s="108">
        <f>POWER(POWER(Table210[[#This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2</v>
      </c>
      <c r="O1231" s="111" t="s">
        <v>3332</v>
      </c>
      <c r="P1231" s="109"/>
      <c r="Q1231" s="41"/>
      <c r="R1231" s="111"/>
      <c r="S1231" s="110"/>
    </row>
    <row r="1232" spans="1:19">
      <c r="A1232" s="105">
        <v>2614</v>
      </c>
      <c r="B1232" s="41">
        <v>12000000</v>
      </c>
      <c r="C1232" s="41">
        <v>5.8999999999999999E-3</v>
      </c>
      <c r="D1232" s="41">
        <v>16</v>
      </c>
      <c r="E1232" s="41">
        <v>30</v>
      </c>
      <c r="F1232" s="41">
        <v>0</v>
      </c>
      <c r="G1232" s="41" t="s">
        <v>505</v>
      </c>
      <c r="H1232" s="41">
        <v>1</v>
      </c>
      <c r="I1232" s="41">
        <v>1</v>
      </c>
      <c r="J1232" s="108">
        <f>POWER(POWER(Table210[[#This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2</v>
      </c>
      <c r="O1232" s="111" t="s">
        <v>3333</v>
      </c>
      <c r="P1232" s="109"/>
      <c r="Q1232" s="41"/>
      <c r="R1232" s="111"/>
      <c r="S1232" s="110"/>
    </row>
    <row r="1233" spans="1:19">
      <c r="A1233" s="105">
        <v>2615</v>
      </c>
      <c r="B1233" s="41">
        <v>12000000</v>
      </c>
      <c r="C1233" s="41">
        <v>5.8999999999999999E-3</v>
      </c>
      <c r="D1233" s="41">
        <v>22.627400000000002</v>
      </c>
      <c r="E1233" s="41">
        <v>30</v>
      </c>
      <c r="F1233" s="41">
        <v>0</v>
      </c>
      <c r="G1233" s="41" t="s">
        <v>505</v>
      </c>
      <c r="H1233" s="41">
        <v>1</v>
      </c>
      <c r="I1233" s="41">
        <v>1</v>
      </c>
      <c r="J1233" s="108">
        <f>POWER(POWER(Table210[[#This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2</v>
      </c>
      <c r="O1233" s="111" t="s">
        <v>3334</v>
      </c>
      <c r="P1233" s="109"/>
      <c r="Q1233" s="41"/>
      <c r="R1233" s="111"/>
      <c r="S1233" s="110"/>
    </row>
    <row r="1234" spans="1:19">
      <c r="A1234" s="105">
        <v>2616</v>
      </c>
      <c r="B1234" s="41">
        <v>12000000</v>
      </c>
      <c r="C1234" s="41">
        <v>5.8999999999999999E-3</v>
      </c>
      <c r="D1234" s="41">
        <v>32</v>
      </c>
      <c r="E1234" s="41">
        <v>30</v>
      </c>
      <c r="F1234" s="41">
        <v>0</v>
      </c>
      <c r="G1234" s="41" t="s">
        <v>505</v>
      </c>
      <c r="H1234" s="41">
        <v>1</v>
      </c>
      <c r="I1234" s="41">
        <v>1</v>
      </c>
      <c r="J1234" s="108">
        <f>POWER(POWER(Table210[[#This Row],[mv]],4)/10,0.25)</f>
        <v>3.3178138186230597E-3</v>
      </c>
      <c r="K1234" s="41">
        <v>0</v>
      </c>
      <c r="L1234" s="41">
        <v>55</v>
      </c>
      <c r="M1234" s="41">
        <v>-1</v>
      </c>
      <c r="N1234" s="41">
        <v>2</v>
      </c>
      <c r="O1234" s="111" t="s">
        <v>3335</v>
      </c>
      <c r="P1234" s="109"/>
      <c r="Q1234" s="41"/>
      <c r="R1234" s="111"/>
      <c r="S1234" s="110"/>
    </row>
    <row r="1235" spans="1:19">
      <c r="A1235" s="105">
        <v>2617</v>
      </c>
      <c r="B1235" s="41">
        <v>12000000</v>
      </c>
      <c r="C1235" s="41">
        <v>5.8999999999999999E-3</v>
      </c>
      <c r="D1235" s="41">
        <v>45.254800000000003</v>
      </c>
      <c r="E1235" s="41">
        <v>30</v>
      </c>
      <c r="F1235" s="41">
        <v>0</v>
      </c>
      <c r="G1235" s="41" t="s">
        <v>505</v>
      </c>
      <c r="H1235" s="41">
        <v>1</v>
      </c>
      <c r="I1235" s="41">
        <v>1</v>
      </c>
      <c r="J1235" s="108">
        <f>POWER(POWER(Table210[[#This Row],[mv]],4)/10,0.25)</f>
        <v>3.3178138186230597E-3</v>
      </c>
      <c r="K1235" s="41">
        <v>0</v>
      </c>
      <c r="L1235" s="41">
        <v>55</v>
      </c>
      <c r="M1235" s="41">
        <v>-1</v>
      </c>
      <c r="N1235" s="41">
        <v>2</v>
      </c>
      <c r="O1235" s="111" t="s">
        <v>3336</v>
      </c>
      <c r="P1235" s="109"/>
      <c r="Q1235" s="41"/>
      <c r="R1235" s="111"/>
      <c r="S1235" s="110"/>
    </row>
    <row r="1236" spans="1:19">
      <c r="A1236" s="105">
        <v>2618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505</v>
      </c>
      <c r="H1236" s="41">
        <v>1</v>
      </c>
      <c r="I1236" s="41">
        <v>1</v>
      </c>
      <c r="J1236" s="108">
        <f>POWER(POWER(Table210[[#This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2</v>
      </c>
      <c r="O1236" s="111" t="s">
        <v>3337</v>
      </c>
      <c r="P1236" s="109"/>
      <c r="Q1236" s="41"/>
      <c r="R1236" s="111"/>
      <c r="S1236" s="110"/>
    </row>
    <row r="1237" spans="1:19">
      <c r="A1237" s="105">
        <v>2619</v>
      </c>
      <c r="B1237" s="41">
        <v>12000000</v>
      </c>
      <c r="C1237" s="41">
        <v>6.4000000000000003E-3</v>
      </c>
      <c r="D1237" s="41">
        <v>22.627400000000002</v>
      </c>
      <c r="E1237" s="41">
        <v>30</v>
      </c>
      <c r="F1237" s="41">
        <v>0</v>
      </c>
      <c r="G1237" s="41" t="s">
        <v>505</v>
      </c>
      <c r="H1237" s="41">
        <v>1</v>
      </c>
      <c r="I1237" s="41">
        <v>1</v>
      </c>
      <c r="J1237" s="108">
        <f>POWER(POWER(Table210[[#This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2</v>
      </c>
      <c r="O1237" s="111" t="s">
        <v>3338</v>
      </c>
      <c r="P1237" s="109"/>
      <c r="Q1237" s="41"/>
      <c r="R1237" s="111"/>
      <c r="S1237" s="110"/>
    </row>
    <row r="1238" spans="1:19">
      <c r="A1238" s="105">
        <v>2620</v>
      </c>
      <c r="B1238" s="41">
        <v>12000000</v>
      </c>
      <c r="C1238" s="41">
        <v>6.4000000000000003E-3</v>
      </c>
      <c r="D1238" s="41">
        <v>32</v>
      </c>
      <c r="E1238" s="41">
        <v>30</v>
      </c>
      <c r="F1238" s="41">
        <v>0</v>
      </c>
      <c r="G1238" s="41" t="s">
        <v>505</v>
      </c>
      <c r="H1238" s="41">
        <v>1</v>
      </c>
      <c r="I1238" s="41">
        <v>1</v>
      </c>
      <c r="J1238" s="108">
        <f>POWER(POWER(Table210[[#This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2</v>
      </c>
      <c r="O1238" s="111" t="s">
        <v>3339</v>
      </c>
      <c r="P1238" s="109"/>
      <c r="Q1238" s="41"/>
      <c r="R1238" s="111"/>
      <c r="S1238" s="110"/>
    </row>
    <row r="1239" spans="1:19">
      <c r="A1239" s="105">
        <v>2621</v>
      </c>
      <c r="B1239" s="41">
        <v>12000000</v>
      </c>
      <c r="C1239" s="41">
        <v>6.4000000000000003E-3</v>
      </c>
      <c r="D1239" s="41">
        <v>45.254800000000003</v>
      </c>
      <c r="E1239" s="41">
        <v>30</v>
      </c>
      <c r="F1239" s="41">
        <v>0</v>
      </c>
      <c r="G1239" s="41" t="s">
        <v>505</v>
      </c>
      <c r="H1239" s="41">
        <v>1</v>
      </c>
      <c r="I1239" s="41">
        <v>1</v>
      </c>
      <c r="J1239" s="108">
        <f>POWER(POWER(Table210[[#This Row],[mv]],4)/10,0.25)</f>
        <v>3.5989844812182349E-3</v>
      </c>
      <c r="K1239" s="41">
        <v>0</v>
      </c>
      <c r="L1239" s="41">
        <v>55</v>
      </c>
      <c r="M1239" s="41">
        <v>-1</v>
      </c>
      <c r="N1239" s="41">
        <v>2</v>
      </c>
      <c r="O1239" s="111" t="s">
        <v>3340</v>
      </c>
      <c r="P1239" s="109"/>
      <c r="Q1239" s="41"/>
      <c r="R1239" s="111"/>
      <c r="S1239" s="110"/>
    </row>
    <row r="1240" spans="1:19">
      <c r="A1240" s="105">
        <v>2622</v>
      </c>
      <c r="B1240" s="41">
        <v>12000000</v>
      </c>
      <c r="C1240" s="41">
        <v>7.0000000000000001E-3</v>
      </c>
      <c r="D1240" s="41">
        <v>16</v>
      </c>
      <c r="E1240" s="41">
        <v>30</v>
      </c>
      <c r="F1240" s="41">
        <v>0</v>
      </c>
      <c r="G1240" s="41" t="s">
        <v>505</v>
      </c>
      <c r="H1240" s="41">
        <v>1</v>
      </c>
      <c r="I1240" s="41">
        <v>1</v>
      </c>
      <c r="J1240" s="108">
        <f>POWER(POWER(Table210[[#This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2</v>
      </c>
      <c r="O1240" s="111" t="s">
        <v>3341</v>
      </c>
      <c r="P1240" s="109"/>
      <c r="Q1240" s="41"/>
      <c r="R1240" s="111"/>
      <c r="S1240" s="110"/>
    </row>
    <row r="1241" spans="1:19">
      <c r="A1241" s="105">
        <v>2623</v>
      </c>
      <c r="B1241" s="41">
        <v>12000000</v>
      </c>
      <c r="C1241" s="41">
        <v>7.0000000000000001E-3</v>
      </c>
      <c r="D1241" s="41">
        <v>22.627400000000002</v>
      </c>
      <c r="E1241" s="41">
        <v>30</v>
      </c>
      <c r="F1241" s="41">
        <v>0</v>
      </c>
      <c r="G1241" s="41" t="s">
        <v>505</v>
      </c>
      <c r="H1241" s="41">
        <v>1</v>
      </c>
      <c r="I1241" s="41">
        <v>1</v>
      </c>
      <c r="J1241" s="108">
        <f>POWER(POWER(Table210[[#This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2</v>
      </c>
      <c r="O1241" s="111" t="s">
        <v>3342</v>
      </c>
      <c r="P1241" s="109"/>
      <c r="Q1241" s="41"/>
      <c r="R1241" s="111"/>
      <c r="S1241" s="110"/>
    </row>
    <row r="1242" spans="1:19">
      <c r="A1242" s="105">
        <v>2624</v>
      </c>
      <c r="B1242" s="41">
        <v>12000000</v>
      </c>
      <c r="C1242" s="41">
        <v>7.0000000000000001E-3</v>
      </c>
      <c r="D1242" s="41">
        <v>32</v>
      </c>
      <c r="E1242" s="41">
        <v>30</v>
      </c>
      <c r="F1242" s="41">
        <v>0</v>
      </c>
      <c r="G1242" s="41" t="s">
        <v>505</v>
      </c>
      <c r="H1242" s="41">
        <v>1</v>
      </c>
      <c r="I1242" s="41">
        <v>1</v>
      </c>
      <c r="J1242" s="108">
        <f>POWER(POWER(Table210[[#This Row],[mv]],4)/10,0.25)</f>
        <v>3.9363892763324441E-3</v>
      </c>
      <c r="K1242" s="41">
        <v>0</v>
      </c>
      <c r="L1242" s="41">
        <v>55</v>
      </c>
      <c r="M1242" s="41">
        <v>-1</v>
      </c>
      <c r="N1242" s="41">
        <v>2</v>
      </c>
      <c r="O1242" s="111" t="s">
        <v>3343</v>
      </c>
      <c r="P1242" s="109"/>
      <c r="Q1242" s="41"/>
      <c r="R1242" s="111"/>
      <c r="S1242" s="110"/>
    </row>
    <row r="1243" spans="1:19">
      <c r="A1243" s="105">
        <v>2625</v>
      </c>
      <c r="B1243" s="41">
        <v>12000000</v>
      </c>
      <c r="C1243" s="41">
        <v>7.0000000000000001E-3</v>
      </c>
      <c r="D1243" s="41">
        <v>45.254800000000003</v>
      </c>
      <c r="E1243" s="41">
        <v>30</v>
      </c>
      <c r="F1243" s="41">
        <v>0</v>
      </c>
      <c r="G1243" s="41" t="s">
        <v>505</v>
      </c>
      <c r="H1243" s="41">
        <v>1</v>
      </c>
      <c r="I1243" s="41">
        <v>1</v>
      </c>
      <c r="J1243" s="108">
        <f>POWER(POWER(Table210[[#This Row],[mv]],4)/10,0.25)</f>
        <v>3.9363892763324441E-3</v>
      </c>
      <c r="K1243" s="41">
        <v>0</v>
      </c>
      <c r="L1243" s="41">
        <v>55</v>
      </c>
      <c r="M1243" s="41">
        <v>-1</v>
      </c>
      <c r="N1243" s="41">
        <v>2</v>
      </c>
      <c r="O1243" s="111" t="s">
        <v>3344</v>
      </c>
      <c r="P1243" s="109"/>
      <c r="Q1243" s="41"/>
      <c r="R1243" s="111"/>
      <c r="S1243" s="110"/>
    </row>
    <row r="1244" spans="1:19">
      <c r="A1244" s="105">
        <v>2626</v>
      </c>
      <c r="B1244" s="41">
        <v>12000000</v>
      </c>
      <c r="C1244" s="41">
        <v>7.6E-3</v>
      </c>
      <c r="D1244" s="41">
        <v>22.627400000000002</v>
      </c>
      <c r="E1244" s="41">
        <v>30</v>
      </c>
      <c r="F1244" s="41">
        <v>0</v>
      </c>
      <c r="G1244" s="41" t="s">
        <v>505</v>
      </c>
      <c r="H1244" s="41">
        <v>1</v>
      </c>
      <c r="I1244" s="41">
        <v>1</v>
      </c>
      <c r="J1244" s="108">
        <f>POWER(POWER(Table210[[#This Row],[mv]],4)/10,0.25)</f>
        <v>4.2737940714466516E-3</v>
      </c>
      <c r="K1244" s="41">
        <v>0</v>
      </c>
      <c r="L1244" s="41">
        <v>55</v>
      </c>
      <c r="M1244" s="41">
        <v>-1</v>
      </c>
      <c r="N1244" s="41">
        <v>2</v>
      </c>
      <c r="O1244" s="111" t="s">
        <v>3345</v>
      </c>
      <c r="P1244" s="109"/>
      <c r="Q1244" s="41"/>
      <c r="R1244" s="111"/>
      <c r="S1244" s="110"/>
    </row>
    <row r="1245" spans="1:19">
      <c r="A1245" s="105">
        <v>2627</v>
      </c>
      <c r="B1245" s="41">
        <v>12000000</v>
      </c>
      <c r="C1245" s="41">
        <v>7.6E-3</v>
      </c>
      <c r="D1245" s="41">
        <v>32</v>
      </c>
      <c r="E1245" s="41">
        <v>30</v>
      </c>
      <c r="F1245" s="41">
        <v>0</v>
      </c>
      <c r="G1245" s="41" t="s">
        <v>505</v>
      </c>
      <c r="H1245" s="41">
        <v>1</v>
      </c>
      <c r="I1245" s="41">
        <v>1</v>
      </c>
      <c r="J1245" s="108">
        <f>POWER(POWER(Table210[[#This Row],[mv]],4)/10,0.25)</f>
        <v>4.2737940714466516E-3</v>
      </c>
      <c r="K1245" s="41">
        <v>0</v>
      </c>
      <c r="L1245" s="41">
        <v>55</v>
      </c>
      <c r="M1245" s="41">
        <v>-1</v>
      </c>
      <c r="N1245" s="41">
        <v>2</v>
      </c>
      <c r="O1245" s="111" t="s">
        <v>3346</v>
      </c>
      <c r="P1245" s="109"/>
      <c r="Q1245" s="41"/>
      <c r="R1245" s="111"/>
      <c r="S1245" s="110"/>
    </row>
    <row r="1246" spans="1:19">
      <c r="A1246" s="105">
        <v>2628</v>
      </c>
      <c r="B1246" s="41">
        <v>12000000</v>
      </c>
      <c r="C1246" s="41">
        <v>7.6E-3</v>
      </c>
      <c r="D1246" s="41">
        <v>45.254800000000003</v>
      </c>
      <c r="E1246" s="41">
        <v>30</v>
      </c>
      <c r="F1246" s="41">
        <v>0</v>
      </c>
      <c r="G1246" s="41" t="s">
        <v>505</v>
      </c>
      <c r="H1246" s="41">
        <v>1</v>
      </c>
      <c r="I1246" s="41">
        <v>1</v>
      </c>
      <c r="J1246" s="108">
        <f>POWER(POWER(Table210[[#This Row],[mv]],4)/10,0.25)</f>
        <v>4.2737940714466516E-3</v>
      </c>
      <c r="K1246" s="41">
        <v>0</v>
      </c>
      <c r="L1246" s="41">
        <v>55</v>
      </c>
      <c r="M1246" s="41">
        <v>-1</v>
      </c>
      <c r="N1246" s="41">
        <v>2</v>
      </c>
      <c r="O1246" s="111" t="s">
        <v>3347</v>
      </c>
      <c r="P1246" s="109"/>
      <c r="Q1246" s="41"/>
      <c r="R1246" s="111"/>
      <c r="S1246" s="110"/>
    </row>
    <row r="1247" spans="1:19">
      <c r="A1247" s="105">
        <v>2629</v>
      </c>
      <c r="B1247" s="41">
        <v>12000000</v>
      </c>
      <c r="C1247" s="41">
        <v>8.3000000000000001E-3</v>
      </c>
      <c r="D1247" s="41">
        <v>22.627400000000002</v>
      </c>
      <c r="E1247" s="41">
        <v>30</v>
      </c>
      <c r="F1247" s="41">
        <v>0</v>
      </c>
      <c r="G1247" s="41" t="s">
        <v>505</v>
      </c>
      <c r="H1247" s="41">
        <v>1</v>
      </c>
      <c r="I1247" s="41">
        <v>1</v>
      </c>
      <c r="J1247" s="108">
        <f>POWER(POWER(Table210[[#This Row],[mv]],4)/10,0.25)</f>
        <v>4.6674329990798978E-3</v>
      </c>
      <c r="K1247" s="41">
        <v>0</v>
      </c>
      <c r="L1247" s="41">
        <v>55</v>
      </c>
      <c r="M1247" s="41">
        <v>-1</v>
      </c>
      <c r="N1247" s="41">
        <v>2</v>
      </c>
      <c r="O1247" s="111" t="s">
        <v>3348</v>
      </c>
      <c r="P1247" s="109"/>
      <c r="Q1247" s="41"/>
      <c r="R1247" s="111"/>
      <c r="S1247" s="110"/>
    </row>
    <row r="1248" spans="1:19">
      <c r="A1248" s="105">
        <v>2630</v>
      </c>
      <c r="B1248" s="41">
        <v>12000000</v>
      </c>
      <c r="C1248" s="41">
        <v>8.3000000000000001E-3</v>
      </c>
      <c r="D1248" s="41">
        <v>32</v>
      </c>
      <c r="E1248" s="41">
        <v>30</v>
      </c>
      <c r="F1248" s="41">
        <v>0</v>
      </c>
      <c r="G1248" s="41" t="s">
        <v>505</v>
      </c>
      <c r="H1248" s="41">
        <v>1</v>
      </c>
      <c r="I1248" s="41">
        <v>1</v>
      </c>
      <c r="J1248" s="108">
        <f>POWER(POWER(Table210[[#This Row],[mv]],4)/10,0.25)</f>
        <v>4.6674329990798978E-3</v>
      </c>
      <c r="K1248" s="41">
        <v>0</v>
      </c>
      <c r="L1248" s="41">
        <v>55</v>
      </c>
      <c r="M1248" s="41">
        <v>-1</v>
      </c>
      <c r="N1248" s="41">
        <v>2</v>
      </c>
      <c r="O1248" s="111" t="s">
        <v>3349</v>
      </c>
      <c r="P1248" s="109"/>
      <c r="Q1248" s="41"/>
      <c r="R1248" s="111"/>
      <c r="S1248" s="110"/>
    </row>
    <row r="1249" spans="1:19">
      <c r="A1249" s="105">
        <v>2631</v>
      </c>
      <c r="B1249" s="41">
        <v>12000000</v>
      </c>
      <c r="C1249" s="41">
        <v>8.3000000000000001E-3</v>
      </c>
      <c r="D1249" s="41">
        <v>45.254800000000003</v>
      </c>
      <c r="E1249" s="41">
        <v>30</v>
      </c>
      <c r="F1249" s="41">
        <v>0</v>
      </c>
      <c r="G1249" s="41" t="s">
        <v>505</v>
      </c>
      <c r="H1249" s="41">
        <v>1</v>
      </c>
      <c r="I1249" s="41">
        <v>1</v>
      </c>
      <c r="J1249" s="108">
        <f>POWER(POWER(Table210[[#This Row],[mv]],4)/10,0.25)</f>
        <v>4.6674329990798978E-3</v>
      </c>
      <c r="K1249" s="41">
        <v>0</v>
      </c>
      <c r="L1249" s="41">
        <v>55</v>
      </c>
      <c r="M1249" s="41">
        <v>-1</v>
      </c>
      <c r="N1249" s="41">
        <v>2</v>
      </c>
      <c r="O1249" s="111" t="s">
        <v>3350</v>
      </c>
      <c r="P1249" s="109"/>
      <c r="Q1249" s="41"/>
      <c r="R1249" s="111"/>
      <c r="S1249" s="110"/>
    </row>
    <row r="1250" spans="1:19">
      <c r="A1250" s="105">
        <v>2632</v>
      </c>
      <c r="B1250" s="41">
        <v>12000000</v>
      </c>
      <c r="C1250" s="41">
        <v>9.1000000000000004E-3</v>
      </c>
      <c r="D1250" s="41">
        <v>32</v>
      </c>
      <c r="E1250" s="41">
        <v>30</v>
      </c>
      <c r="F1250" s="41">
        <v>0</v>
      </c>
      <c r="G1250" s="41" t="s">
        <v>505</v>
      </c>
      <c r="H1250" s="41">
        <v>1</v>
      </c>
      <c r="I1250" s="41">
        <v>1</v>
      </c>
      <c r="J1250" s="108">
        <f>POWER(POWER(Table210[[#This Row],[mv]],4)/10,0.25)</f>
        <v>5.1173060592321785E-3</v>
      </c>
      <c r="K1250" s="41">
        <v>0</v>
      </c>
      <c r="L1250" s="41">
        <v>55</v>
      </c>
      <c r="M1250" s="41">
        <v>-1</v>
      </c>
      <c r="N1250" s="41">
        <v>2</v>
      </c>
      <c r="O1250" s="111" t="s">
        <v>3351</v>
      </c>
      <c r="P1250" s="109"/>
      <c r="Q1250" s="41"/>
      <c r="R1250" s="111"/>
      <c r="S1250" s="110"/>
    </row>
    <row r="1251" spans="1:19">
      <c r="A1251" s="105">
        <v>2633</v>
      </c>
      <c r="B1251" s="41">
        <v>12000000</v>
      </c>
      <c r="C1251" s="41">
        <v>9.1000000000000004E-3</v>
      </c>
      <c r="D1251" s="41">
        <v>45.254800000000003</v>
      </c>
      <c r="E1251" s="41">
        <v>30</v>
      </c>
      <c r="F1251" s="41">
        <v>0</v>
      </c>
      <c r="G1251" s="41" t="s">
        <v>505</v>
      </c>
      <c r="H1251" s="41">
        <v>1</v>
      </c>
      <c r="I1251" s="41">
        <v>1</v>
      </c>
      <c r="J1251" s="108">
        <f>POWER(POWER(Table210[[#This Row],[mv]],4)/10,0.25)</f>
        <v>5.1173060592321785E-3</v>
      </c>
      <c r="K1251" s="41">
        <v>0</v>
      </c>
      <c r="L1251" s="41">
        <v>55</v>
      </c>
      <c r="M1251" s="41">
        <v>-1</v>
      </c>
      <c r="N1251" s="41">
        <v>2</v>
      </c>
      <c r="O1251" s="111" t="s">
        <v>3352</v>
      </c>
      <c r="P1251" s="109"/>
      <c r="Q1251" s="41"/>
      <c r="R1251" s="111"/>
      <c r="S1251" s="110"/>
    </row>
    <row r="1252" spans="1:19">
      <c r="A1252" s="105">
        <v>2634</v>
      </c>
      <c r="B1252" s="41">
        <v>12000000</v>
      </c>
      <c r="C1252" s="41">
        <v>9.9000000000000008E-3</v>
      </c>
      <c r="D1252" s="41">
        <v>32</v>
      </c>
      <c r="E1252" s="41">
        <v>30</v>
      </c>
      <c r="F1252" s="41">
        <v>0</v>
      </c>
      <c r="G1252" s="41" t="s">
        <v>505</v>
      </c>
      <c r="H1252" s="41">
        <v>1</v>
      </c>
      <c r="I1252" s="41">
        <v>1</v>
      </c>
      <c r="J1252" s="108">
        <f>POWER(POWER(Table210[[#This Row],[mv]],4)/10,0.25)</f>
        <v>5.5671791193844583E-3</v>
      </c>
      <c r="K1252" s="41">
        <v>0</v>
      </c>
      <c r="L1252" s="41">
        <v>55</v>
      </c>
      <c r="M1252" s="41">
        <v>-1</v>
      </c>
      <c r="N1252" s="41">
        <v>2</v>
      </c>
      <c r="O1252" s="111" t="s">
        <v>3353</v>
      </c>
      <c r="P1252" s="109"/>
      <c r="Q1252" s="41"/>
      <c r="R1252" s="111"/>
      <c r="S1252" s="110"/>
    </row>
    <row r="1253" spans="1:19">
      <c r="A1253" s="105">
        <v>2635</v>
      </c>
      <c r="B1253" s="41">
        <v>12000000</v>
      </c>
      <c r="C1253" s="41">
        <v>9.9000000000000008E-3</v>
      </c>
      <c r="D1253" s="41">
        <v>45.254800000000003</v>
      </c>
      <c r="E1253" s="41">
        <v>30</v>
      </c>
      <c r="F1253" s="41">
        <v>0</v>
      </c>
      <c r="G1253" s="41" t="s">
        <v>505</v>
      </c>
      <c r="H1253" s="41">
        <v>1</v>
      </c>
      <c r="I1253" s="41">
        <v>1</v>
      </c>
      <c r="J1253" s="108">
        <f>POWER(POWER(Table210[[#This Row],[mv]],4)/10,0.25)</f>
        <v>5.5671791193844583E-3</v>
      </c>
      <c r="K1253" s="41">
        <v>0</v>
      </c>
      <c r="L1253" s="41">
        <v>55</v>
      </c>
      <c r="M1253" s="41">
        <v>-1</v>
      </c>
      <c r="N1253" s="41">
        <v>2</v>
      </c>
      <c r="O1253" s="111" t="s">
        <v>3354</v>
      </c>
      <c r="P1253" s="109"/>
      <c r="Q1253" s="41"/>
      <c r="R1253" s="111"/>
      <c r="S1253" s="110"/>
    </row>
    <row r="1254" spans="1:19">
      <c r="A1254" s="105">
        <v>2636</v>
      </c>
      <c r="B1254" s="41">
        <v>12000000</v>
      </c>
      <c r="C1254" s="41">
        <v>1.0800000000000001E-2</v>
      </c>
      <c r="D1254" s="41">
        <v>45.254800000000003</v>
      </c>
      <c r="E1254" s="41">
        <v>30</v>
      </c>
      <c r="F1254" s="41">
        <v>0</v>
      </c>
      <c r="G1254" s="41" t="s">
        <v>505</v>
      </c>
      <c r="H1254" s="41">
        <v>1</v>
      </c>
      <c r="I1254" s="41">
        <v>1</v>
      </c>
      <c r="J1254" s="108">
        <f>POWER(POWER(Table210[[#This Row],[mv]],4)/10,0.25)</f>
        <v>6.0732863120557699E-3</v>
      </c>
      <c r="K1254" s="41">
        <v>0</v>
      </c>
      <c r="L1254" s="41">
        <v>55</v>
      </c>
      <c r="M1254" s="41">
        <v>-1</v>
      </c>
      <c r="N1254" s="41">
        <v>2</v>
      </c>
      <c r="O1254" s="111" t="s">
        <v>3355</v>
      </c>
      <c r="P1254" s="109"/>
      <c r="Q1254" s="41"/>
      <c r="R1254" s="111"/>
      <c r="S1254" s="110"/>
    </row>
    <row r="1255" spans="1:19">
      <c r="A1255" s="105">
        <v>2637</v>
      </c>
      <c r="B1255" s="41">
        <v>12000000</v>
      </c>
      <c r="C1255" s="41">
        <v>1.18E-2</v>
      </c>
      <c r="D1255" s="41">
        <v>45.254800000000003</v>
      </c>
      <c r="E1255" s="41">
        <v>30</v>
      </c>
      <c r="F1255" s="41">
        <v>0</v>
      </c>
      <c r="G1255" s="41" t="s">
        <v>505</v>
      </c>
      <c r="H1255" s="41">
        <v>1</v>
      </c>
      <c r="I1255" s="41">
        <v>1</v>
      </c>
      <c r="J1255" s="108">
        <f>POWER(POWER(Table210[[#This Row],[mv]],4)/10,0.25)</f>
        <v>6.6356276372461194E-3</v>
      </c>
      <c r="K1255" s="41">
        <v>0</v>
      </c>
      <c r="L1255" s="41">
        <v>55</v>
      </c>
      <c r="M1255" s="41">
        <v>-1</v>
      </c>
      <c r="N1255" s="41">
        <v>2</v>
      </c>
      <c r="O1255" s="111" t="s">
        <v>3356</v>
      </c>
      <c r="P1255" s="109"/>
      <c r="Q1255" s="41"/>
      <c r="R1255" s="111"/>
      <c r="S1255" s="110"/>
    </row>
    <row r="1256" spans="1:19">
      <c r="A1256" s="105"/>
      <c r="J1256" s="108"/>
      <c r="O1256" s="111"/>
      <c r="P1256" s="109"/>
      <c r="Q1256" s="41"/>
      <c r="R1256" s="111"/>
      <c r="S1256" s="110"/>
    </row>
    <row r="1257" spans="1:19">
      <c r="A1257" s="105"/>
      <c r="J1257" s="108"/>
      <c r="O1257" s="111"/>
      <c r="P1257" s="109"/>
      <c r="Q1257" s="41"/>
      <c r="R1257" s="111"/>
      <c r="S1257" s="110"/>
    </row>
    <row r="1258" spans="1:19">
      <c r="A1258" s="105"/>
      <c r="J1258" s="108"/>
      <c r="O1258" s="111"/>
      <c r="P1258" s="109"/>
      <c r="Q1258" s="41"/>
      <c r="R1258" s="111"/>
      <c r="S1258" s="110"/>
    </row>
    <row r="1259" spans="1:19">
      <c r="A1259" s="105"/>
      <c r="J1259" s="108"/>
      <c r="O1259" s="111"/>
      <c r="P1259" s="109"/>
      <c r="Q1259" s="41"/>
      <c r="R1259" s="111"/>
      <c r="S1259" s="110"/>
    </row>
    <row r="1260" spans="1:19">
      <c r="A1260" s="105"/>
      <c r="J1260" s="108"/>
      <c r="O1260" s="111"/>
      <c r="P1260" s="109"/>
      <c r="Q1260" s="41"/>
      <c r="R1260" s="111"/>
      <c r="S1260" s="110"/>
    </row>
    <row r="1261" spans="1:19">
      <c r="A1261" s="105"/>
      <c r="J1261" s="108"/>
      <c r="O1261" s="111"/>
      <c r="P1261" s="109"/>
      <c r="Q1261" s="41"/>
      <c r="R1261" s="111"/>
      <c r="S1261" s="110"/>
    </row>
    <row r="1262" spans="1:19">
      <c r="A1262" s="105"/>
      <c r="J1262" s="108"/>
      <c r="O1262" s="111"/>
      <c r="P1262" s="109"/>
      <c r="Q1262" s="41"/>
      <c r="R1262" s="111"/>
      <c r="S1262" s="110"/>
    </row>
    <row r="1263" spans="1:19">
      <c r="A1263" s="105"/>
      <c r="J1263" s="108"/>
      <c r="O1263" s="111"/>
      <c r="P1263" s="109"/>
      <c r="Q1263" s="41"/>
      <c r="R1263" s="111"/>
      <c r="S1263" s="110"/>
    </row>
    <row r="1264" spans="1:19">
      <c r="A1264" s="105"/>
      <c r="J1264" s="108"/>
      <c r="O1264" s="111"/>
      <c r="P1264" s="109"/>
      <c r="Q1264" s="41"/>
      <c r="R1264" s="111"/>
      <c r="S1264" s="110"/>
    </row>
    <row r="1265" spans="1:19">
      <c r="A1265" s="105"/>
      <c r="J1265" s="108"/>
      <c r="O1265" s="111"/>
      <c r="P1265" s="109"/>
      <c r="Q1265" s="41"/>
      <c r="R1265" s="111"/>
      <c r="S1265" s="110"/>
    </row>
    <row r="1266" spans="1:19">
      <c r="A1266" s="105"/>
      <c r="J1266" s="108"/>
      <c r="O1266" s="111"/>
      <c r="P1266" s="109"/>
      <c r="Q1266" s="41"/>
      <c r="R1266" s="111"/>
      <c r="S1266" s="110"/>
    </row>
    <row r="1267" spans="1:19">
      <c r="A1267" s="105"/>
      <c r="J1267" s="108"/>
      <c r="O1267" s="111"/>
      <c r="P1267" s="109"/>
      <c r="Q1267" s="41"/>
      <c r="R1267" s="111"/>
      <c r="S1267" s="110"/>
    </row>
    <row r="1268" spans="1:19">
      <c r="A1268" s="105"/>
      <c r="J1268" s="108"/>
      <c r="O1268" s="111"/>
      <c r="P1268" s="109"/>
      <c r="Q1268" s="41"/>
      <c r="R1268" s="111"/>
      <c r="S1268" s="110"/>
    </row>
    <row r="1269" spans="1:19">
      <c r="A1269" s="105"/>
      <c r="J1269" s="108"/>
      <c r="O1269" s="111"/>
      <c r="P1269" s="109"/>
      <c r="Q1269" s="41"/>
      <c r="R1269" s="111"/>
      <c r="S1269" s="110"/>
    </row>
    <row r="1270" spans="1:19">
      <c r="A1270" s="105"/>
      <c r="J1270" s="108"/>
      <c r="O1270" s="111"/>
      <c r="P1270" s="109"/>
      <c r="Q1270" s="41"/>
      <c r="R1270" s="111"/>
      <c r="S1270" s="110"/>
    </row>
    <row r="1271" spans="1:19">
      <c r="A1271" s="105"/>
      <c r="J1271" s="108"/>
      <c r="O1271" s="111"/>
      <c r="P1271" s="109"/>
      <c r="Q1271" s="41"/>
      <c r="R1271" s="111"/>
      <c r="S1271" s="110"/>
    </row>
    <row r="1272" spans="1:19">
      <c r="A1272" s="105"/>
      <c r="J1272" s="108"/>
      <c r="O1272" s="111"/>
      <c r="P1272" s="109"/>
      <c r="Q1272" s="41"/>
      <c r="R1272" s="111"/>
      <c r="S1272" s="110"/>
    </row>
    <row r="1273" spans="1:19">
      <c r="A1273" s="105"/>
      <c r="J1273" s="108"/>
      <c r="O1273" s="111"/>
      <c r="P1273" s="109"/>
      <c r="Q1273" s="41"/>
      <c r="R1273" s="111"/>
      <c r="S1273" s="110"/>
    </row>
    <row r="1274" spans="1:19">
      <c r="A1274" s="105"/>
      <c r="J1274" s="108"/>
      <c r="O1274" s="111"/>
      <c r="P1274" s="109"/>
      <c r="Q1274" s="41"/>
      <c r="R1274" s="111"/>
      <c r="S1274" s="110"/>
    </row>
    <row r="1275" spans="1:19">
      <c r="A1275" s="105"/>
      <c r="J1275" s="108"/>
      <c r="O1275" s="111"/>
      <c r="P1275" s="109"/>
      <c r="Q1275" s="41"/>
      <c r="R1275" s="111"/>
      <c r="S1275" s="110"/>
    </row>
    <row r="1276" spans="1:19">
      <c r="A1276" s="105"/>
      <c r="J1276" s="108"/>
      <c r="O1276" s="111"/>
      <c r="P1276" s="109"/>
      <c r="Q1276" s="41"/>
      <c r="R1276" s="111"/>
      <c r="S1276" s="110"/>
    </row>
    <row r="1277" spans="1:19">
      <c r="A1277" s="105"/>
      <c r="J1277" s="108"/>
      <c r="O1277" s="111"/>
      <c r="P1277" s="109"/>
      <c r="Q1277" s="41"/>
      <c r="R1277" s="111"/>
      <c r="S1277" s="110"/>
    </row>
    <row r="1278" spans="1:19">
      <c r="A1278" s="105"/>
      <c r="J1278" s="108"/>
      <c r="O1278" s="111"/>
      <c r="P1278" s="109"/>
      <c r="Q1278" s="41"/>
      <c r="R1278" s="111"/>
      <c r="S1278" s="110"/>
    </row>
    <row r="1279" spans="1:19">
      <c r="A1279" s="105"/>
      <c r="J1279" s="108"/>
      <c r="O1279" s="111"/>
      <c r="P1279" s="109"/>
      <c r="Q1279" s="41"/>
      <c r="R1279" s="111"/>
      <c r="S1279" s="110"/>
    </row>
    <row r="1280" spans="1:19">
      <c r="A1280" s="105"/>
      <c r="J1280" s="108"/>
      <c r="O1280" s="111"/>
      <c r="P1280" s="109"/>
      <c r="Q1280" s="41"/>
      <c r="R1280" s="111"/>
      <c r="S1280" s="110"/>
    </row>
    <row r="1281" spans="1:19">
      <c r="A1281" s="105"/>
      <c r="J1281" s="108"/>
      <c r="O1281" s="111"/>
      <c r="P1281" s="109"/>
      <c r="Q1281" s="41"/>
      <c r="R1281" s="111"/>
      <c r="S1281" s="110"/>
    </row>
    <row r="1282" spans="1:19">
      <c r="A1282" s="105"/>
      <c r="J1282" s="108"/>
      <c r="O1282" s="111"/>
      <c r="P1282" s="109"/>
      <c r="Q1282" s="41"/>
      <c r="R1282" s="111"/>
      <c r="S1282" s="110"/>
    </row>
    <row r="1283" spans="1:19">
      <c r="A1283" s="105"/>
      <c r="J1283" s="108"/>
      <c r="O1283" s="111"/>
      <c r="P1283" s="109"/>
      <c r="Q1283" s="41"/>
      <c r="R1283" s="111"/>
      <c r="S1283" s="110"/>
    </row>
    <row r="1284" spans="1:19">
      <c r="A1284" s="105"/>
      <c r="J1284" s="108"/>
      <c r="O1284" s="111"/>
      <c r="P1284" s="109"/>
      <c r="Q1284" s="41"/>
      <c r="R1284" s="111"/>
      <c r="S1284" s="110"/>
    </row>
    <row r="1285" spans="1:19">
      <c r="A1285" s="105"/>
      <c r="J1285" s="108"/>
      <c r="O1285" s="111"/>
      <c r="P1285" s="109"/>
      <c r="Q1285" s="41"/>
      <c r="R1285" s="111"/>
      <c r="S1285" s="110"/>
    </row>
    <row r="1286" spans="1:19">
      <c r="A1286" s="105"/>
      <c r="J1286" s="108"/>
      <c r="O1286" s="111"/>
      <c r="P1286" s="109"/>
      <c r="Q1286" s="41"/>
      <c r="R1286" s="111"/>
      <c r="S1286" s="110"/>
    </row>
    <row r="1287" spans="1:19">
      <c r="A1287" s="105"/>
      <c r="J1287" s="108"/>
      <c r="O1287" s="111"/>
      <c r="P1287" s="109"/>
      <c r="Q1287" s="41"/>
      <c r="R1287" s="111"/>
      <c r="S1287" s="110"/>
    </row>
    <row r="1288" spans="1:19">
      <c r="A1288" s="105"/>
      <c r="J1288" s="108"/>
      <c r="O1288" s="111"/>
      <c r="P1288" s="109"/>
      <c r="Q1288" s="41"/>
      <c r="R1288" s="111"/>
      <c r="S1288" s="110"/>
    </row>
    <row r="1289" spans="1:19">
      <c r="A1289" s="105"/>
      <c r="J1289" s="108"/>
      <c r="O1289" s="111"/>
      <c r="P1289" s="109"/>
      <c r="Q1289" s="41"/>
      <c r="R1289" s="111"/>
      <c r="S1289" s="110"/>
    </row>
    <row r="1290" spans="1:19">
      <c r="A1290" s="105"/>
      <c r="J1290" s="108"/>
      <c r="O1290" s="111"/>
      <c r="P1290" s="109"/>
      <c r="Q1290" s="41"/>
      <c r="R1290" s="111"/>
      <c r="S1290" s="110"/>
    </row>
    <row r="1291" spans="1:19">
      <c r="A1291" s="105"/>
      <c r="J1291" s="108"/>
      <c r="O1291" s="111"/>
      <c r="P1291" s="109"/>
      <c r="Q1291" s="41"/>
      <c r="R1291" s="111"/>
      <c r="S1291" s="110"/>
    </row>
    <row r="1292" spans="1:19">
      <c r="A1292" s="105"/>
      <c r="J1292" s="108"/>
      <c r="O1292" s="111"/>
      <c r="P1292" s="109"/>
      <c r="Q1292" s="41"/>
      <c r="R1292" s="111"/>
      <c r="S1292" s="110"/>
    </row>
    <row r="1293" spans="1:19">
      <c r="A1293" s="105"/>
      <c r="J1293" s="108"/>
      <c r="O1293" s="111"/>
      <c r="P1293" s="109"/>
      <c r="Q1293" s="41"/>
      <c r="R1293" s="111"/>
      <c r="S1293" s="110"/>
    </row>
    <row r="1294" spans="1:19">
      <c r="A1294" s="105"/>
      <c r="J1294" s="108"/>
      <c r="O1294" s="111"/>
      <c r="P1294" s="109"/>
      <c r="Q1294" s="41"/>
      <c r="R1294" s="111"/>
      <c r="S1294" s="110"/>
    </row>
    <row r="1295" spans="1:19">
      <c r="A1295" s="105"/>
      <c r="J1295" s="108"/>
      <c r="O1295" s="111"/>
      <c r="P1295" s="109"/>
      <c r="Q1295" s="41"/>
      <c r="R1295" s="111"/>
      <c r="S1295" s="110"/>
    </row>
    <row r="1296" spans="1:19">
      <c r="A1296" s="105"/>
      <c r="J1296" s="108"/>
      <c r="O1296" s="111"/>
      <c r="P1296" s="109"/>
      <c r="Q1296" s="41"/>
      <c r="R1296" s="111"/>
      <c r="S1296" s="110"/>
    </row>
    <row r="1297" spans="1:19">
      <c r="A1297" s="105"/>
      <c r="J1297" s="108"/>
      <c r="O1297" s="111"/>
      <c r="P1297" s="109"/>
      <c r="Q1297" s="41"/>
      <c r="R1297" s="111"/>
      <c r="S1297" s="110"/>
    </row>
    <row r="1298" spans="1:19">
      <c r="A1298" s="105"/>
      <c r="J1298" s="108"/>
      <c r="O1298" s="111"/>
      <c r="P1298" s="109"/>
      <c r="Q1298" s="41"/>
      <c r="R1298" s="111"/>
      <c r="S1298" s="110"/>
    </row>
    <row r="1299" spans="1:19">
      <c r="A1299" s="105"/>
      <c r="J1299" s="108"/>
      <c r="O1299" s="111"/>
      <c r="P1299" s="109"/>
      <c r="Q1299" s="41"/>
      <c r="R1299" s="111"/>
      <c r="S1299" s="110"/>
    </row>
    <row r="1300" spans="1:19">
      <c r="A1300" s="105"/>
      <c r="J1300" s="108"/>
      <c r="O1300" s="111"/>
      <c r="P1300" s="109"/>
      <c r="Q1300" s="41"/>
      <c r="R1300" s="111"/>
      <c r="S1300" s="110"/>
    </row>
    <row r="1301" spans="1:19">
      <c r="A1301" s="105"/>
      <c r="J1301" s="108"/>
      <c r="O1301" s="111"/>
      <c r="P1301" s="109"/>
      <c r="Q1301" s="41"/>
      <c r="R1301" s="111"/>
      <c r="S1301" s="110"/>
    </row>
    <row r="1302" spans="1:19">
      <c r="A1302" s="105"/>
      <c r="J1302" s="108"/>
      <c r="O1302" s="111"/>
      <c r="P1302" s="109"/>
      <c r="Q1302" s="41"/>
      <c r="R1302" s="111"/>
      <c r="S1302" s="110"/>
    </row>
    <row r="1303" spans="1:19">
      <c r="A1303" s="105"/>
      <c r="J1303" s="108"/>
      <c r="O1303" s="111"/>
      <c r="P1303" s="109"/>
      <c r="Q1303" s="41"/>
      <c r="R1303" s="111"/>
      <c r="S1303" s="110"/>
    </row>
    <row r="1304" spans="1:19">
      <c r="A1304" s="105"/>
      <c r="J1304" s="108"/>
      <c r="O1304" s="111"/>
      <c r="P1304" s="109"/>
      <c r="Q1304" s="41"/>
      <c r="R1304" s="111"/>
      <c r="S1304" s="110"/>
    </row>
    <row r="1305" spans="1:19">
      <c r="A1305" s="105"/>
      <c r="J1305" s="108"/>
      <c r="O1305" s="111"/>
      <c r="P1305" s="109"/>
      <c r="Q1305" s="41"/>
      <c r="R1305" s="111"/>
      <c r="S1305" s="110"/>
    </row>
    <row r="1306" spans="1:19">
      <c r="A1306" s="105"/>
      <c r="J1306" s="108"/>
      <c r="O1306" s="111"/>
      <c r="P1306" s="109"/>
      <c r="Q1306" s="41"/>
      <c r="R1306" s="111"/>
      <c r="S1306" s="110"/>
    </row>
    <row r="1307" spans="1:19">
      <c r="A1307" s="105"/>
      <c r="J1307" s="108"/>
      <c r="O1307" s="111"/>
      <c r="P1307" s="109"/>
      <c r="Q1307" s="41"/>
      <c r="R1307" s="111"/>
      <c r="S1307" s="110"/>
    </row>
    <row r="1308" spans="1:19">
      <c r="A1308" s="105"/>
      <c r="J1308" s="108"/>
      <c r="O1308" s="111"/>
      <c r="P1308" s="109"/>
      <c r="Q1308" s="41"/>
      <c r="R1308" s="111"/>
      <c r="S1308" s="110"/>
    </row>
    <row r="1309" spans="1:19">
      <c r="A1309" s="105"/>
      <c r="J1309" s="108"/>
      <c r="O1309" s="111"/>
      <c r="P1309" s="109"/>
      <c r="Q1309" s="41"/>
      <c r="R1309" s="111"/>
      <c r="S1309" s="110"/>
    </row>
    <row r="1310" spans="1:19">
      <c r="A1310" s="105"/>
      <c r="J1310" s="108"/>
      <c r="O1310" s="111"/>
      <c r="P1310" s="109"/>
      <c r="Q1310" s="41"/>
      <c r="R1310" s="111"/>
      <c r="S1310" s="110"/>
    </row>
    <row r="1311" spans="1:19">
      <c r="A1311" s="105"/>
      <c r="J1311" s="108"/>
      <c r="O1311" s="111"/>
      <c r="P1311" s="109"/>
      <c r="Q1311" s="41"/>
      <c r="R1311" s="111"/>
      <c r="S1311" s="110"/>
    </row>
    <row r="1312" spans="1:19">
      <c r="A1312" s="105"/>
      <c r="J1312" s="108"/>
      <c r="O1312" s="111"/>
      <c r="P1312" s="109"/>
      <c r="Q1312" s="41"/>
      <c r="R1312" s="111"/>
      <c r="S1312" s="110"/>
    </row>
    <row r="1313" spans="1:19">
      <c r="A1313" s="105"/>
      <c r="J1313" s="108"/>
      <c r="O1313" s="111"/>
      <c r="P1313" s="109"/>
      <c r="Q1313" s="41"/>
      <c r="R1313" s="111"/>
      <c r="S1313" s="110"/>
    </row>
    <row r="1314" spans="1:19">
      <c r="A1314" s="105"/>
      <c r="J1314" s="108"/>
      <c r="O1314" s="111"/>
      <c r="P1314" s="109"/>
      <c r="Q1314" s="41"/>
      <c r="R1314" s="111"/>
      <c r="S1314" s="110"/>
    </row>
    <row r="1315" spans="1:19">
      <c r="A1315" s="105"/>
      <c r="J1315" s="108"/>
      <c r="O1315" s="111"/>
      <c r="P1315" s="109"/>
      <c r="Q1315" s="41"/>
      <c r="R1315" s="111"/>
      <c r="S1315" s="110"/>
    </row>
    <row r="1316" spans="1:19">
      <c r="A1316" s="105"/>
      <c r="J1316" s="108"/>
      <c r="O1316" s="111"/>
      <c r="P1316" s="109"/>
      <c r="Q1316" s="41"/>
      <c r="R1316" s="111"/>
      <c r="S1316" s="110"/>
    </row>
    <row r="1317" spans="1:19">
      <c r="A1317" s="105"/>
      <c r="J1317" s="108"/>
      <c r="O1317" s="111"/>
      <c r="P1317" s="109"/>
      <c r="Q1317" s="41"/>
      <c r="R1317" s="111"/>
      <c r="S1317" s="110"/>
    </row>
    <row r="1318" spans="1:19">
      <c r="A1318" s="105"/>
      <c r="J1318" s="108"/>
      <c r="O1318" s="111"/>
      <c r="P1318" s="109"/>
      <c r="Q1318" s="41"/>
      <c r="R1318" s="111"/>
      <c r="S1318" s="110"/>
    </row>
    <row r="1319" spans="1:19">
      <c r="A1319" s="105"/>
      <c r="J1319" s="108"/>
      <c r="O1319" s="111"/>
      <c r="P1319" s="109"/>
      <c r="Q1319" s="41"/>
      <c r="R1319" s="111"/>
      <c r="S1319" s="110"/>
    </row>
    <row r="1320" spans="1:19">
      <c r="A1320" s="105"/>
      <c r="J1320" s="108"/>
      <c r="O1320" s="111"/>
      <c r="P1320" s="109"/>
      <c r="Q1320" s="41"/>
      <c r="R1320" s="111"/>
      <c r="S1320" s="110"/>
    </row>
    <row r="1321" spans="1:19">
      <c r="A1321" s="105"/>
      <c r="J1321" s="108"/>
      <c r="O1321" s="111"/>
      <c r="P1321" s="109"/>
      <c r="Q1321" s="41"/>
      <c r="R1321" s="111"/>
      <c r="S1321" s="110"/>
    </row>
    <row r="1322" spans="1:19">
      <c r="A1322" s="105"/>
      <c r="J1322" s="108"/>
      <c r="O1322" s="111"/>
      <c r="P1322" s="109"/>
      <c r="Q1322" s="41"/>
      <c r="R1322" s="111"/>
      <c r="S1322" s="110"/>
    </row>
    <row r="1323" spans="1:19">
      <c r="A1323" s="105"/>
      <c r="J1323" s="108"/>
      <c r="O1323" s="111"/>
      <c r="P1323" s="109"/>
      <c r="Q1323" s="41"/>
      <c r="R1323" s="111"/>
      <c r="S1323" s="110"/>
    </row>
    <row r="1324" spans="1:19">
      <c r="A1324" s="105"/>
      <c r="J1324" s="108"/>
      <c r="O1324" s="111"/>
      <c r="P1324" s="109"/>
      <c r="Q1324" s="41"/>
      <c r="R1324" s="111"/>
      <c r="S1324" s="110"/>
    </row>
    <row r="1325" spans="1:19">
      <c r="A1325" s="105"/>
      <c r="J1325" s="108"/>
      <c r="O1325" s="111"/>
      <c r="P1325" s="109"/>
      <c r="Q1325" s="41"/>
      <c r="R1325" s="111"/>
      <c r="S1325" s="110"/>
    </row>
    <row r="1326" spans="1:19">
      <c r="A1326" s="105"/>
      <c r="J1326" s="108"/>
      <c r="O1326" s="111"/>
      <c r="P1326" s="109"/>
      <c r="Q1326" s="41"/>
      <c r="R1326" s="111"/>
      <c r="S1326" s="110"/>
    </row>
    <row r="1327" spans="1:19">
      <c r="A1327" s="105"/>
      <c r="J1327" s="108"/>
      <c r="O1327" s="111"/>
      <c r="P1327" s="109"/>
      <c r="Q1327" s="41"/>
      <c r="R1327" s="111"/>
      <c r="S1327" s="110"/>
    </row>
    <row r="1328" spans="1:19">
      <c r="A1328" s="105"/>
      <c r="J1328" s="108"/>
      <c r="O1328" s="111"/>
      <c r="P1328" s="109"/>
      <c r="Q1328" s="41"/>
      <c r="R1328" s="111"/>
      <c r="S1328" s="110"/>
    </row>
    <row r="1329" spans="1:19">
      <c r="A1329" s="105"/>
      <c r="J1329" s="108"/>
      <c r="O1329" s="111"/>
      <c r="P1329" s="109"/>
      <c r="Q1329" s="41"/>
      <c r="R1329" s="111"/>
      <c r="S1329" s="110"/>
    </row>
    <row r="1330" spans="1:19">
      <c r="A1330" s="105"/>
      <c r="J1330" s="108"/>
      <c r="O1330" s="111"/>
      <c r="P1330" s="109"/>
      <c r="Q1330" s="41"/>
      <c r="R1330" s="111"/>
      <c r="S1330" s="110"/>
    </row>
    <row r="1331" spans="1:19">
      <c r="A1331" s="105"/>
      <c r="J1331" s="108"/>
      <c r="O1331" s="111"/>
      <c r="P1331" s="109"/>
      <c r="Q1331" s="41"/>
      <c r="R1331" s="111"/>
      <c r="S1331" s="110"/>
    </row>
    <row r="1332" spans="1:19">
      <c r="A1332" s="105"/>
      <c r="J1332" s="108"/>
      <c r="O1332" s="111"/>
      <c r="P1332" s="109"/>
      <c r="Q1332" s="41"/>
      <c r="R1332" s="111"/>
      <c r="S1332" s="110"/>
    </row>
    <row r="1333" spans="1:19">
      <c r="A1333" s="105"/>
      <c r="J1333" s="108"/>
      <c r="O1333" s="111"/>
      <c r="P1333" s="109"/>
      <c r="Q1333" s="41"/>
      <c r="R1333" s="111"/>
      <c r="S1333" s="110"/>
    </row>
    <row r="1334" spans="1:19">
      <c r="A1334" s="105"/>
      <c r="J1334" s="108"/>
      <c r="O1334" s="111"/>
      <c r="P1334" s="109"/>
      <c r="Q1334" s="41"/>
      <c r="R1334" s="111"/>
      <c r="S1334" s="110"/>
    </row>
    <row r="1335" spans="1:19">
      <c r="A1335" s="105"/>
      <c r="J1335" s="108"/>
      <c r="O1335" s="111"/>
      <c r="P1335" s="109"/>
      <c r="Q1335" s="41"/>
      <c r="R1335" s="111"/>
      <c r="S1335" s="110"/>
    </row>
    <row r="1336" spans="1:19">
      <c r="A1336" s="105"/>
      <c r="J1336" s="108"/>
      <c r="O1336" s="111"/>
      <c r="P1336" s="109"/>
      <c r="Q1336" s="41"/>
      <c r="R1336" s="111"/>
      <c r="S1336" s="110"/>
    </row>
    <row r="1337" spans="1:19">
      <c r="A1337" s="105"/>
      <c r="J1337" s="108"/>
      <c r="O1337" s="111"/>
      <c r="P1337" s="109"/>
      <c r="Q1337" s="41"/>
      <c r="R1337" s="111"/>
      <c r="S1337" s="110"/>
    </row>
    <row r="1338" spans="1:19">
      <c r="A1338" s="105"/>
      <c r="J1338" s="108"/>
      <c r="O1338" s="111"/>
      <c r="P1338" s="109"/>
      <c r="Q1338" s="41"/>
      <c r="R1338" s="111"/>
      <c r="S1338" s="110"/>
    </row>
    <row r="1339" spans="1:19">
      <c r="A1339" s="105"/>
      <c r="J1339" s="108"/>
      <c r="O1339" s="111"/>
      <c r="P1339" s="109"/>
      <c r="Q1339" s="41"/>
      <c r="R1339" s="111"/>
      <c r="S1339" s="110"/>
    </row>
    <row r="1340" spans="1:19">
      <c r="A1340" s="105"/>
      <c r="J1340" s="108"/>
      <c r="O1340" s="111"/>
      <c r="P1340" s="109"/>
      <c r="Q1340" s="41"/>
      <c r="R1340" s="111"/>
      <c r="S1340" s="110"/>
    </row>
    <row r="1341" spans="1:19">
      <c r="A1341" s="105"/>
      <c r="J1341" s="108"/>
      <c r="O1341" s="111"/>
      <c r="P1341" s="109"/>
      <c r="Q1341" s="41"/>
      <c r="R1341" s="111"/>
      <c r="S1341" s="110"/>
    </row>
    <row r="1342" spans="1:19">
      <c r="A1342" s="105"/>
      <c r="J1342" s="108"/>
      <c r="O1342" s="111"/>
      <c r="P1342" s="109"/>
      <c r="Q1342" s="41"/>
      <c r="R1342" s="111"/>
      <c r="S1342" s="110"/>
    </row>
    <row r="1343" spans="1:19">
      <c r="A1343" s="105"/>
      <c r="J1343" s="108"/>
      <c r="O1343" s="111"/>
      <c r="P1343" s="109"/>
      <c r="Q1343" s="41"/>
      <c r="R1343" s="111"/>
      <c r="S1343" s="110"/>
    </row>
    <row r="1344" spans="1:19">
      <c r="A1344" s="105"/>
      <c r="J1344" s="108"/>
      <c r="O1344" s="111"/>
      <c r="P1344" s="109"/>
      <c r="Q1344" s="41"/>
      <c r="R1344" s="111"/>
      <c r="S1344" s="110"/>
    </row>
    <row r="1345" spans="1:19">
      <c r="A1345" s="105"/>
      <c r="J1345" s="108"/>
      <c r="O1345" s="111"/>
      <c r="P1345" s="109"/>
      <c r="Q1345" s="41"/>
      <c r="R1345" s="111"/>
      <c r="S1345" s="110"/>
    </row>
    <row r="1346" spans="1:19">
      <c r="A1346" s="105"/>
      <c r="J1346" s="108"/>
      <c r="O1346" s="111"/>
      <c r="P1346" s="109"/>
      <c r="Q1346" s="41"/>
      <c r="R1346" s="111"/>
      <c r="S1346" s="110"/>
    </row>
    <row r="1347" spans="1:19">
      <c r="A1347" s="105"/>
      <c r="J1347" s="108"/>
      <c r="O1347" s="111"/>
      <c r="P1347" s="109"/>
      <c r="Q1347" s="41"/>
      <c r="R1347" s="111"/>
      <c r="S1347" s="110"/>
    </row>
    <row r="1348" spans="1:19">
      <c r="A1348" s="105"/>
      <c r="J1348" s="108"/>
      <c r="O1348" s="111"/>
      <c r="P1348" s="109"/>
      <c r="Q1348" s="41"/>
      <c r="R1348" s="111"/>
      <c r="S1348" s="110"/>
    </row>
    <row r="1349" spans="1:19">
      <c r="A1349" s="105"/>
      <c r="J1349" s="108"/>
      <c r="O1349" s="111"/>
      <c r="P1349" s="109"/>
      <c r="Q1349" s="41"/>
      <c r="R1349" s="111"/>
      <c r="S1349" s="110"/>
    </row>
    <row r="1350" spans="1:19">
      <c r="A1350" s="105"/>
      <c r="J1350" s="108"/>
      <c r="O1350" s="111"/>
      <c r="P1350" s="109"/>
      <c r="Q1350" s="41"/>
      <c r="R1350" s="111"/>
      <c r="S1350" s="110"/>
    </row>
    <row r="1351" spans="1:19">
      <c r="A1351" s="105"/>
      <c r="J1351" s="108"/>
      <c r="O1351" s="111"/>
      <c r="P1351" s="109"/>
      <c r="Q1351" s="41"/>
      <c r="R1351" s="111"/>
      <c r="S1351" s="110"/>
    </row>
    <row r="1352" spans="1:19">
      <c r="A1352" s="105"/>
      <c r="J1352" s="108"/>
      <c r="O1352" s="111"/>
      <c r="P1352" s="109"/>
      <c r="Q1352" s="41"/>
      <c r="R1352" s="111"/>
      <c r="S1352" s="110"/>
    </row>
    <row r="1353" spans="1:19">
      <c r="A1353" s="105"/>
      <c r="J1353" s="108"/>
      <c r="O1353" s="111"/>
      <c r="P1353" s="109"/>
      <c r="Q1353" s="41"/>
      <c r="R1353" s="111"/>
      <c r="S1353" s="110"/>
    </row>
    <row r="1354" spans="1:19">
      <c r="A1354" s="105"/>
      <c r="J1354" s="108"/>
      <c r="O1354" s="111"/>
      <c r="P1354" s="109"/>
      <c r="Q1354" s="41"/>
      <c r="R1354" s="111"/>
      <c r="S1354" s="110"/>
    </row>
    <row r="1355" spans="1:19">
      <c r="A1355" s="105"/>
      <c r="J1355" s="108"/>
      <c r="O1355" s="111"/>
      <c r="P1355" s="109"/>
      <c r="Q1355" s="41"/>
      <c r="R1355" s="111"/>
      <c r="S1355" s="110"/>
    </row>
    <row r="1356" spans="1:19">
      <c r="A1356" s="105"/>
      <c r="J1356" s="108"/>
      <c r="O1356" s="111"/>
      <c r="P1356" s="109"/>
      <c r="Q1356" s="41"/>
      <c r="R1356" s="111"/>
      <c r="S1356" s="110"/>
    </row>
    <row r="1357" spans="1:19">
      <c r="A1357" s="105"/>
      <c r="J1357" s="108"/>
      <c r="O1357" s="111"/>
      <c r="P1357" s="109"/>
      <c r="Q1357" s="41"/>
      <c r="R1357" s="111"/>
      <c r="S1357" s="110"/>
    </row>
    <row r="1358" spans="1:19">
      <c r="A1358" s="105"/>
      <c r="J1358" s="108"/>
      <c r="O1358" s="111"/>
      <c r="P1358" s="109"/>
      <c r="Q1358" s="41"/>
      <c r="R1358" s="111"/>
      <c r="S1358" s="110"/>
    </row>
    <row r="1359" spans="1:19">
      <c r="A1359" s="105"/>
      <c r="J1359" s="108"/>
      <c r="O1359" s="111"/>
      <c r="P1359" s="109"/>
      <c r="Q1359" s="41"/>
      <c r="R1359" s="111"/>
      <c r="S1359" s="110"/>
    </row>
    <row r="1360" spans="1:19">
      <c r="A1360" s="105"/>
      <c r="J1360" s="108"/>
      <c r="O1360" s="111"/>
      <c r="P1360" s="109"/>
      <c r="Q1360" s="41"/>
      <c r="R1360" s="111"/>
      <c r="S1360" s="110"/>
    </row>
    <row r="1361" spans="1:19">
      <c r="A1361" s="105"/>
      <c r="J1361" s="108"/>
      <c r="O1361" s="111"/>
      <c r="P1361" s="109"/>
      <c r="Q1361" s="41"/>
      <c r="R1361" s="111"/>
      <c r="S1361" s="110"/>
    </row>
    <row r="1362" spans="1:19">
      <c r="A1362" s="105"/>
      <c r="J1362" s="108"/>
      <c r="O1362" s="111"/>
      <c r="P1362" s="109"/>
      <c r="Q1362" s="41"/>
      <c r="R1362" s="111"/>
      <c r="S1362" s="110"/>
    </row>
    <row r="1363" spans="1:19">
      <c r="A1363" s="105"/>
      <c r="J1363" s="108"/>
      <c r="O1363" s="111"/>
      <c r="P1363" s="109"/>
      <c r="Q1363" s="41"/>
      <c r="R1363" s="111"/>
      <c r="S1363" s="110"/>
    </row>
    <row r="1364" spans="1:19">
      <c r="A1364" s="105"/>
      <c r="J1364" s="108"/>
      <c r="O1364" s="111"/>
      <c r="P1364" s="109"/>
      <c r="Q1364" s="41"/>
      <c r="R1364" s="111"/>
      <c r="S1364" s="110"/>
    </row>
    <row r="1365" spans="1:19">
      <c r="A1365" s="105"/>
      <c r="J1365" s="108"/>
      <c r="O1365" s="111"/>
      <c r="P1365" s="109"/>
      <c r="Q1365" s="41"/>
      <c r="R1365" s="111"/>
      <c r="S1365" s="110"/>
    </row>
    <row r="1366" spans="1:19">
      <c r="A1366" s="105"/>
      <c r="J1366" s="108"/>
      <c r="O1366" s="111"/>
      <c r="P1366" s="109"/>
      <c r="Q1366" s="41"/>
      <c r="R1366" s="111"/>
      <c r="S1366" s="110"/>
    </row>
    <row r="1367" spans="1:19">
      <c r="A1367" s="105"/>
      <c r="J1367" s="108"/>
      <c r="O1367" s="111"/>
      <c r="P1367" s="109"/>
      <c r="Q1367" s="41"/>
      <c r="R1367" s="111"/>
      <c r="S1367" s="110"/>
    </row>
    <row r="1368" spans="1:19">
      <c r="A1368" s="105"/>
      <c r="J1368" s="108"/>
      <c r="O1368" s="111"/>
      <c r="P1368" s="109"/>
      <c r="Q1368" s="41"/>
      <c r="R1368" s="111"/>
      <c r="S1368" s="110"/>
    </row>
    <row r="1369" spans="1:19">
      <c r="A1369" s="105"/>
      <c r="J1369" s="108"/>
      <c r="O1369" s="111"/>
      <c r="P1369" s="109"/>
      <c r="Q1369" s="41"/>
      <c r="R1369" s="111"/>
      <c r="S1369" s="110"/>
    </row>
    <row r="1370" spans="1:19">
      <c r="A1370" s="105"/>
      <c r="J1370" s="108"/>
      <c r="O1370" s="111"/>
      <c r="P1370" s="109"/>
      <c r="Q1370" s="41"/>
      <c r="R1370" s="111"/>
      <c r="S1370" s="110"/>
    </row>
    <row r="1371" spans="1:19">
      <c r="A1371" s="105"/>
      <c r="J1371" s="108"/>
      <c r="O1371" s="111"/>
      <c r="P1371" s="109"/>
      <c r="Q1371" s="41"/>
      <c r="R1371" s="111"/>
      <c r="S1371" s="110"/>
    </row>
    <row r="1372" spans="1:19">
      <c r="A1372" s="105"/>
      <c r="J1372" s="108"/>
      <c r="O1372" s="111"/>
      <c r="P1372" s="109"/>
      <c r="Q1372" s="41"/>
      <c r="R1372" s="111"/>
      <c r="S1372" s="110"/>
    </row>
    <row r="1373" spans="1:19">
      <c r="A1373" s="105"/>
      <c r="J1373" s="108"/>
      <c r="O1373" s="111"/>
      <c r="P1373" s="109"/>
      <c r="Q1373" s="41"/>
      <c r="R1373" s="111"/>
      <c r="S1373" s="110"/>
    </row>
    <row r="1374" spans="1:19">
      <c r="A1374" s="105"/>
      <c r="J1374" s="108"/>
      <c r="O1374" s="111"/>
      <c r="P1374" s="109"/>
      <c r="Q1374" s="41"/>
      <c r="R1374" s="111"/>
      <c r="S1374" s="110"/>
    </row>
    <row r="1375" spans="1:19">
      <c r="A1375" s="105"/>
      <c r="J1375" s="108"/>
      <c r="O1375" s="111"/>
      <c r="P1375" s="109"/>
      <c r="Q1375" s="41"/>
      <c r="R1375" s="111"/>
      <c r="S1375" s="110"/>
    </row>
    <row r="1376" spans="1:19">
      <c r="A1376" s="105"/>
      <c r="J1376" s="108"/>
      <c r="O1376" s="111"/>
      <c r="P1376" s="109"/>
      <c r="Q1376" s="41"/>
      <c r="R1376" s="111"/>
      <c r="S1376" s="110"/>
    </row>
    <row r="1377" spans="1:19">
      <c r="A1377" s="105"/>
      <c r="J1377" s="108"/>
      <c r="O1377" s="111"/>
      <c r="P1377" s="109"/>
      <c r="Q1377" s="41"/>
      <c r="R1377" s="111"/>
      <c r="S1377" s="110"/>
    </row>
    <row r="1378" spans="1:19">
      <c r="A1378" s="105"/>
      <c r="J1378" s="108"/>
      <c r="O1378" s="111"/>
      <c r="P1378" s="109"/>
      <c r="Q1378" s="41"/>
      <c r="R1378" s="111"/>
      <c r="S1378" s="110"/>
    </row>
    <row r="1379" spans="1:19">
      <c r="A1379" s="105"/>
      <c r="J1379" s="108"/>
      <c r="O1379" s="111"/>
      <c r="P1379" s="109"/>
      <c r="Q1379" s="41"/>
      <c r="R1379" s="111"/>
      <c r="S1379" s="110"/>
    </row>
    <row r="1380" spans="1:19">
      <c r="A1380" s="105"/>
      <c r="J1380" s="108"/>
      <c r="O1380" s="111"/>
      <c r="P1380" s="109"/>
      <c r="Q1380" s="41"/>
      <c r="R1380" s="111"/>
      <c r="S1380" s="110"/>
    </row>
    <row r="1381" spans="1:19">
      <c r="A1381" s="105"/>
      <c r="J1381" s="108"/>
      <c r="O1381" s="111"/>
      <c r="P1381" s="109"/>
      <c r="Q1381" s="41"/>
      <c r="R1381" s="111"/>
      <c r="S1381" s="110"/>
    </row>
    <row r="1382" spans="1:19">
      <c r="A1382" s="105"/>
      <c r="J1382" s="108"/>
      <c r="O1382" s="111"/>
      <c r="P1382" s="109"/>
      <c r="Q1382" s="41"/>
      <c r="R1382" s="111"/>
      <c r="S1382" s="110"/>
    </row>
    <row r="1383" spans="1:19">
      <c r="A1383" s="105"/>
      <c r="J1383" s="108"/>
      <c r="O1383" s="111"/>
      <c r="P1383" s="109"/>
      <c r="Q1383" s="41"/>
      <c r="R1383" s="111"/>
      <c r="S1383" s="110"/>
    </row>
    <row r="1384" spans="1:19">
      <c r="A1384" s="105"/>
      <c r="J1384" s="108"/>
      <c r="O1384" s="111"/>
      <c r="P1384" s="109"/>
      <c r="Q1384" s="41"/>
      <c r="R1384" s="111"/>
      <c r="S1384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384"/>
  <sheetViews>
    <sheetView topLeftCell="A1069" zoomScale="85" zoomScaleNormal="85" workbookViewId="0">
      <selection activeCell="O1090" sqref="O1090"/>
    </sheetView>
  </sheetViews>
  <sheetFormatPr defaultColWidth="0" defaultRowHeight="14.4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>
      <c r="A1" s="40" t="s">
        <v>520</v>
      </c>
      <c r="B1" s="40" t="s">
        <v>316</v>
      </c>
      <c r="C1" s="40" t="s">
        <v>111</v>
      </c>
      <c r="D1" s="40" t="s">
        <v>98</v>
      </c>
      <c r="E1" s="40" t="s">
        <v>317</v>
      </c>
      <c r="F1" s="40" t="s">
        <v>318</v>
      </c>
      <c r="G1" s="40" t="s">
        <v>99</v>
      </c>
      <c r="H1" s="40" t="s">
        <v>100</v>
      </c>
      <c r="I1" s="40" t="s">
        <v>102</v>
      </c>
      <c r="J1" s="40" t="s">
        <v>320</v>
      </c>
      <c r="K1" s="40" t="s">
        <v>321</v>
      </c>
      <c r="L1" s="40" t="s">
        <v>322</v>
      </c>
      <c r="M1" s="40" t="s">
        <v>323</v>
      </c>
      <c r="N1" s="40" t="s">
        <v>324</v>
      </c>
      <c r="O1" s="42" t="s">
        <v>404</v>
      </c>
      <c r="P1" s="42" t="s">
        <v>403</v>
      </c>
      <c r="Q1" s="42" t="s">
        <v>402</v>
      </c>
      <c r="R1" s="42" t="s">
        <v>101</v>
      </c>
      <c r="S1" s="42" t="s">
        <v>420</v>
      </c>
      <c r="T1"/>
      <c r="U1"/>
      <c r="V1"/>
    </row>
    <row r="2" spans="1:22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103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405</v>
      </c>
      <c r="P2" s="109">
        <v>186999</v>
      </c>
      <c r="Q2" s="107">
        <v>43145</v>
      </c>
      <c r="R2" s="111"/>
      <c r="S2" s="110" t="s">
        <v>419</v>
      </c>
      <c r="T2"/>
      <c r="U2"/>
      <c r="V2"/>
    </row>
    <row r="3" spans="1:22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103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406</v>
      </c>
      <c r="P3" s="109">
        <v>187000</v>
      </c>
      <c r="Q3" s="107">
        <v>43145</v>
      </c>
      <c r="R3" s="111"/>
      <c r="S3" s="110" t="s">
        <v>419</v>
      </c>
      <c r="T3"/>
      <c r="U3"/>
      <c r="V3"/>
    </row>
    <row r="4" spans="1:22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103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407</v>
      </c>
      <c r="P4" s="109">
        <v>187010</v>
      </c>
      <c r="Q4" s="107">
        <v>43145</v>
      </c>
      <c r="R4" s="111">
        <v>8.0173611111111112E-2</v>
      </c>
      <c r="S4" s="110" t="s">
        <v>419</v>
      </c>
      <c r="T4"/>
      <c r="U4"/>
      <c r="V4"/>
    </row>
    <row r="5" spans="1:22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103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408</v>
      </c>
      <c r="P5" s="109">
        <v>187008</v>
      </c>
      <c r="Q5" s="107">
        <v>43145</v>
      </c>
      <c r="R5" s="111">
        <v>9.3761574074074081E-2</v>
      </c>
      <c r="S5" s="110" t="s">
        <v>419</v>
      </c>
      <c r="T5"/>
      <c r="U5"/>
      <c r="V5"/>
    </row>
    <row r="6" spans="1:22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103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409</v>
      </c>
      <c r="P6" s="109">
        <v>187011</v>
      </c>
      <c r="Q6" s="107">
        <v>43145</v>
      </c>
      <c r="R6" s="111">
        <v>7.9756944444444436E-2</v>
      </c>
      <c r="S6" s="110" t="s">
        <v>419</v>
      </c>
      <c r="T6"/>
      <c r="U6"/>
      <c r="V6"/>
    </row>
    <row r="7" spans="1:22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103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410</v>
      </c>
      <c r="P7" s="109">
        <v>187012</v>
      </c>
      <c r="Q7" s="107">
        <v>43145</v>
      </c>
      <c r="R7" s="111">
        <v>6.6076388888888893E-2</v>
      </c>
      <c r="S7" s="110" t="s">
        <v>419</v>
      </c>
      <c r="T7"/>
      <c r="U7"/>
      <c r="V7"/>
    </row>
    <row r="8" spans="1:22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103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411</v>
      </c>
      <c r="P8" s="109">
        <v>187053</v>
      </c>
      <c r="Q8" s="107">
        <v>43145</v>
      </c>
      <c r="R8" s="111">
        <v>5.7604166666666672E-2</v>
      </c>
      <c r="S8" s="110" t="s">
        <v>419</v>
      </c>
      <c r="T8"/>
      <c r="U8"/>
      <c r="V8"/>
    </row>
    <row r="9" spans="1:22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103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412</v>
      </c>
      <c r="P9" s="109">
        <v>187042</v>
      </c>
      <c r="Q9" s="107">
        <v>43158</v>
      </c>
      <c r="R9" s="111">
        <v>3.2245370370370369E-2</v>
      </c>
      <c r="S9" s="110" t="s">
        <v>423</v>
      </c>
      <c r="T9"/>
      <c r="U9"/>
      <c r="V9"/>
    </row>
    <row r="10" spans="1:22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103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413</v>
      </c>
      <c r="P10" s="109">
        <v>187835</v>
      </c>
      <c r="Q10" s="107">
        <v>43159</v>
      </c>
      <c r="R10" s="111">
        <v>0.24395833333333336</v>
      </c>
      <c r="S10" s="110" t="s">
        <v>423</v>
      </c>
      <c r="T10"/>
      <c r="U10"/>
      <c r="V10"/>
    </row>
    <row r="11" spans="1:22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103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414</v>
      </c>
      <c r="P11" s="109">
        <v>187835</v>
      </c>
      <c r="Q11" s="107">
        <v>43159</v>
      </c>
      <c r="R11" s="111"/>
      <c r="S11" s="110" t="s">
        <v>423</v>
      </c>
      <c r="T11"/>
      <c r="U11"/>
      <c r="V11"/>
    </row>
    <row r="12" spans="1:22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103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415</v>
      </c>
      <c r="P12" s="109">
        <v>187835</v>
      </c>
      <c r="Q12" s="107">
        <v>43159</v>
      </c>
      <c r="R12" s="111"/>
      <c r="S12" s="110" t="s">
        <v>423</v>
      </c>
      <c r="T12"/>
      <c r="U12"/>
      <c r="V12"/>
    </row>
    <row r="13" spans="1:22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103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416</v>
      </c>
      <c r="P13" s="109">
        <v>187836</v>
      </c>
      <c r="Q13" s="107">
        <v>43159</v>
      </c>
      <c r="R13" s="111">
        <v>0.23957175925925925</v>
      </c>
      <c r="S13" s="110" t="s">
        <v>423</v>
      </c>
      <c r="T13"/>
      <c r="U13"/>
      <c r="V13"/>
    </row>
    <row r="14" spans="1:22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103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417</v>
      </c>
      <c r="P14" s="109">
        <v>187858</v>
      </c>
      <c r="Q14" s="107">
        <v>43159</v>
      </c>
      <c r="R14" s="111">
        <v>3.7581018518518521E-2</v>
      </c>
      <c r="S14" s="110" t="s">
        <v>423</v>
      </c>
      <c r="T14"/>
      <c r="U14"/>
      <c r="V14"/>
    </row>
    <row r="15" spans="1:22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103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418</v>
      </c>
      <c r="P15" s="109">
        <v>187836</v>
      </c>
      <c r="Q15" s="107">
        <v>43159</v>
      </c>
      <c r="R15" s="111"/>
      <c r="S15" s="110" t="s">
        <v>423</v>
      </c>
      <c r="T15"/>
      <c r="U15"/>
      <c r="V15"/>
    </row>
    <row r="16" spans="1:22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103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424</v>
      </c>
      <c r="P16" s="109">
        <v>190575</v>
      </c>
      <c r="Q16" s="107">
        <v>43221</v>
      </c>
      <c r="R16" s="111"/>
      <c r="S16" s="110" t="s">
        <v>451</v>
      </c>
      <c r="T16"/>
      <c r="U16"/>
      <c r="V16"/>
    </row>
    <row r="17" spans="1:22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103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425</v>
      </c>
      <c r="P17" s="109">
        <v>190575</v>
      </c>
      <c r="Q17" s="107">
        <v>43221</v>
      </c>
      <c r="R17" s="111">
        <v>2.5717592592592594E-2</v>
      </c>
      <c r="S17" s="110" t="s">
        <v>451</v>
      </c>
      <c r="T17"/>
      <c r="U17"/>
      <c r="V17"/>
    </row>
    <row r="18" spans="1:22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103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426</v>
      </c>
      <c r="P18" s="109">
        <v>190571</v>
      </c>
      <c r="Q18" s="107">
        <v>43221</v>
      </c>
      <c r="R18" s="111"/>
      <c r="S18" s="110" t="s">
        <v>451</v>
      </c>
      <c r="T18"/>
      <c r="U18"/>
      <c r="V18"/>
    </row>
    <row r="19" spans="1:22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103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427</v>
      </c>
      <c r="P19" s="109">
        <v>190628</v>
      </c>
      <c r="Q19" s="107">
        <v>43221</v>
      </c>
      <c r="R19" s="111"/>
      <c r="S19" s="110" t="s">
        <v>466</v>
      </c>
      <c r="T19"/>
      <c r="U19"/>
      <c r="V19"/>
    </row>
    <row r="20" spans="1:22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103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428</v>
      </c>
      <c r="P20" s="109">
        <v>190628</v>
      </c>
      <c r="Q20" s="107">
        <v>43221</v>
      </c>
      <c r="R20" s="111">
        <v>7.1319444444444449E-2</v>
      </c>
      <c r="S20" s="110" t="s">
        <v>466</v>
      </c>
      <c r="T20"/>
      <c r="U20"/>
      <c r="V20"/>
    </row>
    <row r="21" spans="1:22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103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429</v>
      </c>
      <c r="P21" s="109">
        <v>190623</v>
      </c>
      <c r="Q21" s="107">
        <v>43222</v>
      </c>
      <c r="R21" s="111"/>
      <c r="S21" s="110" t="s">
        <v>466</v>
      </c>
      <c r="T21"/>
      <c r="U21"/>
      <c r="V21"/>
    </row>
    <row r="22" spans="1:22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103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430</v>
      </c>
      <c r="P22" s="109">
        <v>190623</v>
      </c>
      <c r="Q22" s="107">
        <v>43222</v>
      </c>
      <c r="R22" s="111"/>
      <c r="S22" s="110" t="s">
        <v>466</v>
      </c>
      <c r="T22"/>
      <c r="U22"/>
      <c r="V22"/>
    </row>
    <row r="23" spans="1:22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103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452</v>
      </c>
      <c r="P23" s="109">
        <v>190624</v>
      </c>
      <c r="Q23" s="107">
        <v>43222</v>
      </c>
      <c r="R23" s="111"/>
      <c r="S23" s="110" t="s">
        <v>466</v>
      </c>
      <c r="T23"/>
      <c r="U23"/>
      <c r="V23"/>
    </row>
    <row r="24" spans="1:22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103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453</v>
      </c>
      <c r="P24" s="109">
        <v>190657</v>
      </c>
      <c r="Q24" s="107">
        <v>43223</v>
      </c>
      <c r="R24" s="111"/>
      <c r="S24" s="110" t="s">
        <v>466</v>
      </c>
      <c r="T24"/>
      <c r="U24"/>
      <c r="V24"/>
    </row>
    <row r="25" spans="1:22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103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454</v>
      </c>
      <c r="P25" s="109">
        <v>190629</v>
      </c>
      <c r="Q25" s="107">
        <v>43222</v>
      </c>
      <c r="R25" s="111"/>
      <c r="S25" s="110" t="s">
        <v>466</v>
      </c>
      <c r="T25"/>
      <c r="U25"/>
      <c r="V25"/>
    </row>
    <row r="26" spans="1:22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103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455</v>
      </c>
      <c r="P26" s="109">
        <v>190629</v>
      </c>
      <c r="Q26" s="107">
        <v>43222</v>
      </c>
      <c r="R26" s="111"/>
      <c r="S26" s="110" t="s">
        <v>466</v>
      </c>
      <c r="T26"/>
      <c r="U26"/>
      <c r="V26"/>
    </row>
    <row r="27" spans="1:22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103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456</v>
      </c>
      <c r="P27" s="109">
        <v>190629</v>
      </c>
      <c r="Q27" s="107">
        <v>43222</v>
      </c>
      <c r="R27" s="111"/>
      <c r="S27" s="110" t="s">
        <v>466</v>
      </c>
      <c r="T27"/>
      <c r="U27"/>
      <c r="V27"/>
    </row>
    <row r="28" spans="1:22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103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457</v>
      </c>
      <c r="P28" s="109">
        <v>190629</v>
      </c>
      <c r="Q28" s="107">
        <v>43222</v>
      </c>
      <c r="R28" s="111"/>
      <c r="S28" s="110" t="s">
        <v>466</v>
      </c>
      <c r="T28"/>
      <c r="U28"/>
      <c r="V28"/>
    </row>
    <row r="29" spans="1:22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103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458</v>
      </c>
      <c r="P29" s="109">
        <v>190629</v>
      </c>
      <c r="Q29" s="107">
        <v>43222</v>
      </c>
      <c r="R29" s="111"/>
      <c r="S29" s="110" t="s">
        <v>466</v>
      </c>
      <c r="T29"/>
      <c r="U29"/>
      <c r="V29"/>
    </row>
    <row r="30" spans="1:22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103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459</v>
      </c>
      <c r="P30" s="109">
        <v>190631</v>
      </c>
      <c r="Q30" s="107">
        <v>43222</v>
      </c>
      <c r="R30" s="111"/>
      <c r="S30" s="110" t="s">
        <v>466</v>
      </c>
      <c r="T30"/>
      <c r="U30"/>
      <c r="V30"/>
    </row>
    <row r="31" spans="1:22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103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460</v>
      </c>
      <c r="P31" s="109">
        <v>190631</v>
      </c>
      <c r="Q31" s="107">
        <v>43222</v>
      </c>
      <c r="R31" s="111"/>
      <c r="S31" s="110" t="s">
        <v>466</v>
      </c>
      <c r="T31"/>
      <c r="U31"/>
      <c r="V31"/>
    </row>
    <row r="32" spans="1:22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103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461</v>
      </c>
      <c r="P32" s="109">
        <v>190631</v>
      </c>
      <c r="Q32" s="107">
        <v>43222</v>
      </c>
      <c r="R32" s="111"/>
      <c r="S32" s="110" t="s">
        <v>466</v>
      </c>
      <c r="T32"/>
      <c r="U32"/>
      <c r="V32"/>
    </row>
    <row r="33" spans="1:22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103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462</v>
      </c>
      <c r="P33" s="109">
        <v>190631</v>
      </c>
      <c r="Q33" s="107">
        <v>43222</v>
      </c>
      <c r="R33" s="111"/>
      <c r="S33" s="110" t="s">
        <v>466</v>
      </c>
      <c r="T33"/>
      <c r="U33"/>
      <c r="V33"/>
    </row>
    <row r="34" spans="1:22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103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463</v>
      </c>
      <c r="P34" s="109">
        <v>190631</v>
      </c>
      <c r="Q34" s="107">
        <v>43222</v>
      </c>
      <c r="R34" s="111"/>
      <c r="S34" s="110" t="s">
        <v>466</v>
      </c>
      <c r="T34"/>
      <c r="U34"/>
      <c r="V34"/>
    </row>
    <row r="35" spans="1:22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103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464</v>
      </c>
      <c r="P35" s="109">
        <v>190631</v>
      </c>
      <c r="Q35" s="107">
        <v>43222</v>
      </c>
      <c r="R35" s="111"/>
      <c r="S35" s="110" t="s">
        <v>466</v>
      </c>
      <c r="T35"/>
      <c r="U35"/>
      <c r="V35"/>
    </row>
    <row r="36" spans="1:22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103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465</v>
      </c>
      <c r="P36" s="109">
        <v>190631</v>
      </c>
      <c r="Q36" s="107">
        <v>43222</v>
      </c>
      <c r="R36" s="111"/>
      <c r="S36" s="110" t="s">
        <v>466</v>
      </c>
      <c r="T36"/>
      <c r="U36"/>
      <c r="V36"/>
    </row>
    <row r="37" spans="1:22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103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468</v>
      </c>
      <c r="P37" s="109">
        <v>190647</v>
      </c>
      <c r="Q37" s="107">
        <v>43222</v>
      </c>
      <c r="R37" s="111"/>
      <c r="S37" s="110" t="s">
        <v>466</v>
      </c>
      <c r="T37"/>
      <c r="U37"/>
      <c r="V37"/>
    </row>
    <row r="38" spans="1:22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103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469</v>
      </c>
      <c r="P38" s="109">
        <v>190647</v>
      </c>
      <c r="Q38" s="107">
        <v>43222</v>
      </c>
      <c r="R38" s="111"/>
      <c r="S38" s="110" t="s">
        <v>466</v>
      </c>
      <c r="T38"/>
      <c r="U38"/>
      <c r="V38"/>
    </row>
    <row r="39" spans="1:22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103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470</v>
      </c>
      <c r="P39" s="109">
        <v>190647</v>
      </c>
      <c r="Q39" s="107">
        <v>43222</v>
      </c>
      <c r="R39" s="111"/>
      <c r="S39" s="110" t="s">
        <v>466</v>
      </c>
      <c r="T39"/>
      <c r="U39"/>
      <c r="V39"/>
    </row>
    <row r="40" spans="1:22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103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471</v>
      </c>
      <c r="P40" s="109">
        <v>190647</v>
      </c>
      <c r="Q40" s="107">
        <v>43222</v>
      </c>
      <c r="R40" s="111"/>
      <c r="S40" s="110" t="s">
        <v>466</v>
      </c>
      <c r="T40"/>
      <c r="U40"/>
      <c r="V40"/>
    </row>
    <row r="41" spans="1:22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103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472</v>
      </c>
      <c r="P41" s="109">
        <v>190647</v>
      </c>
      <c r="Q41" s="107">
        <v>43222</v>
      </c>
      <c r="R41" s="111"/>
      <c r="S41" s="110" t="s">
        <v>466</v>
      </c>
      <c r="T41"/>
      <c r="U41"/>
      <c r="V41"/>
    </row>
    <row r="42" spans="1:22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103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473</v>
      </c>
      <c r="P42" s="109">
        <v>190647</v>
      </c>
      <c r="Q42" s="107">
        <v>43222</v>
      </c>
      <c r="R42" s="111"/>
      <c r="S42" s="110" t="s">
        <v>466</v>
      </c>
      <c r="T42"/>
      <c r="U42"/>
      <c r="V42"/>
    </row>
    <row r="43" spans="1:22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103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474</v>
      </c>
      <c r="P43" s="109">
        <v>190647</v>
      </c>
      <c r="Q43" s="107">
        <v>43222</v>
      </c>
      <c r="R43" s="111"/>
      <c r="S43" s="110" t="s">
        <v>466</v>
      </c>
      <c r="T43"/>
      <c r="U43"/>
      <c r="V43"/>
    </row>
    <row r="44" spans="1:22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103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476</v>
      </c>
      <c r="P44" s="109">
        <v>190648</v>
      </c>
      <c r="Q44" s="107">
        <v>43222</v>
      </c>
      <c r="R44" s="111"/>
      <c r="S44" s="110" t="s">
        <v>466</v>
      </c>
      <c r="T44"/>
      <c r="U44"/>
      <c r="V44"/>
    </row>
    <row r="45" spans="1:22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103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477</v>
      </c>
      <c r="P45" s="109">
        <v>190648</v>
      </c>
      <c r="Q45" s="107">
        <v>43222</v>
      </c>
      <c r="R45" s="111"/>
      <c r="S45" s="110" t="s">
        <v>466</v>
      </c>
      <c r="T45"/>
      <c r="U45"/>
      <c r="V45"/>
    </row>
    <row r="46" spans="1:22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103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478</v>
      </c>
      <c r="P46" s="109">
        <v>190648</v>
      </c>
      <c r="Q46" s="107">
        <v>43222</v>
      </c>
      <c r="R46" s="111"/>
      <c r="S46" s="110" t="s">
        <v>466</v>
      </c>
      <c r="T46"/>
      <c r="U46"/>
      <c r="V46"/>
    </row>
    <row r="47" spans="1:22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103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479</v>
      </c>
      <c r="P47" s="109">
        <v>190648</v>
      </c>
      <c r="Q47" s="107">
        <v>43222</v>
      </c>
      <c r="R47" s="111"/>
      <c r="S47" s="110" t="s">
        <v>466</v>
      </c>
      <c r="T47"/>
      <c r="U47"/>
      <c r="V47"/>
    </row>
    <row r="48" spans="1:22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103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480</v>
      </c>
      <c r="P48" s="109">
        <v>190648</v>
      </c>
      <c r="Q48" s="107">
        <v>43222</v>
      </c>
      <c r="R48" s="111"/>
      <c r="S48" s="110" t="s">
        <v>466</v>
      </c>
      <c r="T48"/>
      <c r="U48"/>
      <c r="V48"/>
    </row>
    <row r="49" spans="1:22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103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481</v>
      </c>
      <c r="P49" s="109">
        <v>190648</v>
      </c>
      <c r="Q49" s="107">
        <v>43222</v>
      </c>
      <c r="R49" s="111"/>
      <c r="S49" s="110" t="s">
        <v>466</v>
      </c>
      <c r="T49"/>
      <c r="U49"/>
      <c r="V49"/>
    </row>
    <row r="50" spans="1:22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103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482</v>
      </c>
      <c r="P50" s="109">
        <v>190648</v>
      </c>
      <c r="Q50" s="107">
        <v>43222</v>
      </c>
      <c r="R50" s="111"/>
      <c r="S50" s="110" t="s">
        <v>466</v>
      </c>
      <c r="T50"/>
      <c r="U50"/>
      <c r="V50"/>
    </row>
    <row r="51" spans="1:22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103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483</v>
      </c>
      <c r="P51" s="109">
        <v>190649</v>
      </c>
      <c r="Q51" s="107">
        <v>43223</v>
      </c>
      <c r="R51" s="111"/>
      <c r="S51" s="110" t="s">
        <v>466</v>
      </c>
      <c r="T51"/>
      <c r="U51"/>
      <c r="V51"/>
    </row>
    <row r="52" spans="1:22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103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484</v>
      </c>
      <c r="P52" s="109">
        <v>190649</v>
      </c>
      <c r="Q52" s="107">
        <v>43223</v>
      </c>
      <c r="R52" s="111"/>
      <c r="S52" s="110" t="s">
        <v>466</v>
      </c>
      <c r="T52"/>
      <c r="U52"/>
      <c r="V52"/>
    </row>
    <row r="53" spans="1:22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103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485</v>
      </c>
      <c r="P53" s="109">
        <v>190649</v>
      </c>
      <c r="Q53" s="107">
        <v>43223</v>
      </c>
      <c r="R53" s="111"/>
      <c r="S53" s="110" t="s">
        <v>466</v>
      </c>
      <c r="T53"/>
      <c r="U53"/>
      <c r="V53"/>
    </row>
    <row r="54" spans="1:22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103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486</v>
      </c>
      <c r="P54" s="109">
        <v>190649</v>
      </c>
      <c r="Q54" s="107">
        <v>43223</v>
      </c>
      <c r="R54" s="111"/>
      <c r="S54" s="110" t="s">
        <v>466</v>
      </c>
      <c r="T54"/>
      <c r="U54"/>
      <c r="V54"/>
    </row>
    <row r="55" spans="1:22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103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487</v>
      </c>
      <c r="P55" s="109">
        <v>190649</v>
      </c>
      <c r="Q55" s="107">
        <v>43223</v>
      </c>
      <c r="R55" s="111"/>
      <c r="S55" s="110" t="s">
        <v>466</v>
      </c>
      <c r="T55"/>
      <c r="U55"/>
      <c r="V55"/>
    </row>
    <row r="56" spans="1:22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103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488</v>
      </c>
      <c r="P56" s="109">
        <v>190649</v>
      </c>
      <c r="Q56" s="107">
        <v>43223</v>
      </c>
      <c r="R56" s="111"/>
      <c r="S56" s="110" t="s">
        <v>466</v>
      </c>
      <c r="T56"/>
      <c r="U56"/>
      <c r="V56"/>
    </row>
    <row r="57" spans="1:22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103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489</v>
      </c>
      <c r="P57" s="109">
        <v>190649</v>
      </c>
      <c r="Q57" s="107">
        <v>43223</v>
      </c>
      <c r="R57" s="111"/>
      <c r="S57" s="110" t="s">
        <v>466</v>
      </c>
      <c r="T57"/>
      <c r="U57"/>
      <c r="V57"/>
    </row>
    <row r="58" spans="1:22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103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490</v>
      </c>
      <c r="P58" s="109">
        <v>190649</v>
      </c>
      <c r="Q58" s="107">
        <v>43223</v>
      </c>
      <c r="R58" s="111"/>
      <c r="S58" s="110" t="s">
        <v>466</v>
      </c>
      <c r="T58"/>
      <c r="U58"/>
      <c r="V58"/>
    </row>
    <row r="59" spans="1:22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103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491</v>
      </c>
      <c r="P59" s="109">
        <v>190649</v>
      </c>
      <c r="Q59" s="107">
        <v>43223</v>
      </c>
      <c r="R59" s="111"/>
      <c r="S59" s="110" t="s">
        <v>466</v>
      </c>
      <c r="T59"/>
      <c r="U59"/>
      <c r="V59"/>
    </row>
    <row r="60" spans="1:22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103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492</v>
      </c>
      <c r="P60" s="109">
        <v>190649</v>
      </c>
      <c r="Q60" s="107">
        <v>43223</v>
      </c>
      <c r="R60" s="111"/>
      <c r="S60" s="110" t="s">
        <v>466</v>
      </c>
      <c r="T60"/>
      <c r="U60"/>
      <c r="V60"/>
    </row>
    <row r="61" spans="1:22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103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493</v>
      </c>
      <c r="P61" s="109">
        <v>190649</v>
      </c>
      <c r="Q61" s="107">
        <v>43223</v>
      </c>
      <c r="R61" s="111"/>
      <c r="S61" s="110" t="s">
        <v>466</v>
      </c>
      <c r="T61"/>
      <c r="U61"/>
      <c r="V61"/>
    </row>
    <row r="62" spans="1:22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103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494</v>
      </c>
      <c r="P62" s="109">
        <v>190649</v>
      </c>
      <c r="Q62" s="107">
        <v>43223</v>
      </c>
      <c r="R62" s="111"/>
      <c r="S62" s="110" t="s">
        <v>466</v>
      </c>
      <c r="T62"/>
      <c r="U62"/>
      <c r="V62"/>
    </row>
    <row r="63" spans="1:22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103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495</v>
      </c>
      <c r="P63" s="109">
        <v>190649</v>
      </c>
      <c r="Q63" s="107">
        <v>43223</v>
      </c>
      <c r="R63" s="111"/>
      <c r="S63" s="110" t="s">
        <v>466</v>
      </c>
      <c r="T63"/>
      <c r="U63"/>
      <c r="V63"/>
    </row>
    <row r="64" spans="1:22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103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496</v>
      </c>
      <c r="P64" s="109">
        <v>190649</v>
      </c>
      <c r="Q64" s="107">
        <v>43223</v>
      </c>
      <c r="R64" s="111"/>
      <c r="S64" s="110" t="s">
        <v>466</v>
      </c>
      <c r="T64"/>
      <c r="U64"/>
      <c r="V64"/>
    </row>
    <row r="65" spans="1:22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103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501</v>
      </c>
      <c r="P65" s="109">
        <v>192218</v>
      </c>
      <c r="Q65" s="107"/>
      <c r="R65" s="111"/>
      <c r="S65" s="110" t="s">
        <v>1180</v>
      </c>
      <c r="T65"/>
      <c r="U65"/>
      <c r="V65"/>
    </row>
    <row r="66" spans="1:22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103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502</v>
      </c>
      <c r="P66" s="109">
        <v>192218</v>
      </c>
      <c r="Q66" s="107"/>
      <c r="R66" s="111"/>
      <c r="S66" s="110" t="s">
        <v>1180</v>
      </c>
      <c r="T66"/>
      <c r="U66"/>
      <c r="V66"/>
    </row>
    <row r="67" spans="1:22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505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506</v>
      </c>
      <c r="P67" s="109">
        <v>191112</v>
      </c>
      <c r="Q67" s="107"/>
      <c r="R67" s="111"/>
      <c r="S67" s="110" t="s">
        <v>1186</v>
      </c>
      <c r="T67"/>
      <c r="U67"/>
      <c r="V67"/>
    </row>
    <row r="68" spans="1:22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505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507</v>
      </c>
      <c r="P68" s="109">
        <v>191112</v>
      </c>
      <c r="Q68" s="107"/>
      <c r="R68" s="111"/>
      <c r="S68" s="110" t="s">
        <v>1186</v>
      </c>
      <c r="T68"/>
      <c r="U68"/>
      <c r="V68"/>
    </row>
    <row r="69" spans="1:22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505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508</v>
      </c>
      <c r="P69" s="109">
        <v>191112</v>
      </c>
      <c r="Q69" s="107"/>
      <c r="R69" s="111"/>
      <c r="S69" s="110" t="s">
        <v>1186</v>
      </c>
      <c r="T69"/>
      <c r="U69"/>
      <c r="V69"/>
    </row>
    <row r="70" spans="1:22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505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509</v>
      </c>
      <c r="P70" s="109">
        <v>191216</v>
      </c>
      <c r="Q70" s="107"/>
      <c r="R70" s="111"/>
      <c r="S70" s="110" t="s">
        <v>1186</v>
      </c>
      <c r="T70"/>
      <c r="U70"/>
      <c r="V70"/>
    </row>
    <row r="71" spans="1:22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505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510</v>
      </c>
      <c r="P71" s="109">
        <v>191216</v>
      </c>
      <c r="Q71" s="107"/>
      <c r="R71" s="111"/>
      <c r="S71" s="110" t="s">
        <v>1186</v>
      </c>
      <c r="T71"/>
      <c r="U71"/>
      <c r="V71"/>
    </row>
    <row r="72" spans="1:22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505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511</v>
      </c>
      <c r="P72" s="109">
        <v>191217</v>
      </c>
      <c r="Q72" s="107"/>
      <c r="R72" s="111"/>
      <c r="S72" s="110" t="s">
        <v>1186</v>
      </c>
      <c r="T72"/>
      <c r="U72"/>
      <c r="V72"/>
    </row>
    <row r="73" spans="1:22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505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512</v>
      </c>
      <c r="P73" s="109">
        <v>191217</v>
      </c>
      <c r="Q73" s="107"/>
      <c r="R73" s="111"/>
      <c r="S73" s="110" t="s">
        <v>1186</v>
      </c>
      <c r="T73"/>
      <c r="U73"/>
      <c r="V73"/>
    </row>
    <row r="74" spans="1:22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505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513</v>
      </c>
      <c r="P74" s="109">
        <v>191156</v>
      </c>
      <c r="Q74" s="107"/>
      <c r="R74" s="111"/>
      <c r="S74" s="110" t="s">
        <v>1186</v>
      </c>
      <c r="T74"/>
      <c r="U74"/>
      <c r="V74"/>
    </row>
    <row r="75" spans="1:22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505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514</v>
      </c>
      <c r="P75" s="109">
        <v>191156</v>
      </c>
      <c r="Q75" s="107"/>
      <c r="R75" s="111"/>
      <c r="S75" s="110" t="s">
        <v>1186</v>
      </c>
      <c r="T75"/>
      <c r="U75"/>
      <c r="V75"/>
    </row>
    <row r="76" spans="1:22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505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515</v>
      </c>
      <c r="P76" s="109">
        <v>191156</v>
      </c>
      <c r="Q76" s="107"/>
      <c r="R76" s="111"/>
      <c r="S76" s="110" t="s">
        <v>1186</v>
      </c>
      <c r="T76"/>
      <c r="U76"/>
      <c r="V76"/>
    </row>
    <row r="77" spans="1:22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505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516</v>
      </c>
      <c r="P77" s="109">
        <v>191156</v>
      </c>
      <c r="Q77" s="107"/>
      <c r="R77" s="111"/>
      <c r="S77" s="110" t="s">
        <v>1186</v>
      </c>
      <c r="T77"/>
      <c r="U77"/>
      <c r="V77"/>
    </row>
    <row r="78" spans="1:22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505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517</v>
      </c>
      <c r="P78" s="109">
        <v>191156</v>
      </c>
      <c r="Q78" s="107"/>
      <c r="R78" s="111"/>
      <c r="S78" s="110" t="s">
        <v>1186</v>
      </c>
      <c r="T78"/>
      <c r="U78"/>
      <c r="V78"/>
    </row>
    <row r="79" spans="1:22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505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518</v>
      </c>
      <c r="P79" s="109">
        <v>191156</v>
      </c>
      <c r="Q79" s="107"/>
      <c r="R79" s="111"/>
      <c r="S79" s="110" t="s">
        <v>1186</v>
      </c>
      <c r="T79"/>
      <c r="U79"/>
      <c r="V79"/>
    </row>
    <row r="80" spans="1:22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505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519</v>
      </c>
      <c r="P80" s="109">
        <v>191156</v>
      </c>
      <c r="Q80" s="107"/>
      <c r="R80" s="111"/>
      <c r="S80" s="110" t="s">
        <v>1186</v>
      </c>
      <c r="T80"/>
      <c r="U80"/>
      <c r="V80"/>
    </row>
    <row r="81" spans="1:22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505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523</v>
      </c>
      <c r="P81" s="109">
        <v>191448</v>
      </c>
      <c r="Q81" s="107"/>
      <c r="R81" s="111"/>
      <c r="S81" s="110" t="s">
        <v>1186</v>
      </c>
      <c r="T81"/>
      <c r="U81"/>
      <c r="V81"/>
    </row>
    <row r="82" spans="1:22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505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524</v>
      </c>
      <c r="P82" s="109">
        <v>191448</v>
      </c>
      <c r="Q82" s="107"/>
      <c r="R82" s="111"/>
      <c r="S82" s="110" t="s">
        <v>1186</v>
      </c>
      <c r="T82"/>
      <c r="U82"/>
      <c r="V82"/>
    </row>
    <row r="83" spans="1:22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505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525</v>
      </c>
      <c r="P83" s="109">
        <v>191488</v>
      </c>
      <c r="Q83" s="107"/>
      <c r="R83" s="111"/>
      <c r="S83" s="110" t="s">
        <v>1186</v>
      </c>
      <c r="T83"/>
      <c r="U83"/>
      <c r="V83"/>
    </row>
    <row r="84" spans="1:22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505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526</v>
      </c>
      <c r="P84" s="109">
        <v>191488</v>
      </c>
      <c r="Q84" s="107"/>
      <c r="R84" s="111"/>
      <c r="S84" s="110" t="s">
        <v>1186</v>
      </c>
      <c r="T84"/>
      <c r="U84"/>
      <c r="V84"/>
    </row>
    <row r="85" spans="1:22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505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527</v>
      </c>
      <c r="P85" s="109">
        <v>191488</v>
      </c>
      <c r="Q85" s="107"/>
      <c r="R85" s="111"/>
      <c r="S85" s="110" t="s">
        <v>1186</v>
      </c>
      <c r="T85"/>
      <c r="U85"/>
      <c r="V85"/>
    </row>
    <row r="86" spans="1:22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505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528</v>
      </c>
      <c r="P86" s="109">
        <v>191488</v>
      </c>
      <c r="Q86" s="107"/>
      <c r="R86" s="111"/>
      <c r="S86" s="110" t="s">
        <v>1186</v>
      </c>
      <c r="T86"/>
      <c r="U86"/>
      <c r="V86"/>
    </row>
    <row r="87" spans="1:22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505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529</v>
      </c>
      <c r="P87" s="109">
        <v>191488</v>
      </c>
      <c r="Q87" s="107"/>
      <c r="R87" s="111"/>
      <c r="S87" s="110" t="s">
        <v>1186</v>
      </c>
      <c r="T87"/>
      <c r="U87"/>
      <c r="V87"/>
    </row>
    <row r="88" spans="1:22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505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530</v>
      </c>
      <c r="P88" s="109">
        <v>191449</v>
      </c>
      <c r="Q88" s="107"/>
      <c r="R88" s="111"/>
      <c r="S88" s="110" t="s">
        <v>1186</v>
      </c>
      <c r="T88"/>
      <c r="U88"/>
      <c r="V88"/>
    </row>
    <row r="89" spans="1:22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505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531</v>
      </c>
      <c r="P89" s="109">
        <v>191449</v>
      </c>
      <c r="Q89" s="107"/>
      <c r="R89" s="111"/>
      <c r="S89" s="110" t="s">
        <v>1186</v>
      </c>
      <c r="T89"/>
      <c r="U89"/>
      <c r="V89"/>
    </row>
    <row r="90" spans="1:22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505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532</v>
      </c>
      <c r="P90" s="109">
        <v>191449</v>
      </c>
      <c r="Q90" s="107"/>
      <c r="R90" s="111"/>
      <c r="S90" s="110" t="s">
        <v>1186</v>
      </c>
      <c r="T90"/>
      <c r="U90"/>
      <c r="V90"/>
    </row>
    <row r="91" spans="1:22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505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533</v>
      </c>
      <c r="P91" s="109">
        <v>191564</v>
      </c>
      <c r="Q91" s="107"/>
      <c r="R91" s="111"/>
      <c r="S91" s="110" t="s">
        <v>1186</v>
      </c>
      <c r="T91"/>
      <c r="U91"/>
      <c r="V91"/>
    </row>
    <row r="92" spans="1:22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505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534</v>
      </c>
      <c r="P92" s="109">
        <v>191564</v>
      </c>
      <c r="Q92" s="107"/>
      <c r="R92" s="111"/>
      <c r="S92" s="110" t="s">
        <v>1186</v>
      </c>
      <c r="T92"/>
      <c r="U92"/>
      <c r="V92"/>
    </row>
    <row r="93" spans="1:22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505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535</v>
      </c>
      <c r="P93" s="109"/>
      <c r="Q93" s="107"/>
      <c r="R93" s="111"/>
      <c r="S93" s="110" t="s">
        <v>1186</v>
      </c>
      <c r="T93"/>
      <c r="U93"/>
      <c r="V93"/>
    </row>
    <row r="94" spans="1:22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505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536</v>
      </c>
      <c r="P94" s="109"/>
      <c r="Q94" s="107"/>
      <c r="R94" s="111"/>
      <c r="S94" s="110" t="s">
        <v>1186</v>
      </c>
      <c r="T94"/>
      <c r="U94"/>
      <c r="V94"/>
    </row>
    <row r="95" spans="1:22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505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537</v>
      </c>
      <c r="P95" s="109"/>
      <c r="Q95" s="107"/>
      <c r="R95" s="111"/>
      <c r="S95" s="110" t="s">
        <v>1186</v>
      </c>
      <c r="T95"/>
      <c r="U95"/>
      <c r="V95"/>
    </row>
    <row r="96" spans="1:22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505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538</v>
      </c>
      <c r="P96" s="109"/>
      <c r="Q96" s="107"/>
      <c r="R96" s="111"/>
      <c r="S96" s="110" t="s">
        <v>1186</v>
      </c>
      <c r="T96"/>
      <c r="U96"/>
      <c r="V96"/>
    </row>
    <row r="97" spans="1:22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505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539</v>
      </c>
      <c r="P97" s="109"/>
      <c r="Q97" s="107"/>
      <c r="R97" s="111"/>
      <c r="S97" s="110" t="s">
        <v>1186</v>
      </c>
      <c r="T97"/>
      <c r="U97"/>
      <c r="V97"/>
    </row>
    <row r="98" spans="1:22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505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540</v>
      </c>
      <c r="P98" s="109"/>
      <c r="Q98" s="107"/>
      <c r="R98" s="111"/>
      <c r="S98" s="110" t="s">
        <v>1186</v>
      </c>
      <c r="T98"/>
      <c r="U98"/>
      <c r="V98"/>
    </row>
    <row r="99" spans="1:22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505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541</v>
      </c>
      <c r="P99" s="109"/>
      <c r="Q99" s="107"/>
      <c r="R99" s="111"/>
      <c r="S99" s="110" t="s">
        <v>1186</v>
      </c>
      <c r="T99"/>
      <c r="U99"/>
      <c r="V99"/>
    </row>
    <row r="100" spans="1:22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505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542</v>
      </c>
      <c r="P100" s="109"/>
      <c r="Q100" s="107"/>
      <c r="R100" s="111"/>
      <c r="S100" s="110" t="s">
        <v>1186</v>
      </c>
      <c r="T100"/>
      <c r="U100"/>
      <c r="V100"/>
    </row>
    <row r="101" spans="1:22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505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543</v>
      </c>
      <c r="P101" s="109"/>
      <c r="Q101" s="107"/>
      <c r="R101" s="111"/>
      <c r="S101" s="110" t="s">
        <v>1186</v>
      </c>
      <c r="T101"/>
      <c r="U101"/>
      <c r="V101"/>
    </row>
    <row r="102" spans="1:22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505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544</v>
      </c>
      <c r="P102" s="109"/>
      <c r="Q102" s="107"/>
      <c r="R102" s="111"/>
      <c r="S102" s="110" t="s">
        <v>1186</v>
      </c>
      <c r="T102"/>
      <c r="U102"/>
      <c r="V102"/>
    </row>
    <row r="103" spans="1:22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505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545</v>
      </c>
      <c r="P103" s="109"/>
      <c r="Q103" s="107"/>
      <c r="R103" s="111"/>
      <c r="S103" s="110" t="s">
        <v>1186</v>
      </c>
      <c r="T103"/>
      <c r="U103"/>
      <c r="V103"/>
    </row>
    <row r="104" spans="1:22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505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546</v>
      </c>
      <c r="P104" s="109"/>
      <c r="Q104" s="107"/>
      <c r="R104" s="111"/>
      <c r="S104" s="110" t="s">
        <v>1186</v>
      </c>
      <c r="T104"/>
      <c r="U104"/>
      <c r="V104"/>
    </row>
    <row r="105" spans="1:22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505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547</v>
      </c>
      <c r="P105" s="109"/>
      <c r="Q105" s="107"/>
      <c r="R105" s="111"/>
      <c r="S105" s="110" t="s">
        <v>1186</v>
      </c>
      <c r="T105"/>
      <c r="U105"/>
      <c r="V105"/>
    </row>
    <row r="106" spans="1:22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505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548</v>
      </c>
      <c r="P106" s="109"/>
      <c r="Q106" s="107"/>
      <c r="R106" s="111"/>
      <c r="S106" s="110" t="s">
        <v>1186</v>
      </c>
      <c r="T106"/>
      <c r="U106"/>
      <c r="V106"/>
    </row>
    <row r="107" spans="1:22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505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549</v>
      </c>
      <c r="P107" s="109"/>
      <c r="Q107" s="107"/>
      <c r="R107" s="111"/>
      <c r="S107" s="110" t="s">
        <v>1186</v>
      </c>
      <c r="T107"/>
      <c r="U107"/>
      <c r="V107"/>
    </row>
    <row r="108" spans="1:22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505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550</v>
      </c>
      <c r="P108" s="109"/>
      <c r="Q108" s="107"/>
      <c r="R108" s="111"/>
      <c r="S108" s="110" t="s">
        <v>1186</v>
      </c>
      <c r="T108"/>
      <c r="U108"/>
      <c r="V108"/>
    </row>
    <row r="109" spans="1:22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103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563</v>
      </c>
      <c r="P109" s="109">
        <v>191635</v>
      </c>
      <c r="Q109" s="107"/>
      <c r="R109" s="111"/>
      <c r="S109" s="110" t="s">
        <v>1186</v>
      </c>
      <c r="T109"/>
      <c r="U109"/>
      <c r="V109"/>
    </row>
    <row r="110" spans="1:22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103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564</v>
      </c>
      <c r="P110" s="109">
        <v>191635</v>
      </c>
      <c r="Q110" s="107"/>
      <c r="R110" s="111"/>
      <c r="S110" s="110" t="s">
        <v>1186</v>
      </c>
      <c r="T110"/>
      <c r="U110"/>
      <c r="V110"/>
    </row>
    <row r="111" spans="1:22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103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565</v>
      </c>
      <c r="P111" s="109">
        <v>191635</v>
      </c>
      <c r="Q111" s="107"/>
      <c r="R111" s="111"/>
      <c r="S111" s="110" t="s">
        <v>1186</v>
      </c>
      <c r="T111"/>
      <c r="U111"/>
      <c r="V111"/>
    </row>
    <row r="112" spans="1:22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103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566</v>
      </c>
      <c r="P112" s="109">
        <v>191635</v>
      </c>
      <c r="Q112" s="107"/>
      <c r="R112" s="111"/>
      <c r="S112" s="110" t="s">
        <v>1186</v>
      </c>
      <c r="T112"/>
      <c r="U112"/>
      <c r="V112"/>
    </row>
    <row r="113" spans="1:22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103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567</v>
      </c>
      <c r="P113" s="109">
        <v>191635</v>
      </c>
      <c r="Q113" s="107"/>
      <c r="R113" s="111"/>
      <c r="S113" s="110" t="s">
        <v>1186</v>
      </c>
      <c r="T113"/>
      <c r="U113"/>
      <c r="V113"/>
    </row>
    <row r="114" spans="1:22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103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568</v>
      </c>
      <c r="P114" s="109">
        <v>191635</v>
      </c>
      <c r="Q114" s="107"/>
      <c r="R114" s="111"/>
      <c r="S114" s="110" t="s">
        <v>1186</v>
      </c>
      <c r="T114"/>
      <c r="U114"/>
      <c r="V114"/>
    </row>
    <row r="115" spans="1:22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103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569</v>
      </c>
      <c r="P115" s="109">
        <v>191635</v>
      </c>
      <c r="Q115" s="107"/>
      <c r="R115" s="111"/>
      <c r="S115" s="110" t="s">
        <v>1186</v>
      </c>
      <c r="T115"/>
      <c r="U115"/>
      <c r="V115"/>
    </row>
    <row r="116" spans="1:22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103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570</v>
      </c>
      <c r="P116" s="109">
        <v>191635</v>
      </c>
      <c r="Q116" s="107"/>
      <c r="R116" s="111"/>
      <c r="S116" s="110" t="s">
        <v>1186</v>
      </c>
      <c r="T116"/>
      <c r="U116"/>
      <c r="V116"/>
    </row>
    <row r="117" spans="1:22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103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571</v>
      </c>
      <c r="P117" s="109">
        <v>191635</v>
      </c>
      <c r="Q117" s="107"/>
      <c r="R117" s="111"/>
      <c r="S117" s="110" t="s">
        <v>1186</v>
      </c>
      <c r="T117"/>
      <c r="U117"/>
      <c r="V117"/>
    </row>
    <row r="118" spans="1:22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103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572</v>
      </c>
      <c r="P118" s="109">
        <v>191635</v>
      </c>
      <c r="Q118" s="107"/>
      <c r="R118" s="111"/>
      <c r="S118" s="110" t="s">
        <v>1186</v>
      </c>
      <c r="T118"/>
      <c r="U118"/>
      <c r="V118"/>
    </row>
    <row r="119" spans="1:22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103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573</v>
      </c>
      <c r="P119" s="109">
        <v>191635</v>
      </c>
      <c r="Q119" s="107"/>
      <c r="R119" s="111"/>
      <c r="S119" s="110" t="s">
        <v>1186</v>
      </c>
      <c r="T119"/>
      <c r="U119"/>
      <c r="V119"/>
    </row>
    <row r="120" spans="1:22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103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574</v>
      </c>
      <c r="P120" s="109">
        <v>191635</v>
      </c>
      <c r="Q120" s="107"/>
      <c r="R120" s="111"/>
      <c r="S120" s="110" t="s">
        <v>1186</v>
      </c>
      <c r="T120"/>
      <c r="U120"/>
      <c r="V120"/>
    </row>
    <row r="121" spans="1:22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103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575</v>
      </c>
      <c r="P121" s="109">
        <v>191635</v>
      </c>
      <c r="Q121" s="107"/>
      <c r="R121" s="111"/>
      <c r="S121" s="110" t="s">
        <v>1186</v>
      </c>
      <c r="T121"/>
      <c r="U121"/>
      <c r="V121"/>
    </row>
    <row r="122" spans="1:22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103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576</v>
      </c>
      <c r="P122" s="109">
        <v>191635</v>
      </c>
      <c r="Q122" s="107"/>
      <c r="R122" s="111"/>
      <c r="S122" s="110" t="s">
        <v>1186</v>
      </c>
      <c r="T122"/>
      <c r="U122"/>
      <c r="V122"/>
    </row>
    <row r="123" spans="1:22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103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577</v>
      </c>
      <c r="P123" s="109">
        <v>191636</v>
      </c>
      <c r="Q123" s="107"/>
      <c r="R123" s="111"/>
      <c r="S123" s="110" t="s">
        <v>1186</v>
      </c>
      <c r="T123"/>
      <c r="U123"/>
      <c r="V123"/>
    </row>
    <row r="124" spans="1:22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103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578</v>
      </c>
      <c r="P124" s="109">
        <v>191636</v>
      </c>
      <c r="Q124" s="107"/>
      <c r="R124" s="111"/>
      <c r="S124" s="110" t="s">
        <v>1186</v>
      </c>
      <c r="T124"/>
      <c r="U124"/>
      <c r="V124"/>
    </row>
    <row r="125" spans="1:22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103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579</v>
      </c>
      <c r="P125" s="109">
        <v>191636</v>
      </c>
      <c r="Q125" s="107"/>
      <c r="R125" s="111"/>
      <c r="S125" s="110" t="s">
        <v>1186</v>
      </c>
      <c r="T125"/>
      <c r="U125"/>
      <c r="V125"/>
    </row>
    <row r="126" spans="1:22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103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580</v>
      </c>
      <c r="P126" s="109">
        <v>191636</v>
      </c>
      <c r="Q126" s="107"/>
      <c r="R126" s="111"/>
      <c r="S126" s="110" t="s">
        <v>1186</v>
      </c>
      <c r="T126"/>
      <c r="U126"/>
      <c r="V126"/>
    </row>
    <row r="127" spans="1:22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103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581</v>
      </c>
      <c r="P127" s="109">
        <v>191636</v>
      </c>
      <c r="Q127" s="107"/>
      <c r="R127" s="111"/>
      <c r="S127" s="110" t="s">
        <v>1186</v>
      </c>
      <c r="T127"/>
      <c r="U127"/>
      <c r="V127"/>
    </row>
    <row r="128" spans="1:22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103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582</v>
      </c>
      <c r="P128" s="109">
        <v>191636</v>
      </c>
      <c r="Q128" s="107"/>
      <c r="R128" s="111"/>
      <c r="S128" s="110" t="s">
        <v>1186</v>
      </c>
      <c r="T128"/>
      <c r="U128"/>
      <c r="V128"/>
    </row>
    <row r="129" spans="1:22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103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583</v>
      </c>
      <c r="P129" s="109">
        <v>191636</v>
      </c>
      <c r="Q129" s="107"/>
      <c r="R129" s="111"/>
      <c r="S129" s="110" t="s">
        <v>1186</v>
      </c>
      <c r="T129"/>
      <c r="U129"/>
      <c r="V129"/>
    </row>
    <row r="130" spans="1:22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103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584</v>
      </c>
      <c r="P130" s="109">
        <v>191636</v>
      </c>
      <c r="Q130" s="107"/>
      <c r="R130" s="111"/>
      <c r="S130" s="110" t="s">
        <v>1186</v>
      </c>
      <c r="T130"/>
      <c r="U130"/>
      <c r="V130"/>
    </row>
    <row r="131" spans="1:22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103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585</v>
      </c>
      <c r="P131" s="109">
        <v>191636</v>
      </c>
      <c r="Q131" s="107"/>
      <c r="R131" s="111"/>
      <c r="S131" s="110" t="s">
        <v>1186</v>
      </c>
      <c r="T131"/>
      <c r="U131"/>
      <c r="V131"/>
    </row>
    <row r="132" spans="1:22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103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586</v>
      </c>
      <c r="P132" s="109">
        <v>191636</v>
      </c>
      <c r="Q132" s="107"/>
      <c r="R132" s="111"/>
      <c r="S132" s="110" t="s">
        <v>1186</v>
      </c>
      <c r="T132"/>
      <c r="U132"/>
      <c r="V132"/>
    </row>
    <row r="133" spans="1:22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103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587</v>
      </c>
      <c r="P133" s="109">
        <v>191636</v>
      </c>
      <c r="Q133" s="107"/>
      <c r="R133" s="111"/>
      <c r="S133" s="110" t="s">
        <v>1186</v>
      </c>
      <c r="T133"/>
      <c r="U133"/>
      <c r="V133"/>
    </row>
    <row r="134" spans="1:22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103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588</v>
      </c>
      <c r="P134" s="109">
        <v>191636</v>
      </c>
      <c r="Q134" s="107"/>
      <c r="R134" s="111"/>
      <c r="S134" s="110" t="s">
        <v>1186</v>
      </c>
      <c r="T134"/>
      <c r="U134"/>
      <c r="V134"/>
    </row>
    <row r="135" spans="1:22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103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589</v>
      </c>
      <c r="P135" s="109">
        <v>191636</v>
      </c>
      <c r="Q135" s="107"/>
      <c r="R135" s="111"/>
      <c r="S135" s="110" t="s">
        <v>1186</v>
      </c>
      <c r="T135"/>
      <c r="U135"/>
      <c r="V135"/>
    </row>
    <row r="136" spans="1:22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103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590</v>
      </c>
      <c r="P136" s="109">
        <v>191636</v>
      </c>
      <c r="Q136" s="107"/>
      <c r="R136" s="111"/>
      <c r="S136" s="110" t="s">
        <v>1186</v>
      </c>
      <c r="T136"/>
      <c r="U136"/>
      <c r="V136"/>
    </row>
    <row r="137" spans="1:22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103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591</v>
      </c>
      <c r="P137" s="109">
        <v>191688</v>
      </c>
      <c r="Q137" s="107"/>
      <c r="R137" s="111"/>
      <c r="S137" s="110" t="s">
        <v>1186</v>
      </c>
      <c r="T137"/>
      <c r="U137"/>
      <c r="V137"/>
    </row>
    <row r="138" spans="1:22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103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592</v>
      </c>
      <c r="P138" s="109">
        <v>191688</v>
      </c>
      <c r="Q138" s="107"/>
      <c r="R138" s="111"/>
      <c r="S138" s="110" t="s">
        <v>1186</v>
      </c>
      <c r="T138"/>
      <c r="U138"/>
      <c r="V138"/>
    </row>
    <row r="139" spans="1:22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103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593</v>
      </c>
      <c r="P139" s="109">
        <v>191688</v>
      </c>
      <c r="Q139" s="107"/>
      <c r="R139" s="111"/>
      <c r="S139" s="110" t="s">
        <v>1186</v>
      </c>
      <c r="T139"/>
      <c r="U139"/>
      <c r="V139"/>
    </row>
    <row r="140" spans="1:22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103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594</v>
      </c>
      <c r="P140" s="109">
        <v>191688</v>
      </c>
      <c r="Q140" s="107"/>
      <c r="R140" s="111"/>
      <c r="S140" s="110" t="s">
        <v>1186</v>
      </c>
      <c r="T140"/>
      <c r="U140"/>
      <c r="V140"/>
    </row>
    <row r="141" spans="1:22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103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595</v>
      </c>
      <c r="P141" s="109">
        <v>191688</v>
      </c>
      <c r="Q141" s="107"/>
      <c r="R141" s="111"/>
      <c r="S141" s="110" t="s">
        <v>1186</v>
      </c>
      <c r="T141"/>
      <c r="U141"/>
      <c r="V141"/>
    </row>
    <row r="142" spans="1:22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103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596</v>
      </c>
      <c r="P142" s="109">
        <v>191688</v>
      </c>
      <c r="Q142" s="107"/>
      <c r="R142" s="111"/>
      <c r="S142" s="110" t="s">
        <v>1186</v>
      </c>
      <c r="T142"/>
      <c r="U142"/>
      <c r="V142"/>
    </row>
    <row r="143" spans="1:22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103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597</v>
      </c>
      <c r="P143" s="109">
        <v>191688</v>
      </c>
      <c r="Q143" s="107"/>
      <c r="R143" s="111"/>
      <c r="S143" s="110" t="s">
        <v>1186</v>
      </c>
      <c r="T143"/>
      <c r="U143"/>
      <c r="V143"/>
    </row>
    <row r="144" spans="1:22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103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598</v>
      </c>
      <c r="P144" s="109">
        <v>191688</v>
      </c>
      <c r="Q144" s="107"/>
      <c r="R144" s="111"/>
      <c r="S144" s="110" t="s">
        <v>1186</v>
      </c>
      <c r="T144"/>
      <c r="U144"/>
      <c r="V144"/>
    </row>
    <row r="145" spans="1:22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103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599</v>
      </c>
      <c r="P145" s="109">
        <v>191688</v>
      </c>
      <c r="Q145" s="107"/>
      <c r="R145" s="111"/>
      <c r="S145" s="110" t="s">
        <v>1186</v>
      </c>
      <c r="T145"/>
      <c r="U145"/>
      <c r="V145"/>
    </row>
    <row r="146" spans="1:22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103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600</v>
      </c>
      <c r="P146" s="109">
        <v>191688</v>
      </c>
      <c r="Q146" s="107"/>
      <c r="R146" s="111"/>
      <c r="S146" s="110" t="s">
        <v>1186</v>
      </c>
      <c r="T146"/>
      <c r="U146"/>
      <c r="V146"/>
    </row>
    <row r="147" spans="1:22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103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601</v>
      </c>
      <c r="P147" s="109">
        <v>191688</v>
      </c>
      <c r="Q147" s="107"/>
      <c r="R147" s="111"/>
      <c r="S147" s="110" t="s">
        <v>1186</v>
      </c>
      <c r="T147"/>
      <c r="U147"/>
      <c r="V147"/>
    </row>
    <row r="148" spans="1:22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103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602</v>
      </c>
      <c r="P148" s="109">
        <v>191688</v>
      </c>
      <c r="Q148" s="107"/>
      <c r="R148" s="111"/>
      <c r="S148" s="110" t="s">
        <v>1186</v>
      </c>
      <c r="T148"/>
      <c r="U148"/>
      <c r="V148"/>
    </row>
    <row r="149" spans="1:22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103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603</v>
      </c>
      <c r="P149" s="109">
        <v>191688</v>
      </c>
      <c r="Q149" s="107"/>
      <c r="R149" s="111"/>
      <c r="S149" s="110" t="s">
        <v>1186</v>
      </c>
      <c r="T149"/>
      <c r="U149"/>
      <c r="V149"/>
    </row>
    <row r="150" spans="1:22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103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604</v>
      </c>
      <c r="P150" s="109">
        <v>191688</v>
      </c>
      <c r="Q150" s="107"/>
      <c r="R150" s="111"/>
      <c r="S150" s="110" t="s">
        <v>1186</v>
      </c>
      <c r="T150"/>
      <c r="U150"/>
      <c r="V150"/>
    </row>
    <row r="151" spans="1:22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103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605</v>
      </c>
      <c r="P151" s="109">
        <v>191695</v>
      </c>
      <c r="Q151" s="107"/>
      <c r="R151" s="111"/>
      <c r="S151" s="110" t="s">
        <v>1186</v>
      </c>
      <c r="T151"/>
      <c r="U151"/>
      <c r="V151"/>
    </row>
    <row r="152" spans="1:22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103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606</v>
      </c>
      <c r="P152" s="109">
        <v>191695</v>
      </c>
      <c r="Q152" s="107"/>
      <c r="R152" s="111"/>
      <c r="S152" s="110" t="s">
        <v>1186</v>
      </c>
      <c r="T152"/>
      <c r="U152"/>
      <c r="V152"/>
    </row>
    <row r="153" spans="1:22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103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607</v>
      </c>
      <c r="P153" s="109">
        <v>191695</v>
      </c>
      <c r="Q153" s="107"/>
      <c r="R153" s="111"/>
      <c r="S153" s="110" t="s">
        <v>1186</v>
      </c>
      <c r="T153"/>
      <c r="U153"/>
      <c r="V153"/>
    </row>
    <row r="154" spans="1:22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103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608</v>
      </c>
      <c r="P154" s="109">
        <v>191695</v>
      </c>
      <c r="Q154" s="107"/>
      <c r="R154" s="111"/>
      <c r="S154" s="110" t="s">
        <v>1186</v>
      </c>
      <c r="T154"/>
      <c r="U154"/>
      <c r="V154"/>
    </row>
    <row r="155" spans="1:22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103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609</v>
      </c>
      <c r="P155" s="109">
        <v>191695</v>
      </c>
      <c r="Q155" s="107"/>
      <c r="R155" s="111"/>
      <c r="S155" s="110" t="s">
        <v>1186</v>
      </c>
      <c r="T155"/>
      <c r="U155"/>
      <c r="V155"/>
    </row>
    <row r="156" spans="1:22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103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610</v>
      </c>
      <c r="P156" s="109">
        <v>191695</v>
      </c>
      <c r="Q156" s="107"/>
      <c r="R156" s="111"/>
      <c r="S156" s="110" t="s">
        <v>1186</v>
      </c>
      <c r="T156"/>
      <c r="U156"/>
      <c r="V156"/>
    </row>
    <row r="157" spans="1:22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103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611</v>
      </c>
      <c r="P157" s="109">
        <v>191695</v>
      </c>
      <c r="Q157" s="107"/>
      <c r="R157" s="111"/>
      <c r="S157" s="110" t="s">
        <v>1186</v>
      </c>
      <c r="T157"/>
      <c r="U157"/>
      <c r="V157"/>
    </row>
    <row r="158" spans="1:22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103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612</v>
      </c>
      <c r="P158" s="109">
        <v>191695</v>
      </c>
      <c r="Q158" s="107"/>
      <c r="R158" s="111"/>
      <c r="S158" s="110" t="s">
        <v>1186</v>
      </c>
      <c r="T158"/>
      <c r="U158"/>
      <c r="V158"/>
    </row>
    <row r="159" spans="1:22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103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613</v>
      </c>
      <c r="P159" s="109">
        <v>191695</v>
      </c>
      <c r="Q159" s="107"/>
      <c r="R159" s="111"/>
      <c r="S159" s="110" t="s">
        <v>1186</v>
      </c>
      <c r="T159"/>
      <c r="U159"/>
      <c r="V159"/>
    </row>
    <row r="160" spans="1:22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103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614</v>
      </c>
      <c r="P160" s="109">
        <v>191695</v>
      </c>
      <c r="Q160" s="107"/>
      <c r="R160" s="111"/>
      <c r="S160" s="110" t="s">
        <v>1186</v>
      </c>
      <c r="T160"/>
      <c r="U160"/>
      <c r="V160"/>
    </row>
    <row r="161" spans="1:22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103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615</v>
      </c>
      <c r="P161" s="109">
        <v>191695</v>
      </c>
      <c r="Q161" s="107"/>
      <c r="R161" s="111"/>
      <c r="S161" s="110" t="s">
        <v>1186</v>
      </c>
      <c r="T161"/>
      <c r="U161"/>
      <c r="V161"/>
    </row>
    <row r="162" spans="1:22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103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616</v>
      </c>
      <c r="P162" s="109">
        <v>191695</v>
      </c>
      <c r="Q162" s="107"/>
      <c r="R162" s="111"/>
      <c r="S162" s="110" t="s">
        <v>1186</v>
      </c>
      <c r="T162"/>
      <c r="U162"/>
      <c r="V162"/>
    </row>
    <row r="163" spans="1:22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103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617</v>
      </c>
      <c r="P163" s="109">
        <v>191695</v>
      </c>
      <c r="Q163" s="107"/>
      <c r="R163" s="111"/>
      <c r="S163" s="110" t="s">
        <v>1186</v>
      </c>
      <c r="T163"/>
      <c r="U163"/>
      <c r="V163"/>
    </row>
    <row r="164" spans="1:22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103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618</v>
      </c>
      <c r="P164" s="109">
        <v>191702</v>
      </c>
      <c r="Q164" s="107"/>
      <c r="R164" s="111"/>
      <c r="S164" s="110" t="s">
        <v>1186</v>
      </c>
      <c r="T164"/>
      <c r="U164"/>
      <c r="V164"/>
    </row>
    <row r="165" spans="1:22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103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619</v>
      </c>
      <c r="P165" s="109">
        <v>191702</v>
      </c>
      <c r="Q165" s="107"/>
      <c r="R165" s="111"/>
      <c r="S165" s="110" t="s">
        <v>1186</v>
      </c>
      <c r="T165"/>
      <c r="U165"/>
      <c r="V165"/>
    </row>
    <row r="166" spans="1:22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103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620</v>
      </c>
      <c r="P166" s="109">
        <v>191702</v>
      </c>
      <c r="Q166" s="107"/>
      <c r="R166" s="111"/>
      <c r="S166" s="110" t="s">
        <v>1186</v>
      </c>
      <c r="T166"/>
      <c r="U166"/>
      <c r="V166"/>
    </row>
    <row r="167" spans="1:22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103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621</v>
      </c>
      <c r="P167" s="109">
        <v>191702</v>
      </c>
      <c r="Q167" s="107"/>
      <c r="R167" s="111"/>
      <c r="S167" s="110" t="s">
        <v>1186</v>
      </c>
      <c r="T167"/>
      <c r="U167"/>
      <c r="V167"/>
    </row>
    <row r="168" spans="1:22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103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622</v>
      </c>
      <c r="P168" s="109">
        <v>191702</v>
      </c>
      <c r="Q168" s="107"/>
      <c r="R168" s="111"/>
      <c r="S168" s="110" t="s">
        <v>1186</v>
      </c>
      <c r="T168"/>
      <c r="U168"/>
      <c r="V168"/>
    </row>
    <row r="169" spans="1:22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103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623</v>
      </c>
      <c r="P169" s="109">
        <v>191702</v>
      </c>
      <c r="Q169" s="107"/>
      <c r="R169" s="111"/>
      <c r="S169" s="110" t="s">
        <v>1186</v>
      </c>
      <c r="T169"/>
      <c r="U169"/>
      <c r="V169"/>
    </row>
    <row r="170" spans="1:22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103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624</v>
      </c>
      <c r="P170" s="109">
        <v>191702</v>
      </c>
      <c r="Q170" s="107"/>
      <c r="R170" s="111"/>
      <c r="S170" s="110" t="s">
        <v>1186</v>
      </c>
      <c r="T170"/>
      <c r="U170"/>
      <c r="V170"/>
    </row>
    <row r="171" spans="1:22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103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625</v>
      </c>
      <c r="P171" s="109">
        <v>191702</v>
      </c>
      <c r="Q171" s="107"/>
      <c r="R171" s="111"/>
      <c r="S171" s="110" t="s">
        <v>1186</v>
      </c>
      <c r="T171"/>
      <c r="U171"/>
      <c r="V171"/>
    </row>
    <row r="172" spans="1:22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103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626</v>
      </c>
      <c r="P172" s="109">
        <v>191702</v>
      </c>
      <c r="Q172" s="107"/>
      <c r="R172" s="111"/>
      <c r="S172" s="110" t="s">
        <v>1186</v>
      </c>
      <c r="T172"/>
      <c r="U172"/>
      <c r="V172"/>
    </row>
    <row r="173" spans="1:22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103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627</v>
      </c>
      <c r="P173" s="109">
        <v>191702</v>
      </c>
      <c r="Q173" s="107"/>
      <c r="R173" s="111"/>
      <c r="S173" s="110" t="s">
        <v>1186</v>
      </c>
      <c r="T173"/>
      <c r="U173"/>
      <c r="V173"/>
    </row>
    <row r="174" spans="1:22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103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628</v>
      </c>
      <c r="P174" s="109">
        <v>191702</v>
      </c>
      <c r="Q174" s="107"/>
      <c r="R174" s="111"/>
      <c r="S174" s="110" t="s">
        <v>1186</v>
      </c>
      <c r="T174"/>
      <c r="U174"/>
      <c r="V174"/>
    </row>
    <row r="175" spans="1:22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103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629</v>
      </c>
      <c r="P175" s="109">
        <v>191702</v>
      </c>
      <c r="Q175" s="107"/>
      <c r="R175" s="111"/>
      <c r="S175" s="110" t="s">
        <v>1186</v>
      </c>
      <c r="T175"/>
      <c r="U175"/>
      <c r="V175"/>
    </row>
    <row r="176" spans="1:22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103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630</v>
      </c>
      <c r="P176" s="109">
        <v>191702</v>
      </c>
      <c r="Q176" s="107"/>
      <c r="R176" s="111"/>
      <c r="S176" s="110" t="s">
        <v>1186</v>
      </c>
      <c r="T176"/>
      <c r="U176"/>
      <c r="V176"/>
    </row>
    <row r="177" spans="1:22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103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631</v>
      </c>
      <c r="P177" s="109">
        <v>191702</v>
      </c>
      <c r="Q177" s="107"/>
      <c r="R177" s="111"/>
      <c r="S177" s="110" t="s">
        <v>1186</v>
      </c>
      <c r="T177"/>
      <c r="U177"/>
      <c r="V177"/>
    </row>
    <row r="178" spans="1:22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103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632</v>
      </c>
      <c r="P178" s="109">
        <v>191702</v>
      </c>
      <c r="Q178" s="107"/>
      <c r="R178" s="111"/>
      <c r="S178" s="110" t="s">
        <v>1186</v>
      </c>
      <c r="T178"/>
      <c r="U178"/>
      <c r="V178"/>
    </row>
    <row r="179" spans="1:22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103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633</v>
      </c>
      <c r="P179" s="109">
        <v>191703</v>
      </c>
      <c r="Q179" s="107"/>
      <c r="R179" s="111"/>
      <c r="S179" s="110" t="s">
        <v>1186</v>
      </c>
      <c r="T179"/>
      <c r="U179"/>
      <c r="V179"/>
    </row>
    <row r="180" spans="1:22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103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634</v>
      </c>
      <c r="P180" s="109">
        <v>191703</v>
      </c>
      <c r="Q180" s="107"/>
      <c r="R180" s="111"/>
      <c r="S180" s="110" t="s">
        <v>1186</v>
      </c>
      <c r="T180"/>
      <c r="U180"/>
      <c r="V180"/>
    </row>
    <row r="181" spans="1:22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103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635</v>
      </c>
      <c r="P181" s="109">
        <v>191703</v>
      </c>
      <c r="Q181" s="107"/>
      <c r="R181" s="111"/>
      <c r="S181" s="110" t="s">
        <v>1186</v>
      </c>
      <c r="T181"/>
      <c r="U181"/>
      <c r="V181"/>
    </row>
    <row r="182" spans="1:22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103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636</v>
      </c>
      <c r="P182" s="109">
        <v>191703</v>
      </c>
      <c r="Q182" s="107"/>
      <c r="R182" s="111"/>
      <c r="S182" s="110" t="s">
        <v>1186</v>
      </c>
      <c r="T182"/>
      <c r="U182"/>
      <c r="V182"/>
    </row>
    <row r="183" spans="1:22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103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637</v>
      </c>
      <c r="P183" s="109">
        <v>191703</v>
      </c>
      <c r="Q183" s="107"/>
      <c r="R183" s="111"/>
      <c r="S183" s="110" t="s">
        <v>1186</v>
      </c>
      <c r="T183"/>
      <c r="U183"/>
      <c r="V183"/>
    </row>
    <row r="184" spans="1:22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103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638</v>
      </c>
      <c r="P184" s="109">
        <v>191703</v>
      </c>
      <c r="Q184" s="107"/>
      <c r="R184" s="111"/>
      <c r="S184" s="110" t="s">
        <v>1186</v>
      </c>
      <c r="T184"/>
      <c r="U184"/>
      <c r="V184"/>
    </row>
    <row r="185" spans="1:22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103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639</v>
      </c>
      <c r="P185" s="109">
        <v>191703</v>
      </c>
      <c r="Q185" s="107"/>
      <c r="R185" s="111"/>
      <c r="S185" s="110" t="s">
        <v>1186</v>
      </c>
      <c r="T185"/>
      <c r="U185"/>
      <c r="V185"/>
    </row>
    <row r="186" spans="1:22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103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640</v>
      </c>
      <c r="P186" s="109">
        <v>191703</v>
      </c>
      <c r="Q186" s="107"/>
      <c r="R186" s="111"/>
      <c r="S186" s="110" t="s">
        <v>1186</v>
      </c>
      <c r="T186"/>
      <c r="U186"/>
      <c r="V186"/>
    </row>
    <row r="187" spans="1:22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103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641</v>
      </c>
      <c r="P187" s="109">
        <v>191703</v>
      </c>
      <c r="Q187" s="107"/>
      <c r="R187" s="111"/>
      <c r="S187" s="110" t="s">
        <v>1186</v>
      </c>
      <c r="T187"/>
      <c r="U187"/>
      <c r="V187"/>
    </row>
    <row r="188" spans="1:22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103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642</v>
      </c>
      <c r="P188" s="109">
        <v>191703</v>
      </c>
      <c r="Q188" s="107"/>
      <c r="R188" s="111"/>
      <c r="S188" s="110" t="s">
        <v>1186</v>
      </c>
      <c r="T188"/>
      <c r="U188"/>
      <c r="V188"/>
    </row>
    <row r="189" spans="1:22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103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643</v>
      </c>
      <c r="P189" s="109">
        <v>191703</v>
      </c>
      <c r="Q189" s="107"/>
      <c r="R189" s="111"/>
      <c r="S189" s="110" t="s">
        <v>1186</v>
      </c>
      <c r="T189"/>
      <c r="U189"/>
      <c r="V189"/>
    </row>
    <row r="190" spans="1:22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103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644</v>
      </c>
      <c r="P190" s="109">
        <v>191703</v>
      </c>
      <c r="Q190" s="107"/>
      <c r="R190" s="111"/>
      <c r="S190" s="110" t="s">
        <v>1186</v>
      </c>
      <c r="T190"/>
      <c r="U190"/>
      <c r="V190"/>
    </row>
    <row r="191" spans="1:22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103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645</v>
      </c>
      <c r="P191" s="109">
        <v>191703</v>
      </c>
      <c r="Q191" s="107"/>
      <c r="R191" s="111"/>
      <c r="S191" s="110" t="s">
        <v>1186</v>
      </c>
      <c r="T191"/>
      <c r="U191"/>
      <c r="V191"/>
    </row>
    <row r="192" spans="1:22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103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646</v>
      </c>
      <c r="P192" s="109">
        <v>191703</v>
      </c>
      <c r="Q192" s="107"/>
      <c r="R192" s="111"/>
      <c r="S192" s="110" t="s">
        <v>1186</v>
      </c>
      <c r="T192"/>
      <c r="U192"/>
      <c r="V192"/>
    </row>
    <row r="193" spans="1:22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103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647</v>
      </c>
      <c r="P193" s="109">
        <v>191704</v>
      </c>
      <c r="Q193" s="107"/>
      <c r="R193" s="111"/>
      <c r="S193" s="110" t="s">
        <v>1186</v>
      </c>
      <c r="T193"/>
      <c r="U193"/>
      <c r="V193"/>
    </row>
    <row r="194" spans="1:22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103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648</v>
      </c>
      <c r="P194" s="109">
        <v>191704</v>
      </c>
      <c r="Q194" s="107"/>
      <c r="R194" s="111"/>
      <c r="S194" s="110" t="s">
        <v>1186</v>
      </c>
      <c r="T194"/>
      <c r="U194"/>
      <c r="V194"/>
    </row>
    <row r="195" spans="1:22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103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649</v>
      </c>
      <c r="P195" s="109">
        <v>191704</v>
      </c>
      <c r="Q195" s="107"/>
      <c r="R195" s="111"/>
      <c r="S195" s="110" t="s">
        <v>1186</v>
      </c>
      <c r="T195"/>
      <c r="U195"/>
      <c r="V195"/>
    </row>
    <row r="196" spans="1:22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103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650</v>
      </c>
      <c r="P196" s="109">
        <v>191704</v>
      </c>
      <c r="Q196" s="107"/>
      <c r="R196" s="111"/>
      <c r="S196" s="110" t="s">
        <v>1186</v>
      </c>
      <c r="T196"/>
      <c r="U196"/>
      <c r="V196"/>
    </row>
    <row r="197" spans="1:22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103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651</v>
      </c>
      <c r="P197" s="109">
        <v>191704</v>
      </c>
      <c r="Q197" s="107"/>
      <c r="R197" s="111"/>
      <c r="S197" s="110" t="s">
        <v>1186</v>
      </c>
      <c r="T197"/>
      <c r="U197"/>
      <c r="V197"/>
    </row>
    <row r="198" spans="1:22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103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652</v>
      </c>
      <c r="P198" s="109">
        <v>191704</v>
      </c>
      <c r="Q198" s="107"/>
      <c r="R198" s="111"/>
      <c r="S198" s="110" t="s">
        <v>1186</v>
      </c>
      <c r="T198"/>
      <c r="U198"/>
      <c r="V198"/>
    </row>
    <row r="199" spans="1:22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103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653</v>
      </c>
      <c r="P199" s="109">
        <v>191704</v>
      </c>
      <c r="Q199" s="107"/>
      <c r="R199" s="111"/>
      <c r="S199" s="110" t="s">
        <v>1186</v>
      </c>
      <c r="T199"/>
      <c r="U199"/>
      <c r="V199"/>
    </row>
    <row r="200" spans="1:22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103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654</v>
      </c>
      <c r="P200" s="109">
        <v>191704</v>
      </c>
      <c r="Q200" s="107"/>
      <c r="R200" s="111"/>
      <c r="S200" s="110" t="s">
        <v>1186</v>
      </c>
      <c r="T200"/>
      <c r="U200"/>
      <c r="V200"/>
    </row>
    <row r="201" spans="1:22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103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655</v>
      </c>
      <c r="P201" s="109">
        <v>191704</v>
      </c>
      <c r="Q201" s="107"/>
      <c r="R201" s="111"/>
      <c r="S201" s="110" t="s">
        <v>1186</v>
      </c>
      <c r="T201"/>
      <c r="U201"/>
      <c r="V201"/>
    </row>
    <row r="202" spans="1:22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103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656</v>
      </c>
      <c r="P202" s="109">
        <v>191704</v>
      </c>
      <c r="Q202" s="107"/>
      <c r="R202" s="111"/>
      <c r="S202" s="110" t="s">
        <v>1186</v>
      </c>
      <c r="T202"/>
      <c r="U202"/>
      <c r="V202"/>
    </row>
    <row r="203" spans="1:22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103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657</v>
      </c>
      <c r="P203" s="109">
        <v>191704</v>
      </c>
      <c r="Q203" s="107"/>
      <c r="R203" s="111"/>
      <c r="S203" s="110" t="s">
        <v>1186</v>
      </c>
      <c r="T203"/>
      <c r="U203"/>
      <c r="V203"/>
    </row>
    <row r="204" spans="1:22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103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658</v>
      </c>
      <c r="P204" s="109">
        <v>191704</v>
      </c>
      <c r="Q204" s="107"/>
      <c r="R204" s="111"/>
      <c r="S204" s="110" t="s">
        <v>1186</v>
      </c>
      <c r="T204"/>
      <c r="U204"/>
      <c r="V204"/>
    </row>
    <row r="205" spans="1:22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103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659</v>
      </c>
      <c r="P205" s="109">
        <v>191704</v>
      </c>
      <c r="Q205" s="107"/>
      <c r="R205" s="111"/>
      <c r="S205" s="110" t="s">
        <v>1186</v>
      </c>
      <c r="T205"/>
      <c r="U205"/>
      <c r="V205"/>
    </row>
    <row r="206" spans="1:22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103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660</v>
      </c>
      <c r="P206" s="109">
        <v>191704</v>
      </c>
      <c r="Q206" s="107"/>
      <c r="R206" s="111"/>
      <c r="S206" s="110" t="s">
        <v>1186</v>
      </c>
      <c r="T206"/>
      <c r="U206"/>
      <c r="V206"/>
    </row>
    <row r="207" spans="1:22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103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661</v>
      </c>
      <c r="P207" s="109">
        <v>191707</v>
      </c>
      <c r="Q207" s="107"/>
      <c r="R207" s="111"/>
      <c r="S207" s="110" t="s">
        <v>1186</v>
      </c>
      <c r="T207"/>
      <c r="U207"/>
      <c r="V207"/>
    </row>
    <row r="208" spans="1:22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103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662</v>
      </c>
      <c r="P208" s="109">
        <v>191707</v>
      </c>
      <c r="Q208" s="107"/>
      <c r="R208" s="111"/>
      <c r="S208" s="110" t="s">
        <v>1186</v>
      </c>
      <c r="T208"/>
      <c r="U208"/>
      <c r="V208"/>
    </row>
    <row r="209" spans="1:22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103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663</v>
      </c>
      <c r="P209" s="109">
        <v>191707</v>
      </c>
      <c r="Q209" s="107"/>
      <c r="R209" s="111"/>
      <c r="S209" s="110" t="s">
        <v>1186</v>
      </c>
      <c r="T209"/>
      <c r="U209"/>
      <c r="V209"/>
    </row>
    <row r="210" spans="1:22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103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664</v>
      </c>
      <c r="P210" s="109">
        <v>191707</v>
      </c>
      <c r="Q210" s="107"/>
      <c r="R210" s="111"/>
      <c r="S210" s="110" t="s">
        <v>1186</v>
      </c>
      <c r="T210"/>
      <c r="U210"/>
      <c r="V210"/>
    </row>
    <row r="211" spans="1:22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103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665</v>
      </c>
      <c r="P211" s="109">
        <v>191707</v>
      </c>
      <c r="Q211" s="107"/>
      <c r="R211" s="111"/>
      <c r="S211" s="110" t="s">
        <v>1186</v>
      </c>
      <c r="T211"/>
      <c r="U211"/>
      <c r="V211"/>
    </row>
    <row r="212" spans="1:22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103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666</v>
      </c>
      <c r="P212" s="109">
        <v>191707</v>
      </c>
      <c r="Q212" s="107"/>
      <c r="R212" s="111"/>
      <c r="S212" s="110" t="s">
        <v>1186</v>
      </c>
      <c r="T212"/>
      <c r="U212"/>
      <c r="V212"/>
    </row>
    <row r="213" spans="1:22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103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667</v>
      </c>
      <c r="P213" s="109">
        <v>191707</v>
      </c>
      <c r="Q213" s="107"/>
      <c r="R213" s="111"/>
      <c r="S213" s="110" t="s">
        <v>1186</v>
      </c>
      <c r="T213"/>
      <c r="U213"/>
      <c r="V213"/>
    </row>
    <row r="214" spans="1:22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103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668</v>
      </c>
      <c r="P214" s="109">
        <v>191707</v>
      </c>
      <c r="Q214" s="107"/>
      <c r="R214" s="111"/>
      <c r="S214" s="110" t="s">
        <v>1186</v>
      </c>
      <c r="T214"/>
      <c r="U214"/>
      <c r="V214"/>
    </row>
    <row r="215" spans="1:22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103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669</v>
      </c>
      <c r="P215" s="109">
        <v>191707</v>
      </c>
      <c r="Q215" s="107"/>
      <c r="R215" s="111"/>
      <c r="S215" s="110" t="s">
        <v>1186</v>
      </c>
      <c r="T215"/>
      <c r="U215"/>
      <c r="V215"/>
    </row>
    <row r="216" spans="1:22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103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670</v>
      </c>
      <c r="P216" s="109">
        <v>191707</v>
      </c>
      <c r="Q216" s="107"/>
      <c r="R216" s="111"/>
      <c r="S216" s="110" t="s">
        <v>1186</v>
      </c>
      <c r="T216"/>
      <c r="U216"/>
      <c r="V216"/>
    </row>
    <row r="217" spans="1:22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103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671</v>
      </c>
      <c r="P217" s="109">
        <v>191707</v>
      </c>
      <c r="Q217" s="107"/>
      <c r="R217" s="111"/>
      <c r="S217" s="110" t="s">
        <v>1186</v>
      </c>
      <c r="T217"/>
      <c r="U217"/>
      <c r="V217"/>
    </row>
    <row r="218" spans="1:22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103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672</v>
      </c>
      <c r="P218" s="109">
        <v>191707</v>
      </c>
      <c r="Q218" s="107"/>
      <c r="R218" s="111"/>
      <c r="S218" s="110" t="s">
        <v>1186</v>
      </c>
      <c r="T218"/>
      <c r="U218"/>
      <c r="V218"/>
    </row>
    <row r="219" spans="1:22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103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673</v>
      </c>
      <c r="P219" s="109">
        <v>191707</v>
      </c>
      <c r="Q219" s="107"/>
      <c r="R219" s="111"/>
      <c r="S219" s="110" t="s">
        <v>1186</v>
      </c>
      <c r="T219"/>
      <c r="U219"/>
      <c r="V219"/>
    </row>
    <row r="220" spans="1:22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103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674</v>
      </c>
      <c r="P220" s="109">
        <v>191707</v>
      </c>
      <c r="Q220" s="107"/>
      <c r="R220" s="111"/>
      <c r="S220" s="110" t="s">
        <v>1186</v>
      </c>
      <c r="T220"/>
      <c r="U220"/>
      <c r="V220"/>
    </row>
    <row r="221" spans="1:22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103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675</v>
      </c>
      <c r="P221" s="109">
        <v>191710</v>
      </c>
      <c r="Q221" s="107"/>
      <c r="R221" s="111"/>
      <c r="S221" s="110" t="s">
        <v>1186</v>
      </c>
      <c r="T221"/>
      <c r="U221"/>
      <c r="V221"/>
    </row>
    <row r="222" spans="1:22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103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676</v>
      </c>
      <c r="P222" s="109">
        <v>191710</v>
      </c>
      <c r="Q222" s="107"/>
      <c r="R222" s="111"/>
      <c r="S222" s="110" t="s">
        <v>1186</v>
      </c>
      <c r="T222"/>
      <c r="U222"/>
      <c r="V222"/>
    </row>
    <row r="223" spans="1:22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103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677</v>
      </c>
      <c r="P223" s="109">
        <v>191710</v>
      </c>
      <c r="Q223" s="107"/>
      <c r="R223" s="111"/>
      <c r="S223" s="110" t="s">
        <v>1186</v>
      </c>
      <c r="T223"/>
      <c r="U223"/>
      <c r="V223"/>
    </row>
    <row r="224" spans="1:22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103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678</v>
      </c>
      <c r="P224" s="109">
        <v>191710</v>
      </c>
      <c r="Q224" s="107"/>
      <c r="R224" s="111"/>
      <c r="S224" s="110" t="s">
        <v>1186</v>
      </c>
      <c r="T224"/>
      <c r="U224"/>
      <c r="V224"/>
    </row>
    <row r="225" spans="1:22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103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679</v>
      </c>
      <c r="P225" s="109">
        <v>191710</v>
      </c>
      <c r="Q225" s="107"/>
      <c r="R225" s="111"/>
      <c r="S225" s="110" t="s">
        <v>1186</v>
      </c>
      <c r="T225"/>
      <c r="U225"/>
      <c r="V225"/>
    </row>
    <row r="226" spans="1:22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103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680</v>
      </c>
      <c r="P226" s="109">
        <v>191710</v>
      </c>
      <c r="Q226" s="107"/>
      <c r="R226" s="111"/>
      <c r="S226" s="110" t="s">
        <v>1186</v>
      </c>
      <c r="T226"/>
      <c r="U226"/>
      <c r="V226"/>
    </row>
    <row r="227" spans="1:22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103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681</v>
      </c>
      <c r="P227" s="109">
        <v>191710</v>
      </c>
      <c r="Q227" s="107"/>
      <c r="R227" s="111"/>
      <c r="S227" s="110" t="s">
        <v>1186</v>
      </c>
      <c r="T227"/>
      <c r="U227"/>
      <c r="V227"/>
    </row>
    <row r="228" spans="1:22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103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682</v>
      </c>
      <c r="P228" s="109">
        <v>191710</v>
      </c>
      <c r="Q228" s="107"/>
      <c r="R228" s="111"/>
      <c r="S228" s="110" t="s">
        <v>1186</v>
      </c>
      <c r="T228"/>
      <c r="U228"/>
      <c r="V228"/>
    </row>
    <row r="229" spans="1:22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103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683</v>
      </c>
      <c r="P229" s="109">
        <v>191710</v>
      </c>
      <c r="Q229" s="107"/>
      <c r="R229" s="111"/>
      <c r="S229" s="110" t="s">
        <v>1186</v>
      </c>
      <c r="T229"/>
      <c r="U229"/>
      <c r="V229"/>
    </row>
    <row r="230" spans="1:22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103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684</v>
      </c>
      <c r="P230" s="109">
        <v>191710</v>
      </c>
      <c r="Q230" s="107"/>
      <c r="R230" s="111"/>
      <c r="S230" s="110" t="s">
        <v>1186</v>
      </c>
      <c r="T230"/>
      <c r="U230"/>
      <c r="V230"/>
    </row>
    <row r="231" spans="1:22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103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685</v>
      </c>
      <c r="P231" s="109">
        <v>191710</v>
      </c>
      <c r="Q231" s="107"/>
      <c r="R231" s="111"/>
      <c r="S231" s="110" t="s">
        <v>1186</v>
      </c>
      <c r="T231"/>
      <c r="U231"/>
      <c r="V231"/>
    </row>
    <row r="232" spans="1:22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103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686</v>
      </c>
      <c r="P232" s="109">
        <v>191710</v>
      </c>
      <c r="Q232" s="107"/>
      <c r="R232" s="111"/>
      <c r="S232" s="110" t="s">
        <v>1186</v>
      </c>
      <c r="T232"/>
      <c r="U232"/>
      <c r="V232"/>
    </row>
    <row r="233" spans="1:22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103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687</v>
      </c>
      <c r="P233" s="109">
        <v>191710</v>
      </c>
      <c r="Q233" s="107"/>
      <c r="R233" s="111"/>
      <c r="S233" s="110" t="s">
        <v>1186</v>
      </c>
      <c r="T233"/>
      <c r="U233"/>
      <c r="V233"/>
    </row>
    <row r="234" spans="1:22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103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688</v>
      </c>
      <c r="P234" s="109">
        <v>191897</v>
      </c>
      <c r="Q234" s="107"/>
      <c r="R234" s="111"/>
      <c r="S234" s="110" t="s">
        <v>1186</v>
      </c>
      <c r="T234"/>
      <c r="U234"/>
      <c r="V234"/>
    </row>
    <row r="235" spans="1:22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103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689</v>
      </c>
      <c r="P235" s="109">
        <v>191890</v>
      </c>
      <c r="Q235" s="107"/>
      <c r="R235" s="111"/>
      <c r="S235" s="110" t="s">
        <v>1186</v>
      </c>
      <c r="T235"/>
      <c r="U235"/>
      <c r="V235"/>
    </row>
    <row r="236" spans="1:22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103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690</v>
      </c>
      <c r="P236" s="109">
        <v>191710</v>
      </c>
      <c r="Q236" s="107"/>
      <c r="R236" s="111"/>
      <c r="S236" s="110" t="s">
        <v>1186</v>
      </c>
      <c r="T236"/>
      <c r="U236"/>
      <c r="V236"/>
    </row>
    <row r="237" spans="1:22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103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691</v>
      </c>
      <c r="P237" s="109">
        <v>191710</v>
      </c>
      <c r="Q237" s="107"/>
      <c r="R237" s="111"/>
      <c r="S237" s="110" t="s">
        <v>1186</v>
      </c>
      <c r="T237"/>
      <c r="U237"/>
      <c r="V237"/>
    </row>
    <row r="238" spans="1:22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103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692</v>
      </c>
      <c r="P238" s="109">
        <v>191710</v>
      </c>
      <c r="Q238" s="107"/>
      <c r="R238" s="111"/>
      <c r="S238" s="110" t="s">
        <v>1186</v>
      </c>
      <c r="T238"/>
      <c r="U238"/>
      <c r="V238"/>
    </row>
    <row r="239" spans="1:22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103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693</v>
      </c>
      <c r="P239" s="109">
        <v>191710</v>
      </c>
      <c r="Q239" s="107"/>
      <c r="R239" s="111"/>
      <c r="S239" s="110" t="s">
        <v>1186</v>
      </c>
      <c r="T239"/>
      <c r="U239"/>
      <c r="V239"/>
    </row>
    <row r="240" spans="1:22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103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694</v>
      </c>
      <c r="P240" s="109">
        <v>191888</v>
      </c>
      <c r="Q240" s="107"/>
      <c r="R240" s="111"/>
      <c r="S240" s="110" t="s">
        <v>1186</v>
      </c>
      <c r="T240"/>
      <c r="U240"/>
      <c r="V240"/>
    </row>
    <row r="241" spans="1:22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103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695</v>
      </c>
      <c r="P241" s="109">
        <v>191888</v>
      </c>
      <c r="Q241" s="107"/>
      <c r="R241" s="111"/>
      <c r="S241" s="110" t="s">
        <v>1186</v>
      </c>
      <c r="T241"/>
      <c r="U241"/>
      <c r="V241"/>
    </row>
    <row r="242" spans="1:22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103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696</v>
      </c>
      <c r="P242" s="109">
        <v>191888</v>
      </c>
      <c r="Q242" s="107"/>
      <c r="R242" s="111"/>
      <c r="S242" s="110" t="s">
        <v>1186</v>
      </c>
      <c r="T242"/>
      <c r="U242"/>
      <c r="V242"/>
    </row>
    <row r="243" spans="1:22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103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697</v>
      </c>
      <c r="P243" s="109">
        <v>191888</v>
      </c>
      <c r="Q243" s="107"/>
      <c r="R243" s="111"/>
      <c r="S243" s="110" t="s">
        <v>1186</v>
      </c>
      <c r="T243"/>
      <c r="U243"/>
      <c r="V243"/>
    </row>
    <row r="244" spans="1:22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103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698</v>
      </c>
      <c r="P244" s="109">
        <v>191888</v>
      </c>
      <c r="Q244" s="107"/>
      <c r="R244" s="111"/>
      <c r="S244" s="110" t="s">
        <v>1186</v>
      </c>
      <c r="T244"/>
      <c r="U244"/>
      <c r="V244"/>
    </row>
    <row r="245" spans="1:22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103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699</v>
      </c>
      <c r="P245" s="109">
        <v>191888</v>
      </c>
      <c r="Q245" s="107"/>
      <c r="R245" s="111"/>
      <c r="S245" s="110" t="s">
        <v>1186</v>
      </c>
      <c r="T245"/>
      <c r="U245"/>
      <c r="V245"/>
    </row>
    <row r="246" spans="1:22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103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700</v>
      </c>
      <c r="P246" s="109">
        <v>191710</v>
      </c>
      <c r="Q246" s="107"/>
      <c r="R246" s="111"/>
      <c r="S246" s="110" t="s">
        <v>1186</v>
      </c>
      <c r="T246"/>
      <c r="U246"/>
      <c r="V246"/>
    </row>
    <row r="247" spans="1:22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103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701</v>
      </c>
      <c r="P247" s="109">
        <v>191710</v>
      </c>
      <c r="Q247" s="107"/>
      <c r="R247" s="111"/>
      <c r="S247" s="110" t="s">
        <v>1186</v>
      </c>
      <c r="T247"/>
      <c r="U247"/>
      <c r="V247"/>
    </row>
    <row r="248" spans="1:22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103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702</v>
      </c>
      <c r="P248" s="109">
        <v>191710</v>
      </c>
      <c r="Q248" s="107"/>
      <c r="R248" s="111"/>
      <c r="S248" s="110" t="s">
        <v>1186</v>
      </c>
      <c r="T248"/>
      <c r="U248"/>
      <c r="V248"/>
    </row>
    <row r="249" spans="1:22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103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703</v>
      </c>
      <c r="P249" s="109">
        <v>191710</v>
      </c>
      <c r="Q249" s="107"/>
      <c r="R249" s="111"/>
      <c r="S249" s="110" t="s">
        <v>1186</v>
      </c>
      <c r="T249"/>
      <c r="U249"/>
      <c r="V249"/>
    </row>
    <row r="250" spans="1:22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103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704</v>
      </c>
      <c r="P250" s="109">
        <v>191710</v>
      </c>
      <c r="Q250" s="107"/>
      <c r="R250" s="111"/>
      <c r="S250" s="110" t="s">
        <v>1186</v>
      </c>
      <c r="T250"/>
      <c r="U250"/>
      <c r="V250"/>
    </row>
    <row r="251" spans="1:22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103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706</v>
      </c>
      <c r="P251" s="109">
        <v>191635</v>
      </c>
      <c r="Q251" s="107"/>
      <c r="R251" s="111"/>
      <c r="S251" s="110" t="s">
        <v>1186</v>
      </c>
      <c r="T251"/>
      <c r="U251"/>
      <c r="V251"/>
    </row>
    <row r="252" spans="1:22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103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707</v>
      </c>
      <c r="P252" s="109">
        <v>191908</v>
      </c>
      <c r="Q252" s="107"/>
      <c r="R252" s="111"/>
      <c r="S252" s="110" t="s">
        <v>1187</v>
      </c>
      <c r="T252"/>
      <c r="U252"/>
      <c r="V252"/>
    </row>
    <row r="253" spans="1:22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103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708</v>
      </c>
      <c r="P253" s="109">
        <v>191908</v>
      </c>
      <c r="Q253" s="107"/>
      <c r="R253" s="111"/>
      <c r="S253" s="110" t="s">
        <v>1187</v>
      </c>
      <c r="T253"/>
      <c r="U253"/>
      <c r="V253"/>
    </row>
    <row r="254" spans="1:22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103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709</v>
      </c>
      <c r="P254" s="109">
        <v>191908</v>
      </c>
      <c r="Q254" s="107"/>
      <c r="R254" s="111"/>
      <c r="S254" s="110" t="s">
        <v>1187</v>
      </c>
      <c r="T254"/>
      <c r="U254"/>
      <c r="V254"/>
    </row>
    <row r="255" spans="1:22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103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710</v>
      </c>
      <c r="P255" s="109">
        <v>191908</v>
      </c>
      <c r="Q255" s="107"/>
      <c r="R255" s="111"/>
      <c r="S255" s="110" t="s">
        <v>1187</v>
      </c>
      <c r="T255"/>
      <c r="U255"/>
      <c r="V255"/>
    </row>
    <row r="256" spans="1:22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103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711</v>
      </c>
      <c r="P256" s="109">
        <v>191908</v>
      </c>
      <c r="Q256" s="107"/>
      <c r="R256" s="111"/>
      <c r="S256" s="110" t="s">
        <v>1187</v>
      </c>
      <c r="T256"/>
      <c r="U256"/>
      <c r="V256"/>
    </row>
    <row r="257" spans="1:22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103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712</v>
      </c>
      <c r="P257" s="109">
        <v>191908</v>
      </c>
      <c r="Q257" s="107"/>
      <c r="R257" s="111"/>
      <c r="S257" s="110" t="s">
        <v>1187</v>
      </c>
      <c r="T257"/>
      <c r="U257"/>
      <c r="V257"/>
    </row>
    <row r="258" spans="1:22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103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713</v>
      </c>
      <c r="P258" s="109">
        <v>191908</v>
      </c>
      <c r="Q258" s="107"/>
      <c r="R258" s="111"/>
      <c r="S258" s="110" t="s">
        <v>1187</v>
      </c>
      <c r="T258"/>
      <c r="U258"/>
      <c r="V258"/>
    </row>
    <row r="259" spans="1:22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103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714</v>
      </c>
      <c r="P259" s="109">
        <v>191908</v>
      </c>
      <c r="Q259" s="107"/>
      <c r="R259" s="111"/>
      <c r="S259" s="110" t="s">
        <v>1187</v>
      </c>
      <c r="T259"/>
      <c r="U259"/>
      <c r="V259"/>
    </row>
    <row r="260" spans="1:22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103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715</v>
      </c>
      <c r="P260" s="109">
        <v>191908</v>
      </c>
      <c r="Q260" s="107"/>
      <c r="R260" s="111"/>
      <c r="S260" s="110" t="s">
        <v>1187</v>
      </c>
      <c r="T260"/>
      <c r="U260"/>
      <c r="V260"/>
    </row>
    <row r="261" spans="1:22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103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716</v>
      </c>
      <c r="P261" s="109">
        <v>191908</v>
      </c>
      <c r="Q261" s="107"/>
      <c r="R261" s="111"/>
      <c r="S261" s="110" t="s">
        <v>1187</v>
      </c>
      <c r="T261"/>
      <c r="U261"/>
      <c r="V261"/>
    </row>
    <row r="262" spans="1:22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103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717</v>
      </c>
      <c r="P262" s="109">
        <v>191908</v>
      </c>
      <c r="Q262" s="107"/>
      <c r="R262" s="111"/>
      <c r="S262" s="110" t="s">
        <v>1187</v>
      </c>
      <c r="T262"/>
      <c r="U262"/>
      <c r="V262"/>
    </row>
    <row r="263" spans="1:22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103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718</v>
      </c>
      <c r="P263" s="109">
        <v>191908</v>
      </c>
      <c r="Q263" s="107"/>
      <c r="R263" s="111"/>
      <c r="S263" s="110" t="s">
        <v>1187</v>
      </c>
      <c r="T263"/>
      <c r="U263"/>
      <c r="V263"/>
    </row>
    <row r="264" spans="1:22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103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719</v>
      </c>
      <c r="P264" s="109">
        <v>191908</v>
      </c>
      <c r="Q264" s="107"/>
      <c r="R264" s="111"/>
      <c r="S264" s="110" t="s">
        <v>1187</v>
      </c>
      <c r="T264"/>
      <c r="U264"/>
      <c r="V264"/>
    </row>
    <row r="265" spans="1:22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103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720</v>
      </c>
      <c r="P265" s="109">
        <v>191908</v>
      </c>
      <c r="Q265" s="107"/>
      <c r="R265" s="111"/>
      <c r="S265" s="110" t="s">
        <v>1187</v>
      </c>
      <c r="T265"/>
      <c r="U265"/>
      <c r="V265"/>
    </row>
    <row r="266" spans="1:22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103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721</v>
      </c>
      <c r="P266" s="109">
        <v>191908</v>
      </c>
      <c r="Q266" s="107"/>
      <c r="R266" s="111"/>
      <c r="S266" s="110" t="s">
        <v>1187</v>
      </c>
      <c r="T266"/>
      <c r="U266"/>
      <c r="V266"/>
    </row>
    <row r="267" spans="1:22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103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722</v>
      </c>
      <c r="P267" s="109">
        <v>191908</v>
      </c>
      <c r="Q267" s="107"/>
      <c r="R267" s="111"/>
      <c r="S267" s="110" t="s">
        <v>1187</v>
      </c>
      <c r="T267"/>
      <c r="U267"/>
      <c r="V267"/>
    </row>
    <row r="268" spans="1:22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103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723</v>
      </c>
      <c r="P268" s="109">
        <v>191908</v>
      </c>
      <c r="Q268" s="107"/>
      <c r="R268" s="111"/>
      <c r="S268" s="110" t="s">
        <v>1187</v>
      </c>
      <c r="T268"/>
      <c r="U268"/>
      <c r="V268"/>
    </row>
    <row r="269" spans="1:22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103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724</v>
      </c>
      <c r="P269" s="109">
        <v>191908</v>
      </c>
      <c r="Q269" s="107"/>
      <c r="R269" s="111"/>
      <c r="S269" s="110" t="s">
        <v>1187</v>
      </c>
      <c r="T269"/>
      <c r="U269"/>
      <c r="V269"/>
    </row>
    <row r="270" spans="1:22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103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725</v>
      </c>
      <c r="P270" s="109">
        <v>191908</v>
      </c>
      <c r="Q270" s="107"/>
      <c r="R270" s="111"/>
      <c r="S270" s="110" t="s">
        <v>1187</v>
      </c>
      <c r="T270"/>
      <c r="U270"/>
      <c r="V270"/>
    </row>
    <row r="271" spans="1:22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103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726</v>
      </c>
      <c r="P271" s="109">
        <v>191908</v>
      </c>
      <c r="Q271" s="107"/>
      <c r="R271" s="111"/>
      <c r="S271" s="110" t="s">
        <v>1187</v>
      </c>
      <c r="T271"/>
      <c r="U271"/>
      <c r="V271"/>
    </row>
    <row r="272" spans="1:22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103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727</v>
      </c>
      <c r="P272" s="109">
        <v>191908</v>
      </c>
      <c r="Q272" s="107"/>
      <c r="R272" s="111"/>
      <c r="S272" s="110" t="s">
        <v>1187</v>
      </c>
      <c r="T272"/>
      <c r="U272"/>
      <c r="V272"/>
    </row>
    <row r="273" spans="1:22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103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728</v>
      </c>
      <c r="P273" s="109">
        <v>191908</v>
      </c>
      <c r="Q273" s="107"/>
      <c r="R273" s="111"/>
      <c r="S273" s="110" t="s">
        <v>1187</v>
      </c>
      <c r="T273"/>
      <c r="U273"/>
      <c r="V273"/>
    </row>
    <row r="274" spans="1:22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103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729</v>
      </c>
      <c r="P274" s="109">
        <v>191908</v>
      </c>
      <c r="Q274" s="107"/>
      <c r="R274" s="111"/>
      <c r="S274" s="110" t="s">
        <v>1187</v>
      </c>
      <c r="T274"/>
      <c r="U274"/>
      <c r="V274"/>
    </row>
    <row r="275" spans="1:22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103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730</v>
      </c>
      <c r="P275" s="109">
        <v>191908</v>
      </c>
      <c r="Q275" s="107"/>
      <c r="R275" s="111"/>
      <c r="S275" s="110" t="s">
        <v>1187</v>
      </c>
      <c r="T275"/>
      <c r="U275"/>
      <c r="V275"/>
    </row>
    <row r="276" spans="1:22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103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731</v>
      </c>
      <c r="P276" s="109">
        <v>191908</v>
      </c>
      <c r="Q276" s="107"/>
      <c r="R276" s="111"/>
      <c r="S276" s="110" t="s">
        <v>1187</v>
      </c>
      <c r="T276"/>
      <c r="U276"/>
      <c r="V276"/>
    </row>
    <row r="277" spans="1:22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103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732</v>
      </c>
      <c r="P277" s="109">
        <v>191908</v>
      </c>
      <c r="Q277" s="107"/>
      <c r="R277" s="111"/>
      <c r="S277" s="110" t="s">
        <v>1187</v>
      </c>
      <c r="T277"/>
      <c r="U277"/>
      <c r="V277"/>
    </row>
    <row r="278" spans="1:22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103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733</v>
      </c>
      <c r="P278" s="109">
        <v>191908</v>
      </c>
      <c r="Q278" s="107"/>
      <c r="R278" s="111"/>
      <c r="S278" s="110" t="s">
        <v>1187</v>
      </c>
      <c r="T278"/>
      <c r="U278"/>
      <c r="V278"/>
    </row>
    <row r="279" spans="1:22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103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734</v>
      </c>
      <c r="P279" s="109">
        <v>191908</v>
      </c>
      <c r="Q279" s="107"/>
      <c r="R279" s="111"/>
      <c r="S279" s="110" t="s">
        <v>1187</v>
      </c>
      <c r="T279"/>
      <c r="U279"/>
      <c r="V279"/>
    </row>
    <row r="280" spans="1:22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103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735</v>
      </c>
      <c r="P280" s="109">
        <v>191908</v>
      </c>
      <c r="Q280" s="107"/>
      <c r="R280" s="111"/>
      <c r="S280" s="110" t="s">
        <v>1187</v>
      </c>
      <c r="T280"/>
      <c r="U280"/>
      <c r="V280"/>
    </row>
    <row r="281" spans="1:22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103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736</v>
      </c>
      <c r="P281" s="109">
        <v>191908</v>
      </c>
      <c r="Q281" s="107"/>
      <c r="R281" s="111"/>
      <c r="S281" s="110" t="s">
        <v>1187</v>
      </c>
      <c r="T281"/>
      <c r="U281"/>
      <c r="V281"/>
    </row>
    <row r="282" spans="1:22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103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737</v>
      </c>
      <c r="P282" s="109">
        <v>191908</v>
      </c>
      <c r="Q282" s="107"/>
      <c r="R282" s="111"/>
      <c r="S282" s="110" t="s">
        <v>1187</v>
      </c>
      <c r="T282"/>
      <c r="U282"/>
      <c r="V282"/>
    </row>
    <row r="283" spans="1:22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103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738</v>
      </c>
      <c r="P283" s="109">
        <v>191908</v>
      </c>
      <c r="Q283" s="107"/>
      <c r="R283" s="111"/>
      <c r="S283" s="110" t="s">
        <v>1187</v>
      </c>
      <c r="T283"/>
      <c r="U283"/>
      <c r="V283"/>
    </row>
    <row r="284" spans="1:22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103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739</v>
      </c>
      <c r="P284" s="109">
        <v>191908</v>
      </c>
      <c r="Q284" s="107"/>
      <c r="R284" s="111"/>
      <c r="S284" s="110" t="s">
        <v>1187</v>
      </c>
      <c r="T284"/>
      <c r="U284"/>
      <c r="V284"/>
    </row>
    <row r="285" spans="1:22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103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740</v>
      </c>
      <c r="P285" s="109">
        <v>191908</v>
      </c>
      <c r="Q285" s="107"/>
      <c r="R285" s="111"/>
      <c r="S285" s="110" t="s">
        <v>1187</v>
      </c>
      <c r="T285"/>
      <c r="U285"/>
      <c r="V285"/>
    </row>
    <row r="286" spans="1:22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103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741</v>
      </c>
      <c r="P286" s="109">
        <v>191974</v>
      </c>
      <c r="Q286" s="107"/>
      <c r="R286" s="111"/>
      <c r="S286" s="110" t="s">
        <v>1187</v>
      </c>
      <c r="T286"/>
      <c r="U286"/>
      <c r="V286"/>
    </row>
    <row r="287" spans="1:22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103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742</v>
      </c>
      <c r="P287" s="109">
        <v>191974</v>
      </c>
      <c r="Q287" s="107"/>
      <c r="R287" s="111"/>
      <c r="S287" s="110" t="s">
        <v>1187</v>
      </c>
      <c r="T287"/>
      <c r="U287"/>
      <c r="V287"/>
    </row>
    <row r="288" spans="1:22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103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743</v>
      </c>
      <c r="P288" s="109">
        <v>191974</v>
      </c>
      <c r="Q288" s="107"/>
      <c r="R288" s="111"/>
      <c r="S288" s="110" t="s">
        <v>1187</v>
      </c>
      <c r="T288"/>
      <c r="U288"/>
      <c r="V288"/>
    </row>
    <row r="289" spans="1:22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103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744</v>
      </c>
      <c r="P289" s="109">
        <v>191974</v>
      </c>
      <c r="Q289" s="107"/>
      <c r="R289" s="111"/>
      <c r="S289" s="110" t="s">
        <v>1187</v>
      </c>
      <c r="T289"/>
      <c r="U289"/>
      <c r="V289"/>
    </row>
    <row r="290" spans="1:22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103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745</v>
      </c>
      <c r="P290" s="109">
        <v>191974</v>
      </c>
      <c r="Q290" s="107"/>
      <c r="R290" s="111"/>
      <c r="S290" s="110" t="s">
        <v>1187</v>
      </c>
      <c r="T290"/>
      <c r="U290"/>
      <c r="V290"/>
    </row>
    <row r="291" spans="1:22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103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746</v>
      </c>
      <c r="P291" s="109">
        <v>191974</v>
      </c>
      <c r="Q291" s="107"/>
      <c r="R291" s="111"/>
      <c r="S291" s="110" t="s">
        <v>1187</v>
      </c>
      <c r="T291"/>
      <c r="U291"/>
      <c r="V291"/>
    </row>
    <row r="292" spans="1:22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103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747</v>
      </c>
      <c r="P292" s="109">
        <v>191974</v>
      </c>
      <c r="Q292" s="107"/>
      <c r="R292" s="111"/>
      <c r="S292" s="110" t="s">
        <v>1187</v>
      </c>
      <c r="T292"/>
      <c r="U292"/>
      <c r="V292"/>
    </row>
    <row r="293" spans="1:22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103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748</v>
      </c>
      <c r="P293" s="109">
        <v>191909</v>
      </c>
      <c r="Q293" s="107"/>
      <c r="R293" s="111"/>
      <c r="S293" s="110" t="s">
        <v>1187</v>
      </c>
      <c r="T293"/>
      <c r="U293"/>
      <c r="V293"/>
    </row>
    <row r="294" spans="1:22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103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749</v>
      </c>
      <c r="P294" s="109">
        <v>191909</v>
      </c>
      <c r="Q294" s="107"/>
      <c r="R294" s="111"/>
      <c r="S294" s="110" t="s">
        <v>1187</v>
      </c>
      <c r="T294"/>
      <c r="U294"/>
      <c r="V294"/>
    </row>
    <row r="295" spans="1:22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103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750</v>
      </c>
      <c r="P295" s="109">
        <v>191909</v>
      </c>
      <c r="Q295" s="107"/>
      <c r="R295" s="111"/>
      <c r="S295" s="110" t="s">
        <v>1187</v>
      </c>
      <c r="T295"/>
      <c r="U295"/>
      <c r="V295"/>
    </row>
    <row r="296" spans="1:22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103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751</v>
      </c>
      <c r="P296" s="109">
        <v>191909</v>
      </c>
      <c r="Q296" s="107"/>
      <c r="R296" s="111"/>
      <c r="S296" s="110" t="s">
        <v>1187</v>
      </c>
      <c r="T296"/>
      <c r="U296"/>
      <c r="V296"/>
    </row>
    <row r="297" spans="1:22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103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752</v>
      </c>
      <c r="P297" s="109">
        <v>191909</v>
      </c>
      <c r="Q297" s="107"/>
      <c r="R297" s="111"/>
      <c r="S297" s="110" t="s">
        <v>1187</v>
      </c>
      <c r="T297"/>
      <c r="U297"/>
      <c r="V297"/>
    </row>
    <row r="298" spans="1:22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103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753</v>
      </c>
      <c r="P298" s="109">
        <v>191909</v>
      </c>
      <c r="Q298" s="107"/>
      <c r="R298" s="111"/>
      <c r="S298" s="110" t="s">
        <v>1187</v>
      </c>
      <c r="T298"/>
      <c r="U298"/>
      <c r="V298"/>
    </row>
    <row r="299" spans="1:22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103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754</v>
      </c>
      <c r="P299" s="109">
        <v>191909</v>
      </c>
      <c r="Q299" s="107"/>
      <c r="R299" s="111"/>
      <c r="S299" s="110" t="s">
        <v>1187</v>
      </c>
      <c r="T299"/>
      <c r="U299"/>
      <c r="V299"/>
    </row>
    <row r="300" spans="1:22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103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755</v>
      </c>
      <c r="P300" s="109">
        <v>191909</v>
      </c>
      <c r="Q300" s="107"/>
      <c r="R300" s="111"/>
      <c r="S300" s="110" t="s">
        <v>1187</v>
      </c>
      <c r="T300"/>
      <c r="U300"/>
      <c r="V300"/>
    </row>
    <row r="301" spans="1:22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103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756</v>
      </c>
      <c r="P301" s="109">
        <v>191909</v>
      </c>
      <c r="Q301" s="107"/>
      <c r="R301" s="111"/>
      <c r="S301" s="110" t="s">
        <v>1187</v>
      </c>
      <c r="T301"/>
      <c r="U301"/>
      <c r="V301"/>
    </row>
    <row r="302" spans="1:22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103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757</v>
      </c>
      <c r="P302" s="109">
        <v>191909</v>
      </c>
      <c r="Q302" s="107"/>
      <c r="R302" s="111"/>
      <c r="S302" s="110" t="s">
        <v>1187</v>
      </c>
      <c r="T302"/>
      <c r="U302"/>
      <c r="V302"/>
    </row>
    <row r="303" spans="1:22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103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758</v>
      </c>
      <c r="P303" s="109">
        <v>191909</v>
      </c>
      <c r="Q303" s="107"/>
      <c r="R303" s="111"/>
      <c r="S303" s="110" t="s">
        <v>1187</v>
      </c>
      <c r="T303"/>
      <c r="U303"/>
      <c r="V303"/>
    </row>
    <row r="304" spans="1:22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103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759</v>
      </c>
      <c r="P304" s="109">
        <v>191909</v>
      </c>
      <c r="Q304" s="107"/>
      <c r="R304" s="111"/>
      <c r="S304" s="110" t="s">
        <v>1187</v>
      </c>
      <c r="T304"/>
      <c r="U304"/>
      <c r="V304"/>
    </row>
    <row r="305" spans="1:22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103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760</v>
      </c>
      <c r="P305" s="109">
        <v>191909</v>
      </c>
      <c r="Q305" s="107"/>
      <c r="R305" s="111"/>
      <c r="S305" s="110" t="s">
        <v>1187</v>
      </c>
      <c r="T305"/>
      <c r="U305"/>
      <c r="V305"/>
    </row>
    <row r="306" spans="1:22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103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761</v>
      </c>
      <c r="P306" s="109">
        <v>191909</v>
      </c>
      <c r="Q306" s="107"/>
      <c r="R306" s="111"/>
      <c r="S306" s="110" t="s">
        <v>1187</v>
      </c>
      <c r="T306"/>
      <c r="U306"/>
      <c r="V306"/>
    </row>
    <row r="307" spans="1:22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103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762</v>
      </c>
      <c r="P307" s="109">
        <v>191909</v>
      </c>
      <c r="Q307" s="107"/>
      <c r="R307" s="111"/>
      <c r="S307" s="110" t="s">
        <v>1187</v>
      </c>
      <c r="T307"/>
      <c r="U307"/>
      <c r="V307"/>
    </row>
    <row r="308" spans="1:22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103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763</v>
      </c>
      <c r="P308" s="109">
        <v>191909</v>
      </c>
      <c r="Q308" s="107"/>
      <c r="R308" s="111"/>
      <c r="S308" s="110" t="s">
        <v>1187</v>
      </c>
      <c r="T308"/>
      <c r="U308"/>
      <c r="V308"/>
    </row>
    <row r="309" spans="1:22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103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764</v>
      </c>
      <c r="P309" s="109">
        <v>191909</v>
      </c>
      <c r="Q309" s="107"/>
      <c r="R309" s="111"/>
      <c r="S309" s="110" t="s">
        <v>1187</v>
      </c>
      <c r="T309"/>
      <c r="U309"/>
      <c r="V309"/>
    </row>
    <row r="310" spans="1:22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103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765</v>
      </c>
      <c r="P310" s="109">
        <v>191909</v>
      </c>
      <c r="Q310" s="107"/>
      <c r="R310" s="111"/>
      <c r="S310" s="110" t="s">
        <v>1187</v>
      </c>
      <c r="T310"/>
      <c r="U310"/>
      <c r="V310"/>
    </row>
    <row r="311" spans="1:22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103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766</v>
      </c>
      <c r="P311" s="109">
        <v>191909</v>
      </c>
      <c r="Q311" s="107"/>
      <c r="R311" s="111"/>
      <c r="S311" s="110" t="s">
        <v>1187</v>
      </c>
      <c r="T311"/>
      <c r="U311"/>
      <c r="V311"/>
    </row>
    <row r="312" spans="1:22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103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767</v>
      </c>
      <c r="P312" s="109">
        <v>191949</v>
      </c>
      <c r="Q312" s="107"/>
      <c r="R312" s="111"/>
      <c r="S312" s="110" t="s">
        <v>1187</v>
      </c>
      <c r="T312"/>
      <c r="U312"/>
      <c r="V312"/>
    </row>
    <row r="313" spans="1:22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103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768</v>
      </c>
      <c r="P313" s="109">
        <v>191949</v>
      </c>
      <c r="Q313" s="107"/>
      <c r="R313" s="111"/>
      <c r="S313" s="110" t="s">
        <v>1187</v>
      </c>
      <c r="T313"/>
      <c r="U313"/>
      <c r="V313"/>
    </row>
    <row r="314" spans="1:22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103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769</v>
      </c>
      <c r="P314" s="109">
        <v>191949</v>
      </c>
      <c r="Q314" s="107"/>
      <c r="R314" s="111"/>
      <c r="S314" s="110" t="s">
        <v>1187</v>
      </c>
      <c r="T314"/>
      <c r="U314"/>
      <c r="V314"/>
    </row>
    <row r="315" spans="1:22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103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770</v>
      </c>
      <c r="P315" s="109">
        <v>191949</v>
      </c>
      <c r="Q315" s="107"/>
      <c r="R315" s="111"/>
      <c r="S315" s="110" t="s">
        <v>1187</v>
      </c>
      <c r="T315"/>
      <c r="U315"/>
      <c r="V315"/>
    </row>
    <row r="316" spans="1:22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103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771</v>
      </c>
      <c r="P316" s="109">
        <v>191949</v>
      </c>
      <c r="Q316" s="107"/>
      <c r="R316" s="111"/>
      <c r="S316" s="110" t="s">
        <v>1187</v>
      </c>
      <c r="T316"/>
      <c r="U316"/>
      <c r="V316"/>
    </row>
    <row r="317" spans="1:22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103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772</v>
      </c>
      <c r="P317" s="109">
        <v>191949</v>
      </c>
      <c r="Q317" s="107"/>
      <c r="R317" s="111"/>
      <c r="S317" s="110" t="s">
        <v>1187</v>
      </c>
      <c r="T317"/>
      <c r="U317"/>
      <c r="V317"/>
    </row>
    <row r="318" spans="1:22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103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773</v>
      </c>
      <c r="P318" s="109">
        <v>191949</v>
      </c>
      <c r="Q318" s="107"/>
      <c r="R318" s="111"/>
      <c r="S318" s="110" t="s">
        <v>1187</v>
      </c>
      <c r="T318"/>
      <c r="U318"/>
      <c r="V318"/>
    </row>
    <row r="319" spans="1:22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103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774</v>
      </c>
      <c r="P319" s="109">
        <v>191949</v>
      </c>
      <c r="Q319" s="107"/>
      <c r="R319" s="111"/>
      <c r="S319" s="110" t="s">
        <v>1187</v>
      </c>
      <c r="T319"/>
      <c r="U319"/>
      <c r="V319"/>
    </row>
    <row r="320" spans="1:22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103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775</v>
      </c>
      <c r="P320" s="109">
        <v>191949</v>
      </c>
      <c r="Q320" s="107"/>
      <c r="R320" s="111"/>
      <c r="S320" s="110" t="s">
        <v>1187</v>
      </c>
      <c r="T320"/>
      <c r="U320"/>
      <c r="V320"/>
    </row>
    <row r="321" spans="1:22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103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776</v>
      </c>
      <c r="P321" s="109">
        <v>191949</v>
      </c>
      <c r="Q321" s="107"/>
      <c r="R321" s="111"/>
      <c r="S321" s="110" t="s">
        <v>1187</v>
      </c>
      <c r="T321"/>
      <c r="U321"/>
      <c r="V321"/>
    </row>
    <row r="322" spans="1:22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103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777</v>
      </c>
      <c r="P322" s="109">
        <v>191949</v>
      </c>
      <c r="Q322" s="107"/>
      <c r="R322" s="111"/>
      <c r="S322" s="110" t="s">
        <v>1187</v>
      </c>
      <c r="T322"/>
      <c r="U322"/>
      <c r="V322"/>
    </row>
    <row r="323" spans="1:22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103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778</v>
      </c>
      <c r="P323" s="109">
        <v>191949</v>
      </c>
      <c r="Q323" s="107"/>
      <c r="R323" s="111"/>
      <c r="S323" s="110" t="s">
        <v>1187</v>
      </c>
      <c r="T323"/>
      <c r="U323"/>
      <c r="V323"/>
    </row>
    <row r="324" spans="1:22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103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779</v>
      </c>
      <c r="P324" s="109">
        <v>191949</v>
      </c>
      <c r="Q324" s="107"/>
      <c r="R324" s="111"/>
      <c r="S324" s="110" t="s">
        <v>1187</v>
      </c>
      <c r="T324"/>
      <c r="U324"/>
      <c r="V324"/>
    </row>
    <row r="325" spans="1:22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103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780</v>
      </c>
      <c r="P325" s="109">
        <v>191949</v>
      </c>
      <c r="Q325" s="107"/>
      <c r="R325" s="111"/>
      <c r="S325" s="110" t="s">
        <v>1187</v>
      </c>
      <c r="T325"/>
      <c r="U325"/>
      <c r="V325"/>
    </row>
    <row r="326" spans="1:22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103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781</v>
      </c>
      <c r="P326" s="109">
        <v>191949</v>
      </c>
      <c r="Q326" s="107"/>
      <c r="R326" s="111"/>
      <c r="S326" s="110" t="s">
        <v>1187</v>
      </c>
      <c r="T326"/>
      <c r="U326"/>
      <c r="V326"/>
    </row>
    <row r="327" spans="1:22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103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782</v>
      </c>
      <c r="P327" s="109">
        <v>191949</v>
      </c>
      <c r="Q327" s="107"/>
      <c r="R327" s="111"/>
      <c r="S327" s="110" t="s">
        <v>1187</v>
      </c>
      <c r="T327"/>
      <c r="U327"/>
      <c r="V327"/>
    </row>
    <row r="328" spans="1:22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103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783</v>
      </c>
      <c r="P328" s="109">
        <v>191949</v>
      </c>
      <c r="Q328" s="107"/>
      <c r="R328" s="111"/>
      <c r="S328" s="110" t="s">
        <v>1187</v>
      </c>
      <c r="T328"/>
      <c r="U328"/>
      <c r="V328"/>
    </row>
    <row r="329" spans="1:22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103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784</v>
      </c>
      <c r="P329" s="109">
        <v>191949</v>
      </c>
      <c r="Q329" s="107"/>
      <c r="R329" s="111"/>
      <c r="S329" s="110" t="s">
        <v>1187</v>
      </c>
      <c r="T329"/>
      <c r="U329"/>
      <c r="V329"/>
    </row>
    <row r="330" spans="1:22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103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785</v>
      </c>
      <c r="P330" s="109">
        <v>191949</v>
      </c>
      <c r="Q330" s="107"/>
      <c r="R330" s="111"/>
      <c r="S330" s="110" t="s">
        <v>1187</v>
      </c>
      <c r="T330"/>
      <c r="U330"/>
      <c r="V330"/>
    </row>
    <row r="331" spans="1:22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103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786</v>
      </c>
      <c r="P331" s="109">
        <v>191949</v>
      </c>
      <c r="Q331" s="107"/>
      <c r="R331" s="111"/>
      <c r="S331" s="110" t="s">
        <v>1187</v>
      </c>
      <c r="T331"/>
      <c r="U331"/>
      <c r="V331"/>
    </row>
    <row r="332" spans="1:22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103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787</v>
      </c>
      <c r="P332" s="109">
        <v>191991</v>
      </c>
      <c r="Q332" s="107"/>
      <c r="R332" s="111"/>
      <c r="S332" s="110" t="s">
        <v>1187</v>
      </c>
      <c r="T332"/>
      <c r="U332"/>
      <c r="V332"/>
    </row>
    <row r="333" spans="1:22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103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788</v>
      </c>
      <c r="P333" s="109">
        <v>191991</v>
      </c>
      <c r="Q333" s="107"/>
      <c r="R333" s="111"/>
      <c r="S333" s="110" t="s">
        <v>1187</v>
      </c>
      <c r="T333"/>
      <c r="U333"/>
      <c r="V333"/>
    </row>
    <row r="334" spans="1:22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103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789</v>
      </c>
      <c r="P334" s="109">
        <v>191991</v>
      </c>
      <c r="Q334" s="107"/>
      <c r="R334" s="111"/>
      <c r="S334" s="110" t="s">
        <v>1187</v>
      </c>
      <c r="T334"/>
      <c r="U334"/>
      <c r="V334"/>
    </row>
    <row r="335" spans="1:22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103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790</v>
      </c>
      <c r="P335" s="109">
        <v>191991</v>
      </c>
      <c r="Q335" s="107"/>
      <c r="R335" s="111"/>
      <c r="S335" s="110" t="s">
        <v>1187</v>
      </c>
      <c r="T335"/>
      <c r="U335"/>
      <c r="V335"/>
    </row>
    <row r="336" spans="1:22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103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791</v>
      </c>
      <c r="P336" s="109">
        <v>191991</v>
      </c>
      <c r="Q336" s="107"/>
      <c r="R336" s="111"/>
      <c r="S336" s="110" t="s">
        <v>1187</v>
      </c>
      <c r="T336"/>
      <c r="U336"/>
      <c r="V336"/>
    </row>
    <row r="337" spans="1:22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103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792</v>
      </c>
      <c r="P337" s="109">
        <v>191991</v>
      </c>
      <c r="Q337" s="107"/>
      <c r="R337" s="111"/>
      <c r="S337" s="110" t="s">
        <v>1187</v>
      </c>
      <c r="T337"/>
      <c r="U337"/>
      <c r="V337"/>
    </row>
    <row r="338" spans="1:22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103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793</v>
      </c>
      <c r="P338" s="109">
        <v>191991</v>
      </c>
      <c r="Q338" s="107"/>
      <c r="R338" s="111"/>
      <c r="S338" s="110" t="s">
        <v>1187</v>
      </c>
      <c r="T338"/>
      <c r="U338"/>
      <c r="V338"/>
    </row>
    <row r="339" spans="1:22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103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794</v>
      </c>
      <c r="P339" s="109">
        <v>191991</v>
      </c>
      <c r="Q339" s="107"/>
      <c r="R339" s="111"/>
      <c r="S339" s="110" t="s">
        <v>1187</v>
      </c>
      <c r="T339"/>
      <c r="U339"/>
      <c r="V339"/>
    </row>
    <row r="340" spans="1:22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103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795</v>
      </c>
      <c r="P340" s="109">
        <v>191991</v>
      </c>
      <c r="Q340" s="107"/>
      <c r="R340" s="111"/>
      <c r="S340" s="110" t="s">
        <v>1187</v>
      </c>
      <c r="T340"/>
      <c r="U340"/>
      <c r="V340"/>
    </row>
    <row r="341" spans="1:22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103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796</v>
      </c>
      <c r="P341" s="109">
        <v>191991</v>
      </c>
      <c r="Q341" s="107"/>
      <c r="R341" s="111"/>
      <c r="S341" s="110" t="s">
        <v>1187</v>
      </c>
      <c r="T341"/>
      <c r="U341"/>
      <c r="V341"/>
    </row>
    <row r="342" spans="1:22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103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797</v>
      </c>
      <c r="P342" s="109">
        <v>191991</v>
      </c>
      <c r="Q342" s="107"/>
      <c r="R342" s="111"/>
      <c r="S342" s="110" t="s">
        <v>1187</v>
      </c>
      <c r="T342"/>
      <c r="U342"/>
      <c r="V342"/>
    </row>
    <row r="343" spans="1:22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103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798</v>
      </c>
      <c r="P343" s="109">
        <v>191991</v>
      </c>
      <c r="Q343" s="107"/>
      <c r="R343" s="111"/>
      <c r="S343" s="110" t="s">
        <v>1187</v>
      </c>
      <c r="T343"/>
      <c r="U343"/>
      <c r="V343"/>
    </row>
    <row r="344" spans="1:22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103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799</v>
      </c>
      <c r="P344" s="109">
        <v>191991</v>
      </c>
      <c r="Q344" s="107"/>
      <c r="R344" s="111"/>
      <c r="S344" s="110" t="s">
        <v>1187</v>
      </c>
      <c r="T344"/>
      <c r="U344"/>
      <c r="V344"/>
    </row>
    <row r="345" spans="1:22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103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800</v>
      </c>
      <c r="P345" s="109">
        <v>191991</v>
      </c>
      <c r="Q345" s="107"/>
      <c r="R345" s="111"/>
      <c r="S345" s="110" t="s">
        <v>1187</v>
      </c>
      <c r="T345"/>
      <c r="U345"/>
      <c r="V345"/>
    </row>
    <row r="346" spans="1:22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103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801</v>
      </c>
      <c r="P346" s="109">
        <v>191991</v>
      </c>
      <c r="Q346" s="107"/>
      <c r="R346" s="111"/>
      <c r="S346" s="110" t="s">
        <v>1187</v>
      </c>
      <c r="T346"/>
      <c r="U346"/>
      <c r="V346"/>
    </row>
    <row r="347" spans="1:22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103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802</v>
      </c>
      <c r="P347" s="109">
        <v>191991</v>
      </c>
      <c r="Q347" s="107"/>
      <c r="R347" s="111"/>
      <c r="S347" s="110" t="s">
        <v>1187</v>
      </c>
      <c r="T347"/>
      <c r="U347"/>
      <c r="V347"/>
    </row>
    <row r="348" spans="1:22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103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803</v>
      </c>
      <c r="P348" s="109">
        <v>191991</v>
      </c>
      <c r="Q348" s="107"/>
      <c r="R348" s="111"/>
      <c r="S348" s="110" t="s">
        <v>1187</v>
      </c>
      <c r="T348"/>
      <c r="U348"/>
      <c r="V348"/>
    </row>
    <row r="349" spans="1:22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103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804</v>
      </c>
      <c r="P349" s="109">
        <v>191991</v>
      </c>
      <c r="Q349" s="107"/>
      <c r="R349" s="111"/>
      <c r="S349" s="110" t="s">
        <v>1187</v>
      </c>
      <c r="T349"/>
      <c r="U349"/>
      <c r="V349"/>
    </row>
    <row r="350" spans="1:22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103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805</v>
      </c>
      <c r="P350" s="109">
        <v>191991</v>
      </c>
      <c r="Q350" s="107"/>
      <c r="R350" s="111"/>
      <c r="S350" s="110" t="s">
        <v>1187</v>
      </c>
      <c r="T350"/>
      <c r="U350"/>
      <c r="V350"/>
    </row>
    <row r="351" spans="1:22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103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806</v>
      </c>
      <c r="P351" s="109">
        <v>191991</v>
      </c>
      <c r="Q351" s="107"/>
      <c r="R351" s="111"/>
      <c r="S351" s="110" t="s">
        <v>1187</v>
      </c>
      <c r="T351"/>
      <c r="U351"/>
      <c r="V351"/>
    </row>
    <row r="352" spans="1:22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103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807</v>
      </c>
      <c r="P352" s="109">
        <v>191992</v>
      </c>
      <c r="Q352" s="107"/>
      <c r="R352" s="111"/>
      <c r="S352" s="110" t="s">
        <v>1187</v>
      </c>
      <c r="T352"/>
      <c r="U352"/>
      <c r="V352"/>
    </row>
    <row r="353" spans="1:22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103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808</v>
      </c>
      <c r="P353" s="109">
        <v>191992</v>
      </c>
      <c r="Q353" s="107"/>
      <c r="R353" s="111"/>
      <c r="S353" s="110" t="s">
        <v>1187</v>
      </c>
      <c r="T353"/>
      <c r="U353"/>
      <c r="V353"/>
    </row>
    <row r="354" spans="1:22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103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809</v>
      </c>
      <c r="P354" s="109">
        <v>191992</v>
      </c>
      <c r="Q354" s="107"/>
      <c r="R354" s="111"/>
      <c r="S354" s="110" t="s">
        <v>1187</v>
      </c>
      <c r="T354"/>
      <c r="U354"/>
      <c r="V354"/>
    </row>
    <row r="355" spans="1:22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103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810</v>
      </c>
      <c r="P355" s="109">
        <v>191992</v>
      </c>
      <c r="Q355" s="107"/>
      <c r="R355" s="111"/>
      <c r="S355" s="110" t="s">
        <v>1187</v>
      </c>
      <c r="T355"/>
      <c r="U355"/>
      <c r="V355"/>
    </row>
    <row r="356" spans="1:22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103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811</v>
      </c>
      <c r="P356" s="109">
        <v>191992</v>
      </c>
      <c r="Q356" s="107"/>
      <c r="R356" s="111"/>
      <c r="S356" s="110" t="s">
        <v>1187</v>
      </c>
      <c r="T356"/>
      <c r="U356"/>
      <c r="V356"/>
    </row>
    <row r="357" spans="1:22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103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812</v>
      </c>
      <c r="P357" s="109">
        <v>191992</v>
      </c>
      <c r="Q357" s="107"/>
      <c r="R357" s="111"/>
      <c r="S357" s="110" t="s">
        <v>1187</v>
      </c>
      <c r="T357"/>
      <c r="U357"/>
      <c r="V357"/>
    </row>
    <row r="358" spans="1:22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103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813</v>
      </c>
      <c r="P358" s="109">
        <v>191992</v>
      </c>
      <c r="Q358" s="107"/>
      <c r="R358" s="111"/>
      <c r="S358" s="110" t="s">
        <v>1187</v>
      </c>
      <c r="T358"/>
      <c r="U358"/>
      <c r="V358"/>
    </row>
    <row r="359" spans="1:22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103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814</v>
      </c>
      <c r="P359" s="109">
        <v>191992</v>
      </c>
      <c r="Q359" s="107"/>
      <c r="R359" s="111"/>
      <c r="S359" s="110" t="s">
        <v>1187</v>
      </c>
      <c r="T359"/>
      <c r="U359"/>
      <c r="V359"/>
    </row>
    <row r="360" spans="1:22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103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815</v>
      </c>
      <c r="P360" s="109">
        <v>191992</v>
      </c>
      <c r="Q360" s="107"/>
      <c r="R360" s="111"/>
      <c r="S360" s="110" t="s">
        <v>1187</v>
      </c>
      <c r="T360"/>
      <c r="U360"/>
      <c r="V360"/>
    </row>
    <row r="361" spans="1:22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103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816</v>
      </c>
      <c r="P361" s="109">
        <v>191992</v>
      </c>
      <c r="Q361" s="107"/>
      <c r="R361" s="111"/>
      <c r="S361" s="110" t="s">
        <v>1187</v>
      </c>
      <c r="T361"/>
      <c r="U361"/>
      <c r="V361"/>
    </row>
    <row r="362" spans="1:22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103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817</v>
      </c>
      <c r="P362" s="109">
        <v>191992</v>
      </c>
      <c r="Q362" s="107"/>
      <c r="R362" s="111"/>
      <c r="S362" s="110" t="s">
        <v>1187</v>
      </c>
      <c r="T362"/>
      <c r="U362"/>
      <c r="V362"/>
    </row>
    <row r="363" spans="1:22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103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818</v>
      </c>
      <c r="P363" s="109">
        <v>191992</v>
      </c>
      <c r="Q363" s="107"/>
      <c r="R363" s="111"/>
      <c r="S363" s="110" t="s">
        <v>1187</v>
      </c>
      <c r="T363"/>
      <c r="U363"/>
      <c r="V363"/>
    </row>
    <row r="364" spans="1:22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103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819</v>
      </c>
      <c r="P364" s="109">
        <v>191992</v>
      </c>
      <c r="Q364" s="107"/>
      <c r="R364" s="111"/>
      <c r="S364" s="110" t="s">
        <v>1187</v>
      </c>
      <c r="T364"/>
      <c r="U364"/>
      <c r="V364"/>
    </row>
    <row r="365" spans="1:22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103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820</v>
      </c>
      <c r="P365" s="109">
        <v>191992</v>
      </c>
      <c r="Q365" s="107"/>
      <c r="R365" s="111"/>
      <c r="S365" s="110" t="s">
        <v>1187</v>
      </c>
      <c r="T365"/>
      <c r="U365"/>
      <c r="V365"/>
    </row>
    <row r="366" spans="1:22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103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821</v>
      </c>
      <c r="P366" s="109">
        <v>191992</v>
      </c>
      <c r="Q366" s="107"/>
      <c r="R366" s="111"/>
      <c r="S366" s="110" t="s">
        <v>1187</v>
      </c>
      <c r="T366"/>
      <c r="U366"/>
      <c r="V366"/>
    </row>
    <row r="367" spans="1:22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103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822</v>
      </c>
      <c r="P367" s="109">
        <v>191992</v>
      </c>
      <c r="Q367" s="107"/>
      <c r="R367" s="111"/>
      <c r="S367" s="110" t="s">
        <v>1187</v>
      </c>
      <c r="T367"/>
      <c r="U367"/>
      <c r="V367"/>
    </row>
    <row r="368" spans="1:22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103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823</v>
      </c>
      <c r="P368" s="109">
        <v>191992</v>
      </c>
      <c r="Q368" s="107"/>
      <c r="R368" s="111"/>
      <c r="S368" s="110" t="s">
        <v>1187</v>
      </c>
      <c r="T368"/>
      <c r="U368"/>
      <c r="V368"/>
    </row>
    <row r="369" spans="1:22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103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824</v>
      </c>
      <c r="P369" s="109">
        <v>191992</v>
      </c>
      <c r="Q369" s="107"/>
      <c r="R369" s="111"/>
      <c r="S369" s="110" t="s">
        <v>1187</v>
      </c>
      <c r="T369"/>
      <c r="U369"/>
      <c r="V369"/>
    </row>
    <row r="370" spans="1:22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103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825</v>
      </c>
      <c r="P370" s="109">
        <v>191992</v>
      </c>
      <c r="Q370" s="107"/>
      <c r="R370" s="111"/>
      <c r="S370" s="110" t="s">
        <v>1187</v>
      </c>
      <c r="T370"/>
      <c r="U370"/>
      <c r="V370"/>
    </row>
    <row r="371" spans="1:22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103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826</v>
      </c>
      <c r="P371" s="109">
        <v>191992</v>
      </c>
      <c r="Q371" s="107"/>
      <c r="R371" s="111"/>
      <c r="S371" s="110" t="s">
        <v>1187</v>
      </c>
      <c r="T371"/>
      <c r="U371"/>
      <c r="V371"/>
    </row>
    <row r="372" spans="1:22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103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827</v>
      </c>
      <c r="P372" s="109">
        <v>192000</v>
      </c>
      <c r="Q372" s="107"/>
      <c r="R372" s="111"/>
      <c r="S372" s="110" t="s">
        <v>1187</v>
      </c>
      <c r="T372"/>
      <c r="U372"/>
      <c r="V372"/>
    </row>
    <row r="373" spans="1:22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103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828</v>
      </c>
      <c r="P373" s="109">
        <v>192000</v>
      </c>
      <c r="Q373" s="107"/>
      <c r="R373" s="111"/>
      <c r="S373" s="110" t="s">
        <v>1187</v>
      </c>
      <c r="T373"/>
      <c r="U373"/>
      <c r="V373"/>
    </row>
    <row r="374" spans="1:22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103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829</v>
      </c>
      <c r="P374" s="109">
        <v>192000</v>
      </c>
      <c r="Q374" s="107"/>
      <c r="R374" s="111"/>
      <c r="S374" s="110" t="s">
        <v>1187</v>
      </c>
      <c r="T374"/>
      <c r="U374"/>
      <c r="V374"/>
    </row>
    <row r="375" spans="1:22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103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830</v>
      </c>
      <c r="P375" s="109">
        <v>192000</v>
      </c>
      <c r="Q375" s="107"/>
      <c r="R375" s="111"/>
      <c r="S375" s="110" t="s">
        <v>1187</v>
      </c>
      <c r="T375"/>
      <c r="U375"/>
      <c r="V375"/>
    </row>
    <row r="376" spans="1:22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103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831</v>
      </c>
      <c r="P376" s="109">
        <v>192000</v>
      </c>
      <c r="Q376" s="107"/>
      <c r="R376" s="111"/>
      <c r="S376" s="110" t="s">
        <v>1187</v>
      </c>
      <c r="T376"/>
      <c r="U376"/>
      <c r="V376"/>
    </row>
    <row r="377" spans="1:22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103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832</v>
      </c>
      <c r="P377" s="109">
        <v>192000</v>
      </c>
      <c r="Q377" s="107"/>
      <c r="R377" s="111"/>
      <c r="S377" s="110" t="s">
        <v>1187</v>
      </c>
      <c r="T377"/>
      <c r="U377"/>
      <c r="V377"/>
    </row>
    <row r="378" spans="1:22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103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833</v>
      </c>
      <c r="P378" s="109">
        <v>192000</v>
      </c>
      <c r="Q378" s="107"/>
      <c r="R378" s="111"/>
      <c r="S378" s="110" t="s">
        <v>1187</v>
      </c>
      <c r="T378"/>
      <c r="U378"/>
      <c r="V378"/>
    </row>
    <row r="379" spans="1:22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103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834</v>
      </c>
      <c r="P379" s="109">
        <v>192000</v>
      </c>
      <c r="Q379" s="107"/>
      <c r="R379" s="111"/>
      <c r="S379" s="110" t="s">
        <v>1187</v>
      </c>
      <c r="T379"/>
      <c r="U379"/>
      <c r="V379"/>
    </row>
    <row r="380" spans="1:22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103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835</v>
      </c>
      <c r="P380" s="109">
        <v>192000</v>
      </c>
      <c r="Q380" s="107"/>
      <c r="R380" s="111"/>
      <c r="S380" s="110" t="s">
        <v>1187</v>
      </c>
      <c r="T380"/>
      <c r="U380"/>
      <c r="V380"/>
    </row>
    <row r="381" spans="1:22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103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836</v>
      </c>
      <c r="P381" s="109">
        <v>192000</v>
      </c>
      <c r="Q381" s="107"/>
      <c r="R381" s="111"/>
      <c r="S381" s="110" t="s">
        <v>1187</v>
      </c>
      <c r="T381"/>
      <c r="U381"/>
      <c r="V381"/>
    </row>
    <row r="382" spans="1:22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103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837</v>
      </c>
      <c r="P382" s="109">
        <v>192000</v>
      </c>
      <c r="Q382" s="107"/>
      <c r="R382" s="111"/>
      <c r="S382" s="110" t="s">
        <v>1187</v>
      </c>
      <c r="T382"/>
      <c r="U382"/>
      <c r="V382"/>
    </row>
    <row r="383" spans="1:22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103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838</v>
      </c>
      <c r="P383" s="109">
        <v>192000</v>
      </c>
      <c r="Q383" s="107"/>
      <c r="R383" s="111"/>
      <c r="S383" s="110" t="s">
        <v>1187</v>
      </c>
      <c r="T383"/>
      <c r="U383"/>
      <c r="V383"/>
    </row>
    <row r="384" spans="1:22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103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839</v>
      </c>
      <c r="P384" s="109">
        <v>192000</v>
      </c>
      <c r="Q384" s="107"/>
      <c r="R384" s="111"/>
      <c r="S384" s="110" t="s">
        <v>1187</v>
      </c>
      <c r="T384"/>
      <c r="U384"/>
      <c r="V384"/>
    </row>
    <row r="385" spans="1:22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103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840</v>
      </c>
      <c r="P385" s="109">
        <v>192000</v>
      </c>
      <c r="Q385" s="107"/>
      <c r="R385" s="111"/>
      <c r="S385" s="110" t="s">
        <v>1187</v>
      </c>
      <c r="T385"/>
      <c r="U385"/>
      <c r="V385"/>
    </row>
    <row r="386" spans="1:22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103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841</v>
      </c>
      <c r="P386" s="109">
        <v>192000</v>
      </c>
      <c r="Q386" s="107"/>
      <c r="R386" s="111"/>
      <c r="S386" s="110" t="s">
        <v>1187</v>
      </c>
      <c r="T386"/>
      <c r="U386"/>
      <c r="V386"/>
    </row>
    <row r="387" spans="1:22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103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842</v>
      </c>
      <c r="P387" s="109">
        <v>192000</v>
      </c>
      <c r="Q387" s="107"/>
      <c r="R387" s="111"/>
      <c r="S387" s="110" t="s">
        <v>1187</v>
      </c>
      <c r="T387"/>
      <c r="U387"/>
      <c r="V387"/>
    </row>
    <row r="388" spans="1:22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103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843</v>
      </c>
      <c r="P388" s="109">
        <v>192000</v>
      </c>
      <c r="Q388" s="107"/>
      <c r="R388" s="111"/>
      <c r="S388" s="110" t="s">
        <v>1187</v>
      </c>
      <c r="T388"/>
      <c r="U388"/>
      <c r="V388"/>
    </row>
    <row r="389" spans="1:22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103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844</v>
      </c>
      <c r="P389" s="109">
        <v>192000</v>
      </c>
      <c r="Q389" s="107"/>
      <c r="R389" s="111"/>
      <c r="S389" s="110" t="s">
        <v>1187</v>
      </c>
      <c r="T389"/>
      <c r="U389"/>
      <c r="V389"/>
    </row>
    <row r="390" spans="1:22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103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845</v>
      </c>
      <c r="P390" s="109">
        <v>192000</v>
      </c>
      <c r="Q390" s="107"/>
      <c r="R390" s="111"/>
      <c r="S390" s="110" t="s">
        <v>1187</v>
      </c>
      <c r="T390"/>
      <c r="U390"/>
      <c r="V390"/>
    </row>
    <row r="391" spans="1:22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103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846</v>
      </c>
      <c r="P391" s="109">
        <v>192000</v>
      </c>
      <c r="Q391" s="107"/>
      <c r="R391" s="111"/>
      <c r="S391" s="110" t="s">
        <v>1187</v>
      </c>
      <c r="T391"/>
      <c r="U391"/>
      <c r="V391"/>
    </row>
    <row r="392" spans="1:22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103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847</v>
      </c>
      <c r="P392" s="109">
        <v>192000</v>
      </c>
      <c r="Q392" s="107"/>
      <c r="R392" s="111"/>
      <c r="S392" s="110" t="s">
        <v>1187</v>
      </c>
      <c r="T392"/>
      <c r="U392"/>
      <c r="V392"/>
    </row>
    <row r="393" spans="1:22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103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852</v>
      </c>
      <c r="P393" s="109">
        <v>191033</v>
      </c>
      <c r="Q393" s="107"/>
      <c r="R393" s="111"/>
      <c r="S393" s="110" t="s">
        <v>1187</v>
      </c>
      <c r="T393"/>
      <c r="U393"/>
      <c r="V393"/>
    </row>
    <row r="394" spans="1:22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103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853</v>
      </c>
      <c r="P394" s="109">
        <v>191033</v>
      </c>
      <c r="Q394" s="107"/>
      <c r="R394" s="111"/>
      <c r="S394" s="110" t="s">
        <v>1187</v>
      </c>
      <c r="T394"/>
      <c r="U394"/>
      <c r="V394"/>
    </row>
    <row r="395" spans="1:22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103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854</v>
      </c>
      <c r="P395" s="109">
        <v>191033</v>
      </c>
      <c r="Q395" s="107"/>
      <c r="R395" s="111"/>
      <c r="S395" s="110" t="s">
        <v>1187</v>
      </c>
      <c r="T395"/>
      <c r="U395"/>
      <c r="V395"/>
    </row>
    <row r="396" spans="1:22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103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855</v>
      </c>
      <c r="P396" s="109">
        <v>191033</v>
      </c>
      <c r="Q396" s="107"/>
      <c r="R396" s="111"/>
      <c r="S396" s="110" t="s">
        <v>1187</v>
      </c>
      <c r="T396"/>
      <c r="U396"/>
      <c r="V396"/>
    </row>
    <row r="397" spans="1:22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103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856</v>
      </c>
      <c r="P397" s="109">
        <v>191033</v>
      </c>
      <c r="Q397" s="107"/>
      <c r="R397" s="111"/>
      <c r="S397" s="110" t="s">
        <v>1187</v>
      </c>
      <c r="T397"/>
      <c r="U397"/>
      <c r="V397"/>
    </row>
    <row r="398" spans="1:22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103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857</v>
      </c>
      <c r="P398" s="109">
        <v>191033</v>
      </c>
      <c r="Q398" s="107"/>
      <c r="R398" s="111"/>
      <c r="S398" s="110" t="s">
        <v>1187</v>
      </c>
      <c r="T398"/>
      <c r="U398"/>
      <c r="V398"/>
    </row>
    <row r="399" spans="1:22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103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858</v>
      </c>
      <c r="P399" s="109">
        <v>191033</v>
      </c>
      <c r="Q399" s="107"/>
      <c r="R399" s="111"/>
      <c r="S399" s="110" t="s">
        <v>1187</v>
      </c>
      <c r="T399"/>
      <c r="U399"/>
      <c r="V399"/>
    </row>
    <row r="400" spans="1:22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103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859</v>
      </c>
      <c r="P400" s="109">
        <v>191033</v>
      </c>
      <c r="Q400" s="107"/>
      <c r="R400" s="111"/>
      <c r="S400" s="110" t="s">
        <v>1187</v>
      </c>
      <c r="T400"/>
      <c r="U400"/>
      <c r="V400"/>
    </row>
    <row r="401" spans="1:22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103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860</v>
      </c>
      <c r="P401" s="109">
        <v>191033</v>
      </c>
      <c r="Q401" s="107"/>
      <c r="R401" s="111"/>
      <c r="S401" s="110" t="s">
        <v>1187</v>
      </c>
      <c r="T401"/>
      <c r="U401"/>
      <c r="V401"/>
    </row>
    <row r="402" spans="1:22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103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861</v>
      </c>
      <c r="P402" s="109">
        <v>191033</v>
      </c>
      <c r="Q402" s="107"/>
      <c r="R402" s="111"/>
      <c r="S402" s="110" t="s">
        <v>1187</v>
      </c>
      <c r="T402"/>
      <c r="U402"/>
      <c r="V402"/>
    </row>
    <row r="403" spans="1:22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103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862</v>
      </c>
      <c r="P403" s="109">
        <v>191033</v>
      </c>
      <c r="Q403" s="107"/>
      <c r="R403" s="111"/>
      <c r="S403" s="110" t="s">
        <v>1187</v>
      </c>
      <c r="T403"/>
      <c r="U403"/>
      <c r="V403"/>
    </row>
    <row r="404" spans="1:22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103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863</v>
      </c>
      <c r="P404" s="109">
        <v>191033</v>
      </c>
      <c r="Q404" s="107"/>
      <c r="R404" s="111"/>
      <c r="S404" s="110" t="s">
        <v>1187</v>
      </c>
      <c r="T404"/>
      <c r="U404"/>
      <c r="V404"/>
    </row>
    <row r="405" spans="1:22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103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864</v>
      </c>
      <c r="P405" s="109">
        <v>191033</v>
      </c>
      <c r="Q405" s="107"/>
      <c r="R405" s="111"/>
      <c r="S405" s="110" t="s">
        <v>1187</v>
      </c>
      <c r="T405"/>
      <c r="U405"/>
      <c r="V405"/>
    </row>
    <row r="406" spans="1:22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103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865</v>
      </c>
      <c r="P406" s="109">
        <v>191033</v>
      </c>
      <c r="Q406" s="107"/>
      <c r="R406" s="111"/>
      <c r="S406" s="110" t="s">
        <v>1187</v>
      </c>
      <c r="T406"/>
      <c r="U406"/>
      <c r="V406"/>
    </row>
    <row r="407" spans="1:22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103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866</v>
      </c>
      <c r="P407" s="109">
        <v>191033</v>
      </c>
      <c r="Q407" s="107"/>
      <c r="R407" s="111"/>
      <c r="S407" s="110" t="s">
        <v>1187</v>
      </c>
      <c r="T407"/>
      <c r="U407"/>
      <c r="V407"/>
    </row>
    <row r="408" spans="1:22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103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867</v>
      </c>
      <c r="P408" s="109">
        <v>191033</v>
      </c>
      <c r="Q408" s="107"/>
      <c r="R408" s="111"/>
      <c r="S408" s="110" t="s">
        <v>1187</v>
      </c>
      <c r="T408"/>
      <c r="U408"/>
      <c r="V408"/>
    </row>
    <row r="409" spans="1:22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103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868</v>
      </c>
      <c r="P409" s="109">
        <v>191033</v>
      </c>
      <c r="Q409" s="107"/>
      <c r="R409" s="111"/>
      <c r="S409" s="110" t="s">
        <v>1187</v>
      </c>
      <c r="T409"/>
      <c r="U409"/>
      <c r="V409"/>
    </row>
    <row r="410" spans="1:22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103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869</v>
      </c>
      <c r="P410" s="109">
        <v>191033</v>
      </c>
      <c r="Q410" s="107"/>
      <c r="R410" s="111"/>
      <c r="S410" s="110" t="s">
        <v>1187</v>
      </c>
      <c r="T410"/>
      <c r="U410"/>
      <c r="V410"/>
    </row>
    <row r="411" spans="1:22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103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870</v>
      </c>
      <c r="P411" s="109">
        <v>191033</v>
      </c>
      <c r="Q411" s="107"/>
      <c r="R411" s="111"/>
      <c r="S411" s="110" t="s">
        <v>1187</v>
      </c>
      <c r="T411"/>
      <c r="U411"/>
      <c r="V411"/>
    </row>
    <row r="412" spans="1:22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103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871</v>
      </c>
      <c r="P412" s="109">
        <v>191033</v>
      </c>
      <c r="Q412" s="107"/>
      <c r="R412" s="111"/>
      <c r="S412" s="110" t="s">
        <v>1187</v>
      </c>
      <c r="T412"/>
      <c r="U412"/>
      <c r="V412"/>
    </row>
    <row r="413" spans="1:22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103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872</v>
      </c>
      <c r="P413" s="109">
        <v>191033</v>
      </c>
      <c r="Q413" s="107"/>
      <c r="R413" s="111"/>
      <c r="S413" s="110" t="s">
        <v>1187</v>
      </c>
      <c r="T413"/>
      <c r="U413"/>
      <c r="V413"/>
    </row>
    <row r="414" spans="1:22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103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873</v>
      </c>
      <c r="P414" s="109">
        <v>191033</v>
      </c>
      <c r="Q414" s="107"/>
      <c r="R414" s="111"/>
      <c r="S414" s="110" t="s">
        <v>1187</v>
      </c>
      <c r="T414"/>
      <c r="U414"/>
      <c r="V414"/>
    </row>
    <row r="415" spans="1:22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103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874</v>
      </c>
      <c r="P415" s="109">
        <v>191033</v>
      </c>
      <c r="Q415" s="107"/>
      <c r="R415" s="111"/>
      <c r="S415" s="110" t="s">
        <v>1187</v>
      </c>
      <c r="T415"/>
      <c r="U415"/>
      <c r="V415"/>
    </row>
    <row r="416" spans="1:22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103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875</v>
      </c>
      <c r="P416" s="109">
        <v>191033</v>
      </c>
      <c r="Q416" s="107"/>
      <c r="R416" s="111"/>
      <c r="S416" s="110" t="s">
        <v>1187</v>
      </c>
      <c r="T416"/>
      <c r="U416"/>
      <c r="V416"/>
    </row>
    <row r="417" spans="1:22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103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876</v>
      </c>
      <c r="P417" s="109">
        <v>191033</v>
      </c>
      <c r="Q417" s="107"/>
      <c r="R417" s="111"/>
      <c r="S417" s="110" t="s">
        <v>1187</v>
      </c>
      <c r="T417"/>
      <c r="U417"/>
      <c r="V417"/>
    </row>
    <row r="418" spans="1:22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103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877</v>
      </c>
      <c r="P418" s="109">
        <v>191033</v>
      </c>
      <c r="Q418" s="107"/>
      <c r="R418" s="111"/>
      <c r="S418" s="110" t="s">
        <v>1187</v>
      </c>
      <c r="T418"/>
      <c r="U418"/>
      <c r="V418"/>
    </row>
    <row r="419" spans="1:22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103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878</v>
      </c>
      <c r="P419" s="109">
        <v>191033</v>
      </c>
      <c r="Q419" s="107"/>
      <c r="R419" s="111"/>
      <c r="S419" s="110" t="s">
        <v>1187</v>
      </c>
      <c r="T419"/>
      <c r="U419"/>
      <c r="V419"/>
    </row>
    <row r="420" spans="1:22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103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879</v>
      </c>
      <c r="P420" s="109">
        <v>191033</v>
      </c>
      <c r="Q420" s="107"/>
      <c r="R420" s="111"/>
      <c r="S420" s="110" t="s">
        <v>1187</v>
      </c>
      <c r="T420"/>
      <c r="U420"/>
      <c r="V420"/>
    </row>
    <row r="421" spans="1:22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103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880</v>
      </c>
      <c r="P421" s="109">
        <v>191033</v>
      </c>
      <c r="Q421" s="107"/>
      <c r="R421" s="111"/>
      <c r="S421" s="110" t="s">
        <v>1187</v>
      </c>
      <c r="T421"/>
      <c r="U421"/>
      <c r="V421"/>
    </row>
    <row r="422" spans="1:22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103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881</v>
      </c>
      <c r="P422" s="109">
        <v>191033</v>
      </c>
      <c r="Q422" s="107"/>
      <c r="R422" s="111"/>
      <c r="S422" s="110" t="s">
        <v>1187</v>
      </c>
      <c r="T422"/>
      <c r="U422"/>
      <c r="V422"/>
    </row>
    <row r="423" spans="1:22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103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882</v>
      </c>
      <c r="P423" s="109">
        <v>191033</v>
      </c>
      <c r="Q423" s="107"/>
      <c r="R423" s="111"/>
      <c r="S423" s="110" t="s">
        <v>1187</v>
      </c>
      <c r="T423"/>
      <c r="U423"/>
      <c r="V423"/>
    </row>
    <row r="424" spans="1:22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103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883</v>
      </c>
      <c r="P424" s="109">
        <v>191038</v>
      </c>
      <c r="Q424" s="107"/>
      <c r="R424" s="111"/>
      <c r="S424" s="110" t="s">
        <v>1187</v>
      </c>
      <c r="T424"/>
      <c r="U424"/>
      <c r="V424"/>
    </row>
    <row r="425" spans="1:22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103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884</v>
      </c>
      <c r="P425" s="109">
        <v>191038</v>
      </c>
      <c r="Q425" s="107"/>
      <c r="R425" s="111"/>
      <c r="S425" s="110" t="s">
        <v>1187</v>
      </c>
      <c r="T425"/>
      <c r="U425"/>
      <c r="V425"/>
    </row>
    <row r="426" spans="1:22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103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885</v>
      </c>
      <c r="P426" s="109">
        <v>191038</v>
      </c>
      <c r="Q426" s="107"/>
      <c r="R426" s="111"/>
      <c r="S426" s="110" t="s">
        <v>1187</v>
      </c>
      <c r="T426"/>
      <c r="U426"/>
      <c r="V426"/>
    </row>
    <row r="427" spans="1:22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103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886</v>
      </c>
      <c r="P427" s="109">
        <v>191038</v>
      </c>
      <c r="Q427" s="107"/>
      <c r="R427" s="111"/>
      <c r="S427" s="110" t="s">
        <v>1187</v>
      </c>
      <c r="T427"/>
      <c r="U427"/>
      <c r="V427"/>
    </row>
    <row r="428" spans="1:22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103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887</v>
      </c>
      <c r="P428" s="109">
        <v>191038</v>
      </c>
      <c r="Q428" s="107"/>
      <c r="R428" s="111"/>
      <c r="S428" s="110" t="s">
        <v>1187</v>
      </c>
      <c r="T428"/>
      <c r="U428"/>
      <c r="V428"/>
    </row>
    <row r="429" spans="1:22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103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888</v>
      </c>
      <c r="P429" s="109">
        <v>191038</v>
      </c>
      <c r="Q429" s="107"/>
      <c r="R429" s="111"/>
      <c r="S429" s="110" t="s">
        <v>1187</v>
      </c>
      <c r="T429"/>
      <c r="U429"/>
      <c r="V429"/>
    </row>
    <row r="430" spans="1:22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103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889</v>
      </c>
      <c r="P430" s="109">
        <v>191038</v>
      </c>
      <c r="Q430" s="107"/>
      <c r="R430" s="111"/>
      <c r="S430" s="110" t="s">
        <v>1187</v>
      </c>
      <c r="T430"/>
      <c r="U430"/>
      <c r="V430"/>
    </row>
    <row r="431" spans="1:22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103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890</v>
      </c>
      <c r="P431" s="109">
        <v>191038</v>
      </c>
      <c r="Q431" s="107"/>
      <c r="R431" s="111"/>
      <c r="S431" s="110" t="s">
        <v>1187</v>
      </c>
      <c r="T431"/>
      <c r="U431"/>
      <c r="V431"/>
    </row>
    <row r="432" spans="1:22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103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891</v>
      </c>
      <c r="P432" s="109">
        <v>191038</v>
      </c>
      <c r="Q432" s="107"/>
      <c r="R432" s="111"/>
      <c r="S432" s="110" t="s">
        <v>1187</v>
      </c>
      <c r="T432"/>
      <c r="U432"/>
      <c r="V432"/>
    </row>
    <row r="433" spans="1:22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103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892</v>
      </c>
      <c r="P433" s="109">
        <v>191038</v>
      </c>
      <c r="Q433" s="107"/>
      <c r="R433" s="111"/>
      <c r="S433" s="110" t="s">
        <v>1187</v>
      </c>
      <c r="T433"/>
      <c r="U433"/>
      <c r="V433"/>
    </row>
    <row r="434" spans="1:22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103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893</v>
      </c>
      <c r="P434" s="109">
        <v>191038</v>
      </c>
      <c r="Q434" s="107"/>
      <c r="R434" s="111"/>
      <c r="S434" s="110" t="s">
        <v>1187</v>
      </c>
      <c r="T434"/>
      <c r="U434"/>
      <c r="V434"/>
    </row>
    <row r="435" spans="1:22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103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894</v>
      </c>
      <c r="P435" s="109">
        <v>191038</v>
      </c>
      <c r="Q435" s="107"/>
      <c r="R435" s="111"/>
      <c r="S435" s="110" t="s">
        <v>1187</v>
      </c>
      <c r="T435"/>
      <c r="U435"/>
      <c r="V435"/>
    </row>
    <row r="436" spans="1:22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103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895</v>
      </c>
      <c r="P436" s="109">
        <v>191038</v>
      </c>
      <c r="Q436" s="107"/>
      <c r="R436" s="111"/>
      <c r="S436" s="110" t="s">
        <v>1187</v>
      </c>
      <c r="T436"/>
      <c r="U436"/>
      <c r="V436"/>
    </row>
    <row r="437" spans="1:22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103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896</v>
      </c>
      <c r="P437" s="109">
        <v>191038</v>
      </c>
      <c r="Q437" s="107"/>
      <c r="R437" s="111"/>
      <c r="S437" s="110" t="s">
        <v>1187</v>
      </c>
      <c r="T437"/>
      <c r="U437"/>
      <c r="V437"/>
    </row>
    <row r="438" spans="1:22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103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897</v>
      </c>
      <c r="P438" s="109">
        <v>191038</v>
      </c>
      <c r="Q438" s="107"/>
      <c r="R438" s="111"/>
      <c r="S438" s="110" t="s">
        <v>1187</v>
      </c>
      <c r="T438"/>
      <c r="U438"/>
      <c r="V438"/>
    </row>
    <row r="439" spans="1:22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103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898</v>
      </c>
      <c r="P439" s="109">
        <v>191038</v>
      </c>
      <c r="Q439" s="107"/>
      <c r="R439" s="111"/>
      <c r="S439" s="110" t="s">
        <v>1187</v>
      </c>
      <c r="T439"/>
      <c r="U439"/>
      <c r="V439"/>
    </row>
    <row r="440" spans="1:22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103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899</v>
      </c>
      <c r="P440" s="109">
        <v>191038</v>
      </c>
      <c r="Q440" s="107"/>
      <c r="R440" s="111"/>
      <c r="S440" s="110" t="s">
        <v>1187</v>
      </c>
      <c r="T440"/>
      <c r="U440"/>
      <c r="V440"/>
    </row>
    <row r="441" spans="1:22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103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900</v>
      </c>
      <c r="P441" s="109">
        <v>191038</v>
      </c>
      <c r="Q441" s="107"/>
      <c r="R441" s="111"/>
      <c r="S441" s="110" t="s">
        <v>1187</v>
      </c>
      <c r="T441"/>
      <c r="U441"/>
      <c r="V441"/>
    </row>
    <row r="442" spans="1:22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103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901</v>
      </c>
      <c r="P442" s="109">
        <v>191038</v>
      </c>
      <c r="Q442" s="107"/>
      <c r="R442" s="111"/>
      <c r="S442" s="110" t="s">
        <v>1187</v>
      </c>
      <c r="T442"/>
      <c r="U442"/>
      <c r="V442"/>
    </row>
    <row r="443" spans="1:22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103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902</v>
      </c>
      <c r="P443" s="109">
        <v>191038</v>
      </c>
      <c r="Q443" s="107"/>
      <c r="R443" s="111"/>
      <c r="S443" s="110" t="s">
        <v>1187</v>
      </c>
      <c r="T443"/>
      <c r="U443"/>
      <c r="V443"/>
    </row>
    <row r="444" spans="1:22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103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903</v>
      </c>
      <c r="P444" s="109">
        <v>191038</v>
      </c>
      <c r="Q444" s="107"/>
      <c r="R444" s="111"/>
      <c r="S444" s="110" t="s">
        <v>1187</v>
      </c>
      <c r="T444"/>
      <c r="U444"/>
      <c r="V444"/>
    </row>
    <row r="445" spans="1:22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103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904</v>
      </c>
      <c r="P445" s="109">
        <v>191038</v>
      </c>
      <c r="Q445" s="107"/>
      <c r="R445" s="111"/>
      <c r="S445" s="110" t="s">
        <v>1187</v>
      </c>
      <c r="T445"/>
      <c r="U445"/>
      <c r="V445"/>
    </row>
    <row r="446" spans="1:22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103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905</v>
      </c>
      <c r="P446" s="109">
        <v>191038</v>
      </c>
      <c r="Q446" s="107"/>
      <c r="R446" s="111"/>
      <c r="S446" s="110" t="s">
        <v>1187</v>
      </c>
      <c r="T446"/>
      <c r="U446"/>
      <c r="V446"/>
    </row>
    <row r="447" spans="1:22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103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906</v>
      </c>
      <c r="P447" s="109">
        <v>191038</v>
      </c>
      <c r="Q447" s="107"/>
      <c r="R447" s="111"/>
      <c r="S447" s="110" t="s">
        <v>1187</v>
      </c>
      <c r="T447"/>
      <c r="U447"/>
      <c r="V447"/>
    </row>
    <row r="448" spans="1:22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103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907</v>
      </c>
      <c r="P448" s="109">
        <v>191038</v>
      </c>
      <c r="Q448" s="107"/>
      <c r="R448" s="111"/>
      <c r="S448" s="110" t="s">
        <v>1187</v>
      </c>
      <c r="T448"/>
      <c r="U448"/>
      <c r="V448"/>
    </row>
    <row r="449" spans="1:22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103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908</v>
      </c>
      <c r="P449" s="109">
        <v>191038</v>
      </c>
      <c r="Q449" s="107"/>
      <c r="R449" s="111"/>
      <c r="S449" s="110" t="s">
        <v>1187</v>
      </c>
      <c r="T449"/>
      <c r="U449"/>
      <c r="V449"/>
    </row>
    <row r="450" spans="1:22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103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909</v>
      </c>
      <c r="P450" s="109">
        <v>191038</v>
      </c>
      <c r="Q450" s="107"/>
      <c r="R450" s="111"/>
      <c r="S450" s="110" t="s">
        <v>1187</v>
      </c>
      <c r="T450"/>
      <c r="U450"/>
      <c r="V450"/>
    </row>
    <row r="451" spans="1:22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103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910</v>
      </c>
      <c r="P451" s="109">
        <v>191038</v>
      </c>
      <c r="Q451" s="107"/>
      <c r="R451" s="111"/>
      <c r="S451" s="110" t="s">
        <v>1187</v>
      </c>
      <c r="T451"/>
      <c r="U451"/>
      <c r="V451"/>
    </row>
    <row r="452" spans="1:22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103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911</v>
      </c>
      <c r="P452" s="109">
        <v>191038</v>
      </c>
      <c r="Q452" s="107"/>
      <c r="R452" s="111"/>
      <c r="S452" s="110" t="s">
        <v>1187</v>
      </c>
      <c r="T452"/>
      <c r="U452"/>
      <c r="V452"/>
    </row>
    <row r="453" spans="1:22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103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912</v>
      </c>
      <c r="P453" s="109">
        <v>192124</v>
      </c>
      <c r="Q453" s="107"/>
      <c r="R453" s="111"/>
      <c r="S453" s="110" t="s">
        <v>1187</v>
      </c>
      <c r="T453"/>
      <c r="U453"/>
      <c r="V453"/>
    </row>
    <row r="454" spans="1:22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103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913</v>
      </c>
      <c r="P454" s="109">
        <v>192124</v>
      </c>
      <c r="Q454" s="107"/>
      <c r="R454" s="111"/>
      <c r="S454" s="110" t="s">
        <v>1187</v>
      </c>
      <c r="T454"/>
      <c r="U454"/>
      <c r="V454"/>
    </row>
    <row r="455" spans="1:22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103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914</v>
      </c>
      <c r="P455" s="109">
        <v>192124</v>
      </c>
      <c r="Q455" s="107"/>
      <c r="R455" s="111"/>
      <c r="S455" s="110" t="s">
        <v>1187</v>
      </c>
      <c r="T455"/>
      <c r="U455"/>
      <c r="V455"/>
    </row>
    <row r="456" spans="1:22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103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915</v>
      </c>
      <c r="P456" s="109">
        <v>192124</v>
      </c>
      <c r="Q456" s="107"/>
      <c r="R456" s="111"/>
      <c r="S456" s="110" t="s">
        <v>1187</v>
      </c>
      <c r="T456"/>
      <c r="U456"/>
      <c r="V456"/>
    </row>
    <row r="457" spans="1:22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103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916</v>
      </c>
      <c r="P457" s="109">
        <v>192124</v>
      </c>
      <c r="Q457" s="107"/>
      <c r="R457" s="111"/>
      <c r="S457" s="110" t="s">
        <v>1187</v>
      </c>
      <c r="T457"/>
      <c r="U457"/>
      <c r="V457"/>
    </row>
    <row r="458" spans="1:22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103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917</v>
      </c>
      <c r="P458" s="109">
        <v>192124</v>
      </c>
      <c r="Q458" s="107"/>
      <c r="R458" s="111"/>
      <c r="S458" s="110" t="s">
        <v>1187</v>
      </c>
      <c r="T458"/>
      <c r="U458"/>
      <c r="V458"/>
    </row>
    <row r="459" spans="1:22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103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918</v>
      </c>
      <c r="P459" s="109">
        <v>192124</v>
      </c>
      <c r="Q459" s="107"/>
      <c r="R459" s="111"/>
      <c r="S459" s="110" t="s">
        <v>1187</v>
      </c>
      <c r="T459"/>
      <c r="U459"/>
      <c r="V459"/>
    </row>
    <row r="460" spans="1:22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103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919</v>
      </c>
      <c r="P460" s="109">
        <v>192124</v>
      </c>
      <c r="Q460" s="107"/>
      <c r="R460" s="111"/>
      <c r="S460" s="110" t="s">
        <v>1187</v>
      </c>
      <c r="T460"/>
      <c r="U460"/>
      <c r="V460"/>
    </row>
    <row r="461" spans="1:22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103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920</v>
      </c>
      <c r="P461" s="109">
        <v>192124</v>
      </c>
      <c r="Q461" s="107"/>
      <c r="R461" s="111"/>
      <c r="S461" s="110" t="s">
        <v>1187</v>
      </c>
      <c r="T461"/>
      <c r="U461"/>
      <c r="V461"/>
    </row>
    <row r="462" spans="1:22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103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921</v>
      </c>
      <c r="P462" s="109">
        <v>192124</v>
      </c>
      <c r="Q462" s="107"/>
      <c r="R462" s="111"/>
      <c r="S462" s="110" t="s">
        <v>1187</v>
      </c>
      <c r="T462"/>
      <c r="U462"/>
      <c r="V462"/>
    </row>
    <row r="463" spans="1:22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103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922</v>
      </c>
      <c r="P463" s="109">
        <v>192124</v>
      </c>
      <c r="Q463" s="107"/>
      <c r="R463" s="111"/>
      <c r="S463" s="110" t="s">
        <v>1187</v>
      </c>
      <c r="T463"/>
      <c r="U463"/>
      <c r="V463"/>
    </row>
    <row r="464" spans="1:22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103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923</v>
      </c>
      <c r="P464" s="109">
        <v>192124</v>
      </c>
      <c r="Q464" s="107"/>
      <c r="R464" s="111"/>
      <c r="S464" s="110" t="s">
        <v>1187</v>
      </c>
      <c r="T464"/>
      <c r="U464"/>
      <c r="V464"/>
    </row>
    <row r="465" spans="1:22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103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924</v>
      </c>
      <c r="P465" s="109">
        <v>192124</v>
      </c>
      <c r="Q465" s="107"/>
      <c r="R465" s="111"/>
      <c r="S465" s="110" t="s">
        <v>1187</v>
      </c>
      <c r="T465"/>
      <c r="U465"/>
      <c r="V465"/>
    </row>
    <row r="466" spans="1:22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103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925</v>
      </c>
      <c r="P466" s="109">
        <v>192124</v>
      </c>
      <c r="Q466" s="107"/>
      <c r="R466" s="111"/>
      <c r="S466" s="110" t="s">
        <v>1187</v>
      </c>
      <c r="T466"/>
      <c r="U466"/>
      <c r="V466"/>
    </row>
    <row r="467" spans="1:22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103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926</v>
      </c>
      <c r="P467" s="109">
        <v>192124</v>
      </c>
      <c r="Q467" s="107"/>
      <c r="R467" s="111"/>
      <c r="S467" s="110" t="s">
        <v>1187</v>
      </c>
      <c r="T467"/>
      <c r="U467"/>
      <c r="V467"/>
    </row>
    <row r="468" spans="1:22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103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927</v>
      </c>
      <c r="P468" s="109">
        <v>192124</v>
      </c>
      <c r="Q468" s="107"/>
      <c r="R468" s="111"/>
      <c r="S468" s="110" t="s">
        <v>1187</v>
      </c>
      <c r="T468"/>
      <c r="U468"/>
      <c r="V468"/>
    </row>
    <row r="469" spans="1:22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103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928</v>
      </c>
      <c r="P469" s="109">
        <v>192124</v>
      </c>
      <c r="Q469" s="107"/>
      <c r="R469" s="111"/>
      <c r="S469" s="110" t="s">
        <v>1187</v>
      </c>
      <c r="T469"/>
      <c r="U469"/>
      <c r="V469"/>
    </row>
    <row r="470" spans="1:22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103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929</v>
      </c>
      <c r="P470" s="109">
        <v>192124</v>
      </c>
      <c r="Q470" s="107"/>
      <c r="R470" s="111"/>
      <c r="S470" s="110" t="s">
        <v>1187</v>
      </c>
      <c r="T470"/>
      <c r="U470"/>
      <c r="V470"/>
    </row>
    <row r="471" spans="1:22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103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930</v>
      </c>
      <c r="P471" s="109">
        <v>192124</v>
      </c>
      <c r="Q471" s="107"/>
      <c r="R471" s="111"/>
      <c r="S471" s="110" t="s">
        <v>1187</v>
      </c>
      <c r="T471"/>
      <c r="U471"/>
      <c r="V471"/>
    </row>
    <row r="472" spans="1:22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103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931</v>
      </c>
      <c r="P472" s="109">
        <v>192124</v>
      </c>
      <c r="Q472" s="107"/>
      <c r="R472" s="111"/>
      <c r="S472" s="110" t="s">
        <v>1187</v>
      </c>
      <c r="T472"/>
      <c r="U472"/>
      <c r="V472"/>
    </row>
    <row r="473" spans="1:22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103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932</v>
      </c>
      <c r="P473" s="109">
        <v>192125</v>
      </c>
      <c r="Q473" s="107"/>
      <c r="R473" s="111"/>
      <c r="S473" s="110" t="s">
        <v>1187</v>
      </c>
      <c r="T473"/>
      <c r="U473"/>
      <c r="V473"/>
    </row>
    <row r="474" spans="1:22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103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933</v>
      </c>
      <c r="P474" s="109">
        <v>192125</v>
      </c>
      <c r="Q474" s="107"/>
      <c r="R474" s="111"/>
      <c r="S474" s="110" t="s">
        <v>1187</v>
      </c>
      <c r="T474"/>
      <c r="U474"/>
      <c r="V474"/>
    </row>
    <row r="475" spans="1:22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103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934</v>
      </c>
      <c r="P475" s="109">
        <v>192125</v>
      </c>
      <c r="Q475" s="107"/>
      <c r="R475" s="111"/>
      <c r="S475" s="110" t="s">
        <v>1187</v>
      </c>
      <c r="T475"/>
      <c r="U475"/>
      <c r="V475"/>
    </row>
    <row r="476" spans="1:22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103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935</v>
      </c>
      <c r="P476" s="109">
        <v>192125</v>
      </c>
      <c r="Q476" s="107"/>
      <c r="R476" s="111"/>
      <c r="S476" s="110" t="s">
        <v>1187</v>
      </c>
      <c r="T476"/>
      <c r="U476"/>
      <c r="V476"/>
    </row>
    <row r="477" spans="1:22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103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936</v>
      </c>
      <c r="P477" s="109">
        <v>192125</v>
      </c>
      <c r="Q477" s="107"/>
      <c r="R477" s="111"/>
      <c r="S477" s="110" t="s">
        <v>1187</v>
      </c>
      <c r="T477"/>
      <c r="U477"/>
      <c r="V477"/>
    </row>
    <row r="478" spans="1:22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103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937</v>
      </c>
      <c r="P478" s="109">
        <v>192125</v>
      </c>
      <c r="Q478" s="107"/>
      <c r="R478" s="111"/>
      <c r="S478" s="110" t="s">
        <v>1187</v>
      </c>
      <c r="T478"/>
      <c r="U478"/>
      <c r="V478"/>
    </row>
    <row r="479" spans="1:22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103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938</v>
      </c>
      <c r="P479" s="109">
        <v>192125</v>
      </c>
      <c r="Q479" s="107"/>
      <c r="R479" s="111"/>
      <c r="S479" s="110" t="s">
        <v>1187</v>
      </c>
      <c r="T479"/>
      <c r="U479"/>
      <c r="V479"/>
    </row>
    <row r="480" spans="1:22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103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939</v>
      </c>
      <c r="P480" s="109">
        <v>192125</v>
      </c>
      <c r="Q480" s="107"/>
      <c r="R480" s="111"/>
      <c r="S480" s="110" t="s">
        <v>1187</v>
      </c>
      <c r="T480"/>
      <c r="U480"/>
      <c r="V480"/>
    </row>
    <row r="481" spans="1:22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103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940</v>
      </c>
      <c r="P481" s="109">
        <v>192125</v>
      </c>
      <c r="Q481" s="107"/>
      <c r="R481" s="111"/>
      <c r="S481" s="110" t="s">
        <v>1187</v>
      </c>
      <c r="T481"/>
      <c r="U481"/>
      <c r="V481"/>
    </row>
    <row r="482" spans="1:22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103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941</v>
      </c>
      <c r="P482" s="109">
        <v>192125</v>
      </c>
      <c r="Q482" s="107"/>
      <c r="R482" s="111"/>
      <c r="S482" s="110" t="s">
        <v>1187</v>
      </c>
      <c r="T482"/>
      <c r="U482"/>
      <c r="V482"/>
    </row>
    <row r="483" spans="1:22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103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942</v>
      </c>
      <c r="P483" s="109">
        <v>192125</v>
      </c>
      <c r="Q483" s="107"/>
      <c r="R483" s="111"/>
      <c r="S483" s="110" t="s">
        <v>1187</v>
      </c>
      <c r="T483"/>
      <c r="U483"/>
      <c r="V483"/>
    </row>
    <row r="484" spans="1:22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103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943</v>
      </c>
      <c r="P484" s="109">
        <v>192125</v>
      </c>
      <c r="Q484" s="107"/>
      <c r="R484" s="111"/>
      <c r="S484" s="110" t="s">
        <v>1187</v>
      </c>
      <c r="T484"/>
      <c r="U484"/>
      <c r="V484"/>
    </row>
    <row r="485" spans="1:22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103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944</v>
      </c>
      <c r="P485" s="109">
        <v>192125</v>
      </c>
      <c r="Q485" s="107"/>
      <c r="R485" s="111"/>
      <c r="S485" s="110" t="s">
        <v>1187</v>
      </c>
      <c r="T485"/>
      <c r="U485"/>
      <c r="V485"/>
    </row>
    <row r="486" spans="1:22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103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945</v>
      </c>
      <c r="P486" s="109">
        <v>192125</v>
      </c>
      <c r="Q486" s="107"/>
      <c r="R486" s="111"/>
      <c r="S486" s="110" t="s">
        <v>1187</v>
      </c>
      <c r="T486"/>
      <c r="U486"/>
      <c r="V486"/>
    </row>
    <row r="487" spans="1:22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103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946</v>
      </c>
      <c r="P487" s="109">
        <v>192125</v>
      </c>
      <c r="Q487" s="107"/>
      <c r="R487" s="111"/>
      <c r="S487" s="110" t="s">
        <v>1187</v>
      </c>
      <c r="T487"/>
      <c r="U487"/>
      <c r="V487"/>
    </row>
    <row r="488" spans="1:22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103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947</v>
      </c>
      <c r="P488" s="109">
        <v>192125</v>
      </c>
      <c r="Q488" s="107"/>
      <c r="R488" s="111"/>
      <c r="S488" s="110" t="s">
        <v>1187</v>
      </c>
      <c r="T488"/>
      <c r="U488"/>
      <c r="V488"/>
    </row>
    <row r="489" spans="1:22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103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948</v>
      </c>
      <c r="P489" s="109">
        <v>192125</v>
      </c>
      <c r="Q489" s="107"/>
      <c r="R489" s="111"/>
      <c r="S489" s="110" t="s">
        <v>1187</v>
      </c>
      <c r="T489"/>
      <c r="U489"/>
      <c r="V489"/>
    </row>
    <row r="490" spans="1:22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103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949</v>
      </c>
      <c r="P490" s="109">
        <v>192125</v>
      </c>
      <c r="Q490" s="107"/>
      <c r="R490" s="111"/>
      <c r="S490" s="110" t="s">
        <v>1187</v>
      </c>
      <c r="T490"/>
      <c r="U490"/>
      <c r="V490"/>
    </row>
    <row r="491" spans="1:22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103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950</v>
      </c>
      <c r="P491" s="109">
        <v>192125</v>
      </c>
      <c r="Q491" s="107"/>
      <c r="R491" s="111"/>
      <c r="S491" s="110" t="s">
        <v>1187</v>
      </c>
      <c r="T491"/>
      <c r="U491"/>
      <c r="V491"/>
    </row>
    <row r="492" spans="1:22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103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951</v>
      </c>
      <c r="P492" s="109">
        <v>192125</v>
      </c>
      <c r="Q492" s="107"/>
      <c r="R492" s="111"/>
      <c r="S492" s="110" t="s">
        <v>1187</v>
      </c>
      <c r="T492"/>
      <c r="U492"/>
      <c r="V492"/>
    </row>
    <row r="493" spans="1:22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103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952</v>
      </c>
      <c r="P493" s="109">
        <v>192141</v>
      </c>
      <c r="Q493" s="107"/>
      <c r="R493" s="111"/>
      <c r="S493" s="110" t="s">
        <v>1187</v>
      </c>
      <c r="T493"/>
      <c r="U493"/>
      <c r="V493"/>
    </row>
    <row r="494" spans="1:22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103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953</v>
      </c>
      <c r="P494" s="109">
        <v>192141</v>
      </c>
      <c r="Q494" s="107"/>
      <c r="R494" s="111"/>
      <c r="S494" s="110" t="s">
        <v>1187</v>
      </c>
      <c r="T494"/>
      <c r="U494"/>
      <c r="V494"/>
    </row>
    <row r="495" spans="1:22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103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954</v>
      </c>
      <c r="P495" s="109">
        <v>192141</v>
      </c>
      <c r="Q495" s="107"/>
      <c r="R495" s="111"/>
      <c r="S495" s="110" t="s">
        <v>1187</v>
      </c>
      <c r="T495"/>
      <c r="U495"/>
      <c r="V495"/>
    </row>
    <row r="496" spans="1:22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103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955</v>
      </c>
      <c r="P496" s="109">
        <v>192141</v>
      </c>
      <c r="Q496" s="107"/>
      <c r="R496" s="111"/>
      <c r="S496" s="110" t="s">
        <v>1187</v>
      </c>
      <c r="T496"/>
      <c r="U496"/>
      <c r="V496"/>
    </row>
    <row r="497" spans="1:22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103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956</v>
      </c>
      <c r="P497" s="109">
        <v>192141</v>
      </c>
      <c r="Q497" s="107"/>
      <c r="R497" s="111"/>
      <c r="S497" s="110" t="s">
        <v>1187</v>
      </c>
      <c r="T497"/>
      <c r="U497"/>
      <c r="V497"/>
    </row>
    <row r="498" spans="1:22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103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957</v>
      </c>
      <c r="P498" s="109">
        <v>192141</v>
      </c>
      <c r="Q498" s="107"/>
      <c r="R498" s="111"/>
      <c r="S498" s="110" t="s">
        <v>1187</v>
      </c>
      <c r="T498"/>
      <c r="U498"/>
      <c r="V498"/>
    </row>
    <row r="499" spans="1:22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103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958</v>
      </c>
      <c r="P499" s="109">
        <v>192141</v>
      </c>
      <c r="Q499" s="107"/>
      <c r="R499" s="111"/>
      <c r="S499" s="110" t="s">
        <v>1187</v>
      </c>
      <c r="T499"/>
      <c r="U499"/>
      <c r="V499"/>
    </row>
    <row r="500" spans="1:22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103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959</v>
      </c>
      <c r="P500" s="109">
        <v>192141</v>
      </c>
      <c r="Q500" s="107"/>
      <c r="R500" s="111"/>
      <c r="S500" s="110" t="s">
        <v>1187</v>
      </c>
      <c r="T500"/>
      <c r="U500"/>
      <c r="V500"/>
    </row>
    <row r="501" spans="1:22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103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960</v>
      </c>
      <c r="P501" s="109">
        <v>192141</v>
      </c>
      <c r="Q501" s="107"/>
      <c r="R501" s="111"/>
      <c r="S501" s="110" t="s">
        <v>1187</v>
      </c>
      <c r="T501"/>
      <c r="U501"/>
      <c r="V501"/>
    </row>
    <row r="502" spans="1:22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103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961</v>
      </c>
      <c r="P502" s="109">
        <v>192141</v>
      </c>
      <c r="Q502" s="107"/>
      <c r="R502" s="111"/>
      <c r="S502" s="110" t="s">
        <v>1187</v>
      </c>
      <c r="T502"/>
      <c r="U502"/>
      <c r="V502"/>
    </row>
    <row r="503" spans="1:22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103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962</v>
      </c>
      <c r="P503" s="109">
        <v>192141</v>
      </c>
      <c r="Q503" s="107"/>
      <c r="R503" s="111"/>
      <c r="S503" s="110" t="s">
        <v>1187</v>
      </c>
      <c r="T503"/>
      <c r="U503"/>
      <c r="V503"/>
    </row>
    <row r="504" spans="1:22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103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963</v>
      </c>
      <c r="P504" s="109">
        <v>192141</v>
      </c>
      <c r="Q504" s="107"/>
      <c r="R504" s="111"/>
      <c r="S504" s="110" t="s">
        <v>1187</v>
      </c>
      <c r="T504"/>
      <c r="U504"/>
      <c r="V504"/>
    </row>
    <row r="505" spans="1:22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103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964</v>
      </c>
      <c r="P505" s="109">
        <v>192141</v>
      </c>
      <c r="Q505" s="107"/>
      <c r="R505" s="111"/>
      <c r="S505" s="110" t="s">
        <v>1187</v>
      </c>
      <c r="T505"/>
      <c r="U505"/>
      <c r="V505"/>
    </row>
    <row r="506" spans="1:22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103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965</v>
      </c>
      <c r="P506" s="109">
        <v>192141</v>
      </c>
      <c r="Q506" s="107"/>
      <c r="R506" s="111"/>
      <c r="S506" s="110" t="s">
        <v>1187</v>
      </c>
      <c r="T506"/>
      <c r="U506"/>
      <c r="V506"/>
    </row>
    <row r="507" spans="1:22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103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966</v>
      </c>
      <c r="P507" s="109">
        <v>192141</v>
      </c>
      <c r="Q507" s="107"/>
      <c r="R507" s="111"/>
      <c r="S507" s="110" t="s">
        <v>1187</v>
      </c>
      <c r="T507"/>
      <c r="U507"/>
      <c r="V507"/>
    </row>
    <row r="508" spans="1:22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103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967</v>
      </c>
      <c r="P508" s="109">
        <v>192141</v>
      </c>
      <c r="Q508" s="107"/>
      <c r="R508" s="111"/>
      <c r="S508" s="110" t="s">
        <v>1187</v>
      </c>
      <c r="T508"/>
      <c r="U508"/>
      <c r="V508"/>
    </row>
    <row r="509" spans="1:22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103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968</v>
      </c>
      <c r="P509" s="109">
        <v>192141</v>
      </c>
      <c r="Q509" s="107"/>
      <c r="R509" s="111"/>
      <c r="S509" s="110" t="s">
        <v>1187</v>
      </c>
      <c r="T509"/>
      <c r="U509"/>
      <c r="V509"/>
    </row>
    <row r="510" spans="1:22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103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969</v>
      </c>
      <c r="P510" s="109">
        <v>192141</v>
      </c>
      <c r="Q510" s="107"/>
      <c r="R510" s="111"/>
      <c r="S510" s="110" t="s">
        <v>1187</v>
      </c>
      <c r="T510"/>
      <c r="U510"/>
      <c r="V510"/>
    </row>
    <row r="511" spans="1:22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103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970</v>
      </c>
      <c r="P511" s="109">
        <v>192141</v>
      </c>
      <c r="Q511" s="107"/>
      <c r="R511" s="111"/>
      <c r="S511" s="110" t="s">
        <v>1187</v>
      </c>
      <c r="T511"/>
      <c r="U511"/>
      <c r="V511"/>
    </row>
    <row r="512" spans="1:22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103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971</v>
      </c>
      <c r="P512" s="109">
        <v>192141</v>
      </c>
      <c r="Q512" s="107"/>
      <c r="R512" s="111"/>
      <c r="S512" s="110" t="s">
        <v>1187</v>
      </c>
      <c r="T512"/>
      <c r="U512"/>
      <c r="V512"/>
    </row>
    <row r="513" spans="1:22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103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972</v>
      </c>
      <c r="P513" s="109">
        <v>192141</v>
      </c>
      <c r="Q513" s="107"/>
      <c r="R513" s="111"/>
      <c r="S513" s="110" t="s">
        <v>1187</v>
      </c>
      <c r="T513"/>
      <c r="U513"/>
      <c r="V513"/>
    </row>
    <row r="514" spans="1:22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103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973</v>
      </c>
      <c r="P514" s="109">
        <v>192141</v>
      </c>
      <c r="Q514" s="107"/>
      <c r="R514" s="111"/>
      <c r="S514" s="110" t="s">
        <v>1187</v>
      </c>
      <c r="T514"/>
      <c r="U514"/>
      <c r="V514"/>
    </row>
    <row r="515" spans="1:22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103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974</v>
      </c>
      <c r="P515" s="109">
        <v>192141</v>
      </c>
      <c r="Q515" s="107"/>
      <c r="R515" s="111"/>
      <c r="S515" s="110" t="s">
        <v>1187</v>
      </c>
      <c r="T515"/>
      <c r="U515"/>
      <c r="V515"/>
    </row>
    <row r="516" spans="1:22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103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975</v>
      </c>
      <c r="P516" s="109">
        <v>192141</v>
      </c>
      <c r="Q516" s="107"/>
      <c r="R516" s="111"/>
      <c r="S516" s="110" t="s">
        <v>1187</v>
      </c>
      <c r="T516"/>
      <c r="U516"/>
      <c r="V516"/>
    </row>
    <row r="517" spans="1:22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103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976</v>
      </c>
      <c r="P517" s="109">
        <v>192141</v>
      </c>
      <c r="Q517" s="107"/>
      <c r="R517" s="111"/>
      <c r="S517" s="110" t="s">
        <v>1187</v>
      </c>
      <c r="T517"/>
      <c r="U517"/>
      <c r="V517"/>
    </row>
    <row r="518" spans="1:22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103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977</v>
      </c>
      <c r="P518" s="109">
        <v>192141</v>
      </c>
      <c r="Q518" s="107"/>
      <c r="R518" s="111"/>
      <c r="S518" s="110" t="s">
        <v>1187</v>
      </c>
      <c r="T518"/>
      <c r="U518"/>
      <c r="V518"/>
    </row>
    <row r="519" spans="1:22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103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978</v>
      </c>
      <c r="P519" s="109">
        <v>192141</v>
      </c>
      <c r="Q519" s="107"/>
      <c r="R519" s="111"/>
      <c r="S519" s="110" t="s">
        <v>1187</v>
      </c>
      <c r="T519"/>
      <c r="U519"/>
      <c r="V519"/>
    </row>
    <row r="520" spans="1:22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103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979</v>
      </c>
      <c r="P520" s="109">
        <v>192141</v>
      </c>
      <c r="Q520" s="107"/>
      <c r="R520" s="111"/>
      <c r="S520" s="110" t="s">
        <v>1187</v>
      </c>
      <c r="T520"/>
      <c r="U520"/>
      <c r="V520"/>
    </row>
    <row r="521" spans="1:22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103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980</v>
      </c>
      <c r="P521" s="109">
        <v>192141</v>
      </c>
      <c r="Q521" s="107"/>
      <c r="R521" s="111"/>
      <c r="S521" s="110" t="s">
        <v>1187</v>
      </c>
      <c r="T521"/>
      <c r="U521"/>
      <c r="V521"/>
    </row>
    <row r="522" spans="1:22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103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981</v>
      </c>
      <c r="P522" s="109">
        <v>192141</v>
      </c>
      <c r="Q522" s="107"/>
      <c r="R522" s="111"/>
      <c r="S522" s="110" t="s">
        <v>1187</v>
      </c>
      <c r="T522"/>
      <c r="U522"/>
      <c r="V522"/>
    </row>
    <row r="523" spans="1:22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103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982</v>
      </c>
      <c r="P523" s="109">
        <v>192141</v>
      </c>
      <c r="Q523" s="107"/>
      <c r="R523" s="111"/>
      <c r="S523" s="110" t="s">
        <v>1187</v>
      </c>
      <c r="T523"/>
      <c r="U523"/>
      <c r="V523"/>
    </row>
    <row r="524" spans="1:22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103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983</v>
      </c>
      <c r="P524" s="109">
        <v>192141</v>
      </c>
      <c r="Q524" s="107"/>
      <c r="R524" s="111"/>
      <c r="S524" s="110" t="s">
        <v>1187</v>
      </c>
      <c r="T524"/>
      <c r="U524"/>
      <c r="V524"/>
    </row>
    <row r="525" spans="1:22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103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984</v>
      </c>
      <c r="P525" s="109">
        <v>192141</v>
      </c>
      <c r="Q525" s="107"/>
      <c r="R525" s="111"/>
      <c r="S525" s="110" t="s">
        <v>1187</v>
      </c>
      <c r="T525"/>
      <c r="U525"/>
      <c r="V525"/>
    </row>
    <row r="526" spans="1:22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103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985</v>
      </c>
      <c r="P526" s="109">
        <v>192141</v>
      </c>
      <c r="Q526" s="107"/>
      <c r="R526" s="111"/>
      <c r="S526" s="110" t="s">
        <v>1187</v>
      </c>
      <c r="T526"/>
      <c r="U526"/>
      <c r="V526"/>
    </row>
    <row r="527" spans="1:22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103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986</v>
      </c>
      <c r="P527" s="109">
        <v>192141</v>
      </c>
      <c r="Q527" s="107"/>
      <c r="R527" s="111"/>
      <c r="S527" s="110" t="s">
        <v>1187</v>
      </c>
      <c r="T527"/>
      <c r="U527"/>
      <c r="V527"/>
    </row>
    <row r="528" spans="1:22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103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987</v>
      </c>
      <c r="P528" s="109">
        <v>192141</v>
      </c>
      <c r="Q528" s="107"/>
      <c r="R528" s="111"/>
      <c r="S528" s="110" t="s">
        <v>1187</v>
      </c>
      <c r="T528"/>
      <c r="U528"/>
      <c r="V528"/>
    </row>
    <row r="529" spans="1:22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103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988</v>
      </c>
      <c r="P529" s="109">
        <v>192141</v>
      </c>
      <c r="Q529" s="107"/>
      <c r="R529" s="111"/>
      <c r="S529" s="110" t="s">
        <v>1187</v>
      </c>
      <c r="T529"/>
      <c r="U529"/>
      <c r="V529"/>
    </row>
    <row r="530" spans="1:22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103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989</v>
      </c>
      <c r="P530" s="109">
        <v>192201</v>
      </c>
      <c r="Q530" s="107"/>
      <c r="R530" s="111"/>
      <c r="S530" s="110" t="s">
        <v>1187</v>
      </c>
      <c r="T530"/>
      <c r="U530"/>
      <c r="V530"/>
    </row>
    <row r="531" spans="1:22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103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990</v>
      </c>
      <c r="P531" s="109">
        <v>192201</v>
      </c>
      <c r="Q531" s="107"/>
      <c r="R531" s="111"/>
      <c r="S531" s="110" t="s">
        <v>1187</v>
      </c>
      <c r="T531"/>
      <c r="U531"/>
      <c r="V531"/>
    </row>
    <row r="532" spans="1:22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103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991</v>
      </c>
      <c r="P532" s="109">
        <v>192201</v>
      </c>
      <c r="Q532" s="107"/>
      <c r="R532" s="111"/>
      <c r="S532" s="110" t="s">
        <v>1187</v>
      </c>
      <c r="T532"/>
      <c r="U532"/>
      <c r="V532"/>
    </row>
    <row r="533" spans="1:22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103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992</v>
      </c>
      <c r="P533" s="109">
        <v>192201</v>
      </c>
      <c r="Q533" s="107"/>
      <c r="R533" s="111"/>
      <c r="S533" s="110" t="s">
        <v>1187</v>
      </c>
      <c r="T533"/>
      <c r="U533"/>
      <c r="V533"/>
    </row>
    <row r="534" spans="1:22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103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995</v>
      </c>
      <c r="P534" s="109">
        <v>192200</v>
      </c>
      <c r="Q534" s="107"/>
      <c r="R534" s="111"/>
      <c r="S534" s="110" t="s">
        <v>1187</v>
      </c>
      <c r="T534"/>
      <c r="U534"/>
      <c r="V534"/>
    </row>
    <row r="535" spans="1:22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103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996</v>
      </c>
      <c r="P535" s="109">
        <v>192200</v>
      </c>
      <c r="Q535" s="107"/>
      <c r="R535" s="111"/>
      <c r="S535" s="110" t="s">
        <v>1187</v>
      </c>
      <c r="T535"/>
      <c r="U535"/>
      <c r="V535"/>
    </row>
    <row r="536" spans="1:22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103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997</v>
      </c>
      <c r="P536" s="109">
        <v>192200</v>
      </c>
      <c r="Q536" s="107"/>
      <c r="R536" s="111"/>
      <c r="S536" s="110" t="s">
        <v>1187</v>
      </c>
      <c r="T536"/>
      <c r="U536"/>
      <c r="V536"/>
    </row>
    <row r="537" spans="1:22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103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998</v>
      </c>
      <c r="P537" s="109">
        <v>192200</v>
      </c>
      <c r="Q537" s="107"/>
      <c r="R537" s="111"/>
      <c r="S537" s="110" t="s">
        <v>1187</v>
      </c>
      <c r="T537"/>
      <c r="U537"/>
      <c r="V537"/>
    </row>
    <row r="538" spans="1:22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103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999</v>
      </c>
      <c r="P538" s="109">
        <v>192200</v>
      </c>
      <c r="Q538" s="107"/>
      <c r="R538" s="111"/>
      <c r="S538" s="110" t="s">
        <v>1187</v>
      </c>
      <c r="T538"/>
      <c r="U538"/>
      <c r="V538"/>
    </row>
    <row r="539" spans="1:22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103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1000</v>
      </c>
      <c r="P539" s="109">
        <v>192200</v>
      </c>
      <c r="Q539" s="107"/>
      <c r="R539" s="111"/>
      <c r="S539" s="110" t="s">
        <v>1187</v>
      </c>
      <c r="T539"/>
      <c r="U539"/>
      <c r="V539"/>
    </row>
    <row r="540" spans="1:22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103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1001</v>
      </c>
      <c r="P540" s="109">
        <v>192200</v>
      </c>
      <c r="Q540" s="107"/>
      <c r="R540" s="111"/>
      <c r="S540" s="110" t="s">
        <v>1187</v>
      </c>
      <c r="T540"/>
      <c r="U540"/>
      <c r="V540"/>
    </row>
    <row r="541" spans="1:22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103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1002</v>
      </c>
      <c r="P541" s="109">
        <v>192200</v>
      </c>
      <c r="Q541" s="107"/>
      <c r="R541" s="111"/>
      <c r="S541" s="110" t="s">
        <v>1187</v>
      </c>
      <c r="T541"/>
      <c r="U541"/>
      <c r="V541"/>
    </row>
    <row r="542" spans="1:22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103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1003</v>
      </c>
      <c r="P542" s="109">
        <v>192200</v>
      </c>
      <c r="Q542" s="107"/>
      <c r="R542" s="111"/>
      <c r="S542" s="110" t="s">
        <v>1187</v>
      </c>
      <c r="T542"/>
      <c r="U542"/>
      <c r="V542"/>
    </row>
    <row r="543" spans="1:22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103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1004</v>
      </c>
      <c r="P543" s="109">
        <v>192200</v>
      </c>
      <c r="Q543" s="107"/>
      <c r="R543" s="111"/>
      <c r="S543" s="110" t="s">
        <v>1187</v>
      </c>
      <c r="T543"/>
      <c r="U543"/>
      <c r="V543"/>
    </row>
    <row r="544" spans="1:22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103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1005</v>
      </c>
      <c r="P544" s="109">
        <v>192200</v>
      </c>
      <c r="Q544" s="107"/>
      <c r="R544" s="111"/>
      <c r="S544" s="110" t="s">
        <v>1187</v>
      </c>
      <c r="T544"/>
      <c r="U544"/>
      <c r="V544"/>
    </row>
    <row r="545" spans="1:22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103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1006</v>
      </c>
      <c r="P545" s="109">
        <v>192200</v>
      </c>
      <c r="Q545" s="107"/>
      <c r="R545" s="111"/>
      <c r="S545" s="110" t="s">
        <v>1187</v>
      </c>
      <c r="T545"/>
      <c r="U545"/>
      <c r="V545"/>
    </row>
    <row r="546" spans="1:22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103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1007</v>
      </c>
      <c r="P546" s="109">
        <v>192200</v>
      </c>
      <c r="Q546" s="107"/>
      <c r="R546" s="111"/>
      <c r="S546" s="110" t="s">
        <v>1187</v>
      </c>
      <c r="T546"/>
      <c r="U546"/>
      <c r="V546"/>
    </row>
    <row r="547" spans="1:22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103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1008</v>
      </c>
      <c r="P547" s="109">
        <v>192200</v>
      </c>
      <c r="Q547" s="107"/>
      <c r="R547" s="111"/>
      <c r="S547" s="110" t="s">
        <v>1187</v>
      </c>
      <c r="T547"/>
      <c r="U547"/>
      <c r="V547"/>
    </row>
    <row r="548" spans="1:22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103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1009</v>
      </c>
      <c r="P548" s="109">
        <v>192200</v>
      </c>
      <c r="Q548" s="107"/>
      <c r="R548" s="111"/>
      <c r="S548" s="110" t="s">
        <v>1187</v>
      </c>
      <c r="T548"/>
      <c r="U548"/>
      <c r="V548"/>
    </row>
    <row r="549" spans="1:22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103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1010</v>
      </c>
      <c r="P549" s="109">
        <v>192200</v>
      </c>
      <c r="Q549" s="107"/>
      <c r="R549" s="111"/>
      <c r="S549" s="110" t="s">
        <v>1187</v>
      </c>
      <c r="T549"/>
      <c r="U549"/>
      <c r="V549"/>
    </row>
    <row r="550" spans="1:22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103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1011</v>
      </c>
      <c r="P550" s="109">
        <v>192200</v>
      </c>
      <c r="Q550" s="107"/>
      <c r="R550" s="111"/>
      <c r="S550" s="110" t="s">
        <v>1187</v>
      </c>
      <c r="T550"/>
      <c r="U550"/>
      <c r="V550"/>
    </row>
    <row r="551" spans="1:22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103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1012</v>
      </c>
      <c r="P551" s="109">
        <v>192200</v>
      </c>
      <c r="Q551" s="107"/>
      <c r="R551" s="111"/>
      <c r="S551" s="110" t="s">
        <v>1187</v>
      </c>
      <c r="T551"/>
      <c r="U551"/>
      <c r="V551"/>
    </row>
    <row r="552" spans="1:22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103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1013</v>
      </c>
      <c r="P552" s="109">
        <v>192200</v>
      </c>
      <c r="Q552" s="107"/>
      <c r="R552" s="111"/>
      <c r="S552" s="110" t="s">
        <v>1187</v>
      </c>
      <c r="T552"/>
      <c r="U552"/>
      <c r="V552"/>
    </row>
    <row r="553" spans="1:22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103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1014</v>
      </c>
      <c r="P553" s="109">
        <v>192200</v>
      </c>
      <c r="Q553" s="107"/>
      <c r="R553" s="111"/>
      <c r="S553" s="110" t="s">
        <v>1187</v>
      </c>
      <c r="T553"/>
      <c r="U553"/>
      <c r="V553"/>
    </row>
    <row r="554" spans="1:22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103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1015</v>
      </c>
      <c r="P554" s="109">
        <v>192200</v>
      </c>
      <c r="Q554" s="107"/>
      <c r="R554" s="111"/>
      <c r="S554" s="110" t="s">
        <v>1187</v>
      </c>
      <c r="T554"/>
      <c r="U554"/>
      <c r="V554"/>
    </row>
    <row r="555" spans="1:22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103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1016</v>
      </c>
      <c r="P555" s="109">
        <v>192200</v>
      </c>
      <c r="Q555" s="107"/>
      <c r="R555" s="111"/>
      <c r="S555" s="110" t="s">
        <v>1187</v>
      </c>
      <c r="T555"/>
      <c r="U555"/>
      <c r="V555"/>
    </row>
    <row r="556" spans="1:22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103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1017</v>
      </c>
      <c r="P556" s="109">
        <v>192200</v>
      </c>
      <c r="Q556" s="107"/>
      <c r="R556" s="111"/>
      <c r="S556" s="110" t="s">
        <v>1187</v>
      </c>
      <c r="T556"/>
      <c r="U556"/>
      <c r="V556"/>
    </row>
    <row r="557" spans="1:22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103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1018</v>
      </c>
      <c r="P557" s="109">
        <v>192200</v>
      </c>
      <c r="Q557" s="107"/>
      <c r="R557" s="111"/>
      <c r="S557" s="110" t="s">
        <v>1187</v>
      </c>
      <c r="T557"/>
      <c r="U557"/>
      <c r="V557"/>
    </row>
    <row r="558" spans="1:22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103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1019</v>
      </c>
      <c r="P558" s="109">
        <v>192200</v>
      </c>
      <c r="Q558" s="107"/>
      <c r="R558" s="111"/>
      <c r="S558" s="110" t="s">
        <v>1187</v>
      </c>
      <c r="T558"/>
      <c r="U558"/>
      <c r="V558"/>
    </row>
    <row r="559" spans="1:22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103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1020</v>
      </c>
      <c r="P559" s="109">
        <v>192200</v>
      </c>
      <c r="Q559" s="107"/>
      <c r="R559" s="111"/>
      <c r="S559" s="110" t="s">
        <v>1187</v>
      </c>
      <c r="T559"/>
      <c r="U559"/>
      <c r="V559"/>
    </row>
    <row r="560" spans="1:22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103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1021</v>
      </c>
      <c r="P560" s="109">
        <v>192200</v>
      </c>
      <c r="Q560" s="107"/>
      <c r="R560" s="111"/>
      <c r="S560" s="110" t="s">
        <v>1187</v>
      </c>
      <c r="T560"/>
      <c r="U560"/>
      <c r="V560"/>
    </row>
    <row r="561" spans="1:22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103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1022</v>
      </c>
      <c r="P561" s="109">
        <v>192200</v>
      </c>
      <c r="Q561" s="107"/>
      <c r="R561" s="111"/>
      <c r="S561" s="110" t="s">
        <v>1187</v>
      </c>
      <c r="T561"/>
      <c r="U561"/>
      <c r="V561"/>
    </row>
    <row r="562" spans="1:22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103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1023</v>
      </c>
      <c r="P562" s="109">
        <v>192200</v>
      </c>
      <c r="Q562" s="107"/>
      <c r="R562" s="111"/>
      <c r="S562" s="110" t="s">
        <v>1187</v>
      </c>
      <c r="T562"/>
      <c r="U562"/>
      <c r="V562"/>
    </row>
    <row r="563" spans="1:22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103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1024</v>
      </c>
      <c r="P563" s="109">
        <v>192200</v>
      </c>
      <c r="Q563" s="107"/>
      <c r="R563" s="111"/>
      <c r="S563" s="110" t="s">
        <v>1187</v>
      </c>
      <c r="T563"/>
      <c r="U563"/>
      <c r="V563"/>
    </row>
    <row r="564" spans="1:22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103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1025</v>
      </c>
      <c r="P564" s="109">
        <v>192200</v>
      </c>
      <c r="Q564" s="107"/>
      <c r="R564" s="111"/>
      <c r="S564" s="110" t="s">
        <v>1187</v>
      </c>
      <c r="T564"/>
      <c r="U564"/>
      <c r="V564"/>
    </row>
    <row r="565" spans="1:22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103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1026</v>
      </c>
      <c r="P565" s="109">
        <v>192200</v>
      </c>
      <c r="Q565" s="107"/>
      <c r="R565" s="111"/>
      <c r="S565" s="110" t="s">
        <v>1187</v>
      </c>
      <c r="T565"/>
      <c r="U565"/>
      <c r="V565"/>
    </row>
    <row r="566" spans="1:22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103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1027</v>
      </c>
      <c r="P566" s="109">
        <v>192200</v>
      </c>
      <c r="Q566" s="107"/>
      <c r="R566" s="111"/>
      <c r="S566" s="110" t="s">
        <v>1187</v>
      </c>
      <c r="T566"/>
      <c r="U566"/>
      <c r="V566"/>
    </row>
    <row r="567" spans="1:22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103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1028</v>
      </c>
      <c r="P567" s="109">
        <v>192200</v>
      </c>
      <c r="Q567" s="107"/>
      <c r="R567" s="111"/>
      <c r="S567" s="110" t="s">
        <v>1187</v>
      </c>
      <c r="T567"/>
      <c r="U567"/>
      <c r="V567"/>
    </row>
    <row r="568" spans="1:22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103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1029</v>
      </c>
      <c r="P568" s="109">
        <v>192200</v>
      </c>
      <c r="Q568" s="107"/>
      <c r="R568" s="111"/>
      <c r="S568" s="110" t="s">
        <v>1187</v>
      </c>
      <c r="T568"/>
      <c r="U568"/>
      <c r="V568"/>
    </row>
    <row r="569" spans="1:22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103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1030</v>
      </c>
      <c r="P569" s="109">
        <v>192200</v>
      </c>
      <c r="Q569" s="107"/>
      <c r="R569" s="111"/>
      <c r="S569" s="110" t="s">
        <v>1187</v>
      </c>
      <c r="T569"/>
      <c r="U569"/>
      <c r="V569"/>
    </row>
    <row r="570" spans="1:22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103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1031</v>
      </c>
      <c r="P570" s="109">
        <v>192200</v>
      </c>
      <c r="Q570" s="107"/>
      <c r="R570" s="111"/>
      <c r="S570" s="110" t="s">
        <v>1187</v>
      </c>
      <c r="T570"/>
      <c r="U570"/>
      <c r="V570"/>
    </row>
    <row r="571" spans="1:22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103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1032</v>
      </c>
      <c r="P571" s="109">
        <v>192200</v>
      </c>
      <c r="Q571" s="107"/>
      <c r="R571" s="111"/>
      <c r="S571" s="110" t="s">
        <v>1187</v>
      </c>
      <c r="T571"/>
      <c r="U571"/>
      <c r="V571"/>
    </row>
    <row r="572" spans="1:22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103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1033</v>
      </c>
      <c r="P572" s="109">
        <v>192200</v>
      </c>
      <c r="Q572" s="107"/>
      <c r="R572" s="111"/>
      <c r="S572" s="110" t="s">
        <v>1187</v>
      </c>
      <c r="T572"/>
      <c r="U572"/>
      <c r="V572"/>
    </row>
    <row r="573" spans="1:22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103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1034</v>
      </c>
      <c r="P573" s="109">
        <v>192200</v>
      </c>
      <c r="Q573" s="107"/>
      <c r="R573" s="111"/>
      <c r="S573" s="110" t="s">
        <v>1187</v>
      </c>
      <c r="T573"/>
      <c r="U573"/>
      <c r="V573"/>
    </row>
    <row r="574" spans="1:22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103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1035</v>
      </c>
      <c r="P574" s="109">
        <v>192200</v>
      </c>
      <c r="Q574" s="107"/>
      <c r="R574" s="111"/>
      <c r="S574" s="110" t="s">
        <v>1187</v>
      </c>
      <c r="T574"/>
      <c r="U574"/>
      <c r="V574"/>
    </row>
    <row r="575" spans="1:22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103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1036</v>
      </c>
      <c r="P575" s="109">
        <v>192200</v>
      </c>
      <c r="Q575" s="107"/>
      <c r="R575" s="111"/>
      <c r="S575" s="110" t="s">
        <v>1187</v>
      </c>
      <c r="T575"/>
      <c r="U575"/>
      <c r="V575"/>
    </row>
    <row r="576" spans="1:22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103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1037</v>
      </c>
      <c r="P576" s="109">
        <v>192200</v>
      </c>
      <c r="Q576" s="107"/>
      <c r="R576" s="111"/>
      <c r="S576" s="110" t="s">
        <v>1187</v>
      </c>
      <c r="T576"/>
      <c r="U576"/>
      <c r="V576"/>
    </row>
    <row r="577" spans="1:22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103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1038</v>
      </c>
      <c r="P577" s="109">
        <v>192200</v>
      </c>
      <c r="Q577" s="107"/>
      <c r="R577" s="111"/>
      <c r="S577" s="110" t="s">
        <v>1187</v>
      </c>
      <c r="T577"/>
      <c r="U577"/>
      <c r="V577"/>
    </row>
    <row r="578" spans="1:22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103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1039</v>
      </c>
      <c r="P578" s="109">
        <v>192200</v>
      </c>
      <c r="Q578" s="107"/>
      <c r="R578" s="111"/>
      <c r="S578" s="110" t="s">
        <v>1187</v>
      </c>
      <c r="T578"/>
      <c r="U578"/>
      <c r="V578"/>
    </row>
    <row r="579" spans="1:22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103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1040</v>
      </c>
      <c r="P579" s="109">
        <v>192200</v>
      </c>
      <c r="Q579" s="107"/>
      <c r="R579" s="111"/>
      <c r="S579" s="110" t="s">
        <v>1187</v>
      </c>
      <c r="T579"/>
      <c r="U579"/>
      <c r="V579"/>
    </row>
    <row r="580" spans="1:22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103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1041</v>
      </c>
      <c r="P580" s="109">
        <v>192200</v>
      </c>
      <c r="Q580" s="107"/>
      <c r="R580" s="111"/>
      <c r="S580" s="110" t="s">
        <v>1187</v>
      </c>
      <c r="T580"/>
      <c r="U580"/>
      <c r="V580"/>
    </row>
    <row r="581" spans="1:22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103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1042</v>
      </c>
      <c r="P581" s="109">
        <v>192205</v>
      </c>
      <c r="Q581" s="107"/>
      <c r="R581" s="111"/>
      <c r="S581" s="110" t="s">
        <v>1187</v>
      </c>
      <c r="T581"/>
      <c r="U581"/>
      <c r="V581"/>
    </row>
    <row r="582" spans="1:22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103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1043</v>
      </c>
      <c r="P582" s="109">
        <v>192205</v>
      </c>
      <c r="Q582" s="107"/>
      <c r="R582" s="111"/>
      <c r="S582" s="110" t="s">
        <v>1187</v>
      </c>
      <c r="T582"/>
      <c r="U582"/>
      <c r="V582"/>
    </row>
    <row r="583" spans="1:22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103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1044</v>
      </c>
      <c r="P583" s="109">
        <v>192205</v>
      </c>
      <c r="Q583" s="107"/>
      <c r="R583" s="111"/>
      <c r="S583" s="110" t="s">
        <v>1187</v>
      </c>
      <c r="T583"/>
      <c r="U583"/>
      <c r="V583"/>
    </row>
    <row r="584" spans="1:22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103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1045</v>
      </c>
      <c r="P584" s="109">
        <v>192205</v>
      </c>
      <c r="Q584" s="107"/>
      <c r="R584" s="111"/>
      <c r="S584" s="110" t="s">
        <v>1187</v>
      </c>
      <c r="T584"/>
      <c r="U584"/>
      <c r="V584"/>
    </row>
    <row r="585" spans="1:22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103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1046</v>
      </c>
      <c r="P585" s="109">
        <v>192205</v>
      </c>
      <c r="Q585" s="107"/>
      <c r="R585" s="111"/>
      <c r="S585" s="110" t="s">
        <v>1187</v>
      </c>
      <c r="T585"/>
      <c r="U585"/>
      <c r="V585"/>
    </row>
    <row r="586" spans="1:22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103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1047</v>
      </c>
      <c r="P586" s="109">
        <v>192205</v>
      </c>
      <c r="Q586" s="107"/>
      <c r="R586" s="111"/>
      <c r="S586" s="110" t="s">
        <v>1187</v>
      </c>
      <c r="T586"/>
      <c r="U586"/>
      <c r="V586"/>
    </row>
    <row r="587" spans="1:22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103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1048</v>
      </c>
      <c r="P587" s="109">
        <v>192205</v>
      </c>
      <c r="Q587" s="107"/>
      <c r="R587" s="111"/>
      <c r="S587" s="110" t="s">
        <v>1187</v>
      </c>
      <c r="T587"/>
      <c r="U587"/>
      <c r="V587"/>
    </row>
    <row r="588" spans="1:22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103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1049</v>
      </c>
      <c r="P588" s="109">
        <v>192205</v>
      </c>
      <c r="Q588" s="107"/>
      <c r="R588" s="111"/>
      <c r="S588" s="110" t="s">
        <v>1187</v>
      </c>
      <c r="T588"/>
      <c r="U588"/>
      <c r="V588"/>
    </row>
    <row r="589" spans="1:22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103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1050</v>
      </c>
      <c r="P589" s="109">
        <v>192205</v>
      </c>
      <c r="Q589" s="107"/>
      <c r="R589" s="111"/>
      <c r="S589" s="110" t="s">
        <v>1187</v>
      </c>
      <c r="T589"/>
      <c r="U589"/>
      <c r="V589"/>
    </row>
    <row r="590" spans="1:22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103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1051</v>
      </c>
      <c r="P590" s="109">
        <v>192205</v>
      </c>
      <c r="Q590" s="107"/>
      <c r="R590" s="111"/>
      <c r="S590" s="110" t="s">
        <v>1187</v>
      </c>
      <c r="T590"/>
      <c r="U590"/>
      <c r="V590"/>
    </row>
    <row r="591" spans="1:22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103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1052</v>
      </c>
      <c r="P591" s="109">
        <v>192205</v>
      </c>
      <c r="Q591" s="107"/>
      <c r="R591" s="111"/>
      <c r="S591" s="110" t="s">
        <v>1187</v>
      </c>
      <c r="T591"/>
      <c r="U591"/>
      <c r="V591"/>
    </row>
    <row r="592" spans="1:22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103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1053</v>
      </c>
      <c r="P592" s="109">
        <v>192205</v>
      </c>
      <c r="Q592" s="107"/>
      <c r="R592" s="111"/>
      <c r="S592" s="110" t="s">
        <v>1187</v>
      </c>
      <c r="T592"/>
      <c r="U592"/>
      <c r="V592"/>
    </row>
    <row r="593" spans="1:22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103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1054</v>
      </c>
      <c r="P593" s="109">
        <v>192205</v>
      </c>
      <c r="Q593" s="107"/>
      <c r="R593" s="111"/>
      <c r="S593" s="110" t="s">
        <v>1187</v>
      </c>
      <c r="T593"/>
      <c r="U593"/>
      <c r="V593"/>
    </row>
    <row r="594" spans="1:22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103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1055</v>
      </c>
      <c r="P594" s="109">
        <v>192205</v>
      </c>
      <c r="Q594" s="107"/>
      <c r="R594" s="111"/>
      <c r="S594" s="110" t="s">
        <v>1187</v>
      </c>
      <c r="T594"/>
      <c r="U594"/>
      <c r="V594"/>
    </row>
    <row r="595" spans="1:22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103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1056</v>
      </c>
      <c r="P595" s="109">
        <v>192205</v>
      </c>
      <c r="Q595" s="107"/>
      <c r="R595" s="111"/>
      <c r="S595" s="110" t="s">
        <v>1187</v>
      </c>
      <c r="T595"/>
      <c r="U595"/>
      <c r="V595"/>
    </row>
    <row r="596" spans="1:22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103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1057</v>
      </c>
      <c r="P596" s="109">
        <v>192205</v>
      </c>
      <c r="Q596" s="107"/>
      <c r="R596" s="111"/>
      <c r="S596" s="110" t="s">
        <v>1187</v>
      </c>
      <c r="T596"/>
      <c r="U596"/>
      <c r="V596"/>
    </row>
    <row r="597" spans="1:22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103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1058</v>
      </c>
      <c r="P597" s="109">
        <v>192205</v>
      </c>
      <c r="Q597" s="107"/>
      <c r="R597" s="111"/>
      <c r="S597" s="110" t="s">
        <v>1187</v>
      </c>
      <c r="T597"/>
      <c r="U597"/>
      <c r="V597"/>
    </row>
    <row r="598" spans="1:22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103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1059</v>
      </c>
      <c r="P598" s="109">
        <v>192205</v>
      </c>
      <c r="Q598" s="107"/>
      <c r="R598" s="111"/>
      <c r="S598" s="110" t="s">
        <v>1187</v>
      </c>
      <c r="T598"/>
      <c r="U598"/>
      <c r="V598"/>
    </row>
    <row r="599" spans="1:22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103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1060</v>
      </c>
      <c r="P599" s="109">
        <v>192205</v>
      </c>
      <c r="Q599" s="107"/>
      <c r="R599" s="111"/>
      <c r="S599" s="110" t="s">
        <v>1187</v>
      </c>
      <c r="T599"/>
      <c r="U599"/>
      <c r="V599"/>
    </row>
    <row r="600" spans="1:22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103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1061</v>
      </c>
      <c r="P600" s="109">
        <v>192205</v>
      </c>
      <c r="Q600" s="107"/>
      <c r="R600" s="111"/>
      <c r="S600" s="110" t="s">
        <v>1187</v>
      </c>
      <c r="T600"/>
      <c r="U600"/>
      <c r="V600"/>
    </row>
    <row r="601" spans="1:22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103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1062</v>
      </c>
      <c r="P601" s="109">
        <v>192205</v>
      </c>
      <c r="Q601" s="107"/>
      <c r="R601" s="111"/>
      <c r="S601" s="110" t="s">
        <v>1187</v>
      </c>
      <c r="T601"/>
      <c r="U601"/>
      <c r="V601"/>
    </row>
    <row r="602" spans="1:22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103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1063</v>
      </c>
      <c r="P602" s="109">
        <v>192205</v>
      </c>
      <c r="Q602" s="107"/>
      <c r="R602" s="111"/>
      <c r="S602" s="110" t="s">
        <v>1187</v>
      </c>
      <c r="T602"/>
      <c r="U602"/>
      <c r="V602"/>
    </row>
    <row r="603" spans="1:22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103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1064</v>
      </c>
      <c r="P603" s="109">
        <v>192205</v>
      </c>
      <c r="Q603" s="107"/>
      <c r="R603" s="111"/>
      <c r="S603" s="110" t="s">
        <v>1187</v>
      </c>
      <c r="T603"/>
      <c r="U603"/>
      <c r="V603"/>
    </row>
    <row r="604" spans="1:22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103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1065</v>
      </c>
      <c r="P604" s="109">
        <v>192205</v>
      </c>
      <c r="Q604" s="107"/>
      <c r="R604" s="111"/>
      <c r="S604" s="110" t="s">
        <v>1187</v>
      </c>
      <c r="T604"/>
      <c r="U604"/>
      <c r="V604"/>
    </row>
    <row r="605" spans="1:22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103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1066</v>
      </c>
      <c r="P605" s="109">
        <v>192205</v>
      </c>
      <c r="Q605" s="107"/>
      <c r="R605" s="111"/>
      <c r="S605" s="110" t="s">
        <v>1187</v>
      </c>
      <c r="T605"/>
      <c r="U605"/>
      <c r="V605"/>
    </row>
    <row r="606" spans="1:22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103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1067</v>
      </c>
      <c r="P606" s="109">
        <v>192205</v>
      </c>
      <c r="Q606" s="107"/>
      <c r="R606" s="111"/>
      <c r="S606" s="110" t="s">
        <v>1187</v>
      </c>
      <c r="T606"/>
      <c r="U606"/>
      <c r="V606"/>
    </row>
    <row r="607" spans="1:22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103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1068</v>
      </c>
      <c r="P607" s="109">
        <v>192205</v>
      </c>
      <c r="Q607" s="107"/>
      <c r="R607" s="111"/>
      <c r="S607" s="110" t="s">
        <v>1187</v>
      </c>
      <c r="T607"/>
      <c r="U607"/>
      <c r="V607"/>
    </row>
    <row r="608" spans="1:22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103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1069</v>
      </c>
      <c r="P608" s="109">
        <v>192205</v>
      </c>
      <c r="Q608" s="107"/>
      <c r="R608" s="111"/>
      <c r="S608" s="110" t="s">
        <v>1187</v>
      </c>
      <c r="T608"/>
      <c r="U608"/>
      <c r="V608"/>
    </row>
    <row r="609" spans="1:22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103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1070</v>
      </c>
      <c r="P609" s="109">
        <v>192205</v>
      </c>
      <c r="Q609" s="107"/>
      <c r="R609" s="111"/>
      <c r="S609" s="110" t="s">
        <v>1187</v>
      </c>
      <c r="T609"/>
      <c r="U609"/>
      <c r="V609"/>
    </row>
    <row r="610" spans="1:22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103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1071</v>
      </c>
      <c r="P610" s="109">
        <v>192205</v>
      </c>
      <c r="Q610" s="107"/>
      <c r="R610" s="111"/>
      <c r="S610" s="110" t="s">
        <v>1187</v>
      </c>
      <c r="T610"/>
      <c r="U610"/>
      <c r="V610"/>
    </row>
    <row r="611" spans="1:22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103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1072</v>
      </c>
      <c r="P611" s="109">
        <v>192205</v>
      </c>
      <c r="Q611" s="107"/>
      <c r="R611" s="111"/>
      <c r="S611" s="110" t="s">
        <v>1187</v>
      </c>
      <c r="T611"/>
      <c r="U611"/>
      <c r="V611"/>
    </row>
    <row r="612" spans="1:22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103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1073</v>
      </c>
      <c r="P612" s="109">
        <v>192205</v>
      </c>
      <c r="Q612" s="107"/>
      <c r="R612" s="111"/>
      <c r="S612" s="110" t="s">
        <v>1187</v>
      </c>
      <c r="T612"/>
      <c r="U612"/>
      <c r="V612"/>
    </row>
    <row r="613" spans="1:22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103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1074</v>
      </c>
      <c r="P613" s="109">
        <v>192205</v>
      </c>
      <c r="Q613" s="107"/>
      <c r="R613" s="111"/>
      <c r="S613" s="110" t="s">
        <v>1187</v>
      </c>
      <c r="T613"/>
      <c r="U613"/>
      <c r="V613"/>
    </row>
    <row r="614" spans="1:22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103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1075</v>
      </c>
      <c r="P614" s="109">
        <v>192205</v>
      </c>
      <c r="Q614" s="107"/>
      <c r="R614" s="111"/>
      <c r="S614" s="110" t="s">
        <v>1187</v>
      </c>
      <c r="T614"/>
      <c r="U614"/>
      <c r="V614"/>
    </row>
    <row r="615" spans="1:22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103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1076</v>
      </c>
      <c r="P615" s="109">
        <v>192205</v>
      </c>
      <c r="Q615" s="107"/>
      <c r="R615" s="111"/>
      <c r="S615" s="110" t="s">
        <v>1187</v>
      </c>
      <c r="T615"/>
      <c r="U615"/>
      <c r="V615"/>
    </row>
    <row r="616" spans="1:22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103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1077</v>
      </c>
      <c r="P616" s="109">
        <v>192205</v>
      </c>
      <c r="Q616" s="107"/>
      <c r="R616" s="111"/>
      <c r="S616" s="110" t="s">
        <v>1187</v>
      </c>
      <c r="T616"/>
      <c r="U616"/>
      <c r="V616"/>
    </row>
    <row r="617" spans="1:22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103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1078</v>
      </c>
      <c r="P617" s="109">
        <v>192205</v>
      </c>
      <c r="Q617" s="107"/>
      <c r="R617" s="111"/>
      <c r="S617" s="110" t="s">
        <v>1187</v>
      </c>
      <c r="T617"/>
      <c r="U617"/>
      <c r="V617"/>
    </row>
    <row r="618" spans="1:22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103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1079</v>
      </c>
      <c r="P618" s="109">
        <v>192205</v>
      </c>
      <c r="Q618" s="107"/>
      <c r="R618" s="111"/>
      <c r="S618" s="110" t="s">
        <v>1187</v>
      </c>
      <c r="T618"/>
      <c r="U618"/>
      <c r="V618"/>
    </row>
    <row r="619" spans="1:22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103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1080</v>
      </c>
      <c r="P619" s="109">
        <v>192205</v>
      </c>
      <c r="Q619" s="107"/>
      <c r="R619" s="111"/>
      <c r="S619" s="110" t="s">
        <v>1187</v>
      </c>
      <c r="T619"/>
      <c r="U619"/>
      <c r="V619"/>
    </row>
    <row r="620" spans="1:22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103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1081</v>
      </c>
      <c r="P620" s="109">
        <v>192205</v>
      </c>
      <c r="Q620" s="107"/>
      <c r="R620" s="111"/>
      <c r="S620" s="110" t="s">
        <v>1187</v>
      </c>
      <c r="T620"/>
      <c r="U620"/>
      <c r="V620"/>
    </row>
    <row r="621" spans="1:22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103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1082</v>
      </c>
      <c r="P621" s="109">
        <v>192205</v>
      </c>
      <c r="Q621" s="107"/>
      <c r="R621" s="111"/>
      <c r="S621" s="110" t="s">
        <v>1187</v>
      </c>
      <c r="T621"/>
      <c r="U621"/>
      <c r="V621"/>
    </row>
    <row r="622" spans="1:22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103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1083</v>
      </c>
      <c r="P622" s="109">
        <v>192205</v>
      </c>
      <c r="Q622" s="107"/>
      <c r="R622" s="111"/>
      <c r="S622" s="110" t="s">
        <v>1187</v>
      </c>
      <c r="T622"/>
      <c r="U622"/>
      <c r="V622"/>
    </row>
    <row r="623" spans="1:22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103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1084</v>
      </c>
      <c r="P623" s="109">
        <v>192205</v>
      </c>
      <c r="Q623" s="107"/>
      <c r="R623" s="111"/>
      <c r="S623" s="110" t="s">
        <v>1187</v>
      </c>
      <c r="T623"/>
      <c r="U623"/>
      <c r="V623"/>
    </row>
    <row r="624" spans="1:22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103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1085</v>
      </c>
      <c r="P624" s="109">
        <v>192205</v>
      </c>
      <c r="Q624" s="107"/>
      <c r="R624" s="111"/>
      <c r="S624" s="110" t="s">
        <v>1187</v>
      </c>
      <c r="T624"/>
      <c r="U624"/>
      <c r="V624"/>
    </row>
    <row r="625" spans="1:22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103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1086</v>
      </c>
      <c r="P625" s="109">
        <v>192205</v>
      </c>
      <c r="Q625" s="107"/>
      <c r="R625" s="111"/>
      <c r="S625" s="110" t="s">
        <v>1187</v>
      </c>
      <c r="T625"/>
      <c r="U625"/>
      <c r="V625"/>
    </row>
    <row r="626" spans="1:22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103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1087</v>
      </c>
      <c r="P626" s="109">
        <v>192205</v>
      </c>
      <c r="Q626" s="107"/>
      <c r="R626" s="111"/>
      <c r="S626" s="110" t="s">
        <v>1187</v>
      </c>
      <c r="T626"/>
      <c r="U626"/>
      <c r="V626"/>
    </row>
    <row r="627" spans="1:22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103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1088</v>
      </c>
      <c r="P627" s="109">
        <v>192205</v>
      </c>
      <c r="Q627" s="107"/>
      <c r="R627" s="111"/>
      <c r="S627" s="110" t="s">
        <v>1187</v>
      </c>
      <c r="T627"/>
      <c r="U627"/>
      <c r="V627"/>
    </row>
    <row r="628" spans="1:22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103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1089</v>
      </c>
      <c r="P628" s="109">
        <v>192205</v>
      </c>
      <c r="Q628" s="107"/>
      <c r="R628" s="111"/>
      <c r="S628" s="110" t="s">
        <v>1187</v>
      </c>
      <c r="T628"/>
      <c r="U628"/>
      <c r="V628"/>
    </row>
    <row r="629" spans="1:22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103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1090</v>
      </c>
      <c r="P629" s="109">
        <v>192205</v>
      </c>
      <c r="Q629" s="107"/>
      <c r="R629" s="111"/>
      <c r="S629" s="110" t="s">
        <v>1187</v>
      </c>
      <c r="T629"/>
      <c r="U629"/>
      <c r="V629"/>
    </row>
    <row r="630" spans="1:22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103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1091</v>
      </c>
      <c r="P630" s="109">
        <v>192205</v>
      </c>
      <c r="Q630" s="107"/>
      <c r="R630" s="111"/>
      <c r="S630" s="110" t="s">
        <v>1187</v>
      </c>
      <c r="T630"/>
      <c r="U630"/>
      <c r="V630"/>
    </row>
    <row r="631" spans="1:22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103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1092</v>
      </c>
      <c r="P631" s="109">
        <v>192205</v>
      </c>
      <c r="Q631" s="107"/>
      <c r="R631" s="111"/>
      <c r="S631" s="110" t="s">
        <v>1187</v>
      </c>
      <c r="T631"/>
      <c r="U631"/>
      <c r="V631"/>
    </row>
    <row r="632" spans="1:22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103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1093</v>
      </c>
      <c r="P632" s="109">
        <v>192205</v>
      </c>
      <c r="Q632" s="107"/>
      <c r="R632" s="111"/>
      <c r="S632" s="110" t="s">
        <v>1187</v>
      </c>
      <c r="T632"/>
      <c r="U632"/>
      <c r="V632"/>
    </row>
    <row r="633" spans="1:22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103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1094</v>
      </c>
      <c r="P633" s="109">
        <v>192205</v>
      </c>
      <c r="Q633" s="107"/>
      <c r="R633" s="111"/>
      <c r="S633" s="110" t="s">
        <v>1187</v>
      </c>
      <c r="T633"/>
      <c r="U633"/>
      <c r="V633"/>
    </row>
    <row r="634" spans="1:22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103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1095</v>
      </c>
      <c r="P634" s="109">
        <v>192205</v>
      </c>
      <c r="Q634" s="107"/>
      <c r="R634" s="111"/>
      <c r="S634" s="110" t="s">
        <v>1187</v>
      </c>
      <c r="T634"/>
      <c r="U634"/>
      <c r="V634"/>
    </row>
    <row r="635" spans="1:22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103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1096</v>
      </c>
      <c r="P635" s="109">
        <v>192205</v>
      </c>
      <c r="Q635" s="107"/>
      <c r="R635" s="111"/>
      <c r="S635" s="110" t="s">
        <v>1187</v>
      </c>
      <c r="T635"/>
      <c r="U635"/>
      <c r="V635"/>
    </row>
    <row r="636" spans="1:22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103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1097</v>
      </c>
      <c r="P636" s="109">
        <v>192205</v>
      </c>
      <c r="Q636" s="107"/>
      <c r="R636" s="111"/>
      <c r="S636" s="110" t="s">
        <v>1187</v>
      </c>
      <c r="T636"/>
      <c r="U636"/>
      <c r="V636"/>
    </row>
    <row r="637" spans="1:22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103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1098</v>
      </c>
      <c r="P637" s="109">
        <v>192205</v>
      </c>
      <c r="Q637" s="107"/>
      <c r="R637" s="111"/>
      <c r="S637" s="110" t="s">
        <v>1187</v>
      </c>
      <c r="T637"/>
      <c r="U637"/>
      <c r="V637"/>
    </row>
    <row r="638" spans="1:22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103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1099</v>
      </c>
      <c r="P638" s="109">
        <v>192205</v>
      </c>
      <c r="Q638" s="107"/>
      <c r="R638" s="111"/>
      <c r="S638" s="110" t="s">
        <v>1187</v>
      </c>
      <c r="T638"/>
      <c r="U638"/>
      <c r="V638"/>
    </row>
    <row r="639" spans="1:22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103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1100</v>
      </c>
      <c r="P639" s="109">
        <v>192205</v>
      </c>
      <c r="Q639" s="107"/>
      <c r="R639" s="111"/>
      <c r="S639" s="110" t="s">
        <v>1187</v>
      </c>
      <c r="T639"/>
      <c r="U639"/>
      <c r="V639"/>
    </row>
    <row r="640" spans="1:22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103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1101</v>
      </c>
      <c r="P640" s="109">
        <v>192205</v>
      </c>
      <c r="Q640" s="107"/>
      <c r="R640" s="111"/>
      <c r="S640" s="110" t="s">
        <v>1187</v>
      </c>
      <c r="T640"/>
      <c r="U640"/>
      <c r="V640"/>
    </row>
    <row r="641" spans="1:22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103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1102</v>
      </c>
      <c r="P641" s="109">
        <v>192205</v>
      </c>
      <c r="Q641" s="107"/>
      <c r="R641" s="111"/>
      <c r="S641" s="110" t="s">
        <v>1187</v>
      </c>
      <c r="T641"/>
      <c r="U641"/>
      <c r="V641"/>
    </row>
    <row r="642" spans="1:22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103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1103</v>
      </c>
      <c r="P642" s="109">
        <v>192205</v>
      </c>
      <c r="Q642" s="107"/>
      <c r="R642" s="111"/>
      <c r="S642" s="110" t="s">
        <v>1187</v>
      </c>
      <c r="T642"/>
      <c r="U642"/>
      <c r="V642"/>
    </row>
    <row r="643" spans="1:22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103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1104</v>
      </c>
      <c r="P643" s="109">
        <v>192205</v>
      </c>
      <c r="Q643" s="107"/>
      <c r="R643" s="111"/>
      <c r="S643" s="110" t="s">
        <v>1187</v>
      </c>
      <c r="T643"/>
      <c r="U643"/>
      <c r="V643"/>
    </row>
    <row r="644" spans="1:22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103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1105</v>
      </c>
      <c r="P644" s="109">
        <v>192205</v>
      </c>
      <c r="Q644" s="107"/>
      <c r="R644" s="111"/>
      <c r="S644" s="110" t="s">
        <v>1187</v>
      </c>
      <c r="T644"/>
      <c r="U644"/>
      <c r="V644"/>
    </row>
    <row r="645" spans="1:22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103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1106</v>
      </c>
      <c r="P645" s="109">
        <v>192311</v>
      </c>
      <c r="Q645" s="107"/>
      <c r="R645" s="111"/>
      <c r="S645" s="110" t="s">
        <v>1185</v>
      </c>
      <c r="T645"/>
      <c r="U645"/>
      <c r="V645"/>
    </row>
    <row r="646" spans="1:22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103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1107</v>
      </c>
      <c r="P646" s="109">
        <v>192311</v>
      </c>
      <c r="Q646" s="107"/>
      <c r="R646" s="111"/>
      <c r="S646" s="110" t="s">
        <v>1185</v>
      </c>
      <c r="T646"/>
      <c r="U646"/>
      <c r="V646"/>
    </row>
    <row r="647" spans="1:22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103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1108</v>
      </c>
      <c r="P647" s="109">
        <v>192311</v>
      </c>
      <c r="Q647" s="107"/>
      <c r="R647" s="111"/>
      <c r="S647" s="110" t="s">
        <v>1185</v>
      </c>
      <c r="T647"/>
      <c r="U647"/>
      <c r="V647"/>
    </row>
    <row r="648" spans="1:22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103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1109</v>
      </c>
      <c r="P648" s="109">
        <v>192311</v>
      </c>
      <c r="Q648" s="107"/>
      <c r="R648" s="111"/>
      <c r="S648" s="110" t="s">
        <v>1185</v>
      </c>
      <c r="T648"/>
      <c r="U648"/>
      <c r="V648"/>
    </row>
    <row r="649" spans="1:22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103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1110</v>
      </c>
      <c r="P649" s="109">
        <v>192311</v>
      </c>
      <c r="Q649" s="107"/>
      <c r="R649" s="111"/>
      <c r="S649" s="110" t="s">
        <v>1185</v>
      </c>
      <c r="T649"/>
      <c r="U649"/>
      <c r="V649"/>
    </row>
    <row r="650" spans="1:22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103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1111</v>
      </c>
      <c r="P650" s="109">
        <v>192311</v>
      </c>
      <c r="Q650" s="107"/>
      <c r="R650" s="111"/>
      <c r="S650" s="110" t="s">
        <v>1185</v>
      </c>
      <c r="T650"/>
      <c r="U650"/>
      <c r="V650"/>
    </row>
    <row r="651" spans="1:22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103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1112</v>
      </c>
      <c r="P651" s="109">
        <v>192338</v>
      </c>
      <c r="Q651" s="107"/>
      <c r="R651" s="111"/>
      <c r="S651" s="110" t="s">
        <v>1185</v>
      </c>
      <c r="T651"/>
      <c r="U651"/>
      <c r="V651"/>
    </row>
    <row r="652" spans="1:22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103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1113</v>
      </c>
      <c r="P652" s="109">
        <v>192338</v>
      </c>
      <c r="Q652" s="107"/>
      <c r="R652" s="111"/>
      <c r="S652" s="110" t="s">
        <v>1185</v>
      </c>
      <c r="T652"/>
      <c r="U652"/>
      <c r="V652"/>
    </row>
    <row r="653" spans="1:22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103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1114</v>
      </c>
      <c r="P653" s="109">
        <v>192338</v>
      </c>
      <c r="Q653" s="107"/>
      <c r="R653" s="111"/>
      <c r="S653" s="110" t="s">
        <v>1185</v>
      </c>
      <c r="T653"/>
      <c r="U653"/>
      <c r="V653"/>
    </row>
    <row r="654" spans="1:22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103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1115</v>
      </c>
      <c r="P654" s="109">
        <v>192338</v>
      </c>
      <c r="Q654" s="107"/>
      <c r="R654" s="111"/>
      <c r="S654" s="110" t="s">
        <v>1185</v>
      </c>
      <c r="T654"/>
      <c r="U654"/>
      <c r="V654"/>
    </row>
    <row r="655" spans="1:22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103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1116</v>
      </c>
      <c r="P655" s="109">
        <v>192338</v>
      </c>
      <c r="Q655" s="107"/>
      <c r="R655" s="111"/>
      <c r="S655" s="110" t="s">
        <v>1185</v>
      </c>
      <c r="T655"/>
      <c r="U655"/>
      <c r="V655"/>
    </row>
    <row r="656" spans="1:22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103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1117</v>
      </c>
      <c r="P656" s="109">
        <v>192338</v>
      </c>
      <c r="Q656" s="107"/>
      <c r="R656" s="111"/>
      <c r="S656" s="110" t="s">
        <v>1185</v>
      </c>
      <c r="T656"/>
      <c r="U656"/>
      <c r="V656"/>
    </row>
    <row r="657" spans="1:22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103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1118</v>
      </c>
      <c r="P657" s="109">
        <v>192338</v>
      </c>
      <c r="Q657" s="107"/>
      <c r="R657" s="111"/>
      <c r="S657" s="110" t="s">
        <v>1185</v>
      </c>
      <c r="T657"/>
      <c r="U657"/>
      <c r="V657"/>
    </row>
    <row r="658" spans="1:22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103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1119</v>
      </c>
      <c r="P658" s="109">
        <v>192338</v>
      </c>
      <c r="Q658" s="107"/>
      <c r="R658" s="111"/>
      <c r="S658" s="110" t="s">
        <v>1185</v>
      </c>
      <c r="T658"/>
      <c r="U658"/>
      <c r="V658"/>
    </row>
    <row r="659" spans="1:22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103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1120</v>
      </c>
      <c r="P659" s="109">
        <v>192338</v>
      </c>
      <c r="Q659" s="107"/>
      <c r="R659" s="111"/>
      <c r="S659" s="110" t="s">
        <v>1185</v>
      </c>
      <c r="T659"/>
      <c r="U659"/>
      <c r="V659"/>
    </row>
    <row r="660" spans="1:22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103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1121</v>
      </c>
      <c r="P660" s="109">
        <v>192338</v>
      </c>
      <c r="Q660" s="107"/>
      <c r="R660" s="111"/>
      <c r="S660" s="110" t="s">
        <v>1185</v>
      </c>
      <c r="T660"/>
      <c r="U660"/>
      <c r="V660"/>
    </row>
    <row r="661" spans="1:22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103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1122</v>
      </c>
      <c r="P661" s="109">
        <v>192338</v>
      </c>
      <c r="Q661" s="107"/>
      <c r="R661" s="111"/>
      <c r="S661" s="110" t="s">
        <v>1185</v>
      </c>
      <c r="T661"/>
      <c r="U661"/>
      <c r="V661"/>
    </row>
    <row r="662" spans="1:22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103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1123</v>
      </c>
      <c r="P662" s="109">
        <v>192338</v>
      </c>
      <c r="Q662" s="107"/>
      <c r="R662" s="111"/>
      <c r="S662" s="110" t="s">
        <v>1185</v>
      </c>
      <c r="T662"/>
      <c r="U662"/>
      <c r="V662"/>
    </row>
    <row r="663" spans="1:22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103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1124</v>
      </c>
      <c r="P663" s="109">
        <v>192338</v>
      </c>
      <c r="Q663" s="107"/>
      <c r="R663" s="111"/>
      <c r="S663" s="110" t="s">
        <v>1185</v>
      </c>
      <c r="T663"/>
      <c r="U663"/>
      <c r="V663"/>
    </row>
    <row r="664" spans="1:22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103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1125</v>
      </c>
      <c r="P664" s="109">
        <v>192338</v>
      </c>
      <c r="Q664" s="107"/>
      <c r="R664" s="111"/>
      <c r="S664" s="110" t="s">
        <v>1185</v>
      </c>
      <c r="T664"/>
      <c r="U664"/>
      <c r="V664"/>
    </row>
    <row r="665" spans="1:22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103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1126</v>
      </c>
      <c r="P665" s="109">
        <v>192338</v>
      </c>
      <c r="Q665" s="107"/>
      <c r="R665" s="111"/>
      <c r="S665" s="110" t="s">
        <v>1185</v>
      </c>
      <c r="T665"/>
      <c r="U665"/>
      <c r="V665"/>
    </row>
    <row r="666" spans="1:22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103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1127</v>
      </c>
      <c r="P666" s="109">
        <v>192338</v>
      </c>
      <c r="Q666" s="107"/>
      <c r="R666" s="111"/>
      <c r="S666" s="110" t="s">
        <v>1185</v>
      </c>
      <c r="T666"/>
      <c r="U666"/>
      <c r="V666"/>
    </row>
    <row r="667" spans="1:22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103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1128</v>
      </c>
      <c r="P667" s="109">
        <v>192338</v>
      </c>
      <c r="Q667" s="107"/>
      <c r="R667" s="111"/>
      <c r="S667" s="110" t="s">
        <v>1185</v>
      </c>
      <c r="T667"/>
      <c r="U667"/>
      <c r="V667"/>
    </row>
    <row r="668" spans="1:22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103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1129</v>
      </c>
      <c r="P668" s="109">
        <v>192338</v>
      </c>
      <c r="Q668" s="107"/>
      <c r="R668" s="111"/>
      <c r="S668" s="110" t="s">
        <v>1185</v>
      </c>
      <c r="T668"/>
      <c r="U668"/>
      <c r="V668"/>
    </row>
    <row r="669" spans="1:22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103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1130</v>
      </c>
      <c r="P669" s="109">
        <v>192338</v>
      </c>
      <c r="Q669" s="107"/>
      <c r="R669" s="111"/>
      <c r="S669" s="110" t="s">
        <v>1185</v>
      </c>
      <c r="T669"/>
      <c r="U669"/>
      <c r="V669"/>
    </row>
    <row r="670" spans="1:22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103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1131</v>
      </c>
      <c r="P670" s="109">
        <v>192338</v>
      </c>
      <c r="Q670" s="107"/>
      <c r="R670" s="111"/>
      <c r="S670" s="110" t="s">
        <v>1185</v>
      </c>
      <c r="T670"/>
      <c r="U670"/>
      <c r="V670"/>
    </row>
    <row r="671" spans="1:22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103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1132</v>
      </c>
      <c r="P671" s="109">
        <v>192338</v>
      </c>
      <c r="Q671" s="107"/>
      <c r="R671" s="111"/>
      <c r="S671" s="110" t="s">
        <v>1185</v>
      </c>
      <c r="T671"/>
      <c r="U671"/>
      <c r="V671"/>
    </row>
    <row r="672" spans="1:22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103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1133</v>
      </c>
      <c r="P672" s="109">
        <v>192338</v>
      </c>
      <c r="Q672" s="107"/>
      <c r="R672" s="111"/>
      <c r="S672" s="110" t="s">
        <v>1185</v>
      </c>
      <c r="T672"/>
      <c r="U672"/>
      <c r="V672"/>
    </row>
    <row r="673" spans="1:22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103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1134</v>
      </c>
      <c r="P673" s="109">
        <v>192338</v>
      </c>
      <c r="Q673" s="107"/>
      <c r="R673" s="111"/>
      <c r="S673" s="110" t="s">
        <v>1185</v>
      </c>
      <c r="T673"/>
      <c r="U673"/>
      <c r="V673"/>
    </row>
    <row r="674" spans="1:22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103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1135</v>
      </c>
      <c r="P674" s="109">
        <v>192338</v>
      </c>
      <c r="Q674" s="107"/>
      <c r="R674" s="111"/>
      <c r="S674" s="110" t="s">
        <v>1185</v>
      </c>
      <c r="T674"/>
      <c r="U674"/>
      <c r="V674"/>
    </row>
    <row r="675" spans="1:22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103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1188</v>
      </c>
      <c r="P675" s="109">
        <v>192342</v>
      </c>
      <c r="Q675" s="107"/>
      <c r="R675" s="111"/>
      <c r="S675" s="110">
        <v>9427450</v>
      </c>
      <c r="T675"/>
      <c r="U675"/>
      <c r="V675"/>
    </row>
    <row r="676" spans="1:22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103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1189</v>
      </c>
      <c r="P676" s="109">
        <v>192342</v>
      </c>
      <c r="Q676" s="107"/>
      <c r="R676" s="111"/>
      <c r="S676" s="110">
        <v>9427450</v>
      </c>
      <c r="T676"/>
      <c r="U676"/>
      <c r="V676"/>
    </row>
    <row r="677" spans="1:22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103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1190</v>
      </c>
      <c r="P677" s="109">
        <v>192342</v>
      </c>
      <c r="Q677" s="107"/>
      <c r="R677" s="111"/>
      <c r="S677" s="110">
        <v>9427450</v>
      </c>
      <c r="T677"/>
      <c r="U677"/>
      <c r="V677"/>
    </row>
    <row r="678" spans="1:22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103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1191</v>
      </c>
      <c r="P678" s="109">
        <v>192342</v>
      </c>
      <c r="Q678" s="107"/>
      <c r="R678" s="111"/>
      <c r="S678" s="110">
        <v>9427450</v>
      </c>
      <c r="T678"/>
      <c r="U678"/>
      <c r="V678"/>
    </row>
    <row r="679" spans="1:22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103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1192</v>
      </c>
      <c r="P679" s="109">
        <v>192342</v>
      </c>
      <c r="Q679" s="107"/>
      <c r="R679" s="111"/>
      <c r="S679" s="110">
        <v>9427450</v>
      </c>
      <c r="T679"/>
      <c r="U679"/>
      <c r="V679"/>
    </row>
    <row r="680" spans="1:22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103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1193</v>
      </c>
      <c r="P680" s="109">
        <v>192342</v>
      </c>
      <c r="Q680" s="107"/>
      <c r="R680" s="111"/>
      <c r="S680" s="110">
        <v>9427450</v>
      </c>
      <c r="T680"/>
      <c r="U680"/>
      <c r="V680"/>
    </row>
    <row r="681" spans="1:22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103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1194</v>
      </c>
      <c r="P681" s="109">
        <v>192342</v>
      </c>
      <c r="Q681" s="107"/>
      <c r="R681" s="111"/>
      <c r="S681" s="110">
        <v>9427450</v>
      </c>
      <c r="T681"/>
      <c r="U681"/>
      <c r="V681"/>
    </row>
    <row r="682" spans="1:22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103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1195</v>
      </c>
      <c r="P682" s="109">
        <v>192342</v>
      </c>
      <c r="Q682" s="107"/>
      <c r="R682" s="111"/>
      <c r="S682" s="110">
        <v>9427450</v>
      </c>
      <c r="T682"/>
      <c r="U682"/>
      <c r="V682"/>
    </row>
    <row r="683" spans="1:22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103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1196</v>
      </c>
      <c r="P683" s="109">
        <v>192342</v>
      </c>
      <c r="Q683" s="107"/>
      <c r="R683" s="111"/>
      <c r="S683" s="110">
        <v>9427450</v>
      </c>
      <c r="T683"/>
      <c r="U683"/>
      <c r="V683"/>
    </row>
    <row r="684" spans="1:22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103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1197</v>
      </c>
      <c r="P684" s="109">
        <v>192342</v>
      </c>
      <c r="Q684" s="107"/>
      <c r="R684" s="111"/>
      <c r="S684" s="110">
        <v>9427450</v>
      </c>
      <c r="T684"/>
      <c r="U684"/>
      <c r="V684"/>
    </row>
    <row r="685" spans="1:22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103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1198</v>
      </c>
      <c r="P685" s="109">
        <v>192342</v>
      </c>
      <c r="Q685" s="107"/>
      <c r="R685" s="111"/>
      <c r="S685" s="110">
        <v>9427450</v>
      </c>
      <c r="T685"/>
      <c r="U685"/>
      <c r="V685"/>
    </row>
    <row r="686" spans="1:22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103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1199</v>
      </c>
      <c r="P686" s="109">
        <v>192342</v>
      </c>
      <c r="Q686" s="107"/>
      <c r="R686" s="111"/>
      <c r="S686" s="110">
        <v>9427450</v>
      </c>
      <c r="T686"/>
      <c r="U686"/>
      <c r="V686"/>
    </row>
    <row r="687" spans="1:22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103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1200</v>
      </c>
      <c r="P687" s="109">
        <v>192342</v>
      </c>
      <c r="Q687" s="107"/>
      <c r="R687" s="111"/>
      <c r="S687" s="110">
        <v>9427450</v>
      </c>
      <c r="T687"/>
      <c r="U687"/>
      <c r="V687"/>
    </row>
    <row r="688" spans="1:22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103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1201</v>
      </c>
      <c r="P688" s="109">
        <v>192342</v>
      </c>
      <c r="Q688" s="107"/>
      <c r="R688" s="111"/>
      <c r="S688" s="110">
        <v>9427450</v>
      </c>
      <c r="T688"/>
      <c r="U688"/>
      <c r="V688"/>
    </row>
    <row r="689" spans="1:22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103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1202</v>
      </c>
      <c r="P689" s="109">
        <v>192342</v>
      </c>
      <c r="Q689" s="107"/>
      <c r="R689" s="111"/>
      <c r="S689" s="110">
        <v>9427450</v>
      </c>
      <c r="T689"/>
      <c r="U689"/>
      <c r="V689"/>
    </row>
    <row r="690" spans="1:22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103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1203</v>
      </c>
      <c r="P690" s="109">
        <v>192342</v>
      </c>
      <c r="Q690" s="41"/>
      <c r="R690" s="111"/>
      <c r="S690" s="110">
        <v>9427450</v>
      </c>
      <c r="T690"/>
      <c r="U690"/>
      <c r="V690"/>
    </row>
    <row r="691" spans="1:22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103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1204</v>
      </c>
      <c r="P691" s="109">
        <v>192342</v>
      </c>
      <c r="Q691" s="41"/>
      <c r="R691" s="111"/>
      <c r="S691" s="110">
        <v>9427450</v>
      </c>
      <c r="T691"/>
      <c r="U691"/>
      <c r="V691"/>
    </row>
    <row r="692" spans="1:22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103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1205</v>
      </c>
      <c r="P692" s="109">
        <v>192342</v>
      </c>
      <c r="Q692" s="41"/>
      <c r="R692" s="111"/>
      <c r="S692" s="110">
        <v>9427450</v>
      </c>
      <c r="T692"/>
      <c r="U692"/>
      <c r="V692"/>
    </row>
    <row r="693" spans="1:22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103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1206</v>
      </c>
      <c r="P693" s="109">
        <v>192342</v>
      </c>
      <c r="Q693" s="41"/>
      <c r="R693" s="111"/>
      <c r="S693" s="110">
        <v>9427450</v>
      </c>
      <c r="T693"/>
      <c r="U693"/>
      <c r="V693"/>
    </row>
    <row r="694" spans="1:22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103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1207</v>
      </c>
      <c r="P694" s="109">
        <v>192342</v>
      </c>
      <c r="Q694" s="41"/>
      <c r="R694" s="111"/>
      <c r="S694" s="110">
        <v>9427450</v>
      </c>
      <c r="V694"/>
    </row>
    <row r="695" spans="1:22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103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1208</v>
      </c>
      <c r="P695" s="109">
        <v>192342</v>
      </c>
      <c r="Q695" s="41"/>
      <c r="R695" s="111"/>
      <c r="S695" s="110">
        <v>9427450</v>
      </c>
      <c r="V695"/>
    </row>
    <row r="696" spans="1:22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103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1209</v>
      </c>
      <c r="P696" s="109">
        <v>192342</v>
      </c>
      <c r="Q696" s="41"/>
      <c r="R696" s="111"/>
      <c r="S696" s="110">
        <v>9427450</v>
      </c>
      <c r="V696"/>
    </row>
    <row r="697" spans="1:22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103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1210</v>
      </c>
      <c r="P697" s="109">
        <v>192342</v>
      </c>
      <c r="Q697" s="41"/>
      <c r="R697" s="111"/>
      <c r="S697" s="110">
        <v>9427450</v>
      </c>
      <c r="V697"/>
    </row>
    <row r="698" spans="1:22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103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1211</v>
      </c>
      <c r="P698" s="109">
        <v>192342</v>
      </c>
      <c r="Q698" s="41"/>
      <c r="R698" s="111"/>
      <c r="S698" s="110">
        <v>9427450</v>
      </c>
      <c r="V698"/>
    </row>
    <row r="699" spans="1:22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103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1212</v>
      </c>
      <c r="P699" s="109">
        <v>192342</v>
      </c>
      <c r="Q699" s="41"/>
      <c r="R699" s="111"/>
      <c r="S699" s="110">
        <v>9427450</v>
      </c>
      <c r="V699"/>
    </row>
    <row r="700" spans="1:22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103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1213</v>
      </c>
      <c r="P700" s="109">
        <v>192342</v>
      </c>
      <c r="Q700" s="41"/>
      <c r="R700" s="111"/>
      <c r="S700" s="110">
        <v>9427450</v>
      </c>
      <c r="V700"/>
    </row>
    <row r="701" spans="1:22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103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1214</v>
      </c>
      <c r="P701" s="109">
        <v>192342</v>
      </c>
      <c r="Q701" s="41"/>
      <c r="R701" s="111"/>
      <c r="S701" s="110">
        <v>9427450</v>
      </c>
      <c r="V701"/>
    </row>
    <row r="702" spans="1:22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103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1215</v>
      </c>
      <c r="P702" s="109">
        <v>192342</v>
      </c>
      <c r="Q702" s="41"/>
      <c r="R702" s="111"/>
      <c r="S702" s="110">
        <v>9427450</v>
      </c>
      <c r="V702"/>
    </row>
    <row r="703" spans="1:22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103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1216</v>
      </c>
      <c r="P703" s="109">
        <v>192342</v>
      </c>
      <c r="Q703" s="41"/>
      <c r="R703" s="111"/>
      <c r="S703" s="110">
        <v>9427450</v>
      </c>
      <c r="V703"/>
    </row>
    <row r="704" spans="1:22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103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1217</v>
      </c>
      <c r="P704" s="109">
        <v>192342</v>
      </c>
      <c r="Q704" s="41"/>
      <c r="R704" s="111"/>
      <c r="S704" s="110">
        <v>9427450</v>
      </c>
      <c r="V704"/>
    </row>
    <row r="705" spans="1:22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103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1218</v>
      </c>
      <c r="P705" s="109">
        <v>192342</v>
      </c>
      <c r="Q705" s="41"/>
      <c r="R705" s="111"/>
      <c r="S705" s="110">
        <v>9427450</v>
      </c>
      <c r="V705"/>
    </row>
    <row r="706" spans="1:22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103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1219</v>
      </c>
      <c r="P706" s="109">
        <v>192342</v>
      </c>
      <c r="Q706" s="41"/>
      <c r="R706" s="111"/>
      <c r="S706" s="110">
        <v>9427450</v>
      </c>
      <c r="V706"/>
    </row>
    <row r="707" spans="1:22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103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1220</v>
      </c>
      <c r="P707" s="109">
        <v>192342</v>
      </c>
      <c r="Q707" s="41"/>
      <c r="R707" s="111"/>
      <c r="S707" s="110">
        <v>9427450</v>
      </c>
      <c r="V707"/>
    </row>
    <row r="708" spans="1:22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103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1221</v>
      </c>
      <c r="P708" s="109">
        <v>192342</v>
      </c>
      <c r="Q708" s="41"/>
      <c r="R708" s="111"/>
      <c r="S708" s="110">
        <v>9427450</v>
      </c>
      <c r="V708"/>
    </row>
    <row r="709" spans="1:22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103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1222</v>
      </c>
      <c r="P709" s="109">
        <v>192342</v>
      </c>
      <c r="Q709" s="41"/>
      <c r="R709" s="111"/>
      <c r="S709" s="110">
        <v>9427450</v>
      </c>
      <c r="V709"/>
    </row>
    <row r="710" spans="1:22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103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1223</v>
      </c>
      <c r="P710" s="109">
        <v>192342</v>
      </c>
      <c r="Q710" s="41"/>
      <c r="R710" s="111"/>
      <c r="S710" s="110">
        <v>9427450</v>
      </c>
      <c r="V710"/>
    </row>
    <row r="711" spans="1:22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103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1224</v>
      </c>
      <c r="P711" s="109">
        <v>192342</v>
      </c>
      <c r="Q711" s="41"/>
      <c r="R711" s="111"/>
      <c r="S711" s="110">
        <v>9427450</v>
      </c>
      <c r="V711"/>
    </row>
    <row r="712" spans="1:22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103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1225</v>
      </c>
      <c r="P712" s="109">
        <v>192342</v>
      </c>
      <c r="Q712" s="41"/>
      <c r="R712" s="111"/>
      <c r="S712" s="110">
        <v>9427450</v>
      </c>
      <c r="V712"/>
    </row>
    <row r="713" spans="1:22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103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1226</v>
      </c>
      <c r="P713" s="109">
        <v>192342</v>
      </c>
      <c r="Q713" s="41"/>
      <c r="R713" s="111"/>
      <c r="S713" s="110">
        <v>9427450</v>
      </c>
      <c r="V713"/>
    </row>
    <row r="714" spans="1:22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103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1227</v>
      </c>
      <c r="P714" s="109">
        <v>192342</v>
      </c>
      <c r="Q714" s="41"/>
      <c r="R714" s="111"/>
      <c r="S714" s="110">
        <v>9427450</v>
      </c>
      <c r="V714"/>
    </row>
    <row r="715" spans="1:22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103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1228</v>
      </c>
      <c r="P715" s="109">
        <v>192358</v>
      </c>
      <c r="Q715" s="41"/>
      <c r="R715" s="111"/>
      <c r="S715" s="110">
        <v>9427450</v>
      </c>
      <c r="V715"/>
    </row>
    <row r="716" spans="1:22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103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1229</v>
      </c>
      <c r="P716" s="109">
        <v>192358</v>
      </c>
      <c r="Q716" s="41"/>
      <c r="R716" s="111"/>
      <c r="S716" s="110">
        <v>9427450</v>
      </c>
      <c r="V716"/>
    </row>
    <row r="717" spans="1:22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103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1230</v>
      </c>
      <c r="P717" s="109">
        <v>192358</v>
      </c>
      <c r="Q717" s="41"/>
      <c r="R717" s="111"/>
      <c r="S717" s="110">
        <v>9427450</v>
      </c>
      <c r="V717"/>
    </row>
    <row r="718" spans="1:22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103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1231</v>
      </c>
      <c r="P718" s="109">
        <v>192358</v>
      </c>
      <c r="Q718" s="41"/>
      <c r="R718" s="111"/>
      <c r="S718" s="110">
        <v>9427450</v>
      </c>
      <c r="V718"/>
    </row>
    <row r="719" spans="1:22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103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1232</v>
      </c>
      <c r="P719" s="109">
        <v>192358</v>
      </c>
      <c r="Q719" s="41"/>
      <c r="R719" s="111"/>
      <c r="S719" s="110">
        <v>9427450</v>
      </c>
      <c r="V719"/>
    </row>
    <row r="720" spans="1:22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103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1233</v>
      </c>
      <c r="P720" s="109">
        <v>192358</v>
      </c>
      <c r="Q720" s="41"/>
      <c r="R720" s="111"/>
      <c r="S720" s="110">
        <v>9427450</v>
      </c>
      <c r="V720"/>
    </row>
    <row r="721" spans="1:22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103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1234</v>
      </c>
      <c r="P721" s="109">
        <v>192358</v>
      </c>
      <c r="Q721" s="41"/>
      <c r="R721" s="111"/>
      <c r="S721" s="110">
        <v>9427450</v>
      </c>
      <c r="V721"/>
    </row>
    <row r="722" spans="1:22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103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1235</v>
      </c>
      <c r="P722" s="109">
        <v>192358</v>
      </c>
      <c r="Q722" s="41"/>
      <c r="R722" s="111"/>
      <c r="S722" s="110">
        <v>9427450</v>
      </c>
      <c r="V722"/>
    </row>
    <row r="723" spans="1:22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103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1236</v>
      </c>
      <c r="P723" s="109">
        <v>192358</v>
      </c>
      <c r="Q723" s="41"/>
      <c r="R723" s="111"/>
      <c r="S723" s="110">
        <v>9427450</v>
      </c>
      <c r="V723"/>
    </row>
    <row r="724" spans="1:22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103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1237</v>
      </c>
      <c r="P724" s="109">
        <v>192358</v>
      </c>
      <c r="Q724" s="41"/>
      <c r="R724" s="111"/>
      <c r="S724" s="110">
        <v>9427450</v>
      </c>
      <c r="V724"/>
    </row>
    <row r="725" spans="1:22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103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1238</v>
      </c>
      <c r="P725" s="109">
        <v>192358</v>
      </c>
      <c r="Q725" s="41"/>
      <c r="R725" s="111"/>
      <c r="S725" s="110">
        <v>9427450</v>
      </c>
      <c r="V725"/>
    </row>
    <row r="726" spans="1:22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103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1239</v>
      </c>
      <c r="P726" s="109">
        <v>192358</v>
      </c>
      <c r="Q726" s="41"/>
      <c r="R726" s="111"/>
      <c r="S726" s="110">
        <v>9427450</v>
      </c>
      <c r="V726"/>
    </row>
    <row r="727" spans="1:22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103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1240</v>
      </c>
      <c r="P727" s="109">
        <v>192358</v>
      </c>
      <c r="Q727" s="41"/>
      <c r="R727" s="111"/>
      <c r="S727" s="110">
        <v>9427450</v>
      </c>
      <c r="V727"/>
    </row>
    <row r="728" spans="1:22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103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1241</v>
      </c>
      <c r="P728" s="109">
        <v>192358</v>
      </c>
      <c r="Q728" s="41"/>
      <c r="R728" s="111"/>
      <c r="S728" s="110">
        <v>9427450</v>
      </c>
      <c r="V728"/>
    </row>
    <row r="729" spans="1:22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103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1242</v>
      </c>
      <c r="P729" s="109">
        <v>192358</v>
      </c>
      <c r="Q729" s="41"/>
      <c r="R729" s="111"/>
      <c r="S729" s="110">
        <v>9427450</v>
      </c>
      <c r="V729"/>
    </row>
    <row r="730" spans="1:22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103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1243</v>
      </c>
      <c r="P730" s="109">
        <v>192358</v>
      </c>
      <c r="Q730" s="41"/>
      <c r="R730" s="111"/>
      <c r="S730" s="110">
        <v>9427450</v>
      </c>
      <c r="V730"/>
    </row>
    <row r="731" spans="1:22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103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1244</v>
      </c>
      <c r="P731" s="109">
        <v>192358</v>
      </c>
      <c r="Q731" s="41"/>
      <c r="R731" s="111"/>
      <c r="S731" s="110">
        <v>9427450</v>
      </c>
      <c r="V731"/>
    </row>
    <row r="732" spans="1:22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103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1245</v>
      </c>
      <c r="P732" s="109">
        <v>192358</v>
      </c>
      <c r="Q732" s="41"/>
      <c r="R732" s="111"/>
      <c r="S732" s="110">
        <v>9427450</v>
      </c>
      <c r="V732"/>
    </row>
    <row r="733" spans="1:22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103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1246</v>
      </c>
      <c r="P733" s="109">
        <v>192358</v>
      </c>
      <c r="Q733" s="41"/>
      <c r="R733" s="111"/>
      <c r="S733" s="110">
        <v>9427450</v>
      </c>
      <c r="V733"/>
    </row>
    <row r="734" spans="1:22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103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1247</v>
      </c>
      <c r="P734" s="109">
        <v>192358</v>
      </c>
      <c r="Q734" s="41"/>
      <c r="R734" s="111"/>
      <c r="S734" s="110">
        <v>9427450</v>
      </c>
      <c r="V734"/>
    </row>
    <row r="735" spans="1:22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103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1248</v>
      </c>
      <c r="P735" s="109">
        <v>192358</v>
      </c>
      <c r="Q735" s="41"/>
      <c r="R735" s="111"/>
      <c r="S735" s="110">
        <v>9427450</v>
      </c>
      <c r="V735"/>
    </row>
    <row r="736" spans="1:22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103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1249</v>
      </c>
      <c r="P736" s="109">
        <v>192358</v>
      </c>
      <c r="Q736" s="41"/>
      <c r="R736" s="111"/>
      <c r="S736" s="110">
        <v>9427450</v>
      </c>
      <c r="V736"/>
    </row>
    <row r="737" spans="1:22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103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1250</v>
      </c>
      <c r="P737" s="109">
        <v>192358</v>
      </c>
      <c r="Q737" s="41"/>
      <c r="R737" s="111"/>
      <c r="S737" s="110">
        <v>9427450</v>
      </c>
      <c r="V737"/>
    </row>
    <row r="738" spans="1:22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103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1251</v>
      </c>
      <c r="P738" s="109">
        <v>192358</v>
      </c>
      <c r="Q738" s="41"/>
      <c r="R738" s="111"/>
      <c r="S738" s="110">
        <v>9427450</v>
      </c>
      <c r="V738"/>
    </row>
    <row r="739" spans="1:22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103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1252</v>
      </c>
      <c r="P739" s="109">
        <v>192358</v>
      </c>
      <c r="Q739" s="41"/>
      <c r="R739" s="111"/>
      <c r="S739" s="110">
        <v>9427450</v>
      </c>
      <c r="V739"/>
    </row>
    <row r="740" spans="1:22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103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1253</v>
      </c>
      <c r="P740" s="109">
        <v>192358</v>
      </c>
      <c r="Q740" s="41"/>
      <c r="R740" s="111"/>
      <c r="S740" s="110">
        <v>9427450</v>
      </c>
      <c r="V740"/>
    </row>
    <row r="741" spans="1:22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103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1254</v>
      </c>
      <c r="P741" s="109">
        <v>192358</v>
      </c>
      <c r="Q741" s="41"/>
      <c r="R741" s="111"/>
      <c r="S741" s="110">
        <v>9427450</v>
      </c>
      <c r="V741"/>
    </row>
    <row r="742" spans="1:22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103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1255</v>
      </c>
      <c r="P742" s="109">
        <v>192358</v>
      </c>
      <c r="Q742" s="41"/>
      <c r="R742" s="111"/>
      <c r="S742" s="110">
        <v>9427450</v>
      </c>
      <c r="V742"/>
    </row>
    <row r="743" spans="1:22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103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1256</v>
      </c>
      <c r="P743" s="109">
        <v>192358</v>
      </c>
      <c r="Q743" s="41"/>
      <c r="R743" s="111"/>
      <c r="S743" s="110">
        <v>9427450</v>
      </c>
      <c r="V743"/>
    </row>
    <row r="744" spans="1:22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103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1257</v>
      </c>
      <c r="P744" s="109">
        <v>192358</v>
      </c>
      <c r="Q744" s="41"/>
      <c r="R744" s="111"/>
      <c r="S744" s="110">
        <v>9427450</v>
      </c>
      <c r="V744"/>
    </row>
    <row r="745" spans="1:22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103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1258</v>
      </c>
      <c r="P745" s="109">
        <v>192358</v>
      </c>
      <c r="Q745" s="41"/>
      <c r="R745" s="111"/>
      <c r="S745" s="110">
        <v>9427450</v>
      </c>
      <c r="V745"/>
    </row>
    <row r="746" spans="1:22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103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1259</v>
      </c>
      <c r="P746" s="109">
        <v>192358</v>
      </c>
      <c r="Q746" s="41"/>
      <c r="R746" s="111"/>
      <c r="S746" s="110">
        <v>9427450</v>
      </c>
      <c r="V746"/>
    </row>
    <row r="747" spans="1:22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103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1260</v>
      </c>
      <c r="P747" s="109">
        <v>192358</v>
      </c>
      <c r="Q747" s="41"/>
      <c r="R747" s="111"/>
      <c r="S747" s="110">
        <v>9427450</v>
      </c>
      <c r="V747"/>
    </row>
    <row r="748" spans="1:22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103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1261</v>
      </c>
      <c r="P748" s="109">
        <v>192358</v>
      </c>
      <c r="Q748" s="41"/>
      <c r="R748" s="111"/>
      <c r="S748" s="110">
        <v>9427450</v>
      </c>
      <c r="V748"/>
    </row>
    <row r="749" spans="1:22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103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1262</v>
      </c>
      <c r="P749" s="109">
        <v>192358</v>
      </c>
      <c r="Q749" s="41"/>
      <c r="R749" s="111"/>
      <c r="S749" s="110">
        <v>9427450</v>
      </c>
      <c r="V749"/>
    </row>
    <row r="750" spans="1:22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103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1263</v>
      </c>
      <c r="P750" s="109">
        <v>192358</v>
      </c>
      <c r="Q750" s="41"/>
      <c r="R750" s="111"/>
      <c r="S750" s="110">
        <v>9427450</v>
      </c>
      <c r="V750"/>
    </row>
    <row r="751" spans="1:22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103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1264</v>
      </c>
      <c r="P751" s="109">
        <v>192358</v>
      </c>
      <c r="Q751" s="41"/>
      <c r="R751" s="111"/>
      <c r="S751" s="110">
        <v>9427450</v>
      </c>
      <c r="V751"/>
    </row>
    <row r="752" spans="1:22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103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1265</v>
      </c>
      <c r="P752" s="109">
        <v>192358</v>
      </c>
      <c r="Q752" s="41"/>
      <c r="R752" s="111"/>
      <c r="S752" s="110">
        <v>9427450</v>
      </c>
      <c r="V752"/>
    </row>
    <row r="753" spans="1:22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103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1266</v>
      </c>
      <c r="P753" s="109">
        <v>192358</v>
      </c>
      <c r="Q753" s="41"/>
      <c r="R753" s="111"/>
      <c r="S753" s="110">
        <v>9427450</v>
      </c>
      <c r="V753"/>
    </row>
    <row r="754" spans="1:22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103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1267</v>
      </c>
      <c r="P754" s="109">
        <v>192358</v>
      </c>
      <c r="Q754" s="41"/>
      <c r="R754" s="111"/>
      <c r="S754" s="110">
        <v>9427450</v>
      </c>
      <c r="V754"/>
    </row>
    <row r="755" spans="1:22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103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1268</v>
      </c>
      <c r="P755" s="109">
        <v>192363</v>
      </c>
      <c r="Q755" s="41"/>
      <c r="R755" s="111"/>
      <c r="S755" s="110">
        <v>9427450</v>
      </c>
      <c r="V755"/>
    </row>
    <row r="756" spans="1:22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103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1269</v>
      </c>
      <c r="P756" s="109">
        <v>192363</v>
      </c>
      <c r="Q756" s="41"/>
      <c r="R756" s="111"/>
      <c r="S756" s="110">
        <v>9427450</v>
      </c>
      <c r="V756"/>
    </row>
    <row r="757" spans="1:22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103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1270</v>
      </c>
      <c r="P757" s="109">
        <v>192363</v>
      </c>
      <c r="Q757" s="41"/>
      <c r="R757" s="111"/>
      <c r="S757" s="110">
        <v>9427450</v>
      </c>
      <c r="V757"/>
    </row>
    <row r="758" spans="1:22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103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1271</v>
      </c>
      <c r="P758" s="109">
        <v>192363</v>
      </c>
      <c r="Q758" s="41"/>
      <c r="R758" s="111"/>
      <c r="S758" s="110">
        <v>9427450</v>
      </c>
      <c r="V758"/>
    </row>
    <row r="759" spans="1:22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103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1272</v>
      </c>
      <c r="P759" s="109">
        <v>192363</v>
      </c>
      <c r="Q759" s="41"/>
      <c r="R759" s="111"/>
      <c r="S759" s="110">
        <v>9427450</v>
      </c>
      <c r="V759"/>
    </row>
    <row r="760" spans="1:22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103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1273</v>
      </c>
      <c r="P760" s="109">
        <v>192363</v>
      </c>
      <c r="Q760" s="41"/>
      <c r="R760" s="111"/>
      <c r="S760" s="110">
        <v>9427450</v>
      </c>
      <c r="V760"/>
    </row>
    <row r="761" spans="1:22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103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1274</v>
      </c>
      <c r="P761" s="109">
        <v>192363</v>
      </c>
      <c r="Q761" s="41"/>
      <c r="R761" s="111"/>
      <c r="S761" s="110">
        <v>9427450</v>
      </c>
      <c r="V761"/>
    </row>
    <row r="762" spans="1:22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103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1275</v>
      </c>
      <c r="P762" s="109">
        <v>192363</v>
      </c>
      <c r="Q762" s="41"/>
      <c r="R762" s="111"/>
      <c r="S762" s="110">
        <v>9427450</v>
      </c>
      <c r="V762"/>
    </row>
    <row r="763" spans="1:22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103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1276</v>
      </c>
      <c r="P763" s="109">
        <v>192363</v>
      </c>
      <c r="Q763" s="41"/>
      <c r="R763" s="111"/>
      <c r="S763" s="110">
        <v>9427450</v>
      </c>
      <c r="V763"/>
    </row>
    <row r="764" spans="1:22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103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1277</v>
      </c>
      <c r="P764" s="109">
        <v>192363</v>
      </c>
      <c r="Q764" s="41"/>
      <c r="R764" s="111"/>
      <c r="S764" s="110">
        <v>9427450</v>
      </c>
      <c r="V764"/>
    </row>
    <row r="765" spans="1:22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103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1278</v>
      </c>
      <c r="P765" s="109">
        <v>192363</v>
      </c>
      <c r="Q765" s="41"/>
      <c r="R765" s="111"/>
      <c r="S765" s="110">
        <v>9427450</v>
      </c>
      <c r="V765"/>
    </row>
    <row r="766" spans="1:22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103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1279</v>
      </c>
      <c r="P766" s="109">
        <v>192363</v>
      </c>
      <c r="Q766" s="41"/>
      <c r="R766" s="111"/>
      <c r="S766" s="110">
        <v>9427450</v>
      </c>
      <c r="V766"/>
    </row>
    <row r="767" spans="1:22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103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1280</v>
      </c>
      <c r="P767" s="109">
        <v>192363</v>
      </c>
      <c r="Q767" s="41"/>
      <c r="R767" s="111"/>
      <c r="S767" s="110">
        <v>9427450</v>
      </c>
      <c r="V767"/>
    </row>
    <row r="768" spans="1:22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103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1281</v>
      </c>
      <c r="P768" s="109">
        <v>192363</v>
      </c>
      <c r="Q768" s="41"/>
      <c r="R768" s="111"/>
      <c r="S768" s="110">
        <v>9427450</v>
      </c>
      <c r="V768"/>
    </row>
    <row r="769" spans="1:22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103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1282</v>
      </c>
      <c r="P769" s="109">
        <v>192363</v>
      </c>
      <c r="Q769" s="41"/>
      <c r="R769" s="111"/>
      <c r="S769" s="110">
        <v>9427450</v>
      </c>
      <c r="V769"/>
    </row>
    <row r="770" spans="1:22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103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1283</v>
      </c>
      <c r="P770" s="109">
        <v>192363</v>
      </c>
      <c r="Q770" s="41"/>
      <c r="R770" s="111"/>
      <c r="S770" s="110">
        <v>9427450</v>
      </c>
      <c r="V770"/>
    </row>
    <row r="771" spans="1:22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103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1284</v>
      </c>
      <c r="P771" s="109">
        <v>192363</v>
      </c>
      <c r="Q771" s="41"/>
      <c r="R771" s="111"/>
      <c r="S771" s="110">
        <v>9427450</v>
      </c>
      <c r="V771"/>
    </row>
    <row r="772" spans="1:22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103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1285</v>
      </c>
      <c r="P772" s="109">
        <v>192363</v>
      </c>
      <c r="Q772" s="41"/>
      <c r="R772" s="111"/>
      <c r="S772" s="110">
        <v>9427450</v>
      </c>
    </row>
    <row r="773" spans="1:22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103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1286</v>
      </c>
      <c r="P773" s="109">
        <v>192363</v>
      </c>
      <c r="Q773" s="41"/>
      <c r="R773" s="111"/>
      <c r="S773" s="110">
        <v>9427450</v>
      </c>
    </row>
    <row r="774" spans="1:22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103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1287</v>
      </c>
      <c r="P774" s="109">
        <v>192363</v>
      </c>
      <c r="Q774" s="41"/>
      <c r="R774" s="111"/>
      <c r="S774" s="110">
        <v>9427450</v>
      </c>
    </row>
    <row r="775" spans="1:22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103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1288</v>
      </c>
      <c r="P775" s="109">
        <v>192363</v>
      </c>
      <c r="Q775" s="41"/>
      <c r="R775" s="111"/>
      <c r="S775" s="110">
        <v>9427450</v>
      </c>
    </row>
    <row r="776" spans="1:22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103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1289</v>
      </c>
      <c r="P776" s="109">
        <v>192363</v>
      </c>
      <c r="Q776" s="41"/>
      <c r="R776" s="111"/>
      <c r="S776" s="110">
        <v>9427450</v>
      </c>
    </row>
    <row r="777" spans="1:22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103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1290</v>
      </c>
      <c r="P777" s="109">
        <v>192363</v>
      </c>
      <c r="Q777" s="41"/>
      <c r="R777" s="111"/>
      <c r="S777" s="110">
        <v>9427450</v>
      </c>
    </row>
    <row r="778" spans="1:22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103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1291</v>
      </c>
      <c r="P778" s="109">
        <v>192363</v>
      </c>
      <c r="Q778" s="41"/>
      <c r="R778" s="111"/>
      <c r="S778" s="110">
        <v>9427450</v>
      </c>
    </row>
    <row r="779" spans="1:22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103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1292</v>
      </c>
      <c r="P779" s="109">
        <v>192363</v>
      </c>
      <c r="Q779" s="41"/>
      <c r="R779" s="111"/>
      <c r="S779" s="110">
        <v>9427450</v>
      </c>
    </row>
    <row r="780" spans="1:22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103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1293</v>
      </c>
      <c r="P780" s="109">
        <v>192363</v>
      </c>
      <c r="Q780" s="41"/>
      <c r="R780" s="111"/>
      <c r="S780" s="110">
        <v>9427450</v>
      </c>
    </row>
    <row r="781" spans="1:22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103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1294</v>
      </c>
      <c r="P781" s="109">
        <v>192363</v>
      </c>
      <c r="Q781" s="41"/>
      <c r="R781" s="111"/>
      <c r="S781" s="110">
        <v>9427450</v>
      </c>
    </row>
    <row r="782" spans="1:22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103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1295</v>
      </c>
      <c r="P782" s="109">
        <v>192363</v>
      </c>
      <c r="Q782" s="41"/>
      <c r="R782" s="111"/>
      <c r="S782" s="110">
        <v>9427450</v>
      </c>
    </row>
    <row r="783" spans="1:22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103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1296</v>
      </c>
      <c r="P783" s="109">
        <v>192363</v>
      </c>
      <c r="Q783" s="41"/>
      <c r="R783" s="111"/>
      <c r="S783" s="110">
        <v>9427450</v>
      </c>
    </row>
    <row r="784" spans="1:22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103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1297</v>
      </c>
      <c r="P784" s="109">
        <v>192363</v>
      </c>
      <c r="Q784" s="41"/>
      <c r="R784" s="111"/>
      <c r="S784" s="110">
        <v>9427450</v>
      </c>
    </row>
    <row r="785" spans="1:19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103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1298</v>
      </c>
      <c r="P785" s="109">
        <v>192363</v>
      </c>
      <c r="Q785" s="41"/>
      <c r="R785" s="111"/>
      <c r="S785" s="110">
        <v>9427450</v>
      </c>
    </row>
    <row r="786" spans="1:19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103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1299</v>
      </c>
      <c r="P786" s="109">
        <v>192363</v>
      </c>
      <c r="Q786" s="41"/>
      <c r="R786" s="111"/>
      <c r="S786" s="110">
        <v>9427450</v>
      </c>
    </row>
    <row r="787" spans="1:19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103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1300</v>
      </c>
      <c r="P787" s="109">
        <v>192417</v>
      </c>
      <c r="Q787" s="41"/>
      <c r="R787" s="111"/>
      <c r="S787" s="110">
        <v>9427450</v>
      </c>
    </row>
    <row r="788" spans="1:19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103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1301</v>
      </c>
      <c r="P788" s="109">
        <v>192417</v>
      </c>
      <c r="Q788" s="41"/>
      <c r="R788" s="111"/>
      <c r="S788" s="110">
        <v>9427450</v>
      </c>
    </row>
    <row r="789" spans="1:19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103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1302</v>
      </c>
      <c r="P789" s="109">
        <v>192417</v>
      </c>
      <c r="Q789" s="41"/>
      <c r="R789" s="111"/>
      <c r="S789" s="110">
        <v>9427450</v>
      </c>
    </row>
    <row r="790" spans="1:19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103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1303</v>
      </c>
      <c r="P790" s="109">
        <v>192417</v>
      </c>
      <c r="Q790" s="41"/>
      <c r="R790" s="111"/>
      <c r="S790" s="110">
        <v>9427450</v>
      </c>
    </row>
    <row r="791" spans="1:19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103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1304</v>
      </c>
      <c r="P791" s="109">
        <v>192417</v>
      </c>
      <c r="Q791" s="41"/>
      <c r="R791" s="111"/>
      <c r="S791" s="110">
        <v>9427450</v>
      </c>
    </row>
    <row r="792" spans="1:19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103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1305</v>
      </c>
      <c r="P792" s="109">
        <v>192417</v>
      </c>
      <c r="Q792" s="41"/>
      <c r="R792" s="111"/>
      <c r="S792" s="110">
        <v>9427450</v>
      </c>
    </row>
    <row r="793" spans="1:19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103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1306</v>
      </c>
      <c r="P793" s="109">
        <v>192417</v>
      </c>
      <c r="Q793" s="41"/>
      <c r="R793" s="111"/>
      <c r="S793" s="110">
        <v>9427450</v>
      </c>
    </row>
    <row r="794" spans="1:19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103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1307</v>
      </c>
      <c r="P794" s="109">
        <v>192417</v>
      </c>
      <c r="Q794" s="41"/>
      <c r="R794" s="111"/>
      <c r="S794" s="110">
        <v>9427450</v>
      </c>
    </row>
    <row r="795" spans="1:19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103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1308</v>
      </c>
      <c r="P795" s="109">
        <v>192406</v>
      </c>
      <c r="Q795" s="41"/>
      <c r="R795" s="111"/>
      <c r="S795" s="110">
        <v>9427450</v>
      </c>
    </row>
    <row r="796" spans="1:19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103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1309</v>
      </c>
      <c r="P796" s="109">
        <v>192406</v>
      </c>
      <c r="Q796" s="41"/>
      <c r="R796" s="111"/>
      <c r="S796" s="110">
        <v>9427450</v>
      </c>
    </row>
    <row r="797" spans="1:19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103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1310</v>
      </c>
      <c r="P797" s="109">
        <v>192406</v>
      </c>
      <c r="Q797" s="41"/>
      <c r="R797" s="111"/>
      <c r="S797" s="110">
        <v>9427450</v>
      </c>
    </row>
    <row r="798" spans="1:19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103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1311</v>
      </c>
      <c r="P798" s="109">
        <v>192406</v>
      </c>
      <c r="Q798" s="41"/>
      <c r="R798" s="111"/>
      <c r="S798" s="110">
        <v>9427450</v>
      </c>
    </row>
    <row r="799" spans="1:19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103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1312</v>
      </c>
      <c r="P799" s="109">
        <v>192406</v>
      </c>
      <c r="Q799" s="41"/>
      <c r="R799" s="111"/>
      <c r="S799" s="110">
        <v>9427450</v>
      </c>
    </row>
    <row r="800" spans="1:19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103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1313</v>
      </c>
      <c r="P800" s="109">
        <v>192406</v>
      </c>
      <c r="Q800" s="41"/>
      <c r="R800" s="111"/>
      <c r="S800" s="110">
        <v>9427450</v>
      </c>
    </row>
    <row r="801" spans="1:19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103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1314</v>
      </c>
      <c r="P801" s="109">
        <v>192406</v>
      </c>
      <c r="Q801" s="41"/>
      <c r="R801" s="111"/>
      <c r="S801" s="110">
        <v>9427450</v>
      </c>
    </row>
    <row r="802" spans="1:19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103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1315</v>
      </c>
      <c r="P802" s="109">
        <v>192406</v>
      </c>
      <c r="Q802" s="41"/>
      <c r="R802" s="111"/>
      <c r="S802" s="110">
        <v>9427450</v>
      </c>
    </row>
    <row r="803" spans="1:19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103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1316</v>
      </c>
      <c r="P803" s="109">
        <v>192406</v>
      </c>
      <c r="Q803" s="41"/>
      <c r="R803" s="111"/>
      <c r="S803" s="110">
        <v>9427450</v>
      </c>
    </row>
    <row r="804" spans="1:19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103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1317</v>
      </c>
      <c r="P804" s="109">
        <v>192406</v>
      </c>
      <c r="Q804" s="41"/>
      <c r="R804" s="111"/>
      <c r="S804" s="110">
        <v>9427450</v>
      </c>
    </row>
    <row r="805" spans="1:19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103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1318</v>
      </c>
      <c r="P805" s="109">
        <v>192406</v>
      </c>
      <c r="Q805" s="41"/>
      <c r="R805" s="111"/>
      <c r="S805" s="110">
        <v>9427450</v>
      </c>
    </row>
    <row r="806" spans="1:19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103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1319</v>
      </c>
      <c r="P806" s="109">
        <v>192406</v>
      </c>
      <c r="Q806" s="41"/>
      <c r="R806" s="111"/>
      <c r="S806" s="110">
        <v>9427450</v>
      </c>
    </row>
    <row r="807" spans="1:19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103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1320</v>
      </c>
      <c r="P807" s="109">
        <v>192406</v>
      </c>
      <c r="Q807" s="41"/>
      <c r="R807" s="111"/>
      <c r="S807" s="110">
        <v>9427450</v>
      </c>
    </row>
    <row r="808" spans="1:19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103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1321</v>
      </c>
      <c r="P808" s="109">
        <v>192406</v>
      </c>
      <c r="Q808" s="41"/>
      <c r="R808" s="111"/>
      <c r="S808" s="110">
        <v>9427450</v>
      </c>
    </row>
    <row r="809" spans="1:19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103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1322</v>
      </c>
      <c r="P809" s="109">
        <v>192406</v>
      </c>
      <c r="Q809" s="41"/>
      <c r="R809" s="111"/>
      <c r="S809" s="110">
        <v>9427450</v>
      </c>
    </row>
    <row r="810" spans="1:19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103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1323</v>
      </c>
      <c r="P810" s="109">
        <v>192406</v>
      </c>
      <c r="Q810" s="41"/>
      <c r="R810" s="111"/>
      <c r="S810" s="110">
        <v>9427450</v>
      </c>
    </row>
    <row r="811" spans="1:19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103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1324</v>
      </c>
      <c r="P811" s="109">
        <v>192406</v>
      </c>
      <c r="Q811" s="41"/>
      <c r="R811" s="111"/>
      <c r="S811" s="110">
        <v>9427450</v>
      </c>
    </row>
    <row r="812" spans="1:19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103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1325</v>
      </c>
      <c r="P812" s="109">
        <v>192406</v>
      </c>
      <c r="Q812" s="41"/>
      <c r="R812" s="111"/>
      <c r="S812" s="110">
        <v>9427450</v>
      </c>
    </row>
    <row r="813" spans="1:19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103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1326</v>
      </c>
      <c r="P813" s="109">
        <v>192406</v>
      </c>
      <c r="Q813" s="41"/>
      <c r="R813" s="111"/>
      <c r="S813" s="110">
        <v>9427450</v>
      </c>
    </row>
    <row r="814" spans="1:19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103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1327</v>
      </c>
      <c r="P814" s="109">
        <v>192406</v>
      </c>
      <c r="Q814" s="41"/>
      <c r="R814" s="111"/>
      <c r="S814" s="110">
        <v>9427450</v>
      </c>
    </row>
    <row r="815" spans="1:19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103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1328</v>
      </c>
      <c r="P815" s="109">
        <v>192406</v>
      </c>
      <c r="Q815" s="41"/>
      <c r="R815" s="111"/>
      <c r="S815" s="110">
        <v>9427450</v>
      </c>
    </row>
    <row r="816" spans="1:19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103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1329</v>
      </c>
      <c r="P816" s="109">
        <v>192406</v>
      </c>
      <c r="Q816" s="41"/>
      <c r="R816" s="111"/>
      <c r="S816" s="110">
        <v>9427450</v>
      </c>
    </row>
    <row r="817" spans="1:19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103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1330</v>
      </c>
      <c r="P817" s="109">
        <v>192448</v>
      </c>
      <c r="Q817" s="41"/>
      <c r="R817" s="111"/>
      <c r="S817" s="110" t="s">
        <v>1623</v>
      </c>
    </row>
    <row r="818" spans="1:19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103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1331</v>
      </c>
      <c r="P818" s="109">
        <v>192448</v>
      </c>
      <c r="Q818" s="41"/>
      <c r="R818" s="111"/>
      <c r="S818" s="110" t="s">
        <v>1623</v>
      </c>
    </row>
    <row r="819" spans="1:19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103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1332</v>
      </c>
      <c r="P819" s="109">
        <v>192448</v>
      </c>
      <c r="Q819" s="41"/>
      <c r="R819" s="111"/>
      <c r="S819" s="110" t="s">
        <v>1623</v>
      </c>
    </row>
    <row r="820" spans="1:19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103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1333</v>
      </c>
      <c r="P820" s="109">
        <v>192448</v>
      </c>
      <c r="Q820" s="41"/>
      <c r="R820" s="111"/>
      <c r="S820" s="110" t="s">
        <v>1623</v>
      </c>
    </row>
    <row r="821" spans="1:19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103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1334</v>
      </c>
      <c r="P821" s="109">
        <v>192448</v>
      </c>
      <c r="Q821" s="41"/>
      <c r="R821" s="111"/>
      <c r="S821" s="110" t="s">
        <v>1623</v>
      </c>
    </row>
    <row r="822" spans="1:19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103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1335</v>
      </c>
      <c r="P822" s="109">
        <v>192448</v>
      </c>
      <c r="Q822" s="41"/>
      <c r="R822" s="111"/>
      <c r="S822" s="110" t="s">
        <v>1623</v>
      </c>
    </row>
    <row r="823" spans="1:19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103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1336</v>
      </c>
      <c r="P823" s="109">
        <v>192448</v>
      </c>
      <c r="Q823" s="41"/>
      <c r="R823" s="111"/>
      <c r="S823" s="110" t="s">
        <v>1623</v>
      </c>
    </row>
    <row r="824" spans="1:19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103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1337</v>
      </c>
      <c r="P824" s="109">
        <v>192448</v>
      </c>
      <c r="Q824" s="41"/>
      <c r="R824" s="111"/>
      <c r="S824" s="110" t="s">
        <v>1623</v>
      </c>
    </row>
    <row r="825" spans="1:19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103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1338</v>
      </c>
      <c r="P825" s="109">
        <v>192448</v>
      </c>
      <c r="Q825" s="41"/>
      <c r="R825" s="111"/>
      <c r="S825" s="110" t="s">
        <v>1623</v>
      </c>
    </row>
    <row r="826" spans="1:19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103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1339</v>
      </c>
      <c r="P826" s="109">
        <v>192448</v>
      </c>
      <c r="Q826" s="41"/>
      <c r="R826" s="111"/>
      <c r="S826" s="110" t="s">
        <v>1623</v>
      </c>
    </row>
    <row r="827" spans="1:19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103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1340</v>
      </c>
      <c r="P827" s="109">
        <v>192448</v>
      </c>
      <c r="Q827" s="41"/>
      <c r="R827" s="111"/>
      <c r="S827" s="110" t="s">
        <v>1623</v>
      </c>
    </row>
    <row r="828" spans="1:19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103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1341</v>
      </c>
      <c r="P828" s="109">
        <v>192448</v>
      </c>
      <c r="Q828" s="41"/>
      <c r="R828" s="111"/>
      <c r="S828" s="110" t="s">
        <v>1623</v>
      </c>
    </row>
    <row r="829" spans="1:19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103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1342</v>
      </c>
      <c r="P829" s="109">
        <v>192448</v>
      </c>
      <c r="Q829" s="41"/>
      <c r="R829" s="111"/>
      <c r="S829" s="110" t="s">
        <v>1623</v>
      </c>
    </row>
    <row r="830" spans="1:19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103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1343</v>
      </c>
      <c r="P830" s="109">
        <v>192448</v>
      </c>
      <c r="Q830" s="41"/>
      <c r="R830" s="111"/>
      <c r="S830" s="110" t="s">
        <v>1623</v>
      </c>
    </row>
    <row r="831" spans="1:19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103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1344</v>
      </c>
      <c r="P831" s="109">
        <v>192448</v>
      </c>
      <c r="Q831" s="41"/>
      <c r="R831" s="111"/>
      <c r="S831" s="110" t="s">
        <v>1623</v>
      </c>
    </row>
    <row r="832" spans="1:19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103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1345</v>
      </c>
      <c r="P832" s="109">
        <v>192448</v>
      </c>
      <c r="Q832" s="41"/>
      <c r="R832" s="111"/>
      <c r="S832" s="110" t="s">
        <v>1623</v>
      </c>
    </row>
    <row r="833" spans="1:19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103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1346</v>
      </c>
      <c r="P833" s="109">
        <v>192448</v>
      </c>
      <c r="Q833" s="41"/>
      <c r="R833" s="111"/>
      <c r="S833" s="110" t="s">
        <v>1623</v>
      </c>
    </row>
    <row r="834" spans="1:19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103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1347</v>
      </c>
      <c r="P834" s="109">
        <v>192448</v>
      </c>
      <c r="Q834" s="41"/>
      <c r="R834" s="111"/>
      <c r="S834" s="110" t="s">
        <v>1623</v>
      </c>
    </row>
    <row r="835" spans="1:19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103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1348</v>
      </c>
      <c r="P835" s="109">
        <v>192448</v>
      </c>
      <c r="Q835" s="41"/>
      <c r="R835" s="111"/>
      <c r="S835" s="110" t="s">
        <v>1623</v>
      </c>
    </row>
    <row r="836" spans="1:19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103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1349</v>
      </c>
      <c r="P836" s="109">
        <v>192448</v>
      </c>
      <c r="Q836" s="41"/>
      <c r="R836" s="111"/>
      <c r="S836" s="110" t="s">
        <v>1623</v>
      </c>
    </row>
    <row r="837" spans="1:19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103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1350</v>
      </c>
      <c r="P837" s="109">
        <v>192448</v>
      </c>
      <c r="Q837" s="41"/>
      <c r="R837" s="111"/>
      <c r="S837" s="110" t="s">
        <v>1623</v>
      </c>
    </row>
    <row r="838" spans="1:19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103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1351</v>
      </c>
      <c r="P838" s="109">
        <v>192448</v>
      </c>
      <c r="Q838" s="41"/>
      <c r="R838" s="111"/>
      <c r="S838" s="110" t="s">
        <v>1623</v>
      </c>
    </row>
    <row r="839" spans="1:19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103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1352</v>
      </c>
      <c r="P839" s="109">
        <v>192448</v>
      </c>
      <c r="Q839" s="41"/>
      <c r="R839" s="111"/>
      <c r="S839" s="110" t="s">
        <v>1623</v>
      </c>
    </row>
    <row r="840" spans="1:19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103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1353</v>
      </c>
      <c r="P840" s="109">
        <v>192448</v>
      </c>
      <c r="Q840" s="41"/>
      <c r="R840" s="111"/>
      <c r="S840" s="110" t="s">
        <v>1623</v>
      </c>
    </row>
    <row r="841" spans="1:19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103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1354</v>
      </c>
      <c r="P841" s="109">
        <v>192448</v>
      </c>
      <c r="Q841" s="41"/>
      <c r="R841" s="111"/>
      <c r="S841" s="110" t="s">
        <v>1623</v>
      </c>
    </row>
    <row r="842" spans="1:19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103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1355</v>
      </c>
      <c r="P842" s="109">
        <v>192448</v>
      </c>
      <c r="Q842" s="41"/>
      <c r="R842" s="111"/>
      <c r="S842" s="110" t="s">
        <v>1623</v>
      </c>
    </row>
    <row r="843" spans="1:19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103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1356</v>
      </c>
      <c r="P843" s="109">
        <v>192448</v>
      </c>
      <c r="Q843" s="41"/>
      <c r="R843" s="111"/>
      <c r="S843" s="110" t="s">
        <v>1623</v>
      </c>
    </row>
    <row r="844" spans="1:19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103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1357</v>
      </c>
      <c r="P844" s="109">
        <v>192448</v>
      </c>
      <c r="Q844" s="41"/>
      <c r="R844" s="111"/>
      <c r="S844" s="110" t="s">
        <v>1623</v>
      </c>
    </row>
    <row r="845" spans="1:19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103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1358</v>
      </c>
      <c r="P845" s="109">
        <v>192448</v>
      </c>
      <c r="Q845" s="41"/>
      <c r="R845" s="111"/>
      <c r="S845" s="110" t="s">
        <v>1623</v>
      </c>
    </row>
    <row r="846" spans="1:19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103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1359</v>
      </c>
      <c r="P846" s="109">
        <v>192448</v>
      </c>
      <c r="Q846" s="41"/>
      <c r="R846" s="111"/>
      <c r="S846" s="110" t="s">
        <v>1623</v>
      </c>
    </row>
    <row r="847" spans="1:19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103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1360</v>
      </c>
      <c r="P847" s="109">
        <v>192449</v>
      </c>
      <c r="Q847" s="41"/>
      <c r="R847" s="111"/>
      <c r="S847" s="110" t="s">
        <v>1623</v>
      </c>
    </row>
    <row r="848" spans="1:19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103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1361</v>
      </c>
      <c r="P848" s="109">
        <v>192449</v>
      </c>
      <c r="Q848" s="41"/>
      <c r="R848" s="111"/>
      <c r="S848" s="110" t="s">
        <v>1623</v>
      </c>
    </row>
    <row r="849" spans="1:19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103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1362</v>
      </c>
      <c r="P849" s="109">
        <v>192449</v>
      </c>
      <c r="Q849" s="41"/>
      <c r="R849" s="111"/>
      <c r="S849" s="110" t="s">
        <v>1623</v>
      </c>
    </row>
    <row r="850" spans="1:19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103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1363</v>
      </c>
      <c r="P850" s="109">
        <v>192449</v>
      </c>
      <c r="Q850" s="41"/>
      <c r="R850" s="111"/>
      <c r="S850" s="110" t="s">
        <v>1623</v>
      </c>
    </row>
    <row r="851" spans="1:19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103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1364</v>
      </c>
      <c r="P851" s="109">
        <v>192449</v>
      </c>
      <c r="Q851" s="41"/>
      <c r="R851" s="111"/>
      <c r="S851" s="110" t="s">
        <v>1623</v>
      </c>
    </row>
    <row r="852" spans="1:19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103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1365</v>
      </c>
      <c r="P852" s="109">
        <v>192449</v>
      </c>
      <c r="Q852" s="41"/>
      <c r="R852" s="111"/>
      <c r="S852" s="110" t="s">
        <v>1623</v>
      </c>
    </row>
    <row r="853" spans="1:19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103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1366</v>
      </c>
      <c r="P853" s="109">
        <v>192449</v>
      </c>
      <c r="Q853" s="41"/>
      <c r="R853" s="111"/>
      <c r="S853" s="110" t="s">
        <v>1623</v>
      </c>
    </row>
    <row r="854" spans="1:19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103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1367</v>
      </c>
      <c r="P854" s="109">
        <v>192449</v>
      </c>
      <c r="Q854" s="41"/>
      <c r="R854" s="111"/>
      <c r="S854" s="110" t="s">
        <v>1623</v>
      </c>
    </row>
    <row r="855" spans="1:19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103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1368</v>
      </c>
      <c r="P855" s="109">
        <v>192449</v>
      </c>
      <c r="Q855" s="41"/>
      <c r="R855" s="111"/>
      <c r="S855" s="110" t="s">
        <v>1623</v>
      </c>
    </row>
    <row r="856" spans="1:19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103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1369</v>
      </c>
      <c r="P856" s="109">
        <v>192449</v>
      </c>
      <c r="Q856" s="41"/>
      <c r="R856" s="111"/>
      <c r="S856" s="110" t="s">
        <v>1623</v>
      </c>
    </row>
    <row r="857" spans="1:19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103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1370</v>
      </c>
      <c r="P857" s="109">
        <v>192449</v>
      </c>
      <c r="Q857" s="41"/>
      <c r="R857" s="111"/>
      <c r="S857" s="110" t="s">
        <v>1623</v>
      </c>
    </row>
    <row r="858" spans="1:19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103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1371</v>
      </c>
      <c r="P858" s="109">
        <v>192449</v>
      </c>
      <c r="Q858" s="41"/>
      <c r="R858" s="111"/>
      <c r="S858" s="110" t="s">
        <v>1623</v>
      </c>
    </row>
    <row r="859" spans="1:19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103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1372</v>
      </c>
      <c r="P859" s="109">
        <v>192449</v>
      </c>
      <c r="Q859" s="41"/>
      <c r="R859" s="111"/>
      <c r="S859" s="110" t="s">
        <v>1623</v>
      </c>
    </row>
    <row r="860" spans="1:19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103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1373</v>
      </c>
      <c r="P860" s="109">
        <v>192449</v>
      </c>
      <c r="Q860" s="41"/>
      <c r="R860" s="111"/>
      <c r="S860" s="110" t="s">
        <v>1623</v>
      </c>
    </row>
    <row r="861" spans="1:19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103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1374</v>
      </c>
      <c r="P861" s="109">
        <v>192449</v>
      </c>
      <c r="Q861" s="41"/>
      <c r="R861" s="111"/>
      <c r="S861" s="110" t="s">
        <v>1623</v>
      </c>
    </row>
    <row r="862" spans="1:19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103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1375</v>
      </c>
      <c r="P862" s="109">
        <v>192449</v>
      </c>
      <c r="Q862" s="41"/>
      <c r="R862" s="111"/>
      <c r="S862" s="110" t="s">
        <v>1623</v>
      </c>
    </row>
    <row r="863" spans="1:19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103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1376</v>
      </c>
      <c r="P863" s="109">
        <v>192449</v>
      </c>
      <c r="Q863" s="41"/>
      <c r="R863" s="111"/>
      <c r="S863" s="110" t="s">
        <v>1623</v>
      </c>
    </row>
    <row r="864" spans="1:19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103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1377</v>
      </c>
      <c r="P864" s="109">
        <v>192449</v>
      </c>
      <c r="Q864" s="41"/>
      <c r="R864" s="111"/>
      <c r="S864" s="110" t="s">
        <v>1623</v>
      </c>
    </row>
    <row r="865" spans="1:19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103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1378</v>
      </c>
      <c r="P865" s="109">
        <v>192449</v>
      </c>
      <c r="Q865" s="41"/>
      <c r="R865" s="111"/>
      <c r="S865" s="110" t="s">
        <v>1623</v>
      </c>
    </row>
    <row r="866" spans="1:19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103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1379</v>
      </c>
      <c r="P866" s="109">
        <v>192449</v>
      </c>
      <c r="Q866" s="41"/>
      <c r="R866" s="111"/>
      <c r="S866" s="110" t="s">
        <v>1623</v>
      </c>
    </row>
    <row r="867" spans="1:19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103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1380</v>
      </c>
      <c r="P867" s="109">
        <v>192449</v>
      </c>
      <c r="Q867" s="41"/>
      <c r="R867" s="111"/>
      <c r="S867" s="110" t="s">
        <v>1623</v>
      </c>
    </row>
    <row r="868" spans="1:19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103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1381</v>
      </c>
      <c r="P868" s="109">
        <v>192449</v>
      </c>
      <c r="Q868" s="41"/>
      <c r="R868" s="111"/>
      <c r="S868" s="110" t="s">
        <v>1623</v>
      </c>
    </row>
    <row r="869" spans="1:19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103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1382</v>
      </c>
      <c r="P869" s="109">
        <v>192449</v>
      </c>
      <c r="Q869" s="41"/>
      <c r="R869" s="111"/>
      <c r="S869" s="110" t="s">
        <v>1623</v>
      </c>
    </row>
    <row r="870" spans="1:19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103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1383</v>
      </c>
      <c r="P870" s="109">
        <v>192449</v>
      </c>
      <c r="Q870" s="41"/>
      <c r="R870" s="111"/>
      <c r="S870" s="110" t="s">
        <v>1623</v>
      </c>
    </row>
    <row r="871" spans="1:19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103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1384</v>
      </c>
      <c r="P871" s="109">
        <v>192449</v>
      </c>
      <c r="Q871" s="41"/>
      <c r="R871" s="111"/>
      <c r="S871" s="110" t="s">
        <v>1623</v>
      </c>
    </row>
    <row r="872" spans="1:19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103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1385</v>
      </c>
      <c r="P872" s="109">
        <v>192449</v>
      </c>
      <c r="Q872" s="41"/>
      <c r="R872" s="111"/>
      <c r="S872" s="110" t="s">
        <v>1623</v>
      </c>
    </row>
    <row r="873" spans="1:19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103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1386</v>
      </c>
      <c r="P873" s="109">
        <v>192449</v>
      </c>
      <c r="Q873" s="41"/>
      <c r="R873" s="111"/>
      <c r="S873" s="110" t="s">
        <v>1623</v>
      </c>
    </row>
    <row r="874" spans="1:19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103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1387</v>
      </c>
      <c r="P874" s="109">
        <v>192449</v>
      </c>
      <c r="Q874" s="41"/>
      <c r="R874" s="111"/>
      <c r="S874" s="110" t="s">
        <v>1623</v>
      </c>
    </row>
    <row r="875" spans="1:19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103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1388</v>
      </c>
      <c r="P875" s="109">
        <v>192449</v>
      </c>
      <c r="Q875" s="41"/>
      <c r="R875" s="111"/>
      <c r="S875" s="110" t="s">
        <v>1623</v>
      </c>
    </row>
    <row r="876" spans="1:19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103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1389</v>
      </c>
      <c r="P876" s="109">
        <v>192449</v>
      </c>
      <c r="Q876" s="41"/>
      <c r="R876" s="111"/>
      <c r="S876" s="110" t="s">
        <v>1623</v>
      </c>
    </row>
    <row r="877" spans="1:19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103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1390</v>
      </c>
      <c r="P877" s="109">
        <v>192450</v>
      </c>
      <c r="Q877" s="41"/>
      <c r="R877" s="111"/>
      <c r="S877" s="110" t="s">
        <v>1623</v>
      </c>
    </row>
    <row r="878" spans="1:19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103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1391</v>
      </c>
      <c r="P878" s="109">
        <v>192450</v>
      </c>
      <c r="Q878" s="41"/>
      <c r="R878" s="111"/>
      <c r="S878" s="110" t="s">
        <v>1623</v>
      </c>
    </row>
    <row r="879" spans="1:19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103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1392</v>
      </c>
      <c r="P879" s="109">
        <v>192450</v>
      </c>
      <c r="Q879" s="41"/>
      <c r="R879" s="111"/>
      <c r="S879" s="110" t="s">
        <v>1623</v>
      </c>
    </row>
    <row r="880" spans="1:19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103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1393</v>
      </c>
      <c r="P880" s="109">
        <v>192450</v>
      </c>
      <c r="Q880" s="41"/>
      <c r="R880" s="111"/>
      <c r="S880" s="110" t="s">
        <v>1623</v>
      </c>
    </row>
    <row r="881" spans="1:19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103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1394</v>
      </c>
      <c r="P881" s="109">
        <v>192450</v>
      </c>
      <c r="Q881" s="41"/>
      <c r="R881" s="111"/>
      <c r="S881" s="110" t="s">
        <v>1623</v>
      </c>
    </row>
    <row r="882" spans="1:19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103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1395</v>
      </c>
      <c r="P882" s="109">
        <v>192450</v>
      </c>
      <c r="Q882" s="41"/>
      <c r="R882" s="111"/>
      <c r="S882" s="110" t="s">
        <v>1623</v>
      </c>
    </row>
    <row r="883" spans="1:19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103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1396</v>
      </c>
      <c r="P883" s="109">
        <v>192450</v>
      </c>
      <c r="Q883" s="41"/>
      <c r="R883" s="111"/>
      <c r="S883" s="110" t="s">
        <v>1623</v>
      </c>
    </row>
    <row r="884" spans="1:19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103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1397</v>
      </c>
      <c r="P884" s="109">
        <v>192450</v>
      </c>
      <c r="Q884" s="41"/>
      <c r="R884" s="111"/>
      <c r="S884" s="110" t="s">
        <v>1623</v>
      </c>
    </row>
    <row r="885" spans="1:19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103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1398</v>
      </c>
      <c r="P885" s="109">
        <v>192450</v>
      </c>
      <c r="Q885" s="41"/>
      <c r="R885" s="111"/>
      <c r="S885" s="110" t="s">
        <v>1623</v>
      </c>
    </row>
    <row r="886" spans="1:19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103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1399</v>
      </c>
      <c r="P886" s="109">
        <v>192450</v>
      </c>
      <c r="Q886" s="41"/>
      <c r="R886" s="111"/>
      <c r="S886" s="110" t="s">
        <v>1623</v>
      </c>
    </row>
    <row r="887" spans="1:19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103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1400</v>
      </c>
      <c r="P887" s="109">
        <v>192450</v>
      </c>
      <c r="Q887" s="41"/>
      <c r="R887" s="111"/>
      <c r="S887" s="110" t="s">
        <v>1623</v>
      </c>
    </row>
    <row r="888" spans="1:19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103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1401</v>
      </c>
      <c r="P888" s="109">
        <v>192450</v>
      </c>
      <c r="Q888" s="41"/>
      <c r="R888" s="111"/>
      <c r="S888" s="110" t="s">
        <v>1623</v>
      </c>
    </row>
    <row r="889" spans="1:19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103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1402</v>
      </c>
      <c r="P889" s="109">
        <v>192450</v>
      </c>
      <c r="Q889" s="41"/>
      <c r="R889" s="111"/>
      <c r="S889" s="110" t="s">
        <v>1623</v>
      </c>
    </row>
    <row r="890" spans="1:19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103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1403</v>
      </c>
      <c r="P890" s="109">
        <v>192450</v>
      </c>
      <c r="Q890" s="41"/>
      <c r="R890" s="111"/>
      <c r="S890" s="110" t="s">
        <v>1623</v>
      </c>
    </row>
    <row r="891" spans="1:19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103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1404</v>
      </c>
      <c r="P891" s="109">
        <v>192450</v>
      </c>
      <c r="Q891" s="41"/>
      <c r="R891" s="111"/>
      <c r="S891" s="110" t="s">
        <v>1623</v>
      </c>
    </row>
    <row r="892" spans="1:19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103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1405</v>
      </c>
      <c r="P892" s="109">
        <v>192450</v>
      </c>
      <c r="Q892" s="41"/>
      <c r="R892" s="111"/>
      <c r="S892" s="110" t="s">
        <v>1623</v>
      </c>
    </row>
    <row r="893" spans="1:19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103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1406</v>
      </c>
      <c r="P893" s="109">
        <v>192450</v>
      </c>
      <c r="Q893" s="41"/>
      <c r="R893" s="111"/>
      <c r="S893" s="110" t="s">
        <v>1623</v>
      </c>
    </row>
    <row r="894" spans="1:19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103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1407</v>
      </c>
      <c r="P894" s="109">
        <v>192450</v>
      </c>
      <c r="Q894" s="41"/>
      <c r="R894" s="111"/>
      <c r="S894" s="110" t="s">
        <v>1623</v>
      </c>
    </row>
    <row r="895" spans="1:19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103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1408</v>
      </c>
      <c r="P895" s="109">
        <v>192450</v>
      </c>
      <c r="Q895" s="41"/>
      <c r="R895" s="111"/>
      <c r="S895" s="110" t="s">
        <v>1623</v>
      </c>
    </row>
    <row r="896" spans="1:19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103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1409</v>
      </c>
      <c r="P896" s="109">
        <v>192450</v>
      </c>
      <c r="Q896" s="41"/>
      <c r="R896" s="111"/>
      <c r="S896" s="110" t="s">
        <v>1623</v>
      </c>
    </row>
    <row r="897" spans="1:19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103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1410</v>
      </c>
      <c r="P897" s="109">
        <v>192450</v>
      </c>
      <c r="Q897" s="41"/>
      <c r="R897" s="111"/>
      <c r="S897" s="110" t="s">
        <v>1623</v>
      </c>
    </row>
    <row r="898" spans="1:19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103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1411</v>
      </c>
      <c r="P898" s="109">
        <v>192450</v>
      </c>
      <c r="Q898" s="41"/>
      <c r="R898" s="111"/>
      <c r="S898" s="110" t="s">
        <v>1623</v>
      </c>
    </row>
    <row r="899" spans="1:19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103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1412</v>
      </c>
      <c r="P899" s="109">
        <v>192450</v>
      </c>
      <c r="Q899" s="41"/>
      <c r="R899" s="111"/>
      <c r="S899" s="110" t="s">
        <v>1623</v>
      </c>
    </row>
    <row r="900" spans="1:19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103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1413</v>
      </c>
      <c r="P900" s="109">
        <v>192450</v>
      </c>
      <c r="Q900" s="41"/>
      <c r="R900" s="111"/>
      <c r="S900" s="110" t="s">
        <v>1623</v>
      </c>
    </row>
    <row r="901" spans="1:19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103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1414</v>
      </c>
      <c r="P901" s="109">
        <v>192450</v>
      </c>
      <c r="Q901" s="41"/>
      <c r="R901" s="111"/>
      <c r="S901" s="110" t="s">
        <v>1623</v>
      </c>
    </row>
    <row r="902" spans="1:19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103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1415</v>
      </c>
      <c r="P902" s="109">
        <v>192450</v>
      </c>
      <c r="Q902" s="41"/>
      <c r="R902" s="111"/>
      <c r="S902" s="110" t="s">
        <v>1623</v>
      </c>
    </row>
    <row r="903" spans="1:19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103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1416</v>
      </c>
      <c r="P903" s="109">
        <v>192450</v>
      </c>
      <c r="Q903" s="41"/>
      <c r="R903" s="111"/>
      <c r="S903" s="110" t="s">
        <v>1623</v>
      </c>
    </row>
    <row r="904" spans="1:19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103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1417</v>
      </c>
      <c r="P904" s="109">
        <v>192450</v>
      </c>
      <c r="Q904" s="41"/>
      <c r="R904" s="111"/>
      <c r="S904" s="110" t="s">
        <v>1623</v>
      </c>
    </row>
    <row r="905" spans="1:19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103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1418</v>
      </c>
      <c r="P905" s="109">
        <v>192450</v>
      </c>
      <c r="Q905" s="41"/>
      <c r="R905" s="111"/>
      <c r="S905" s="110" t="s">
        <v>1623</v>
      </c>
    </row>
    <row r="906" spans="1:19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103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1419</v>
      </c>
      <c r="P906" s="109">
        <v>192450</v>
      </c>
      <c r="Q906" s="41"/>
      <c r="R906" s="111"/>
      <c r="S906" s="110" t="s">
        <v>1623</v>
      </c>
    </row>
    <row r="907" spans="1:19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103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1420</v>
      </c>
      <c r="P907" s="109">
        <v>192450</v>
      </c>
      <c r="Q907" s="41"/>
      <c r="R907" s="111"/>
      <c r="S907" s="110" t="s">
        <v>1623</v>
      </c>
    </row>
    <row r="908" spans="1:19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103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1421</v>
      </c>
      <c r="P908" s="109">
        <v>192450</v>
      </c>
      <c r="Q908" s="41"/>
      <c r="R908" s="111"/>
      <c r="S908" s="110" t="s">
        <v>1623</v>
      </c>
    </row>
    <row r="909" spans="1:19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103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1422</v>
      </c>
      <c r="P909" s="109">
        <v>192450</v>
      </c>
      <c r="Q909" s="41"/>
      <c r="R909" s="111"/>
      <c r="S909" s="110" t="s">
        <v>1623</v>
      </c>
    </row>
    <row r="910" spans="1:19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103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1423</v>
      </c>
      <c r="P910" s="109">
        <v>192450</v>
      </c>
      <c r="Q910" s="41"/>
      <c r="R910" s="111"/>
      <c r="S910" s="110" t="s">
        <v>1623</v>
      </c>
    </row>
    <row r="911" spans="1:19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103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1424</v>
      </c>
      <c r="P911" s="109">
        <v>192450</v>
      </c>
      <c r="Q911" s="41"/>
      <c r="R911" s="111"/>
      <c r="S911" s="110" t="s">
        <v>1623</v>
      </c>
    </row>
    <row r="912" spans="1:19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103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1425</v>
      </c>
      <c r="P912" s="109">
        <v>192450</v>
      </c>
      <c r="Q912" s="41"/>
      <c r="R912" s="111"/>
      <c r="S912" s="110" t="s">
        <v>1623</v>
      </c>
    </row>
    <row r="913" spans="1:19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103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1426</v>
      </c>
      <c r="P913" s="109">
        <v>192450</v>
      </c>
      <c r="Q913" s="41"/>
      <c r="R913" s="111"/>
      <c r="S913" s="110" t="s">
        <v>1623</v>
      </c>
    </row>
    <row r="914" spans="1:19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103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1427</v>
      </c>
      <c r="P914" s="109">
        <v>192450</v>
      </c>
      <c r="Q914" s="41"/>
      <c r="R914" s="111"/>
      <c r="S914" s="110" t="s">
        <v>1623</v>
      </c>
    </row>
    <row r="915" spans="1:19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103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1428</v>
      </c>
      <c r="P915" s="109">
        <v>192450</v>
      </c>
      <c r="Q915" s="41"/>
      <c r="R915" s="111"/>
      <c r="S915" s="110" t="s">
        <v>1623</v>
      </c>
    </row>
    <row r="916" spans="1:19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103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1429</v>
      </c>
      <c r="P916" s="109">
        <v>192450</v>
      </c>
      <c r="Q916" s="41"/>
      <c r="R916" s="111"/>
      <c r="S916" s="110" t="s">
        <v>1623</v>
      </c>
    </row>
    <row r="917" spans="1:19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103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1430</v>
      </c>
      <c r="P917" s="109">
        <v>192458</v>
      </c>
      <c r="Q917" s="41"/>
      <c r="R917" s="111"/>
      <c r="S917" s="110" t="s">
        <v>1623</v>
      </c>
    </row>
    <row r="918" spans="1:19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103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1431</v>
      </c>
      <c r="P918" s="109">
        <v>192458</v>
      </c>
      <c r="Q918" s="41"/>
      <c r="R918" s="111"/>
      <c r="S918" s="110" t="s">
        <v>1623</v>
      </c>
    </row>
    <row r="919" spans="1:19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103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1432</v>
      </c>
      <c r="P919" s="109">
        <v>192458</v>
      </c>
      <c r="Q919" s="41"/>
      <c r="R919" s="111"/>
      <c r="S919" s="110" t="s">
        <v>1623</v>
      </c>
    </row>
    <row r="920" spans="1:19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103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1433</v>
      </c>
      <c r="P920" s="109">
        <v>192458</v>
      </c>
      <c r="Q920" s="41"/>
      <c r="R920" s="111"/>
      <c r="S920" s="110" t="s">
        <v>1623</v>
      </c>
    </row>
    <row r="921" spans="1:19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103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1434</v>
      </c>
      <c r="P921" s="109">
        <v>192458</v>
      </c>
      <c r="Q921" s="41"/>
      <c r="R921" s="111"/>
      <c r="S921" s="110" t="s">
        <v>1623</v>
      </c>
    </row>
    <row r="922" spans="1:19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103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1435</v>
      </c>
      <c r="P922" s="109">
        <v>192458</v>
      </c>
      <c r="Q922" s="41"/>
      <c r="R922" s="111"/>
      <c r="S922" s="110" t="s">
        <v>1623</v>
      </c>
    </row>
    <row r="923" spans="1:19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103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1436</v>
      </c>
      <c r="P923" s="109">
        <v>192458</v>
      </c>
      <c r="Q923" s="41"/>
      <c r="R923" s="111"/>
      <c r="S923" s="110" t="s">
        <v>1623</v>
      </c>
    </row>
    <row r="924" spans="1:19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103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1437</v>
      </c>
      <c r="P924" s="109">
        <v>192458</v>
      </c>
      <c r="Q924" s="41"/>
      <c r="R924" s="111"/>
      <c r="S924" s="110" t="s">
        <v>1623</v>
      </c>
    </row>
    <row r="925" spans="1:19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103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1438</v>
      </c>
      <c r="P925" s="109">
        <v>192458</v>
      </c>
      <c r="Q925" s="41"/>
      <c r="R925" s="111"/>
      <c r="S925" s="110" t="s">
        <v>1623</v>
      </c>
    </row>
    <row r="926" spans="1:19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103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1439</v>
      </c>
      <c r="P926" s="109">
        <v>192458</v>
      </c>
      <c r="Q926" s="41"/>
      <c r="R926" s="111"/>
      <c r="S926" s="110" t="s">
        <v>1623</v>
      </c>
    </row>
    <row r="927" spans="1:19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103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1440</v>
      </c>
      <c r="P927" s="109">
        <v>192458</v>
      </c>
      <c r="Q927" s="41"/>
      <c r="R927" s="111"/>
      <c r="S927" s="110" t="s">
        <v>1623</v>
      </c>
    </row>
    <row r="928" spans="1:19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103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1441</v>
      </c>
      <c r="P928" s="109">
        <v>192458</v>
      </c>
      <c r="Q928" s="41"/>
      <c r="R928" s="111"/>
      <c r="S928" s="110" t="s">
        <v>1623</v>
      </c>
    </row>
    <row r="929" spans="1:19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103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1442</v>
      </c>
      <c r="P929" s="109">
        <v>192458</v>
      </c>
      <c r="Q929" s="41"/>
      <c r="R929" s="111"/>
      <c r="S929" s="110" t="s">
        <v>1623</v>
      </c>
    </row>
    <row r="930" spans="1:19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103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1443</v>
      </c>
      <c r="P930" s="109">
        <v>192458</v>
      </c>
      <c r="Q930" s="41"/>
      <c r="R930" s="111"/>
      <c r="S930" s="110" t="s">
        <v>1623</v>
      </c>
    </row>
    <row r="931" spans="1:19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103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1444</v>
      </c>
      <c r="P931" s="109">
        <v>192458</v>
      </c>
      <c r="Q931" s="41"/>
      <c r="R931" s="111"/>
      <c r="S931" s="110" t="s">
        <v>1623</v>
      </c>
    </row>
    <row r="932" spans="1:19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103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1445</v>
      </c>
      <c r="P932" s="109">
        <v>192458</v>
      </c>
      <c r="Q932" s="41"/>
      <c r="R932" s="111"/>
      <c r="S932" s="110" t="s">
        <v>1623</v>
      </c>
    </row>
    <row r="933" spans="1:19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103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1446</v>
      </c>
      <c r="P933" s="109">
        <v>192458</v>
      </c>
      <c r="Q933" s="41"/>
      <c r="R933" s="111"/>
      <c r="S933" s="110" t="s">
        <v>1623</v>
      </c>
    </row>
    <row r="934" spans="1:19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103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1447</v>
      </c>
      <c r="P934" s="109">
        <v>192458</v>
      </c>
      <c r="Q934" s="41"/>
      <c r="R934" s="111"/>
      <c r="S934" s="110" t="s">
        <v>1623</v>
      </c>
    </row>
    <row r="935" spans="1:19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103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1448</v>
      </c>
      <c r="P935" s="109">
        <v>192458</v>
      </c>
      <c r="Q935" s="41"/>
      <c r="R935" s="111"/>
      <c r="S935" s="110" t="s">
        <v>1623</v>
      </c>
    </row>
    <row r="936" spans="1:19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103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1449</v>
      </c>
      <c r="P936" s="109">
        <v>192458</v>
      </c>
      <c r="Q936" s="41"/>
      <c r="R936" s="111"/>
      <c r="S936" s="110" t="s">
        <v>1623</v>
      </c>
    </row>
    <row r="937" spans="1:19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103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1450</v>
      </c>
      <c r="P937" s="109">
        <v>192458</v>
      </c>
      <c r="Q937" s="41"/>
      <c r="R937" s="111"/>
      <c r="S937" s="110" t="s">
        <v>1623</v>
      </c>
    </row>
    <row r="938" spans="1:19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103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1451</v>
      </c>
      <c r="P938" s="109">
        <v>192458</v>
      </c>
      <c r="Q938" s="41"/>
      <c r="R938" s="111"/>
      <c r="S938" s="110" t="s">
        <v>1623</v>
      </c>
    </row>
    <row r="939" spans="1:19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103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1452</v>
      </c>
      <c r="P939" s="109">
        <v>192458</v>
      </c>
      <c r="Q939" s="41"/>
      <c r="R939" s="111"/>
      <c r="S939" s="110" t="s">
        <v>1623</v>
      </c>
    </row>
    <row r="940" spans="1:19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103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1453</v>
      </c>
      <c r="P940" s="109">
        <v>192458</v>
      </c>
      <c r="Q940" s="41"/>
      <c r="R940" s="111"/>
      <c r="S940" s="110" t="s">
        <v>1623</v>
      </c>
    </row>
    <row r="941" spans="1:19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103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1454</v>
      </c>
      <c r="P941" s="109">
        <v>192458</v>
      </c>
      <c r="Q941" s="41"/>
      <c r="R941" s="111"/>
      <c r="S941" s="110" t="s">
        <v>1623</v>
      </c>
    </row>
    <row r="942" spans="1:19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103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1455</v>
      </c>
      <c r="P942" s="109">
        <v>192458</v>
      </c>
      <c r="Q942" s="41"/>
      <c r="R942" s="111"/>
      <c r="S942" s="110" t="s">
        <v>1623</v>
      </c>
    </row>
    <row r="943" spans="1:19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103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1456</v>
      </c>
      <c r="P943" s="109">
        <v>192458</v>
      </c>
      <c r="Q943" s="41"/>
      <c r="R943" s="111"/>
      <c r="S943" s="110" t="s">
        <v>1623</v>
      </c>
    </row>
    <row r="944" spans="1:19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103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1457</v>
      </c>
      <c r="P944" s="109">
        <v>192458</v>
      </c>
      <c r="Q944" s="41"/>
      <c r="R944" s="111"/>
      <c r="S944" s="110" t="s">
        <v>1623</v>
      </c>
    </row>
    <row r="945" spans="1:19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103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1458</v>
      </c>
      <c r="P945" s="109">
        <v>192458</v>
      </c>
      <c r="Q945" s="41"/>
      <c r="R945" s="111"/>
      <c r="S945" s="110" t="s">
        <v>1623</v>
      </c>
    </row>
    <row r="946" spans="1:19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103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1459</v>
      </c>
      <c r="P946" s="109">
        <v>192458</v>
      </c>
      <c r="Q946" s="41"/>
      <c r="R946" s="111"/>
      <c r="S946" s="110" t="s">
        <v>1623</v>
      </c>
    </row>
    <row r="947" spans="1:19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103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1460</v>
      </c>
      <c r="P947" s="109">
        <v>192471</v>
      </c>
      <c r="Q947" s="41"/>
      <c r="R947" s="111"/>
      <c r="S947" s="110" t="s">
        <v>1623</v>
      </c>
    </row>
    <row r="948" spans="1:19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103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1461</v>
      </c>
      <c r="P948" s="109">
        <v>192471</v>
      </c>
      <c r="Q948" s="41"/>
      <c r="R948" s="111"/>
      <c r="S948" s="110" t="s">
        <v>1623</v>
      </c>
    </row>
    <row r="949" spans="1:19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103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1462</v>
      </c>
      <c r="P949" s="109">
        <v>192471</v>
      </c>
      <c r="Q949" s="41"/>
      <c r="R949" s="111"/>
      <c r="S949" s="110" t="s">
        <v>1623</v>
      </c>
    </row>
    <row r="950" spans="1:19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103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1463</v>
      </c>
      <c r="P950" s="109">
        <v>192471</v>
      </c>
      <c r="Q950" s="41"/>
      <c r="R950" s="111"/>
      <c r="S950" s="110" t="s">
        <v>1623</v>
      </c>
    </row>
    <row r="951" spans="1:19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103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1464</v>
      </c>
      <c r="P951" s="109">
        <v>192471</v>
      </c>
      <c r="Q951" s="41"/>
      <c r="R951" s="111"/>
      <c r="S951" s="110" t="s">
        <v>1623</v>
      </c>
    </row>
    <row r="952" spans="1:19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103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1465</v>
      </c>
      <c r="P952" s="109">
        <v>192471</v>
      </c>
      <c r="Q952" s="41"/>
      <c r="R952" s="111"/>
      <c r="S952" s="110" t="s">
        <v>1623</v>
      </c>
    </row>
    <row r="953" spans="1:19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103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1466</v>
      </c>
      <c r="P953" s="109">
        <v>192471</v>
      </c>
      <c r="Q953" s="41"/>
      <c r="R953" s="111"/>
      <c r="S953" s="110" t="s">
        <v>1623</v>
      </c>
    </row>
    <row r="954" spans="1:19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103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1467</v>
      </c>
      <c r="P954" s="109">
        <v>192471</v>
      </c>
      <c r="Q954" s="41"/>
      <c r="R954" s="111"/>
      <c r="S954" s="110" t="s">
        <v>1623</v>
      </c>
    </row>
    <row r="955" spans="1:19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103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1468</v>
      </c>
      <c r="P955" s="109">
        <v>192471</v>
      </c>
      <c r="Q955" s="41"/>
      <c r="R955" s="111"/>
      <c r="S955" s="110" t="s">
        <v>1623</v>
      </c>
    </row>
    <row r="956" spans="1:19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103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1469</v>
      </c>
      <c r="P956" s="109">
        <v>192471</v>
      </c>
      <c r="Q956" s="41"/>
      <c r="R956" s="111"/>
      <c r="S956" s="110" t="s">
        <v>1623</v>
      </c>
    </row>
    <row r="957" spans="1:19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103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1470</v>
      </c>
      <c r="P957" s="109">
        <v>192471</v>
      </c>
      <c r="Q957" s="41"/>
      <c r="R957" s="111"/>
      <c r="S957" s="110" t="s">
        <v>1623</v>
      </c>
    </row>
    <row r="958" spans="1:19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103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1471</v>
      </c>
      <c r="P958" s="109">
        <v>192471</v>
      </c>
      <c r="Q958" s="41"/>
      <c r="R958" s="111"/>
      <c r="S958" s="110" t="s">
        <v>1623</v>
      </c>
    </row>
    <row r="959" spans="1:19">
      <c r="A959" s="105">
        <v>958</v>
      </c>
      <c r="B959" s="41">
        <v>12000000</v>
      </c>
      <c r="C959" s="41">
        <v>2.8999999999999998E-3</v>
      </c>
      <c r="D959" s="41">
        <v>3.3635999999999999</v>
      </c>
      <c r="E959" s="41">
        <v>30</v>
      </c>
      <c r="F959" s="41">
        <v>0</v>
      </c>
      <c r="G959" s="41" t="s">
        <v>103</v>
      </c>
      <c r="H959" s="41">
        <v>0</v>
      </c>
      <c r="I959" s="41">
        <v>1</v>
      </c>
      <c r="J959" s="108">
        <f>POWER(POWER(Table2[[#This Row],[mv]],4)/10,0.25)</f>
        <v>1.6307898430520129E-3</v>
      </c>
      <c r="K959" s="41">
        <v>0</v>
      </c>
      <c r="L959" s="41">
        <v>55</v>
      </c>
      <c r="M959" s="41">
        <v>-1</v>
      </c>
      <c r="N959" s="41">
        <v>4</v>
      </c>
      <c r="O959" s="111" t="s">
        <v>1475</v>
      </c>
      <c r="P959" s="109">
        <v>192471</v>
      </c>
      <c r="Q959" s="41"/>
      <c r="R959" s="111"/>
      <c r="S959" s="110" t="s">
        <v>1623</v>
      </c>
    </row>
    <row r="960" spans="1:19">
      <c r="A960" s="105">
        <v>959</v>
      </c>
      <c r="B960" s="41">
        <v>12000000</v>
      </c>
      <c r="C960" s="41">
        <v>2.8999999999999998E-3</v>
      </c>
      <c r="D960" s="41">
        <v>3.6680000000000001</v>
      </c>
      <c r="E960" s="41">
        <v>30</v>
      </c>
      <c r="F960" s="41">
        <v>0</v>
      </c>
      <c r="G960" s="41" t="s">
        <v>103</v>
      </c>
      <c r="H960" s="41">
        <v>0</v>
      </c>
      <c r="I960" s="41">
        <v>1</v>
      </c>
      <c r="J960" s="108">
        <f>POWER(POWER(Table2[[#This Row],[mv]],4)/10,0.25)</f>
        <v>1.6307898430520129E-3</v>
      </c>
      <c r="K960" s="41">
        <v>0</v>
      </c>
      <c r="L960" s="41">
        <v>55</v>
      </c>
      <c r="M960" s="41">
        <v>-1</v>
      </c>
      <c r="N960" s="41">
        <v>4</v>
      </c>
      <c r="O960" s="111" t="s">
        <v>1476</v>
      </c>
      <c r="P960" s="109">
        <v>192471</v>
      </c>
      <c r="Q960" s="41"/>
      <c r="R960" s="111"/>
      <c r="S960" s="110" t="s">
        <v>1623</v>
      </c>
    </row>
    <row r="961" spans="1:19">
      <c r="A961" s="105">
        <v>960</v>
      </c>
      <c r="B961" s="41">
        <v>12000000</v>
      </c>
      <c r="C961" s="41">
        <v>2.8999999999999998E-3</v>
      </c>
      <c r="D961" s="41">
        <v>4</v>
      </c>
      <c r="E961" s="41">
        <v>30</v>
      </c>
      <c r="F961" s="41">
        <v>0</v>
      </c>
      <c r="G961" s="41" t="s">
        <v>103</v>
      </c>
      <c r="H961" s="41">
        <v>0</v>
      </c>
      <c r="I961" s="41">
        <v>1</v>
      </c>
      <c r="J961" s="108">
        <f>POWER(POWER(Table2[[#This Row],[mv]],4)/10,0.25)</f>
        <v>1.6307898430520129E-3</v>
      </c>
      <c r="K961" s="41">
        <v>0</v>
      </c>
      <c r="L961" s="41">
        <v>55</v>
      </c>
      <c r="M961" s="41">
        <v>-1</v>
      </c>
      <c r="N961" s="41">
        <v>4</v>
      </c>
      <c r="O961" s="111" t="s">
        <v>1477</v>
      </c>
      <c r="P961" s="109">
        <v>192471</v>
      </c>
      <c r="Q961" s="41"/>
      <c r="R961" s="111"/>
      <c r="S961" s="110" t="s">
        <v>1623</v>
      </c>
    </row>
    <row r="962" spans="1:19">
      <c r="A962" s="105">
        <v>961</v>
      </c>
      <c r="B962" s="41">
        <v>12000000</v>
      </c>
      <c r="C962" s="41">
        <v>2.8999999999999998E-3</v>
      </c>
      <c r="D962" s="41">
        <v>4.3620000000000001</v>
      </c>
      <c r="E962" s="41">
        <v>30</v>
      </c>
      <c r="F962" s="41">
        <v>0</v>
      </c>
      <c r="G962" s="41" t="s">
        <v>103</v>
      </c>
      <c r="H962" s="41">
        <v>0</v>
      </c>
      <c r="I962" s="41">
        <v>1</v>
      </c>
      <c r="J962" s="108">
        <f>POWER(POWER(Table2[[#This Row],[mv]],4)/10,0.25)</f>
        <v>1.6307898430520129E-3</v>
      </c>
      <c r="K962" s="41">
        <v>0</v>
      </c>
      <c r="L962" s="41">
        <v>55</v>
      </c>
      <c r="M962" s="41">
        <v>-1</v>
      </c>
      <c r="N962" s="41">
        <v>4</v>
      </c>
      <c r="O962" s="111" t="s">
        <v>1478</v>
      </c>
      <c r="P962" s="109">
        <v>192471</v>
      </c>
      <c r="Q962" s="41"/>
      <c r="R962" s="111"/>
      <c r="S962" s="110" t="s">
        <v>1623</v>
      </c>
    </row>
    <row r="963" spans="1:19">
      <c r="A963" s="105">
        <v>962</v>
      </c>
      <c r="B963" s="41">
        <v>12000000</v>
      </c>
      <c r="C963" s="41">
        <v>2.8999999999999998E-3</v>
      </c>
      <c r="D963" s="41">
        <v>4.7568000000000001</v>
      </c>
      <c r="E963" s="41">
        <v>30</v>
      </c>
      <c r="F963" s="41">
        <v>0</v>
      </c>
      <c r="G963" s="41" t="s">
        <v>103</v>
      </c>
      <c r="H963" s="41">
        <v>0</v>
      </c>
      <c r="I963" s="41">
        <v>1</v>
      </c>
      <c r="J963" s="108">
        <f>POWER(POWER(Table2[[#This Row],[mv]],4)/10,0.25)</f>
        <v>1.6307898430520129E-3</v>
      </c>
      <c r="K963" s="41">
        <v>0</v>
      </c>
      <c r="L963" s="41">
        <v>55</v>
      </c>
      <c r="M963" s="41">
        <v>-1</v>
      </c>
      <c r="N963" s="41">
        <v>4</v>
      </c>
      <c r="O963" s="111" t="s">
        <v>1479</v>
      </c>
      <c r="P963" s="109">
        <v>192471</v>
      </c>
      <c r="Q963" s="41"/>
      <c r="R963" s="111"/>
      <c r="S963" s="110" t="s">
        <v>1623</v>
      </c>
    </row>
    <row r="964" spans="1:19">
      <c r="A964" s="105">
        <v>963</v>
      </c>
      <c r="B964" s="41">
        <v>12000000</v>
      </c>
      <c r="C964" s="41">
        <v>2.8999999999999998E-3</v>
      </c>
      <c r="D964" s="41">
        <v>5.1874000000000002</v>
      </c>
      <c r="E964" s="41">
        <v>30</v>
      </c>
      <c r="F964" s="41">
        <v>0</v>
      </c>
      <c r="G964" s="41" t="s">
        <v>103</v>
      </c>
      <c r="H964" s="41">
        <v>0</v>
      </c>
      <c r="I964" s="41">
        <v>1</v>
      </c>
      <c r="J964" s="108">
        <f>POWER(POWER(Table2[[#This Row],[mv]],4)/10,0.25)</f>
        <v>1.6307898430520129E-3</v>
      </c>
      <c r="K964" s="41">
        <v>0</v>
      </c>
      <c r="L964" s="41">
        <v>55</v>
      </c>
      <c r="M964" s="41">
        <v>-1</v>
      </c>
      <c r="N964" s="41">
        <v>4</v>
      </c>
      <c r="O964" s="111" t="s">
        <v>1480</v>
      </c>
      <c r="P964" s="109">
        <v>192471</v>
      </c>
      <c r="Q964" s="41"/>
      <c r="R964" s="111"/>
      <c r="S964" s="110" t="s">
        <v>1623</v>
      </c>
    </row>
    <row r="965" spans="1:19">
      <c r="A965" s="105">
        <v>964</v>
      </c>
      <c r="B965" s="41">
        <v>12000000</v>
      </c>
      <c r="C965" s="41">
        <v>2.8999999999999998E-3</v>
      </c>
      <c r="D965" s="41">
        <v>5.6569000000000003</v>
      </c>
      <c r="E965" s="41">
        <v>30</v>
      </c>
      <c r="F965" s="41">
        <v>0</v>
      </c>
      <c r="G965" s="41" t="s">
        <v>103</v>
      </c>
      <c r="H965" s="41">
        <v>0</v>
      </c>
      <c r="I965" s="41">
        <v>1</v>
      </c>
      <c r="J965" s="108">
        <f>POWER(POWER(Table2[[#This Row],[mv]],4)/10,0.25)</f>
        <v>1.6307898430520129E-3</v>
      </c>
      <c r="K965" s="41">
        <v>0</v>
      </c>
      <c r="L965" s="41">
        <v>55</v>
      </c>
      <c r="M965" s="41">
        <v>-1</v>
      </c>
      <c r="N965" s="41">
        <v>4</v>
      </c>
      <c r="O965" s="111" t="s">
        <v>1481</v>
      </c>
      <c r="P965" s="109">
        <v>192471</v>
      </c>
      <c r="Q965" s="41"/>
      <c r="R965" s="111"/>
      <c r="S965" s="110" t="s">
        <v>1623</v>
      </c>
    </row>
    <row r="966" spans="1:19">
      <c r="A966" s="105">
        <v>965</v>
      </c>
      <c r="B966" s="41">
        <v>12000000</v>
      </c>
      <c r="C966" s="41">
        <v>2.8999999999999998E-3</v>
      </c>
      <c r="D966" s="41">
        <v>6.1688000000000001</v>
      </c>
      <c r="E966" s="41">
        <v>30</v>
      </c>
      <c r="F966" s="41">
        <v>0</v>
      </c>
      <c r="G966" s="41" t="s">
        <v>103</v>
      </c>
      <c r="H966" s="41">
        <v>0</v>
      </c>
      <c r="I966" s="41">
        <v>1</v>
      </c>
      <c r="J966" s="108">
        <f>POWER(POWER(Table2[[#This Row],[mv]],4)/10,0.25)</f>
        <v>1.6307898430520129E-3</v>
      </c>
      <c r="K966" s="41">
        <v>0</v>
      </c>
      <c r="L966" s="41">
        <v>55</v>
      </c>
      <c r="M966" s="41">
        <v>-1</v>
      </c>
      <c r="N966" s="41">
        <v>4</v>
      </c>
      <c r="O966" s="111" t="s">
        <v>1482</v>
      </c>
      <c r="P966" s="109">
        <v>192471</v>
      </c>
      <c r="Q966" s="41"/>
      <c r="R966" s="111"/>
      <c r="S966" s="110" t="s">
        <v>1623</v>
      </c>
    </row>
    <row r="967" spans="1:19">
      <c r="A967" s="105">
        <v>966</v>
      </c>
      <c r="B967" s="41">
        <v>12000000</v>
      </c>
      <c r="C967" s="41">
        <v>2.8999999999999998E-3</v>
      </c>
      <c r="D967" s="41">
        <v>6.7271999999999998</v>
      </c>
      <c r="E967" s="41">
        <v>30</v>
      </c>
      <c r="F967" s="41">
        <v>0</v>
      </c>
      <c r="G967" s="41" t="s">
        <v>103</v>
      </c>
      <c r="H967" s="41">
        <v>0</v>
      </c>
      <c r="I967" s="41">
        <v>1</v>
      </c>
      <c r="J967" s="108">
        <f>POWER(POWER(Table2[[#This Row],[mv]],4)/10,0.25)</f>
        <v>1.6307898430520129E-3</v>
      </c>
      <c r="K967" s="41">
        <v>0</v>
      </c>
      <c r="L967" s="41">
        <v>55</v>
      </c>
      <c r="M967" s="41">
        <v>-1</v>
      </c>
      <c r="N967" s="41">
        <v>4</v>
      </c>
      <c r="O967" s="111" t="s">
        <v>1483</v>
      </c>
      <c r="P967" s="109">
        <v>192471</v>
      </c>
      <c r="Q967" s="41"/>
      <c r="R967" s="111"/>
      <c r="S967" s="110" t="s">
        <v>1623</v>
      </c>
    </row>
    <row r="968" spans="1:19">
      <c r="A968" s="105">
        <v>967</v>
      </c>
      <c r="B968" s="41">
        <v>12000000</v>
      </c>
      <c r="C968" s="41">
        <v>2.8999999999999998E-3</v>
      </c>
      <c r="D968" s="41">
        <v>7.3360000000000003</v>
      </c>
      <c r="E968" s="41">
        <v>30</v>
      </c>
      <c r="F968" s="41">
        <v>0</v>
      </c>
      <c r="G968" s="41" t="s">
        <v>103</v>
      </c>
      <c r="H968" s="41">
        <v>0</v>
      </c>
      <c r="I968" s="41">
        <v>1</v>
      </c>
      <c r="J968" s="108">
        <f>POWER(POWER(Table2[[#This Row],[mv]],4)/10,0.25)</f>
        <v>1.6307898430520129E-3</v>
      </c>
      <c r="K968" s="41">
        <v>0</v>
      </c>
      <c r="L968" s="41">
        <v>55</v>
      </c>
      <c r="M968" s="41">
        <v>-1</v>
      </c>
      <c r="N968" s="41">
        <v>4</v>
      </c>
      <c r="O968" s="111" t="s">
        <v>1484</v>
      </c>
      <c r="P968" s="109">
        <v>192471</v>
      </c>
      <c r="Q968" s="41"/>
      <c r="R968" s="111"/>
      <c r="S968" s="110" t="s">
        <v>1623</v>
      </c>
    </row>
    <row r="969" spans="1:19">
      <c r="A969" s="105">
        <v>968</v>
      </c>
      <c r="B969" s="41">
        <v>12000000</v>
      </c>
      <c r="C969" s="41">
        <v>2.8999999999999998E-3</v>
      </c>
      <c r="D969" s="41">
        <v>8</v>
      </c>
      <c r="E969" s="41">
        <v>30</v>
      </c>
      <c r="F969" s="41">
        <v>0</v>
      </c>
      <c r="G969" s="41" t="s">
        <v>103</v>
      </c>
      <c r="H969" s="41">
        <v>0</v>
      </c>
      <c r="I969" s="41">
        <v>1</v>
      </c>
      <c r="J969" s="108">
        <f>POWER(POWER(Table2[[#This Row],[mv]],4)/10,0.25)</f>
        <v>1.6307898430520129E-3</v>
      </c>
      <c r="K969" s="41">
        <v>0</v>
      </c>
      <c r="L969" s="41">
        <v>55</v>
      </c>
      <c r="M969" s="41">
        <v>-1</v>
      </c>
      <c r="N969" s="41">
        <v>4</v>
      </c>
      <c r="O969" s="111" t="s">
        <v>1485</v>
      </c>
      <c r="P969" s="109">
        <v>192471</v>
      </c>
      <c r="Q969" s="41"/>
      <c r="R969" s="111"/>
      <c r="S969" s="110" t="s">
        <v>1623</v>
      </c>
    </row>
    <row r="970" spans="1:19">
      <c r="A970" s="105">
        <v>969</v>
      </c>
      <c r="B970" s="41">
        <v>12000000</v>
      </c>
      <c r="C970" s="41">
        <v>2.8999999999999998E-3</v>
      </c>
      <c r="D970" s="41">
        <v>8.7241</v>
      </c>
      <c r="E970" s="41">
        <v>30</v>
      </c>
      <c r="F970" s="41">
        <v>0</v>
      </c>
      <c r="G970" s="41" t="s">
        <v>103</v>
      </c>
      <c r="H970" s="41">
        <v>0</v>
      </c>
      <c r="I970" s="41">
        <v>1</v>
      </c>
      <c r="J970" s="108">
        <f>POWER(POWER(Table2[[#This Row],[mv]],4)/10,0.25)</f>
        <v>1.6307898430520129E-3</v>
      </c>
      <c r="K970" s="41">
        <v>0</v>
      </c>
      <c r="L970" s="41">
        <v>55</v>
      </c>
      <c r="M970" s="41">
        <v>-1</v>
      </c>
      <c r="N970" s="41">
        <v>4</v>
      </c>
      <c r="O970" s="111" t="s">
        <v>1486</v>
      </c>
      <c r="P970" s="109">
        <v>192471</v>
      </c>
      <c r="Q970" s="41"/>
      <c r="R970" s="111"/>
      <c r="S970" s="110" t="s">
        <v>1623</v>
      </c>
    </row>
    <row r="971" spans="1:19">
      <c r="A971" s="105">
        <v>970</v>
      </c>
      <c r="B971" s="41">
        <v>12000000</v>
      </c>
      <c r="C971" s="41">
        <v>2.8999999999999998E-3</v>
      </c>
      <c r="D971" s="41">
        <v>9.5137</v>
      </c>
      <c r="E971" s="41">
        <v>30</v>
      </c>
      <c r="F971" s="41">
        <v>0</v>
      </c>
      <c r="G971" s="41" t="s">
        <v>103</v>
      </c>
      <c r="H971" s="41">
        <v>0</v>
      </c>
      <c r="I971" s="41">
        <v>1</v>
      </c>
      <c r="J971" s="108">
        <f>POWER(POWER(Table2[[#This Row],[mv]],4)/10,0.25)</f>
        <v>1.6307898430520129E-3</v>
      </c>
      <c r="K971" s="41">
        <v>0</v>
      </c>
      <c r="L971" s="41">
        <v>55</v>
      </c>
      <c r="M971" s="41">
        <v>-1</v>
      </c>
      <c r="N971" s="41">
        <v>4</v>
      </c>
      <c r="O971" s="111" t="s">
        <v>1487</v>
      </c>
      <c r="P971" s="109">
        <v>192471</v>
      </c>
      <c r="Q971" s="41"/>
      <c r="R971" s="111"/>
      <c r="S971" s="110" t="s">
        <v>1623</v>
      </c>
    </row>
    <row r="972" spans="1:19">
      <c r="A972" s="105">
        <v>971</v>
      </c>
      <c r="B972" s="41">
        <v>12000000</v>
      </c>
      <c r="C972" s="41">
        <v>2.8999999999999998E-3</v>
      </c>
      <c r="D972" s="41">
        <v>10.374700000000001</v>
      </c>
      <c r="E972" s="41">
        <v>30</v>
      </c>
      <c r="F972" s="41">
        <v>0</v>
      </c>
      <c r="G972" s="41" t="s">
        <v>103</v>
      </c>
      <c r="H972" s="41">
        <v>0</v>
      </c>
      <c r="I972" s="41">
        <v>1</v>
      </c>
      <c r="J972" s="108">
        <f>POWER(POWER(Table2[[#This Row],[mv]],4)/10,0.25)</f>
        <v>1.6307898430520129E-3</v>
      </c>
      <c r="K972" s="41">
        <v>0</v>
      </c>
      <c r="L972" s="41">
        <v>55</v>
      </c>
      <c r="M972" s="41">
        <v>-1</v>
      </c>
      <c r="N972" s="41">
        <v>4</v>
      </c>
      <c r="O972" s="111" t="s">
        <v>1488</v>
      </c>
      <c r="P972" s="109">
        <v>192471</v>
      </c>
      <c r="Q972" s="41"/>
      <c r="R972" s="111"/>
      <c r="S972" s="110" t="s">
        <v>1623</v>
      </c>
    </row>
    <row r="973" spans="1:19">
      <c r="A973" s="105">
        <v>972</v>
      </c>
      <c r="B973" s="41">
        <v>12000000</v>
      </c>
      <c r="C973" s="41">
        <v>2.8999999999999998E-3</v>
      </c>
      <c r="D973" s="41">
        <v>11.313700000000001</v>
      </c>
      <c r="E973" s="41">
        <v>30</v>
      </c>
      <c r="F973" s="41">
        <v>0</v>
      </c>
      <c r="G973" s="41" t="s">
        <v>103</v>
      </c>
      <c r="H973" s="41">
        <v>0</v>
      </c>
      <c r="I973" s="41">
        <v>1</v>
      </c>
      <c r="J973" s="108">
        <f>POWER(POWER(Table2[[#This Row],[mv]],4)/10,0.25)</f>
        <v>1.6307898430520129E-3</v>
      </c>
      <c r="K973" s="41">
        <v>0</v>
      </c>
      <c r="L973" s="41">
        <v>55</v>
      </c>
      <c r="M973" s="41">
        <v>-1</v>
      </c>
      <c r="N973" s="41">
        <v>4</v>
      </c>
      <c r="O973" s="111" t="s">
        <v>1489</v>
      </c>
      <c r="P973" s="109">
        <v>192471</v>
      </c>
      <c r="Q973" s="41"/>
      <c r="R973" s="111"/>
      <c r="S973" s="110" t="s">
        <v>1623</v>
      </c>
    </row>
    <row r="974" spans="1:19">
      <c r="A974" s="105">
        <v>973</v>
      </c>
      <c r="B974" s="41">
        <v>12000000</v>
      </c>
      <c r="C974" s="41">
        <v>2.8999999999999998E-3</v>
      </c>
      <c r="D974" s="41">
        <v>12.3377</v>
      </c>
      <c r="E974" s="41">
        <v>30</v>
      </c>
      <c r="F974" s="41">
        <v>0</v>
      </c>
      <c r="G974" s="41" t="s">
        <v>103</v>
      </c>
      <c r="H974" s="41">
        <v>0</v>
      </c>
      <c r="I974" s="41">
        <v>1</v>
      </c>
      <c r="J974" s="108">
        <f>POWER(POWER(Table2[[#This Row],[mv]],4)/10,0.25)</f>
        <v>1.6307898430520129E-3</v>
      </c>
      <c r="K974" s="41">
        <v>0</v>
      </c>
      <c r="L974" s="41">
        <v>55</v>
      </c>
      <c r="M974" s="41">
        <v>-1</v>
      </c>
      <c r="N974" s="41">
        <v>4</v>
      </c>
      <c r="O974" s="111" t="s">
        <v>1490</v>
      </c>
      <c r="P974" s="109">
        <v>192471</v>
      </c>
      <c r="Q974" s="41"/>
      <c r="R974" s="111"/>
      <c r="S974" s="110" t="s">
        <v>1623</v>
      </c>
    </row>
    <row r="975" spans="1:19">
      <c r="A975" s="105">
        <v>974</v>
      </c>
      <c r="B975" s="41">
        <v>12000000</v>
      </c>
      <c r="C975" s="41">
        <v>2.8999999999999998E-3</v>
      </c>
      <c r="D975" s="41">
        <v>13.4543</v>
      </c>
      <c r="E975" s="41">
        <v>30</v>
      </c>
      <c r="F975" s="41">
        <v>0</v>
      </c>
      <c r="G975" s="41" t="s">
        <v>103</v>
      </c>
      <c r="H975" s="41">
        <v>0</v>
      </c>
      <c r="I975" s="41">
        <v>1</v>
      </c>
      <c r="J975" s="108">
        <f>POWER(POWER(Table2[[#This Row],[mv]],4)/10,0.25)</f>
        <v>1.6307898430520129E-3</v>
      </c>
      <c r="K975" s="41">
        <v>0</v>
      </c>
      <c r="L975" s="41">
        <v>55</v>
      </c>
      <c r="M975" s="41">
        <v>-1</v>
      </c>
      <c r="N975" s="41">
        <v>4</v>
      </c>
      <c r="O975" s="111" t="s">
        <v>1491</v>
      </c>
      <c r="P975" s="109">
        <v>192471</v>
      </c>
      <c r="Q975" s="41"/>
      <c r="R975" s="111"/>
      <c r="S975" s="110" t="s">
        <v>1623</v>
      </c>
    </row>
    <row r="976" spans="1:19">
      <c r="A976" s="105">
        <v>975</v>
      </c>
      <c r="B976" s="41">
        <v>12000000</v>
      </c>
      <c r="C976" s="41">
        <v>2.8999999999999998E-3</v>
      </c>
      <c r="D976" s="41">
        <v>14.6721</v>
      </c>
      <c r="E976" s="41">
        <v>30</v>
      </c>
      <c r="F976" s="41">
        <v>0</v>
      </c>
      <c r="G976" s="41" t="s">
        <v>103</v>
      </c>
      <c r="H976" s="41">
        <v>0</v>
      </c>
      <c r="I976" s="41">
        <v>1</v>
      </c>
      <c r="J976" s="108">
        <f>POWER(POWER(Table2[[#This Row],[mv]],4)/10,0.25)</f>
        <v>1.6307898430520129E-3</v>
      </c>
      <c r="K976" s="41">
        <v>0</v>
      </c>
      <c r="L976" s="41">
        <v>55</v>
      </c>
      <c r="M976" s="41">
        <v>-1</v>
      </c>
      <c r="N976" s="41">
        <v>4</v>
      </c>
      <c r="O976" s="111" t="s">
        <v>1492</v>
      </c>
      <c r="P976" s="109">
        <v>192471</v>
      </c>
      <c r="Q976" s="41"/>
      <c r="R976" s="111"/>
      <c r="S976" s="110" t="s">
        <v>1623</v>
      </c>
    </row>
    <row r="977" spans="1:19">
      <c r="A977" s="105">
        <v>976</v>
      </c>
      <c r="B977" s="41">
        <v>12000000</v>
      </c>
      <c r="C977" s="41">
        <v>2.8999999999999998E-3</v>
      </c>
      <c r="D977" s="41">
        <v>16</v>
      </c>
      <c r="E977" s="41">
        <v>30</v>
      </c>
      <c r="F977" s="41">
        <v>0</v>
      </c>
      <c r="G977" s="41" t="s">
        <v>103</v>
      </c>
      <c r="H977" s="41">
        <v>0</v>
      </c>
      <c r="I977" s="41">
        <v>1</v>
      </c>
      <c r="J977" s="108">
        <f>POWER(POWER(Table2[[#This Row],[mv]],4)/10,0.25)</f>
        <v>1.6307898430520129E-3</v>
      </c>
      <c r="K977" s="41">
        <v>0</v>
      </c>
      <c r="L977" s="41">
        <v>55</v>
      </c>
      <c r="M977" s="41">
        <v>-1</v>
      </c>
      <c r="N977" s="41">
        <v>4</v>
      </c>
      <c r="O977" s="111" t="s">
        <v>1493</v>
      </c>
      <c r="P977" s="109">
        <v>192472</v>
      </c>
      <c r="Q977" s="41"/>
      <c r="R977" s="111"/>
      <c r="S977" s="110" t="s">
        <v>1623</v>
      </c>
    </row>
    <row r="978" spans="1:19">
      <c r="A978" s="105">
        <v>977</v>
      </c>
      <c r="B978" s="41">
        <v>12000000</v>
      </c>
      <c r="C978" s="41">
        <v>2.8999999999999998E-3</v>
      </c>
      <c r="D978" s="41">
        <v>17.4481</v>
      </c>
      <c r="E978" s="41">
        <v>30</v>
      </c>
      <c r="F978" s="41">
        <v>0</v>
      </c>
      <c r="G978" s="41" t="s">
        <v>103</v>
      </c>
      <c r="H978" s="41">
        <v>0</v>
      </c>
      <c r="I978" s="41">
        <v>1</v>
      </c>
      <c r="J978" s="108">
        <f>POWER(POWER(Table2[[#This Row],[mv]],4)/10,0.25)</f>
        <v>1.6307898430520129E-3</v>
      </c>
      <c r="K978" s="41">
        <v>0</v>
      </c>
      <c r="L978" s="41">
        <v>55</v>
      </c>
      <c r="M978" s="41">
        <v>-1</v>
      </c>
      <c r="N978" s="41">
        <v>4</v>
      </c>
      <c r="O978" s="111" t="s">
        <v>1494</v>
      </c>
      <c r="P978" s="109">
        <v>192472</v>
      </c>
      <c r="Q978" s="41"/>
      <c r="R978" s="111"/>
      <c r="S978" s="110" t="s">
        <v>1623</v>
      </c>
    </row>
    <row r="979" spans="1:19">
      <c r="A979" s="105">
        <v>978</v>
      </c>
      <c r="B979" s="41">
        <v>12000000</v>
      </c>
      <c r="C979" s="41">
        <v>2.8999999999999998E-3</v>
      </c>
      <c r="D979" s="41">
        <v>19.0273</v>
      </c>
      <c r="E979" s="41">
        <v>30</v>
      </c>
      <c r="F979" s="41">
        <v>0</v>
      </c>
      <c r="G979" s="41" t="s">
        <v>103</v>
      </c>
      <c r="H979" s="41">
        <v>0</v>
      </c>
      <c r="I979" s="41">
        <v>1</v>
      </c>
      <c r="J979" s="108">
        <f>POWER(POWER(Table2[[#This Row],[mv]],4)/10,0.25)</f>
        <v>1.6307898430520129E-3</v>
      </c>
      <c r="K979" s="41">
        <v>0</v>
      </c>
      <c r="L979" s="41">
        <v>55</v>
      </c>
      <c r="M979" s="41">
        <v>-1</v>
      </c>
      <c r="N979" s="41">
        <v>4</v>
      </c>
      <c r="O979" s="111" t="s">
        <v>1495</v>
      </c>
      <c r="P979" s="109">
        <v>192472</v>
      </c>
      <c r="Q979" s="41"/>
      <c r="R979" s="111"/>
      <c r="S979" s="110" t="s">
        <v>1623</v>
      </c>
    </row>
    <row r="980" spans="1:19">
      <c r="A980" s="105">
        <v>979</v>
      </c>
      <c r="B980" s="41">
        <v>12000000</v>
      </c>
      <c r="C980" s="41">
        <v>3.2000000000000002E-3</v>
      </c>
      <c r="D980" s="41">
        <v>3.3635999999999999</v>
      </c>
      <c r="E980" s="41">
        <v>30</v>
      </c>
      <c r="F980" s="41">
        <v>0</v>
      </c>
      <c r="G980" s="41" t="s">
        <v>103</v>
      </c>
      <c r="H980" s="41">
        <v>0</v>
      </c>
      <c r="I980" s="41">
        <v>1</v>
      </c>
      <c r="J980" s="108">
        <f>POWER(POWER(Table2[[#This Row],[mv]],4)/10,0.25)</f>
        <v>1.7994922406091175E-3</v>
      </c>
      <c r="K980" s="41">
        <v>0</v>
      </c>
      <c r="L980" s="41">
        <v>55</v>
      </c>
      <c r="M980" s="41">
        <v>-1</v>
      </c>
      <c r="N980" s="41">
        <v>4</v>
      </c>
      <c r="O980" s="111" t="s">
        <v>1496</v>
      </c>
      <c r="P980" s="109">
        <v>192472</v>
      </c>
      <c r="Q980" s="41"/>
      <c r="R980" s="111"/>
      <c r="S980" s="110" t="s">
        <v>1623</v>
      </c>
    </row>
    <row r="981" spans="1:19">
      <c r="A981" s="105">
        <v>980</v>
      </c>
      <c r="B981" s="41">
        <v>12000000</v>
      </c>
      <c r="C981" s="41">
        <v>3.2000000000000002E-3</v>
      </c>
      <c r="D981" s="41">
        <v>3.6680000000000001</v>
      </c>
      <c r="E981" s="41">
        <v>30</v>
      </c>
      <c r="F981" s="41">
        <v>0</v>
      </c>
      <c r="G981" s="41" t="s">
        <v>103</v>
      </c>
      <c r="H981" s="41">
        <v>0</v>
      </c>
      <c r="I981" s="41">
        <v>1</v>
      </c>
      <c r="J981" s="108">
        <f>POWER(POWER(Table2[[#This Row],[mv]],4)/10,0.25)</f>
        <v>1.7994922406091175E-3</v>
      </c>
      <c r="K981" s="41">
        <v>0</v>
      </c>
      <c r="L981" s="41">
        <v>55</v>
      </c>
      <c r="M981" s="41">
        <v>-1</v>
      </c>
      <c r="N981" s="41">
        <v>4</v>
      </c>
      <c r="O981" s="111" t="s">
        <v>1497</v>
      </c>
      <c r="P981" s="109">
        <v>192472</v>
      </c>
      <c r="Q981" s="41"/>
      <c r="R981" s="111"/>
      <c r="S981" s="110" t="s">
        <v>1623</v>
      </c>
    </row>
    <row r="982" spans="1:19">
      <c r="A982" s="105">
        <v>981</v>
      </c>
      <c r="B982" s="41">
        <v>12000000</v>
      </c>
      <c r="C982" s="41">
        <v>3.2000000000000002E-3</v>
      </c>
      <c r="D982" s="41">
        <v>4</v>
      </c>
      <c r="E982" s="41">
        <v>30</v>
      </c>
      <c r="F982" s="41">
        <v>0</v>
      </c>
      <c r="G982" s="41" t="s">
        <v>103</v>
      </c>
      <c r="H982" s="41">
        <v>0</v>
      </c>
      <c r="I982" s="41">
        <v>1</v>
      </c>
      <c r="J982" s="108">
        <f>POWER(POWER(Table2[[#This Row],[mv]],4)/10,0.25)</f>
        <v>1.7994922406091175E-3</v>
      </c>
      <c r="K982" s="41">
        <v>0</v>
      </c>
      <c r="L982" s="41">
        <v>55</v>
      </c>
      <c r="M982" s="41">
        <v>-1</v>
      </c>
      <c r="N982" s="41">
        <v>4</v>
      </c>
      <c r="O982" s="111" t="s">
        <v>1498</v>
      </c>
      <c r="P982" s="109">
        <v>192472</v>
      </c>
      <c r="Q982" s="41"/>
      <c r="R982" s="111"/>
      <c r="S982" s="110" t="s">
        <v>1623</v>
      </c>
    </row>
    <row r="983" spans="1:19">
      <c r="A983" s="105">
        <v>982</v>
      </c>
      <c r="B983" s="41">
        <v>12000000</v>
      </c>
      <c r="C983" s="41">
        <v>3.2000000000000002E-3</v>
      </c>
      <c r="D983" s="41">
        <v>4.3620000000000001</v>
      </c>
      <c r="E983" s="41">
        <v>30</v>
      </c>
      <c r="F983" s="41">
        <v>0</v>
      </c>
      <c r="G983" s="41" t="s">
        <v>103</v>
      </c>
      <c r="H983" s="41">
        <v>0</v>
      </c>
      <c r="I983" s="41">
        <v>1</v>
      </c>
      <c r="J983" s="108">
        <f>POWER(POWER(Table2[[#This Row],[mv]],4)/10,0.25)</f>
        <v>1.7994922406091175E-3</v>
      </c>
      <c r="K983" s="41">
        <v>0</v>
      </c>
      <c r="L983" s="41">
        <v>55</v>
      </c>
      <c r="M983" s="41">
        <v>-1</v>
      </c>
      <c r="N983" s="41">
        <v>4</v>
      </c>
      <c r="O983" s="111" t="s">
        <v>1499</v>
      </c>
      <c r="P983" s="109">
        <v>192472</v>
      </c>
      <c r="Q983" s="41"/>
      <c r="R983" s="111"/>
      <c r="S983" s="110" t="s">
        <v>1623</v>
      </c>
    </row>
    <row r="984" spans="1:19">
      <c r="A984" s="105">
        <v>983</v>
      </c>
      <c r="B984" s="41">
        <v>12000000</v>
      </c>
      <c r="C984" s="41">
        <v>3.2000000000000002E-3</v>
      </c>
      <c r="D984" s="41">
        <v>4.7568000000000001</v>
      </c>
      <c r="E984" s="41">
        <v>30</v>
      </c>
      <c r="F984" s="41">
        <v>0</v>
      </c>
      <c r="G984" s="41" t="s">
        <v>103</v>
      </c>
      <c r="H984" s="41">
        <v>0</v>
      </c>
      <c r="I984" s="41">
        <v>1</v>
      </c>
      <c r="J984" s="108">
        <f>POWER(POWER(Table2[[#This Row],[mv]],4)/10,0.25)</f>
        <v>1.7994922406091175E-3</v>
      </c>
      <c r="K984" s="41">
        <v>0</v>
      </c>
      <c r="L984" s="41">
        <v>55</v>
      </c>
      <c r="M984" s="41">
        <v>-1</v>
      </c>
      <c r="N984" s="41">
        <v>4</v>
      </c>
      <c r="O984" s="111" t="s">
        <v>1500</v>
      </c>
      <c r="P984" s="109">
        <v>192472</v>
      </c>
      <c r="Q984" s="41"/>
      <c r="R984" s="111"/>
      <c r="S984" s="110" t="s">
        <v>1623</v>
      </c>
    </row>
    <row r="985" spans="1:19">
      <c r="A985" s="105">
        <v>984</v>
      </c>
      <c r="B985" s="41">
        <v>12000000</v>
      </c>
      <c r="C985" s="41">
        <v>3.2000000000000002E-3</v>
      </c>
      <c r="D985" s="41">
        <v>5.1874000000000002</v>
      </c>
      <c r="E985" s="41">
        <v>30</v>
      </c>
      <c r="F985" s="41">
        <v>0</v>
      </c>
      <c r="G985" s="41" t="s">
        <v>103</v>
      </c>
      <c r="H985" s="41">
        <v>0</v>
      </c>
      <c r="I985" s="41">
        <v>1</v>
      </c>
      <c r="J985" s="108">
        <f>POWER(POWER(Table2[[#This Row],[mv]],4)/10,0.25)</f>
        <v>1.7994922406091175E-3</v>
      </c>
      <c r="K985" s="41">
        <v>0</v>
      </c>
      <c r="L985" s="41">
        <v>55</v>
      </c>
      <c r="M985" s="41">
        <v>-1</v>
      </c>
      <c r="N985" s="41">
        <v>4</v>
      </c>
      <c r="O985" s="111" t="s">
        <v>1501</v>
      </c>
      <c r="P985" s="109">
        <v>192472</v>
      </c>
      <c r="Q985" s="41"/>
      <c r="R985" s="111"/>
      <c r="S985" s="110" t="s">
        <v>1623</v>
      </c>
    </row>
    <row r="986" spans="1:19">
      <c r="A986" s="105">
        <v>985</v>
      </c>
      <c r="B986" s="41">
        <v>12000000</v>
      </c>
      <c r="C986" s="41">
        <v>3.2000000000000002E-3</v>
      </c>
      <c r="D986" s="41">
        <v>5.6569000000000003</v>
      </c>
      <c r="E986" s="41">
        <v>30</v>
      </c>
      <c r="F986" s="41">
        <v>0</v>
      </c>
      <c r="G986" s="41" t="s">
        <v>103</v>
      </c>
      <c r="H986" s="41">
        <v>0</v>
      </c>
      <c r="I986" s="41">
        <v>1</v>
      </c>
      <c r="J986" s="108">
        <f>POWER(POWER(Table2[[#This Row],[mv]],4)/10,0.25)</f>
        <v>1.7994922406091175E-3</v>
      </c>
      <c r="K986" s="41">
        <v>0</v>
      </c>
      <c r="L986" s="41">
        <v>55</v>
      </c>
      <c r="M986" s="41">
        <v>-1</v>
      </c>
      <c r="N986" s="41">
        <v>4</v>
      </c>
      <c r="O986" s="111" t="s">
        <v>1502</v>
      </c>
      <c r="P986" s="109">
        <v>192472</v>
      </c>
      <c r="Q986" s="41"/>
      <c r="R986" s="111"/>
      <c r="S986" s="110" t="s">
        <v>1623</v>
      </c>
    </row>
    <row r="987" spans="1:19">
      <c r="A987" s="105">
        <v>986</v>
      </c>
      <c r="B987" s="41">
        <v>12000000</v>
      </c>
      <c r="C987" s="41">
        <v>3.2000000000000002E-3</v>
      </c>
      <c r="D987" s="41">
        <v>6.1688000000000001</v>
      </c>
      <c r="E987" s="41">
        <v>30</v>
      </c>
      <c r="F987" s="41">
        <v>0</v>
      </c>
      <c r="G987" s="41" t="s">
        <v>103</v>
      </c>
      <c r="H987" s="41">
        <v>0</v>
      </c>
      <c r="I987" s="41">
        <v>1</v>
      </c>
      <c r="J987" s="108">
        <f>POWER(POWER(Table2[[#This Row],[mv]],4)/10,0.25)</f>
        <v>1.7994922406091175E-3</v>
      </c>
      <c r="K987" s="41">
        <v>0</v>
      </c>
      <c r="L987" s="41">
        <v>55</v>
      </c>
      <c r="M987" s="41">
        <v>-1</v>
      </c>
      <c r="N987" s="41">
        <v>4</v>
      </c>
      <c r="O987" s="111" t="s">
        <v>1503</v>
      </c>
      <c r="P987" s="109">
        <v>192472</v>
      </c>
      <c r="Q987" s="41"/>
      <c r="R987" s="111"/>
      <c r="S987" s="110" t="s">
        <v>1623</v>
      </c>
    </row>
    <row r="988" spans="1:19">
      <c r="A988" s="105">
        <v>987</v>
      </c>
      <c r="B988" s="41">
        <v>12000000</v>
      </c>
      <c r="C988" s="41">
        <v>3.2000000000000002E-3</v>
      </c>
      <c r="D988" s="41">
        <v>6.7271999999999998</v>
      </c>
      <c r="E988" s="41">
        <v>30</v>
      </c>
      <c r="F988" s="41">
        <v>0</v>
      </c>
      <c r="G988" s="41" t="s">
        <v>103</v>
      </c>
      <c r="H988" s="41">
        <v>0</v>
      </c>
      <c r="I988" s="41">
        <v>1</v>
      </c>
      <c r="J988" s="108">
        <f>POWER(POWER(Table2[[#This Row],[mv]],4)/10,0.25)</f>
        <v>1.7994922406091175E-3</v>
      </c>
      <c r="K988" s="41">
        <v>0</v>
      </c>
      <c r="L988" s="41">
        <v>55</v>
      </c>
      <c r="M988" s="41">
        <v>-1</v>
      </c>
      <c r="N988" s="41">
        <v>4</v>
      </c>
      <c r="O988" s="111" t="s">
        <v>1504</v>
      </c>
      <c r="P988" s="109">
        <v>192472</v>
      </c>
      <c r="Q988" s="41"/>
      <c r="R988" s="111"/>
      <c r="S988" s="110" t="s">
        <v>1623</v>
      </c>
    </row>
    <row r="989" spans="1:19">
      <c r="A989" s="105">
        <v>988</v>
      </c>
      <c r="B989" s="41">
        <v>12000000</v>
      </c>
      <c r="C989" s="41">
        <v>3.2000000000000002E-3</v>
      </c>
      <c r="D989" s="41">
        <v>7.3360000000000003</v>
      </c>
      <c r="E989" s="41">
        <v>30</v>
      </c>
      <c r="F989" s="41">
        <v>0</v>
      </c>
      <c r="G989" s="41" t="s">
        <v>103</v>
      </c>
      <c r="H989" s="41">
        <v>0</v>
      </c>
      <c r="I989" s="41">
        <v>1</v>
      </c>
      <c r="J989" s="108">
        <f>POWER(POWER(Table2[[#This Row],[mv]],4)/10,0.25)</f>
        <v>1.7994922406091175E-3</v>
      </c>
      <c r="K989" s="41">
        <v>0</v>
      </c>
      <c r="L989" s="41">
        <v>55</v>
      </c>
      <c r="M989" s="41">
        <v>-1</v>
      </c>
      <c r="N989" s="41">
        <v>4</v>
      </c>
      <c r="O989" s="111" t="s">
        <v>1505</v>
      </c>
      <c r="P989" s="109">
        <v>192472</v>
      </c>
      <c r="Q989" s="41"/>
      <c r="R989" s="111"/>
      <c r="S989" s="110" t="s">
        <v>1623</v>
      </c>
    </row>
    <row r="990" spans="1:19">
      <c r="A990" s="105">
        <v>989</v>
      </c>
      <c r="B990" s="41">
        <v>12000000</v>
      </c>
      <c r="C990" s="41">
        <v>3.2000000000000002E-3</v>
      </c>
      <c r="D990" s="41">
        <v>8</v>
      </c>
      <c r="E990" s="41">
        <v>30</v>
      </c>
      <c r="F990" s="41">
        <v>0</v>
      </c>
      <c r="G990" s="41" t="s">
        <v>103</v>
      </c>
      <c r="H990" s="41">
        <v>0</v>
      </c>
      <c r="I990" s="41">
        <v>1</v>
      </c>
      <c r="J990" s="108">
        <f>POWER(POWER(Table2[[#This Row],[mv]],4)/10,0.25)</f>
        <v>1.7994922406091175E-3</v>
      </c>
      <c r="K990" s="41">
        <v>0</v>
      </c>
      <c r="L990" s="41">
        <v>55</v>
      </c>
      <c r="M990" s="41">
        <v>-1</v>
      </c>
      <c r="N990" s="41">
        <v>4</v>
      </c>
      <c r="O990" s="111" t="s">
        <v>1506</v>
      </c>
      <c r="P990" s="109">
        <v>192472</v>
      </c>
      <c r="Q990" s="41"/>
      <c r="R990" s="111"/>
      <c r="S990" s="110" t="s">
        <v>1623</v>
      </c>
    </row>
    <row r="991" spans="1:19">
      <c r="A991" s="105">
        <v>990</v>
      </c>
      <c r="B991" s="41">
        <v>12000000</v>
      </c>
      <c r="C991" s="41">
        <v>3.2000000000000002E-3</v>
      </c>
      <c r="D991" s="41">
        <v>8.7241</v>
      </c>
      <c r="E991" s="41">
        <v>30</v>
      </c>
      <c r="F991" s="41">
        <v>0</v>
      </c>
      <c r="G991" s="41" t="s">
        <v>103</v>
      </c>
      <c r="H991" s="41">
        <v>0</v>
      </c>
      <c r="I991" s="41">
        <v>1</v>
      </c>
      <c r="J991" s="108">
        <f>POWER(POWER(Table2[[#This Row],[mv]],4)/10,0.25)</f>
        <v>1.7994922406091175E-3</v>
      </c>
      <c r="K991" s="41">
        <v>0</v>
      </c>
      <c r="L991" s="41">
        <v>55</v>
      </c>
      <c r="M991" s="41">
        <v>-1</v>
      </c>
      <c r="N991" s="41">
        <v>4</v>
      </c>
      <c r="O991" s="111" t="s">
        <v>1507</v>
      </c>
      <c r="P991" s="109">
        <v>192472</v>
      </c>
      <c r="Q991" s="41"/>
      <c r="R991" s="111"/>
      <c r="S991" s="110" t="s">
        <v>1623</v>
      </c>
    </row>
    <row r="992" spans="1:19">
      <c r="A992" s="105">
        <v>991</v>
      </c>
      <c r="B992" s="41">
        <v>12000000</v>
      </c>
      <c r="C992" s="41">
        <v>3.2000000000000002E-3</v>
      </c>
      <c r="D992" s="41">
        <v>9.5137</v>
      </c>
      <c r="E992" s="41">
        <v>30</v>
      </c>
      <c r="F992" s="41">
        <v>0</v>
      </c>
      <c r="G992" s="41" t="s">
        <v>103</v>
      </c>
      <c r="H992" s="41">
        <v>0</v>
      </c>
      <c r="I992" s="41">
        <v>1</v>
      </c>
      <c r="J992" s="108">
        <f>POWER(POWER(Table2[[#This Row],[mv]],4)/10,0.25)</f>
        <v>1.7994922406091175E-3</v>
      </c>
      <c r="K992" s="41">
        <v>0</v>
      </c>
      <c r="L992" s="41">
        <v>55</v>
      </c>
      <c r="M992" s="41">
        <v>-1</v>
      </c>
      <c r="N992" s="41">
        <v>4</v>
      </c>
      <c r="O992" s="111" t="s">
        <v>1508</v>
      </c>
      <c r="P992" s="109">
        <v>192472</v>
      </c>
      <c r="Q992" s="41"/>
      <c r="R992" s="111"/>
      <c r="S992" s="110" t="s">
        <v>1623</v>
      </c>
    </row>
    <row r="993" spans="1:19">
      <c r="A993" s="105">
        <v>992</v>
      </c>
      <c r="B993" s="41">
        <v>12000000</v>
      </c>
      <c r="C993" s="41">
        <v>3.2000000000000002E-3</v>
      </c>
      <c r="D993" s="41">
        <v>10.374700000000001</v>
      </c>
      <c r="E993" s="41">
        <v>30</v>
      </c>
      <c r="F993" s="41">
        <v>0</v>
      </c>
      <c r="G993" s="41" t="s">
        <v>103</v>
      </c>
      <c r="H993" s="41">
        <v>0</v>
      </c>
      <c r="I993" s="41">
        <v>1</v>
      </c>
      <c r="J993" s="108">
        <f>POWER(POWER(Table2[[#This Row],[mv]],4)/10,0.25)</f>
        <v>1.7994922406091175E-3</v>
      </c>
      <c r="K993" s="41">
        <v>0</v>
      </c>
      <c r="L993" s="41">
        <v>55</v>
      </c>
      <c r="M993" s="41">
        <v>-1</v>
      </c>
      <c r="N993" s="41">
        <v>4</v>
      </c>
      <c r="O993" s="111" t="s">
        <v>1509</v>
      </c>
      <c r="P993" s="109">
        <v>192472</v>
      </c>
      <c r="Q993" s="41"/>
      <c r="R993" s="111"/>
      <c r="S993" s="110" t="s">
        <v>1623</v>
      </c>
    </row>
    <row r="994" spans="1:19">
      <c r="A994" s="105">
        <v>993</v>
      </c>
      <c r="B994" s="41">
        <v>12000000</v>
      </c>
      <c r="C994" s="41">
        <v>3.2000000000000002E-3</v>
      </c>
      <c r="D994" s="41">
        <v>11.313700000000001</v>
      </c>
      <c r="E994" s="41">
        <v>30</v>
      </c>
      <c r="F994" s="41">
        <v>0</v>
      </c>
      <c r="G994" s="41" t="s">
        <v>103</v>
      </c>
      <c r="H994" s="41">
        <v>0</v>
      </c>
      <c r="I994" s="41">
        <v>1</v>
      </c>
      <c r="J994" s="108">
        <f>POWER(POWER(Table2[[#This Row],[mv]],4)/10,0.25)</f>
        <v>1.7994922406091175E-3</v>
      </c>
      <c r="K994" s="41">
        <v>0</v>
      </c>
      <c r="L994" s="41">
        <v>55</v>
      </c>
      <c r="M994" s="41">
        <v>-1</v>
      </c>
      <c r="N994" s="41">
        <v>4</v>
      </c>
      <c r="O994" s="111" t="s">
        <v>1510</v>
      </c>
      <c r="P994" s="109">
        <v>192472</v>
      </c>
      <c r="Q994" s="41"/>
      <c r="R994" s="111"/>
      <c r="S994" s="110" t="s">
        <v>1623</v>
      </c>
    </row>
    <row r="995" spans="1:19">
      <c r="A995" s="105">
        <v>994</v>
      </c>
      <c r="B995" s="41">
        <v>12000000</v>
      </c>
      <c r="C995" s="41">
        <v>3.2000000000000002E-3</v>
      </c>
      <c r="D995" s="41">
        <v>12.3377</v>
      </c>
      <c r="E995" s="41">
        <v>30</v>
      </c>
      <c r="F995" s="41">
        <v>0</v>
      </c>
      <c r="G995" s="41" t="s">
        <v>103</v>
      </c>
      <c r="H995" s="41">
        <v>0</v>
      </c>
      <c r="I995" s="41">
        <v>1</v>
      </c>
      <c r="J995" s="108">
        <f>POWER(POWER(Table2[[#This Row],[mv]],4)/10,0.25)</f>
        <v>1.7994922406091175E-3</v>
      </c>
      <c r="K995" s="41">
        <v>0</v>
      </c>
      <c r="L995" s="41">
        <v>55</v>
      </c>
      <c r="M995" s="41">
        <v>-1</v>
      </c>
      <c r="N995" s="41">
        <v>4</v>
      </c>
      <c r="O995" s="111" t="s">
        <v>1511</v>
      </c>
      <c r="P995" s="109">
        <v>192472</v>
      </c>
      <c r="Q995" s="41"/>
      <c r="R995" s="111"/>
      <c r="S995" s="110" t="s">
        <v>1623</v>
      </c>
    </row>
    <row r="996" spans="1:19">
      <c r="A996" s="105">
        <v>995</v>
      </c>
      <c r="B996" s="41">
        <v>12000000</v>
      </c>
      <c r="C996" s="41">
        <v>3.2000000000000002E-3</v>
      </c>
      <c r="D996" s="41">
        <v>13.4543</v>
      </c>
      <c r="E996" s="41">
        <v>30</v>
      </c>
      <c r="F996" s="41">
        <v>0</v>
      </c>
      <c r="G996" s="41" t="s">
        <v>103</v>
      </c>
      <c r="H996" s="41">
        <v>0</v>
      </c>
      <c r="I996" s="41">
        <v>1</v>
      </c>
      <c r="J996" s="108">
        <f>POWER(POWER(Table2[[#This Row],[mv]],4)/10,0.25)</f>
        <v>1.7994922406091175E-3</v>
      </c>
      <c r="K996" s="41">
        <v>0</v>
      </c>
      <c r="L996" s="41">
        <v>55</v>
      </c>
      <c r="M996" s="41">
        <v>-1</v>
      </c>
      <c r="N996" s="41">
        <v>4</v>
      </c>
      <c r="O996" s="111" t="s">
        <v>1512</v>
      </c>
      <c r="P996" s="109">
        <v>192472</v>
      </c>
      <c r="Q996" s="41"/>
      <c r="R996" s="111"/>
      <c r="S996" s="110" t="s">
        <v>1623</v>
      </c>
    </row>
    <row r="997" spans="1:19">
      <c r="A997" s="105">
        <v>996</v>
      </c>
      <c r="B997" s="41">
        <v>12000000</v>
      </c>
      <c r="C997" s="41">
        <v>3.2000000000000002E-3</v>
      </c>
      <c r="D997" s="41">
        <v>14.6721</v>
      </c>
      <c r="E997" s="41">
        <v>30</v>
      </c>
      <c r="F997" s="41">
        <v>0</v>
      </c>
      <c r="G997" s="41" t="s">
        <v>103</v>
      </c>
      <c r="H997" s="41">
        <v>0</v>
      </c>
      <c r="I997" s="41">
        <v>1</v>
      </c>
      <c r="J997" s="108">
        <f>POWER(POWER(Table2[[#This Row],[mv]],4)/10,0.25)</f>
        <v>1.7994922406091175E-3</v>
      </c>
      <c r="K997" s="41">
        <v>0</v>
      </c>
      <c r="L997" s="41">
        <v>55</v>
      </c>
      <c r="M997" s="41">
        <v>-1</v>
      </c>
      <c r="N997" s="41">
        <v>4</v>
      </c>
      <c r="O997" s="111" t="s">
        <v>1513</v>
      </c>
      <c r="P997" s="109">
        <v>192472</v>
      </c>
      <c r="Q997" s="41"/>
      <c r="R997" s="111"/>
      <c r="S997" s="110" t="s">
        <v>1623</v>
      </c>
    </row>
    <row r="998" spans="1:19">
      <c r="A998" s="105">
        <v>997</v>
      </c>
      <c r="B998" s="41">
        <v>12000000</v>
      </c>
      <c r="C998" s="41">
        <v>3.2000000000000002E-3</v>
      </c>
      <c r="D998" s="41">
        <v>16</v>
      </c>
      <c r="E998" s="41">
        <v>30</v>
      </c>
      <c r="F998" s="41">
        <v>0</v>
      </c>
      <c r="G998" s="41" t="s">
        <v>103</v>
      </c>
      <c r="H998" s="41">
        <v>0</v>
      </c>
      <c r="I998" s="41">
        <v>1</v>
      </c>
      <c r="J998" s="108">
        <f>POWER(POWER(Table2[[#This Row],[mv]],4)/10,0.25)</f>
        <v>1.7994922406091175E-3</v>
      </c>
      <c r="K998" s="41">
        <v>0</v>
      </c>
      <c r="L998" s="41">
        <v>55</v>
      </c>
      <c r="M998" s="41">
        <v>-1</v>
      </c>
      <c r="N998" s="41">
        <v>4</v>
      </c>
      <c r="O998" s="111" t="s">
        <v>1514</v>
      </c>
      <c r="P998" s="109">
        <v>192472</v>
      </c>
      <c r="Q998" s="41"/>
      <c r="R998" s="111"/>
      <c r="S998" s="110" t="s">
        <v>1623</v>
      </c>
    </row>
    <row r="999" spans="1:19">
      <c r="A999" s="105">
        <v>998</v>
      </c>
      <c r="B999" s="41">
        <v>12000000</v>
      </c>
      <c r="C999" s="41">
        <v>3.2000000000000002E-3</v>
      </c>
      <c r="D999" s="41">
        <v>17.4481</v>
      </c>
      <c r="E999" s="41">
        <v>30</v>
      </c>
      <c r="F999" s="41">
        <v>0</v>
      </c>
      <c r="G999" s="41" t="s">
        <v>103</v>
      </c>
      <c r="H999" s="41">
        <v>0</v>
      </c>
      <c r="I999" s="41">
        <v>1</v>
      </c>
      <c r="J999" s="108">
        <f>POWER(POWER(Table2[[#This Row],[mv]],4)/10,0.25)</f>
        <v>1.7994922406091175E-3</v>
      </c>
      <c r="K999" s="41">
        <v>0</v>
      </c>
      <c r="L999" s="41">
        <v>55</v>
      </c>
      <c r="M999" s="41">
        <v>-1</v>
      </c>
      <c r="N999" s="41">
        <v>4</v>
      </c>
      <c r="O999" s="111" t="s">
        <v>1515</v>
      </c>
      <c r="P999" s="109">
        <v>192472</v>
      </c>
      <c r="Q999" s="41"/>
      <c r="R999" s="111"/>
      <c r="S999" s="110" t="s">
        <v>1623</v>
      </c>
    </row>
    <row r="1000" spans="1:19">
      <c r="A1000" s="105">
        <v>999</v>
      </c>
      <c r="B1000" s="41">
        <v>12000000</v>
      </c>
      <c r="C1000" s="41">
        <v>3.2000000000000002E-3</v>
      </c>
      <c r="D1000" s="41">
        <v>19.0273</v>
      </c>
      <c r="E1000" s="41">
        <v>30</v>
      </c>
      <c r="F1000" s="41">
        <v>0</v>
      </c>
      <c r="G1000" s="41" t="s">
        <v>103</v>
      </c>
      <c r="H1000" s="41">
        <v>0</v>
      </c>
      <c r="I1000" s="41">
        <v>1</v>
      </c>
      <c r="J1000" s="108">
        <f>POWER(POWER(Table2[[#This Row],[mv]],4)/10,0.25)</f>
        <v>1.7994922406091175E-3</v>
      </c>
      <c r="K1000" s="41">
        <v>0</v>
      </c>
      <c r="L1000" s="41">
        <v>55</v>
      </c>
      <c r="M1000" s="41">
        <v>-1</v>
      </c>
      <c r="N1000" s="41">
        <v>4</v>
      </c>
      <c r="O1000" s="111" t="s">
        <v>1516</v>
      </c>
      <c r="P1000" s="109">
        <v>192472</v>
      </c>
      <c r="Q1000" s="41"/>
      <c r="R1000" s="111"/>
      <c r="S1000" s="110" t="s">
        <v>1623</v>
      </c>
    </row>
    <row r="1001" spans="1:19">
      <c r="A1001" s="105">
        <v>1000</v>
      </c>
      <c r="B1001" s="41">
        <v>12000000</v>
      </c>
      <c r="C1001" s="41">
        <v>3.5000000000000001E-3</v>
      </c>
      <c r="D1001" s="41">
        <v>4</v>
      </c>
      <c r="E1001" s="41">
        <v>30</v>
      </c>
      <c r="F1001" s="41">
        <v>0</v>
      </c>
      <c r="G1001" s="41" t="s">
        <v>103</v>
      </c>
      <c r="H1001" s="41">
        <v>0</v>
      </c>
      <c r="I1001" s="41">
        <v>1</v>
      </c>
      <c r="J1001" s="108">
        <f>POWER(POWER(Table2[[#This Row],[mv]],4)/10,0.25)</f>
        <v>1.9681946381662216E-3</v>
      </c>
      <c r="K1001" s="41">
        <v>0</v>
      </c>
      <c r="L1001" s="41">
        <v>55</v>
      </c>
      <c r="M1001" s="41">
        <v>-1</v>
      </c>
      <c r="N1001" s="41">
        <v>4</v>
      </c>
      <c r="O1001" s="111" t="s">
        <v>1517</v>
      </c>
      <c r="P1001" s="109">
        <v>192472</v>
      </c>
      <c r="Q1001" s="41"/>
      <c r="R1001" s="111"/>
      <c r="S1001" s="110" t="s">
        <v>1623</v>
      </c>
    </row>
    <row r="1002" spans="1:19">
      <c r="A1002" s="105">
        <v>1001</v>
      </c>
      <c r="B1002" s="41">
        <v>12000000</v>
      </c>
      <c r="C1002" s="41">
        <v>3.5000000000000001E-3</v>
      </c>
      <c r="D1002" s="41">
        <v>4.3620000000000001</v>
      </c>
      <c r="E1002" s="41">
        <v>30</v>
      </c>
      <c r="F1002" s="41">
        <v>0</v>
      </c>
      <c r="G1002" s="41" t="s">
        <v>103</v>
      </c>
      <c r="H1002" s="41">
        <v>0</v>
      </c>
      <c r="I1002" s="41">
        <v>1</v>
      </c>
      <c r="J1002" s="108">
        <f>POWER(POWER(Table2[[#This Row],[mv]],4)/10,0.25)</f>
        <v>1.9681946381662216E-3</v>
      </c>
      <c r="K1002" s="41">
        <v>0</v>
      </c>
      <c r="L1002" s="41">
        <v>55</v>
      </c>
      <c r="M1002" s="41">
        <v>-1</v>
      </c>
      <c r="N1002" s="41">
        <v>4</v>
      </c>
      <c r="O1002" s="111" t="s">
        <v>1518</v>
      </c>
      <c r="P1002" s="109">
        <v>192472</v>
      </c>
      <c r="Q1002" s="41"/>
      <c r="R1002" s="111"/>
      <c r="S1002" s="110" t="s">
        <v>1623</v>
      </c>
    </row>
    <row r="1003" spans="1:19">
      <c r="A1003" s="105">
        <v>1002</v>
      </c>
      <c r="B1003" s="41">
        <v>12000000</v>
      </c>
      <c r="C1003" s="41">
        <v>3.5000000000000001E-3</v>
      </c>
      <c r="D1003" s="41">
        <v>4.7568000000000001</v>
      </c>
      <c r="E1003" s="41">
        <v>30</v>
      </c>
      <c r="F1003" s="41">
        <v>0</v>
      </c>
      <c r="G1003" s="41" t="s">
        <v>103</v>
      </c>
      <c r="H1003" s="41">
        <v>0</v>
      </c>
      <c r="I1003" s="41">
        <v>1</v>
      </c>
      <c r="J1003" s="108">
        <f>POWER(POWER(Table2[[#This Row],[mv]],4)/10,0.25)</f>
        <v>1.9681946381662216E-3</v>
      </c>
      <c r="K1003" s="41">
        <v>0</v>
      </c>
      <c r="L1003" s="41">
        <v>55</v>
      </c>
      <c r="M1003" s="41">
        <v>-1</v>
      </c>
      <c r="N1003" s="41">
        <v>4</v>
      </c>
      <c r="O1003" s="111" t="s">
        <v>1519</v>
      </c>
      <c r="P1003" s="109">
        <v>192472</v>
      </c>
      <c r="Q1003" s="41"/>
      <c r="R1003" s="111"/>
      <c r="S1003" s="110" t="s">
        <v>1623</v>
      </c>
    </row>
    <row r="1004" spans="1:19">
      <c r="A1004" s="105">
        <v>1003</v>
      </c>
      <c r="B1004" s="41">
        <v>12000000</v>
      </c>
      <c r="C1004" s="41">
        <v>3.5000000000000001E-3</v>
      </c>
      <c r="D1004" s="41">
        <v>5.1874000000000002</v>
      </c>
      <c r="E1004" s="41">
        <v>30</v>
      </c>
      <c r="F1004" s="41">
        <v>0</v>
      </c>
      <c r="G1004" s="41" t="s">
        <v>103</v>
      </c>
      <c r="H1004" s="41">
        <v>0</v>
      </c>
      <c r="I1004" s="41">
        <v>1</v>
      </c>
      <c r="J1004" s="108">
        <f>POWER(POWER(Table2[[#This Row],[mv]],4)/10,0.25)</f>
        <v>1.9681946381662216E-3</v>
      </c>
      <c r="K1004" s="41">
        <v>0</v>
      </c>
      <c r="L1004" s="41">
        <v>55</v>
      </c>
      <c r="M1004" s="41">
        <v>-1</v>
      </c>
      <c r="N1004" s="41">
        <v>4</v>
      </c>
      <c r="O1004" s="111" t="s">
        <v>1520</v>
      </c>
      <c r="P1004" s="109">
        <v>192472</v>
      </c>
      <c r="Q1004" s="41"/>
      <c r="R1004" s="111"/>
      <c r="S1004" s="110" t="s">
        <v>1623</v>
      </c>
    </row>
    <row r="1005" spans="1:19">
      <c r="A1005" s="105">
        <v>1004</v>
      </c>
      <c r="B1005" s="41">
        <v>12000000</v>
      </c>
      <c r="C1005" s="41">
        <v>3.5000000000000001E-3</v>
      </c>
      <c r="D1005" s="41">
        <v>5.6569000000000003</v>
      </c>
      <c r="E1005" s="41">
        <v>30</v>
      </c>
      <c r="F1005" s="41">
        <v>0</v>
      </c>
      <c r="G1005" s="41" t="s">
        <v>103</v>
      </c>
      <c r="H1005" s="41">
        <v>0</v>
      </c>
      <c r="I1005" s="41">
        <v>1</v>
      </c>
      <c r="J1005" s="108">
        <f>POWER(POWER(Table2[[#This Row],[mv]],4)/10,0.25)</f>
        <v>1.9681946381662216E-3</v>
      </c>
      <c r="K1005" s="41">
        <v>0</v>
      </c>
      <c r="L1005" s="41">
        <v>55</v>
      </c>
      <c r="M1005" s="41">
        <v>-1</v>
      </c>
      <c r="N1005" s="41">
        <v>4</v>
      </c>
      <c r="O1005" s="111" t="s">
        <v>1521</v>
      </c>
      <c r="P1005" s="109">
        <v>192472</v>
      </c>
      <c r="Q1005" s="41"/>
      <c r="R1005" s="111"/>
      <c r="S1005" s="110" t="s">
        <v>1623</v>
      </c>
    </row>
    <row r="1006" spans="1:19">
      <c r="A1006" s="105">
        <v>1005</v>
      </c>
      <c r="B1006" s="41">
        <v>12000000</v>
      </c>
      <c r="C1006" s="41">
        <v>3.5000000000000001E-3</v>
      </c>
      <c r="D1006" s="41">
        <v>6.1688000000000001</v>
      </c>
      <c r="E1006" s="41">
        <v>30</v>
      </c>
      <c r="F1006" s="41">
        <v>0</v>
      </c>
      <c r="G1006" s="41" t="s">
        <v>103</v>
      </c>
      <c r="H1006" s="41">
        <v>0</v>
      </c>
      <c r="I1006" s="41">
        <v>1</v>
      </c>
      <c r="J1006" s="108">
        <f>POWER(POWER(Table2[[#This Row],[mv]],4)/10,0.25)</f>
        <v>1.9681946381662216E-3</v>
      </c>
      <c r="K1006" s="41">
        <v>0</v>
      </c>
      <c r="L1006" s="41">
        <v>55</v>
      </c>
      <c r="M1006" s="41">
        <v>-1</v>
      </c>
      <c r="N1006" s="41">
        <v>4</v>
      </c>
      <c r="O1006" s="111" t="s">
        <v>1522</v>
      </c>
      <c r="P1006" s="109">
        <v>192472</v>
      </c>
      <c r="Q1006" s="41"/>
      <c r="R1006" s="111"/>
      <c r="S1006" s="110" t="s">
        <v>1623</v>
      </c>
    </row>
    <row r="1007" spans="1:19">
      <c r="A1007" s="105">
        <v>1006</v>
      </c>
      <c r="B1007" s="41">
        <v>12000000</v>
      </c>
      <c r="C1007" s="41">
        <v>3.5000000000000001E-3</v>
      </c>
      <c r="D1007" s="41">
        <v>6.7271999999999998</v>
      </c>
      <c r="E1007" s="41">
        <v>30</v>
      </c>
      <c r="F1007" s="41">
        <v>0</v>
      </c>
      <c r="G1007" s="41" t="s">
        <v>103</v>
      </c>
      <c r="H1007" s="41">
        <v>0</v>
      </c>
      <c r="I1007" s="41">
        <v>1</v>
      </c>
      <c r="J1007" s="108">
        <f>POWER(POWER(Table2[[#This Row],[mv]],4)/10,0.25)</f>
        <v>1.9681946381662216E-3</v>
      </c>
      <c r="K1007" s="41">
        <v>0</v>
      </c>
      <c r="L1007" s="41">
        <v>55</v>
      </c>
      <c r="M1007" s="41">
        <v>-1</v>
      </c>
      <c r="N1007" s="41">
        <v>4</v>
      </c>
      <c r="O1007" s="111" t="s">
        <v>1523</v>
      </c>
      <c r="P1007" s="109">
        <v>192946</v>
      </c>
      <c r="Q1007" s="41"/>
      <c r="R1007" s="111"/>
      <c r="S1007" s="110" t="s">
        <v>1623</v>
      </c>
    </row>
    <row r="1008" spans="1:19">
      <c r="A1008" s="105">
        <v>1007</v>
      </c>
      <c r="B1008" s="41">
        <v>12000000</v>
      </c>
      <c r="C1008" s="41">
        <v>3.5000000000000001E-3</v>
      </c>
      <c r="D1008" s="41">
        <v>7.3360000000000003</v>
      </c>
      <c r="E1008" s="41">
        <v>30</v>
      </c>
      <c r="F1008" s="41">
        <v>0</v>
      </c>
      <c r="G1008" s="41" t="s">
        <v>103</v>
      </c>
      <c r="H1008" s="41">
        <v>0</v>
      </c>
      <c r="I1008" s="41">
        <v>1</v>
      </c>
      <c r="J1008" s="108">
        <f>POWER(POWER(Table2[[#This Row],[mv]],4)/10,0.25)</f>
        <v>1.9681946381662216E-3</v>
      </c>
      <c r="K1008" s="41">
        <v>0</v>
      </c>
      <c r="L1008" s="41">
        <v>55</v>
      </c>
      <c r="M1008" s="41">
        <v>-1</v>
      </c>
      <c r="N1008" s="41">
        <v>4</v>
      </c>
      <c r="O1008" s="111" t="s">
        <v>1524</v>
      </c>
      <c r="P1008" s="109">
        <v>192946</v>
      </c>
      <c r="Q1008" s="41"/>
      <c r="R1008" s="111"/>
      <c r="S1008" s="110" t="s">
        <v>1623</v>
      </c>
    </row>
    <row r="1009" spans="1:19">
      <c r="A1009" s="105">
        <v>1008</v>
      </c>
      <c r="B1009" s="41">
        <v>12000000</v>
      </c>
      <c r="C1009" s="41">
        <v>3.5000000000000001E-3</v>
      </c>
      <c r="D1009" s="41">
        <v>8</v>
      </c>
      <c r="E1009" s="41">
        <v>30</v>
      </c>
      <c r="F1009" s="41">
        <v>0</v>
      </c>
      <c r="G1009" s="41" t="s">
        <v>103</v>
      </c>
      <c r="H1009" s="41">
        <v>0</v>
      </c>
      <c r="I1009" s="41">
        <v>1</v>
      </c>
      <c r="J1009" s="108">
        <f>POWER(POWER(Table2[[#This Row],[mv]],4)/10,0.25)</f>
        <v>1.9681946381662216E-3</v>
      </c>
      <c r="K1009" s="41">
        <v>0</v>
      </c>
      <c r="L1009" s="41">
        <v>55</v>
      </c>
      <c r="M1009" s="41">
        <v>-1</v>
      </c>
      <c r="N1009" s="41">
        <v>4</v>
      </c>
      <c r="O1009" s="111" t="s">
        <v>1525</v>
      </c>
      <c r="P1009" s="109">
        <v>192946</v>
      </c>
      <c r="Q1009" s="41"/>
      <c r="R1009" s="111"/>
      <c r="S1009" s="110" t="s">
        <v>1623</v>
      </c>
    </row>
    <row r="1010" spans="1:19">
      <c r="A1010" s="105">
        <v>1009</v>
      </c>
      <c r="B1010" s="41">
        <v>12000000</v>
      </c>
      <c r="C1010" s="41">
        <v>3.5000000000000001E-3</v>
      </c>
      <c r="D1010" s="41">
        <v>8.7241</v>
      </c>
      <c r="E1010" s="41">
        <v>30</v>
      </c>
      <c r="F1010" s="41">
        <v>0</v>
      </c>
      <c r="G1010" s="41" t="s">
        <v>103</v>
      </c>
      <c r="H1010" s="41">
        <v>0</v>
      </c>
      <c r="I1010" s="41">
        <v>1</v>
      </c>
      <c r="J1010" s="108">
        <f>POWER(POWER(Table2[[#This Row],[mv]],4)/10,0.25)</f>
        <v>1.9681946381662216E-3</v>
      </c>
      <c r="K1010" s="41">
        <v>0</v>
      </c>
      <c r="L1010" s="41">
        <v>55</v>
      </c>
      <c r="M1010" s="41">
        <v>-1</v>
      </c>
      <c r="N1010" s="41">
        <v>4</v>
      </c>
      <c r="O1010" s="111" t="s">
        <v>1526</v>
      </c>
      <c r="P1010" s="109">
        <v>192946</v>
      </c>
      <c r="Q1010" s="41"/>
      <c r="R1010" s="111"/>
      <c r="S1010" s="110" t="s">
        <v>1623</v>
      </c>
    </row>
    <row r="1011" spans="1:19">
      <c r="A1011" s="105">
        <v>1010</v>
      </c>
      <c r="B1011" s="41">
        <v>12000000</v>
      </c>
      <c r="C1011" s="41">
        <v>3.5000000000000001E-3</v>
      </c>
      <c r="D1011" s="41">
        <v>9.5137</v>
      </c>
      <c r="E1011" s="41">
        <v>30</v>
      </c>
      <c r="F1011" s="41">
        <v>0</v>
      </c>
      <c r="G1011" s="41" t="s">
        <v>103</v>
      </c>
      <c r="H1011" s="41">
        <v>0</v>
      </c>
      <c r="I1011" s="41">
        <v>1</v>
      </c>
      <c r="J1011" s="108">
        <f>POWER(POWER(Table2[[#This Row],[mv]],4)/10,0.25)</f>
        <v>1.9681946381662216E-3</v>
      </c>
      <c r="K1011" s="41">
        <v>0</v>
      </c>
      <c r="L1011" s="41">
        <v>55</v>
      </c>
      <c r="M1011" s="41">
        <v>-1</v>
      </c>
      <c r="N1011" s="41">
        <v>4</v>
      </c>
      <c r="O1011" s="111" t="s">
        <v>1527</v>
      </c>
      <c r="P1011" s="109">
        <v>192946</v>
      </c>
      <c r="Q1011" s="41"/>
      <c r="R1011" s="111"/>
      <c r="S1011" s="110" t="s">
        <v>1623</v>
      </c>
    </row>
    <row r="1012" spans="1:19">
      <c r="A1012" s="105">
        <v>1011</v>
      </c>
      <c r="B1012" s="41">
        <v>12000000</v>
      </c>
      <c r="C1012" s="41">
        <v>3.5000000000000001E-3</v>
      </c>
      <c r="D1012" s="41">
        <v>10.374700000000001</v>
      </c>
      <c r="E1012" s="41">
        <v>30</v>
      </c>
      <c r="F1012" s="41">
        <v>0</v>
      </c>
      <c r="G1012" s="41" t="s">
        <v>103</v>
      </c>
      <c r="H1012" s="41">
        <v>0</v>
      </c>
      <c r="I1012" s="41">
        <v>1</v>
      </c>
      <c r="J1012" s="108">
        <f>POWER(POWER(Table2[[#This Row],[mv]],4)/10,0.25)</f>
        <v>1.9681946381662216E-3</v>
      </c>
      <c r="K1012" s="41">
        <v>0</v>
      </c>
      <c r="L1012" s="41">
        <v>55</v>
      </c>
      <c r="M1012" s="41">
        <v>-1</v>
      </c>
      <c r="N1012" s="41">
        <v>4</v>
      </c>
      <c r="O1012" s="111" t="s">
        <v>1528</v>
      </c>
      <c r="P1012" s="109">
        <v>192946</v>
      </c>
      <c r="Q1012" s="41"/>
      <c r="R1012" s="111"/>
      <c r="S1012" s="110" t="s">
        <v>1623</v>
      </c>
    </row>
    <row r="1013" spans="1:19">
      <c r="A1013" s="105">
        <v>1012</v>
      </c>
      <c r="B1013" s="41">
        <v>12000000</v>
      </c>
      <c r="C1013" s="41">
        <v>3.5000000000000001E-3</v>
      </c>
      <c r="D1013" s="41">
        <v>11.313700000000001</v>
      </c>
      <c r="E1013" s="41">
        <v>30</v>
      </c>
      <c r="F1013" s="41">
        <v>0</v>
      </c>
      <c r="G1013" s="41" t="s">
        <v>103</v>
      </c>
      <c r="H1013" s="41">
        <v>0</v>
      </c>
      <c r="I1013" s="41">
        <v>1</v>
      </c>
      <c r="J1013" s="108">
        <f>POWER(POWER(Table2[[#This Row],[mv]],4)/10,0.25)</f>
        <v>1.9681946381662216E-3</v>
      </c>
      <c r="K1013" s="41">
        <v>0</v>
      </c>
      <c r="L1013" s="41">
        <v>55</v>
      </c>
      <c r="M1013" s="41">
        <v>-1</v>
      </c>
      <c r="N1013" s="41">
        <v>4</v>
      </c>
      <c r="O1013" s="111" t="s">
        <v>1529</v>
      </c>
      <c r="P1013" s="109">
        <v>192946</v>
      </c>
      <c r="Q1013" s="41"/>
      <c r="R1013" s="111"/>
      <c r="S1013" s="110" t="s">
        <v>1623</v>
      </c>
    </row>
    <row r="1014" spans="1:19">
      <c r="A1014" s="105">
        <v>1013</v>
      </c>
      <c r="B1014" s="41">
        <v>12000000</v>
      </c>
      <c r="C1014" s="41">
        <v>3.5000000000000001E-3</v>
      </c>
      <c r="D1014" s="41">
        <v>12.3377</v>
      </c>
      <c r="E1014" s="41">
        <v>30</v>
      </c>
      <c r="F1014" s="41">
        <v>0</v>
      </c>
      <c r="G1014" s="41" t="s">
        <v>103</v>
      </c>
      <c r="H1014" s="41">
        <v>0</v>
      </c>
      <c r="I1014" s="41">
        <v>1</v>
      </c>
      <c r="J1014" s="108">
        <f>POWER(POWER(Table2[[#This Row],[mv]],4)/10,0.25)</f>
        <v>1.9681946381662216E-3</v>
      </c>
      <c r="K1014" s="41">
        <v>0</v>
      </c>
      <c r="L1014" s="41">
        <v>55</v>
      </c>
      <c r="M1014" s="41">
        <v>-1</v>
      </c>
      <c r="N1014" s="41">
        <v>4</v>
      </c>
      <c r="O1014" s="111" t="s">
        <v>1530</v>
      </c>
      <c r="P1014" s="109">
        <v>192946</v>
      </c>
      <c r="Q1014" s="41"/>
      <c r="R1014" s="111"/>
      <c r="S1014" s="110" t="s">
        <v>1623</v>
      </c>
    </row>
    <row r="1015" spans="1:19">
      <c r="A1015" s="105">
        <v>1014</v>
      </c>
      <c r="B1015" s="41">
        <v>12000000</v>
      </c>
      <c r="C1015" s="41">
        <v>3.5000000000000001E-3</v>
      </c>
      <c r="D1015" s="41">
        <v>13.4543</v>
      </c>
      <c r="E1015" s="41">
        <v>30</v>
      </c>
      <c r="F1015" s="41">
        <v>0</v>
      </c>
      <c r="G1015" s="41" t="s">
        <v>103</v>
      </c>
      <c r="H1015" s="41">
        <v>0</v>
      </c>
      <c r="I1015" s="41">
        <v>1</v>
      </c>
      <c r="J1015" s="108">
        <f>POWER(POWER(Table2[[#This Row],[mv]],4)/10,0.25)</f>
        <v>1.9681946381662216E-3</v>
      </c>
      <c r="K1015" s="41">
        <v>0</v>
      </c>
      <c r="L1015" s="41">
        <v>55</v>
      </c>
      <c r="M1015" s="41">
        <v>-1</v>
      </c>
      <c r="N1015" s="41">
        <v>4</v>
      </c>
      <c r="O1015" s="111" t="s">
        <v>1531</v>
      </c>
      <c r="P1015" s="109">
        <v>192946</v>
      </c>
      <c r="Q1015" s="41"/>
      <c r="R1015" s="111"/>
      <c r="S1015" s="110" t="s">
        <v>1623</v>
      </c>
    </row>
    <row r="1016" spans="1:19">
      <c r="A1016" s="105">
        <v>1015</v>
      </c>
      <c r="B1016" s="41">
        <v>12000000</v>
      </c>
      <c r="C1016" s="41">
        <v>3.5000000000000001E-3</v>
      </c>
      <c r="D1016" s="41">
        <v>14.6721</v>
      </c>
      <c r="E1016" s="41">
        <v>30</v>
      </c>
      <c r="F1016" s="41">
        <v>0</v>
      </c>
      <c r="G1016" s="41" t="s">
        <v>103</v>
      </c>
      <c r="H1016" s="41">
        <v>0</v>
      </c>
      <c r="I1016" s="41">
        <v>1</v>
      </c>
      <c r="J1016" s="108">
        <f>POWER(POWER(Table2[[#This Row],[mv]],4)/10,0.25)</f>
        <v>1.9681946381662216E-3</v>
      </c>
      <c r="K1016" s="41">
        <v>0</v>
      </c>
      <c r="L1016" s="41">
        <v>55</v>
      </c>
      <c r="M1016" s="41">
        <v>-1</v>
      </c>
      <c r="N1016" s="41">
        <v>4</v>
      </c>
      <c r="O1016" s="111" t="s">
        <v>1532</v>
      </c>
      <c r="P1016" s="109">
        <v>192946</v>
      </c>
      <c r="Q1016" s="41"/>
      <c r="R1016" s="111"/>
      <c r="S1016" s="110" t="s">
        <v>1623</v>
      </c>
    </row>
    <row r="1017" spans="1:19">
      <c r="A1017" s="105">
        <v>1016</v>
      </c>
      <c r="B1017" s="41">
        <v>12000000</v>
      </c>
      <c r="C1017" s="41">
        <v>3.5000000000000001E-3</v>
      </c>
      <c r="D1017" s="41">
        <v>16</v>
      </c>
      <c r="E1017" s="41">
        <v>30</v>
      </c>
      <c r="F1017" s="41">
        <v>0</v>
      </c>
      <c r="G1017" s="41" t="s">
        <v>103</v>
      </c>
      <c r="H1017" s="41">
        <v>0</v>
      </c>
      <c r="I1017" s="41">
        <v>1</v>
      </c>
      <c r="J1017" s="108">
        <f>POWER(POWER(Table2[[#This Row],[mv]],4)/10,0.25)</f>
        <v>1.9681946381662216E-3</v>
      </c>
      <c r="K1017" s="41">
        <v>0</v>
      </c>
      <c r="L1017" s="41">
        <v>55</v>
      </c>
      <c r="M1017" s="41">
        <v>-1</v>
      </c>
      <c r="N1017" s="41">
        <v>4</v>
      </c>
      <c r="O1017" s="111" t="s">
        <v>1533</v>
      </c>
      <c r="P1017" s="109">
        <v>192946</v>
      </c>
      <c r="Q1017" s="41"/>
      <c r="R1017" s="111"/>
      <c r="S1017" s="110" t="s">
        <v>1623</v>
      </c>
    </row>
    <row r="1018" spans="1:19">
      <c r="A1018" s="105">
        <v>1017</v>
      </c>
      <c r="B1018" s="41">
        <v>12000000</v>
      </c>
      <c r="C1018" s="41">
        <v>3.5000000000000001E-3</v>
      </c>
      <c r="D1018" s="41">
        <v>17.4481</v>
      </c>
      <c r="E1018" s="41">
        <v>30</v>
      </c>
      <c r="F1018" s="41">
        <v>0</v>
      </c>
      <c r="G1018" s="41" t="s">
        <v>103</v>
      </c>
      <c r="H1018" s="41">
        <v>0</v>
      </c>
      <c r="I1018" s="41">
        <v>1</v>
      </c>
      <c r="J1018" s="108">
        <f>POWER(POWER(Table2[[#This Row],[mv]],4)/10,0.25)</f>
        <v>1.9681946381662216E-3</v>
      </c>
      <c r="K1018" s="41">
        <v>0</v>
      </c>
      <c r="L1018" s="41">
        <v>55</v>
      </c>
      <c r="M1018" s="41">
        <v>-1</v>
      </c>
      <c r="N1018" s="41">
        <v>4</v>
      </c>
      <c r="O1018" s="111" t="s">
        <v>1534</v>
      </c>
      <c r="P1018" s="109">
        <v>192946</v>
      </c>
      <c r="Q1018" s="41"/>
      <c r="R1018" s="111"/>
      <c r="S1018" s="110" t="s">
        <v>1623</v>
      </c>
    </row>
    <row r="1019" spans="1:19">
      <c r="A1019" s="105">
        <v>1018</v>
      </c>
      <c r="B1019" s="41">
        <v>12000000</v>
      </c>
      <c r="C1019" s="41">
        <v>3.5000000000000001E-3</v>
      </c>
      <c r="D1019" s="41">
        <v>19.0273</v>
      </c>
      <c r="E1019" s="41">
        <v>30</v>
      </c>
      <c r="F1019" s="41">
        <v>0</v>
      </c>
      <c r="G1019" s="41" t="s">
        <v>103</v>
      </c>
      <c r="H1019" s="41">
        <v>0</v>
      </c>
      <c r="I1019" s="41">
        <v>1</v>
      </c>
      <c r="J1019" s="108">
        <f>POWER(POWER(Table2[[#This Row],[mv]],4)/10,0.25)</f>
        <v>1.9681946381662216E-3</v>
      </c>
      <c r="K1019" s="41">
        <v>0</v>
      </c>
      <c r="L1019" s="41">
        <v>55</v>
      </c>
      <c r="M1019" s="41">
        <v>-1</v>
      </c>
      <c r="N1019" s="41">
        <v>4</v>
      </c>
      <c r="O1019" s="111" t="s">
        <v>1535</v>
      </c>
      <c r="P1019" s="109">
        <v>192946</v>
      </c>
      <c r="Q1019" s="41"/>
      <c r="R1019" s="111"/>
      <c r="S1019" s="110" t="s">
        <v>1623</v>
      </c>
    </row>
    <row r="1020" spans="1:19">
      <c r="A1020" s="105">
        <v>1019</v>
      </c>
      <c r="B1020" s="41">
        <v>12000000</v>
      </c>
      <c r="C1020" s="41">
        <v>3.8E-3</v>
      </c>
      <c r="D1020" s="41">
        <v>4.7568000000000001</v>
      </c>
      <c r="E1020" s="41">
        <v>30</v>
      </c>
      <c r="F1020" s="41">
        <v>0</v>
      </c>
      <c r="G1020" s="41" t="s">
        <v>103</v>
      </c>
      <c r="H1020" s="41">
        <v>0</v>
      </c>
      <c r="I1020" s="41">
        <v>1</v>
      </c>
      <c r="J1020" s="108">
        <f>POWER(POWER(Table2[[#This Row],[mv]],4)/10,0.25)</f>
        <v>2.1368970357233258E-3</v>
      </c>
      <c r="K1020" s="41">
        <v>0</v>
      </c>
      <c r="L1020" s="41">
        <v>55</v>
      </c>
      <c r="M1020" s="41">
        <v>-1</v>
      </c>
      <c r="N1020" s="41">
        <v>4</v>
      </c>
      <c r="O1020" s="111" t="s">
        <v>1536</v>
      </c>
      <c r="P1020" s="109">
        <v>192946</v>
      </c>
      <c r="Q1020" s="41"/>
      <c r="R1020" s="111"/>
      <c r="S1020" s="110" t="s">
        <v>1623</v>
      </c>
    </row>
    <row r="1021" spans="1:19">
      <c r="A1021" s="105">
        <v>1020</v>
      </c>
      <c r="B1021" s="41">
        <v>12000000</v>
      </c>
      <c r="C1021" s="41">
        <v>3.8E-3</v>
      </c>
      <c r="D1021" s="41">
        <v>5.1874000000000002</v>
      </c>
      <c r="E1021" s="41">
        <v>30</v>
      </c>
      <c r="F1021" s="41">
        <v>0</v>
      </c>
      <c r="G1021" s="41" t="s">
        <v>103</v>
      </c>
      <c r="H1021" s="41">
        <v>0</v>
      </c>
      <c r="I1021" s="41">
        <v>1</v>
      </c>
      <c r="J1021" s="108">
        <f>POWER(POWER(Table2[[#This Row],[mv]],4)/10,0.25)</f>
        <v>2.1368970357233258E-3</v>
      </c>
      <c r="K1021" s="41">
        <v>0</v>
      </c>
      <c r="L1021" s="41">
        <v>55</v>
      </c>
      <c r="M1021" s="41">
        <v>-1</v>
      </c>
      <c r="N1021" s="41">
        <v>4</v>
      </c>
      <c r="O1021" s="111" t="s">
        <v>1537</v>
      </c>
      <c r="P1021" s="109">
        <v>192946</v>
      </c>
      <c r="Q1021" s="41"/>
      <c r="R1021" s="111"/>
      <c r="S1021" s="110" t="s">
        <v>1623</v>
      </c>
    </row>
    <row r="1022" spans="1:19">
      <c r="A1022" s="105">
        <v>1021</v>
      </c>
      <c r="B1022" s="41">
        <v>12000000</v>
      </c>
      <c r="C1022" s="41">
        <v>3.8E-3</v>
      </c>
      <c r="D1022" s="41">
        <v>5.6569000000000003</v>
      </c>
      <c r="E1022" s="41">
        <v>30</v>
      </c>
      <c r="F1022" s="41">
        <v>0</v>
      </c>
      <c r="G1022" s="41" t="s">
        <v>103</v>
      </c>
      <c r="H1022" s="41">
        <v>0</v>
      </c>
      <c r="I1022" s="41">
        <v>1</v>
      </c>
      <c r="J1022" s="108">
        <f>POWER(POWER(Table2[[#This Row],[mv]],4)/10,0.25)</f>
        <v>2.1368970357233258E-3</v>
      </c>
      <c r="K1022" s="41">
        <v>0</v>
      </c>
      <c r="L1022" s="41">
        <v>55</v>
      </c>
      <c r="M1022" s="41">
        <v>-1</v>
      </c>
      <c r="N1022" s="41">
        <v>4</v>
      </c>
      <c r="O1022" s="111" t="s">
        <v>1538</v>
      </c>
      <c r="P1022" s="109">
        <v>192946</v>
      </c>
      <c r="Q1022" s="41"/>
      <c r="R1022" s="111"/>
      <c r="S1022" s="110" t="s">
        <v>1623</v>
      </c>
    </row>
    <row r="1023" spans="1:19">
      <c r="A1023" s="105">
        <v>1022</v>
      </c>
      <c r="B1023" s="41">
        <v>12000000</v>
      </c>
      <c r="C1023" s="41">
        <v>3.8E-3</v>
      </c>
      <c r="D1023" s="41">
        <v>6.1688000000000001</v>
      </c>
      <c r="E1023" s="41">
        <v>30</v>
      </c>
      <c r="F1023" s="41">
        <v>0</v>
      </c>
      <c r="G1023" s="41" t="s">
        <v>103</v>
      </c>
      <c r="H1023" s="41">
        <v>0</v>
      </c>
      <c r="I1023" s="41">
        <v>1</v>
      </c>
      <c r="J1023" s="108">
        <f>POWER(POWER(Table2[[#This Row],[mv]],4)/10,0.25)</f>
        <v>2.1368970357233258E-3</v>
      </c>
      <c r="K1023" s="41">
        <v>0</v>
      </c>
      <c r="L1023" s="41">
        <v>55</v>
      </c>
      <c r="M1023" s="41">
        <v>-1</v>
      </c>
      <c r="N1023" s="41">
        <v>4</v>
      </c>
      <c r="O1023" s="111" t="s">
        <v>1539</v>
      </c>
      <c r="P1023" s="109">
        <v>192946</v>
      </c>
      <c r="Q1023" s="41"/>
      <c r="R1023" s="111"/>
      <c r="S1023" s="110" t="s">
        <v>1623</v>
      </c>
    </row>
    <row r="1024" spans="1:19">
      <c r="A1024" s="105">
        <v>1023</v>
      </c>
      <c r="B1024" s="41">
        <v>12000000</v>
      </c>
      <c r="C1024" s="41">
        <v>3.8E-3</v>
      </c>
      <c r="D1024" s="41">
        <v>6.7271999999999998</v>
      </c>
      <c r="E1024" s="41">
        <v>30</v>
      </c>
      <c r="F1024" s="41">
        <v>0</v>
      </c>
      <c r="G1024" s="41" t="s">
        <v>103</v>
      </c>
      <c r="H1024" s="41">
        <v>0</v>
      </c>
      <c r="I1024" s="41">
        <v>1</v>
      </c>
      <c r="J1024" s="108">
        <f>POWER(POWER(Table2[[#This Row],[mv]],4)/10,0.25)</f>
        <v>2.1368970357233258E-3</v>
      </c>
      <c r="K1024" s="41">
        <v>0</v>
      </c>
      <c r="L1024" s="41">
        <v>55</v>
      </c>
      <c r="M1024" s="41">
        <v>-1</v>
      </c>
      <c r="N1024" s="41">
        <v>4</v>
      </c>
      <c r="O1024" s="111" t="s">
        <v>1540</v>
      </c>
      <c r="P1024" s="109">
        <v>192946</v>
      </c>
      <c r="Q1024" s="41"/>
      <c r="R1024" s="111"/>
      <c r="S1024" s="110" t="s">
        <v>1623</v>
      </c>
    </row>
    <row r="1025" spans="1:19">
      <c r="A1025" s="105">
        <v>1024</v>
      </c>
      <c r="B1025" s="41">
        <v>12000000</v>
      </c>
      <c r="C1025" s="41">
        <v>3.8E-3</v>
      </c>
      <c r="D1025" s="41">
        <v>7.3360000000000003</v>
      </c>
      <c r="E1025" s="41">
        <v>30</v>
      </c>
      <c r="F1025" s="41">
        <v>0</v>
      </c>
      <c r="G1025" s="41" t="s">
        <v>103</v>
      </c>
      <c r="H1025" s="41">
        <v>0</v>
      </c>
      <c r="I1025" s="41">
        <v>1</v>
      </c>
      <c r="J1025" s="108">
        <f>POWER(POWER(Table2[[#This Row],[mv]],4)/10,0.25)</f>
        <v>2.1368970357233258E-3</v>
      </c>
      <c r="K1025" s="41">
        <v>0</v>
      </c>
      <c r="L1025" s="41">
        <v>55</v>
      </c>
      <c r="M1025" s="41">
        <v>-1</v>
      </c>
      <c r="N1025" s="41">
        <v>4</v>
      </c>
      <c r="O1025" s="111" t="s">
        <v>1541</v>
      </c>
      <c r="P1025" s="109">
        <v>192946</v>
      </c>
      <c r="Q1025" s="41"/>
      <c r="R1025" s="111"/>
      <c r="S1025" s="110" t="s">
        <v>1623</v>
      </c>
    </row>
    <row r="1026" spans="1:19">
      <c r="A1026" s="105">
        <v>1025</v>
      </c>
      <c r="B1026" s="41">
        <v>12000000</v>
      </c>
      <c r="C1026" s="41">
        <v>3.8E-3</v>
      </c>
      <c r="D1026" s="41">
        <v>8</v>
      </c>
      <c r="E1026" s="41">
        <v>30</v>
      </c>
      <c r="F1026" s="41">
        <v>0</v>
      </c>
      <c r="G1026" s="41" t="s">
        <v>103</v>
      </c>
      <c r="H1026" s="41">
        <v>0</v>
      </c>
      <c r="I1026" s="41">
        <v>1</v>
      </c>
      <c r="J1026" s="108">
        <f>POWER(POWER(Table2[[#This Row],[mv]],4)/10,0.25)</f>
        <v>2.1368970357233258E-3</v>
      </c>
      <c r="K1026" s="41">
        <v>0</v>
      </c>
      <c r="L1026" s="41">
        <v>55</v>
      </c>
      <c r="M1026" s="41">
        <v>-1</v>
      </c>
      <c r="N1026" s="41">
        <v>4</v>
      </c>
      <c r="O1026" s="111" t="s">
        <v>1542</v>
      </c>
      <c r="P1026" s="109">
        <v>192946</v>
      </c>
      <c r="Q1026" s="41"/>
      <c r="R1026" s="111"/>
      <c r="S1026" s="110" t="s">
        <v>1623</v>
      </c>
    </row>
    <row r="1027" spans="1:19">
      <c r="A1027" s="105">
        <v>1026</v>
      </c>
      <c r="B1027" s="41">
        <v>12000000</v>
      </c>
      <c r="C1027" s="41">
        <v>3.8E-3</v>
      </c>
      <c r="D1027" s="41">
        <v>8.7241</v>
      </c>
      <c r="E1027" s="41">
        <v>30</v>
      </c>
      <c r="F1027" s="41">
        <v>0</v>
      </c>
      <c r="G1027" s="41" t="s">
        <v>103</v>
      </c>
      <c r="H1027" s="41">
        <v>0</v>
      </c>
      <c r="I1027" s="41">
        <v>1</v>
      </c>
      <c r="J1027" s="108">
        <f>POWER(POWER(Table2[[#This Row],[mv]],4)/10,0.25)</f>
        <v>2.1368970357233258E-3</v>
      </c>
      <c r="K1027" s="41">
        <v>0</v>
      </c>
      <c r="L1027" s="41">
        <v>55</v>
      </c>
      <c r="M1027" s="41">
        <v>-1</v>
      </c>
      <c r="N1027" s="41">
        <v>4</v>
      </c>
      <c r="O1027" s="111" t="s">
        <v>1543</v>
      </c>
      <c r="P1027" s="109">
        <v>192946</v>
      </c>
      <c r="Q1027" s="41"/>
      <c r="R1027" s="111"/>
      <c r="S1027" s="110" t="s">
        <v>1623</v>
      </c>
    </row>
    <row r="1028" spans="1:19">
      <c r="A1028" s="105">
        <v>1027</v>
      </c>
      <c r="B1028" s="41">
        <v>12000000</v>
      </c>
      <c r="C1028" s="41">
        <v>3.8E-3</v>
      </c>
      <c r="D1028" s="41">
        <v>9.5137</v>
      </c>
      <c r="E1028" s="41">
        <v>30</v>
      </c>
      <c r="F1028" s="41">
        <v>0</v>
      </c>
      <c r="G1028" s="41" t="s">
        <v>103</v>
      </c>
      <c r="H1028" s="41">
        <v>0</v>
      </c>
      <c r="I1028" s="41">
        <v>1</v>
      </c>
      <c r="J1028" s="108">
        <f>POWER(POWER(Table2[[#This Row],[mv]],4)/10,0.25)</f>
        <v>2.1368970357233258E-3</v>
      </c>
      <c r="K1028" s="41">
        <v>0</v>
      </c>
      <c r="L1028" s="41">
        <v>55</v>
      </c>
      <c r="M1028" s="41">
        <v>-1</v>
      </c>
      <c r="N1028" s="41">
        <v>4</v>
      </c>
      <c r="O1028" s="111" t="s">
        <v>1544</v>
      </c>
      <c r="P1028" s="109">
        <v>192946</v>
      </c>
      <c r="Q1028" s="41"/>
      <c r="R1028" s="111"/>
      <c r="S1028" s="110" t="s">
        <v>1623</v>
      </c>
    </row>
    <row r="1029" spans="1:19">
      <c r="A1029" s="105">
        <v>1028</v>
      </c>
      <c r="B1029" s="41">
        <v>12000000</v>
      </c>
      <c r="C1029" s="41">
        <v>3.8E-3</v>
      </c>
      <c r="D1029" s="41">
        <v>10.374700000000001</v>
      </c>
      <c r="E1029" s="41">
        <v>30</v>
      </c>
      <c r="F1029" s="41">
        <v>0</v>
      </c>
      <c r="G1029" s="41" t="s">
        <v>103</v>
      </c>
      <c r="H1029" s="41">
        <v>0</v>
      </c>
      <c r="I1029" s="41">
        <v>1</v>
      </c>
      <c r="J1029" s="108">
        <f>POWER(POWER(Table2[[#This Row],[mv]],4)/10,0.25)</f>
        <v>2.1368970357233258E-3</v>
      </c>
      <c r="K1029" s="41">
        <v>0</v>
      </c>
      <c r="L1029" s="41">
        <v>55</v>
      </c>
      <c r="M1029" s="41">
        <v>-1</v>
      </c>
      <c r="N1029" s="41">
        <v>4</v>
      </c>
      <c r="O1029" s="111" t="s">
        <v>1545</v>
      </c>
      <c r="P1029" s="109">
        <v>192946</v>
      </c>
      <c r="Q1029" s="41"/>
      <c r="R1029" s="111"/>
      <c r="S1029" s="110" t="s">
        <v>1623</v>
      </c>
    </row>
    <row r="1030" spans="1:19">
      <c r="A1030" s="105">
        <v>1029</v>
      </c>
      <c r="B1030" s="41">
        <v>12000000</v>
      </c>
      <c r="C1030" s="41">
        <v>3.8E-3</v>
      </c>
      <c r="D1030" s="41">
        <v>11.313700000000001</v>
      </c>
      <c r="E1030" s="41">
        <v>30</v>
      </c>
      <c r="F1030" s="41">
        <v>0</v>
      </c>
      <c r="G1030" s="41" t="s">
        <v>103</v>
      </c>
      <c r="H1030" s="41">
        <v>0</v>
      </c>
      <c r="I1030" s="41">
        <v>1</v>
      </c>
      <c r="J1030" s="108">
        <f>POWER(POWER(Table2[[#This Row],[mv]],4)/10,0.25)</f>
        <v>2.1368970357233258E-3</v>
      </c>
      <c r="K1030" s="41">
        <v>0</v>
      </c>
      <c r="L1030" s="41">
        <v>55</v>
      </c>
      <c r="M1030" s="41">
        <v>-1</v>
      </c>
      <c r="N1030" s="41">
        <v>4</v>
      </c>
      <c r="O1030" s="111" t="s">
        <v>1546</v>
      </c>
      <c r="P1030" s="109">
        <v>192946</v>
      </c>
      <c r="Q1030" s="41"/>
      <c r="R1030" s="111"/>
      <c r="S1030" s="110" t="s">
        <v>1623</v>
      </c>
    </row>
    <row r="1031" spans="1:19">
      <c r="A1031" s="105">
        <v>1030</v>
      </c>
      <c r="B1031" s="41">
        <v>12000000</v>
      </c>
      <c r="C1031" s="41">
        <v>3.8E-3</v>
      </c>
      <c r="D1031" s="41">
        <v>12.3377</v>
      </c>
      <c r="E1031" s="41">
        <v>30</v>
      </c>
      <c r="F1031" s="41">
        <v>0</v>
      </c>
      <c r="G1031" s="41" t="s">
        <v>103</v>
      </c>
      <c r="H1031" s="41">
        <v>0</v>
      </c>
      <c r="I1031" s="41">
        <v>1</v>
      </c>
      <c r="J1031" s="108">
        <f>POWER(POWER(Table2[[#This Row],[mv]],4)/10,0.25)</f>
        <v>2.1368970357233258E-3</v>
      </c>
      <c r="K1031" s="41">
        <v>0</v>
      </c>
      <c r="L1031" s="41">
        <v>55</v>
      </c>
      <c r="M1031" s="41">
        <v>-1</v>
      </c>
      <c r="N1031" s="41">
        <v>4</v>
      </c>
      <c r="O1031" s="111" t="s">
        <v>1547</v>
      </c>
      <c r="P1031" s="109">
        <v>192946</v>
      </c>
      <c r="Q1031" s="41"/>
      <c r="R1031" s="111"/>
      <c r="S1031" s="110" t="s">
        <v>1623</v>
      </c>
    </row>
    <row r="1032" spans="1:19">
      <c r="A1032" s="105">
        <v>1031</v>
      </c>
      <c r="B1032" s="41">
        <v>12000000</v>
      </c>
      <c r="C1032" s="41">
        <v>3.8E-3</v>
      </c>
      <c r="D1032" s="41">
        <v>13.4543</v>
      </c>
      <c r="E1032" s="41">
        <v>30</v>
      </c>
      <c r="F1032" s="41">
        <v>0</v>
      </c>
      <c r="G1032" s="41" t="s">
        <v>103</v>
      </c>
      <c r="H1032" s="41">
        <v>0</v>
      </c>
      <c r="I1032" s="41">
        <v>1</v>
      </c>
      <c r="J1032" s="108">
        <f>POWER(POWER(Table2[[#This Row],[mv]],4)/10,0.25)</f>
        <v>2.1368970357233258E-3</v>
      </c>
      <c r="K1032" s="41">
        <v>0</v>
      </c>
      <c r="L1032" s="41">
        <v>55</v>
      </c>
      <c r="M1032" s="41">
        <v>-1</v>
      </c>
      <c r="N1032" s="41">
        <v>4</v>
      </c>
      <c r="O1032" s="111" t="s">
        <v>1548</v>
      </c>
      <c r="P1032" s="109">
        <v>192946</v>
      </c>
      <c r="Q1032" s="41"/>
      <c r="R1032" s="111"/>
      <c r="S1032" s="110" t="s">
        <v>1623</v>
      </c>
    </row>
    <row r="1033" spans="1:19">
      <c r="A1033" s="105">
        <v>1032</v>
      </c>
      <c r="B1033" s="41">
        <v>12000000</v>
      </c>
      <c r="C1033" s="41">
        <v>3.8E-3</v>
      </c>
      <c r="D1033" s="41">
        <v>14.6721</v>
      </c>
      <c r="E1033" s="41">
        <v>30</v>
      </c>
      <c r="F1033" s="41">
        <v>0</v>
      </c>
      <c r="G1033" s="41" t="s">
        <v>103</v>
      </c>
      <c r="H1033" s="41">
        <v>0</v>
      </c>
      <c r="I1033" s="41">
        <v>1</v>
      </c>
      <c r="J1033" s="108">
        <f>POWER(POWER(Table2[[#This Row],[mv]],4)/10,0.25)</f>
        <v>2.1368970357233258E-3</v>
      </c>
      <c r="K1033" s="41">
        <v>0</v>
      </c>
      <c r="L1033" s="41">
        <v>55</v>
      </c>
      <c r="M1033" s="41">
        <v>-1</v>
      </c>
      <c r="N1033" s="41">
        <v>4</v>
      </c>
      <c r="O1033" s="111" t="s">
        <v>1549</v>
      </c>
      <c r="P1033" s="109">
        <v>192946</v>
      </c>
      <c r="Q1033" s="41"/>
      <c r="R1033" s="111"/>
      <c r="S1033" s="110" t="s">
        <v>1623</v>
      </c>
    </row>
    <row r="1034" spans="1:19">
      <c r="A1034" s="105">
        <v>1033</v>
      </c>
      <c r="B1034" s="41">
        <v>12000000</v>
      </c>
      <c r="C1034" s="41">
        <v>3.8E-3</v>
      </c>
      <c r="D1034" s="41">
        <v>16</v>
      </c>
      <c r="E1034" s="41">
        <v>30</v>
      </c>
      <c r="F1034" s="41">
        <v>0</v>
      </c>
      <c r="G1034" s="41" t="s">
        <v>103</v>
      </c>
      <c r="H1034" s="41">
        <v>0</v>
      </c>
      <c r="I1034" s="41">
        <v>1</v>
      </c>
      <c r="J1034" s="108">
        <f>POWER(POWER(Table2[[#This Row],[mv]],4)/10,0.25)</f>
        <v>2.1368970357233258E-3</v>
      </c>
      <c r="K1034" s="41">
        <v>0</v>
      </c>
      <c r="L1034" s="41">
        <v>55</v>
      </c>
      <c r="M1034" s="41">
        <v>-1</v>
      </c>
      <c r="N1034" s="41">
        <v>4</v>
      </c>
      <c r="O1034" s="111" t="s">
        <v>1550</v>
      </c>
      <c r="P1034" s="109">
        <v>192946</v>
      </c>
      <c r="Q1034" s="41"/>
      <c r="R1034" s="111"/>
      <c r="S1034" s="110" t="s">
        <v>1623</v>
      </c>
    </row>
    <row r="1035" spans="1:19">
      <c r="A1035" s="105">
        <v>1034</v>
      </c>
      <c r="B1035" s="41">
        <v>12000000</v>
      </c>
      <c r="C1035" s="41">
        <v>3.8E-3</v>
      </c>
      <c r="D1035" s="41">
        <v>17.4481</v>
      </c>
      <c r="E1035" s="41">
        <v>30</v>
      </c>
      <c r="F1035" s="41">
        <v>0</v>
      </c>
      <c r="G1035" s="41" t="s">
        <v>103</v>
      </c>
      <c r="H1035" s="41">
        <v>0</v>
      </c>
      <c r="I1035" s="41">
        <v>1</v>
      </c>
      <c r="J1035" s="108">
        <f>POWER(POWER(Table2[[#This Row],[mv]],4)/10,0.25)</f>
        <v>2.1368970357233258E-3</v>
      </c>
      <c r="K1035" s="41">
        <v>0</v>
      </c>
      <c r="L1035" s="41">
        <v>55</v>
      </c>
      <c r="M1035" s="41">
        <v>-1</v>
      </c>
      <c r="N1035" s="41">
        <v>4</v>
      </c>
      <c r="O1035" s="111" t="s">
        <v>1551</v>
      </c>
      <c r="P1035" s="109">
        <v>192946</v>
      </c>
      <c r="Q1035" s="41"/>
      <c r="R1035" s="111"/>
      <c r="S1035" s="110" t="s">
        <v>1623</v>
      </c>
    </row>
    <row r="1036" spans="1:19">
      <c r="A1036" s="105">
        <v>1035</v>
      </c>
      <c r="B1036" s="41">
        <v>12000000</v>
      </c>
      <c r="C1036" s="41">
        <v>3.8E-3</v>
      </c>
      <c r="D1036" s="41">
        <v>19.0273</v>
      </c>
      <c r="E1036" s="41">
        <v>30</v>
      </c>
      <c r="F1036" s="41">
        <v>0</v>
      </c>
      <c r="G1036" s="41" t="s">
        <v>103</v>
      </c>
      <c r="H1036" s="41">
        <v>0</v>
      </c>
      <c r="I1036" s="41">
        <v>1</v>
      </c>
      <c r="J1036" s="108">
        <f>POWER(POWER(Table2[[#This Row],[mv]],4)/10,0.25)</f>
        <v>2.1368970357233258E-3</v>
      </c>
      <c r="K1036" s="41">
        <v>0</v>
      </c>
      <c r="L1036" s="41">
        <v>55</v>
      </c>
      <c r="M1036" s="41">
        <v>-1</v>
      </c>
      <c r="N1036" s="41">
        <v>4</v>
      </c>
      <c r="O1036" s="111" t="s">
        <v>1552</v>
      </c>
      <c r="P1036" s="109">
        <v>192946</v>
      </c>
      <c r="Q1036" s="41"/>
      <c r="R1036" s="111"/>
      <c r="S1036" s="110" t="s">
        <v>1623</v>
      </c>
    </row>
    <row r="1037" spans="1:19">
      <c r="A1037" s="105">
        <v>1036</v>
      </c>
      <c r="B1037" s="41">
        <v>12000000</v>
      </c>
      <c r="C1037" s="41">
        <v>4.1999999999999997E-3</v>
      </c>
      <c r="D1037" s="41">
        <v>5.6569000000000003</v>
      </c>
      <c r="E1037" s="41">
        <v>30</v>
      </c>
      <c r="F1037" s="41">
        <v>0</v>
      </c>
      <c r="G1037" s="41" t="s">
        <v>103</v>
      </c>
      <c r="H1037" s="41">
        <v>0</v>
      </c>
      <c r="I1037" s="41">
        <v>1</v>
      </c>
      <c r="J1037" s="108">
        <f>POWER(POWER(Table2[[#This Row],[mv]],4)/10,0.25)</f>
        <v>2.361833565799467E-3</v>
      </c>
      <c r="K1037" s="41">
        <v>0</v>
      </c>
      <c r="L1037" s="41">
        <v>55</v>
      </c>
      <c r="M1037" s="41">
        <v>-1</v>
      </c>
      <c r="N1037" s="41">
        <v>4</v>
      </c>
      <c r="O1037" s="111" t="s">
        <v>1553</v>
      </c>
      <c r="P1037" s="109">
        <v>193500</v>
      </c>
      <c r="Q1037" s="41"/>
      <c r="R1037" s="111"/>
      <c r="S1037" s="110" t="s">
        <v>1623</v>
      </c>
    </row>
    <row r="1038" spans="1:19">
      <c r="A1038" s="105">
        <v>1037</v>
      </c>
      <c r="B1038" s="41">
        <v>12000000</v>
      </c>
      <c r="C1038" s="41">
        <v>4.1999999999999997E-3</v>
      </c>
      <c r="D1038" s="41">
        <v>6.1688000000000001</v>
      </c>
      <c r="E1038" s="41">
        <v>30</v>
      </c>
      <c r="F1038" s="41">
        <v>0</v>
      </c>
      <c r="G1038" s="41" t="s">
        <v>103</v>
      </c>
      <c r="H1038" s="41">
        <v>0</v>
      </c>
      <c r="I1038" s="41">
        <v>1</v>
      </c>
      <c r="J1038" s="108">
        <f>POWER(POWER(Table2[[#This Row],[mv]],4)/10,0.25)</f>
        <v>2.361833565799467E-3</v>
      </c>
      <c r="K1038" s="41">
        <v>0</v>
      </c>
      <c r="L1038" s="41">
        <v>55</v>
      </c>
      <c r="M1038" s="41">
        <v>-1</v>
      </c>
      <c r="N1038" s="41">
        <v>4</v>
      </c>
      <c r="O1038" s="111" t="s">
        <v>1554</v>
      </c>
      <c r="P1038" s="109">
        <v>193500</v>
      </c>
      <c r="Q1038" s="41"/>
      <c r="R1038" s="111"/>
      <c r="S1038" s="110" t="s">
        <v>1623</v>
      </c>
    </row>
    <row r="1039" spans="1:19">
      <c r="A1039" s="105">
        <v>1038</v>
      </c>
      <c r="B1039" s="41">
        <v>12000000</v>
      </c>
      <c r="C1039" s="41">
        <v>4.1999999999999997E-3</v>
      </c>
      <c r="D1039" s="41">
        <v>6.7271999999999998</v>
      </c>
      <c r="E1039" s="41">
        <v>30</v>
      </c>
      <c r="F1039" s="41">
        <v>0</v>
      </c>
      <c r="G1039" s="41" t="s">
        <v>103</v>
      </c>
      <c r="H1039" s="41">
        <v>0</v>
      </c>
      <c r="I1039" s="41">
        <v>1</v>
      </c>
      <c r="J1039" s="108">
        <f>POWER(POWER(Table2[[#This Row],[mv]],4)/10,0.25)</f>
        <v>2.361833565799467E-3</v>
      </c>
      <c r="K1039" s="41">
        <v>0</v>
      </c>
      <c r="L1039" s="41">
        <v>55</v>
      </c>
      <c r="M1039" s="41">
        <v>-1</v>
      </c>
      <c r="N1039" s="41">
        <v>4</v>
      </c>
      <c r="O1039" s="111" t="s">
        <v>1555</v>
      </c>
      <c r="P1039" s="109">
        <v>193500</v>
      </c>
      <c r="Q1039" s="41"/>
      <c r="R1039" s="111"/>
      <c r="S1039" s="110" t="s">
        <v>1623</v>
      </c>
    </row>
    <row r="1040" spans="1:19">
      <c r="A1040" s="105">
        <v>1039</v>
      </c>
      <c r="B1040" s="41">
        <v>12000000</v>
      </c>
      <c r="C1040" s="41">
        <v>4.1999999999999997E-3</v>
      </c>
      <c r="D1040" s="41">
        <v>7.3360000000000003</v>
      </c>
      <c r="E1040" s="41">
        <v>30</v>
      </c>
      <c r="F1040" s="41">
        <v>0</v>
      </c>
      <c r="G1040" s="41" t="s">
        <v>103</v>
      </c>
      <c r="H1040" s="41">
        <v>0</v>
      </c>
      <c r="I1040" s="41">
        <v>1</v>
      </c>
      <c r="J1040" s="108">
        <f>POWER(POWER(Table2[[#This Row],[mv]],4)/10,0.25)</f>
        <v>2.361833565799467E-3</v>
      </c>
      <c r="K1040" s="41">
        <v>0</v>
      </c>
      <c r="L1040" s="41">
        <v>55</v>
      </c>
      <c r="M1040" s="41">
        <v>-1</v>
      </c>
      <c r="N1040" s="41">
        <v>4</v>
      </c>
      <c r="O1040" s="111" t="s">
        <v>1556</v>
      </c>
      <c r="P1040" s="109">
        <v>193500</v>
      </c>
      <c r="Q1040" s="41"/>
      <c r="R1040" s="111"/>
      <c r="S1040" s="110" t="s">
        <v>1623</v>
      </c>
    </row>
    <row r="1041" spans="1:19">
      <c r="A1041" s="105">
        <v>1040</v>
      </c>
      <c r="B1041" s="41">
        <v>12000000</v>
      </c>
      <c r="C1041" s="41">
        <v>4.1999999999999997E-3</v>
      </c>
      <c r="D1041" s="41">
        <v>8</v>
      </c>
      <c r="E1041" s="41">
        <v>30</v>
      </c>
      <c r="F1041" s="41">
        <v>0</v>
      </c>
      <c r="G1041" s="41" t="s">
        <v>103</v>
      </c>
      <c r="H1041" s="41">
        <v>0</v>
      </c>
      <c r="I1041" s="41">
        <v>1</v>
      </c>
      <c r="J1041" s="108">
        <f>POWER(POWER(Table2[[#This Row],[mv]],4)/10,0.25)</f>
        <v>2.361833565799467E-3</v>
      </c>
      <c r="K1041" s="41">
        <v>0</v>
      </c>
      <c r="L1041" s="41">
        <v>55</v>
      </c>
      <c r="M1041" s="41">
        <v>-1</v>
      </c>
      <c r="N1041" s="41">
        <v>4</v>
      </c>
      <c r="O1041" s="111" t="s">
        <v>1557</v>
      </c>
      <c r="P1041" s="109">
        <v>193500</v>
      </c>
      <c r="Q1041" s="41"/>
      <c r="R1041" s="111"/>
      <c r="S1041" s="110" t="s">
        <v>1623</v>
      </c>
    </row>
    <row r="1042" spans="1:19">
      <c r="A1042" s="105">
        <v>1041</v>
      </c>
      <c r="B1042" s="41">
        <v>12000000</v>
      </c>
      <c r="C1042" s="41">
        <v>4.1999999999999997E-3</v>
      </c>
      <c r="D1042" s="41">
        <v>8.7241</v>
      </c>
      <c r="E1042" s="41">
        <v>30</v>
      </c>
      <c r="F1042" s="41">
        <v>0</v>
      </c>
      <c r="G1042" s="41" t="s">
        <v>103</v>
      </c>
      <c r="H1042" s="41">
        <v>0</v>
      </c>
      <c r="I1042" s="41">
        <v>1</v>
      </c>
      <c r="J1042" s="108">
        <f>POWER(POWER(Table2[[#This Row],[mv]],4)/10,0.25)</f>
        <v>2.361833565799467E-3</v>
      </c>
      <c r="K1042" s="41">
        <v>0</v>
      </c>
      <c r="L1042" s="41">
        <v>55</v>
      </c>
      <c r="M1042" s="41">
        <v>-1</v>
      </c>
      <c r="N1042" s="41">
        <v>4</v>
      </c>
      <c r="O1042" s="111" t="s">
        <v>1558</v>
      </c>
      <c r="P1042" s="109">
        <v>193500</v>
      </c>
      <c r="Q1042" s="41"/>
      <c r="R1042" s="111"/>
      <c r="S1042" s="110" t="s">
        <v>1623</v>
      </c>
    </row>
    <row r="1043" spans="1:19">
      <c r="A1043" s="105">
        <v>1042</v>
      </c>
      <c r="B1043" s="41">
        <v>12000000</v>
      </c>
      <c r="C1043" s="41">
        <v>4.1999999999999997E-3</v>
      </c>
      <c r="D1043" s="41">
        <v>9.5137</v>
      </c>
      <c r="E1043" s="41">
        <v>30</v>
      </c>
      <c r="F1043" s="41">
        <v>0</v>
      </c>
      <c r="G1043" s="41" t="s">
        <v>103</v>
      </c>
      <c r="H1043" s="41">
        <v>0</v>
      </c>
      <c r="I1043" s="41">
        <v>1</v>
      </c>
      <c r="J1043" s="108">
        <f>POWER(POWER(Table2[[#This Row],[mv]],4)/10,0.25)</f>
        <v>2.361833565799467E-3</v>
      </c>
      <c r="K1043" s="41">
        <v>0</v>
      </c>
      <c r="L1043" s="41">
        <v>55</v>
      </c>
      <c r="M1043" s="41">
        <v>-1</v>
      </c>
      <c r="N1043" s="41">
        <v>4</v>
      </c>
      <c r="O1043" s="111" t="s">
        <v>1559</v>
      </c>
      <c r="P1043" s="109">
        <v>193500</v>
      </c>
      <c r="Q1043" s="41"/>
      <c r="R1043" s="111"/>
      <c r="S1043" s="110" t="s">
        <v>1623</v>
      </c>
    </row>
    <row r="1044" spans="1:19">
      <c r="A1044" s="105">
        <v>1043</v>
      </c>
      <c r="B1044" s="41">
        <v>12000000</v>
      </c>
      <c r="C1044" s="41">
        <v>4.1999999999999997E-3</v>
      </c>
      <c r="D1044" s="41">
        <v>10.374700000000001</v>
      </c>
      <c r="E1044" s="41">
        <v>30</v>
      </c>
      <c r="F1044" s="41">
        <v>0</v>
      </c>
      <c r="G1044" s="41" t="s">
        <v>103</v>
      </c>
      <c r="H1044" s="41">
        <v>0</v>
      </c>
      <c r="I1044" s="41">
        <v>1</v>
      </c>
      <c r="J1044" s="108">
        <f>POWER(POWER(Table2[[#This Row],[mv]],4)/10,0.25)</f>
        <v>2.361833565799467E-3</v>
      </c>
      <c r="K1044" s="41">
        <v>0</v>
      </c>
      <c r="L1044" s="41">
        <v>55</v>
      </c>
      <c r="M1044" s="41">
        <v>-1</v>
      </c>
      <c r="N1044" s="41">
        <v>4</v>
      </c>
      <c r="O1044" s="111" t="s">
        <v>1560</v>
      </c>
      <c r="P1044" s="109">
        <v>193505</v>
      </c>
      <c r="Q1044" s="41"/>
      <c r="R1044" s="111"/>
      <c r="S1044" s="110" t="s">
        <v>1623</v>
      </c>
    </row>
    <row r="1045" spans="1:19">
      <c r="A1045" s="105">
        <v>1044</v>
      </c>
      <c r="B1045" s="41">
        <v>12000000</v>
      </c>
      <c r="C1045" s="41">
        <v>4.1999999999999997E-3</v>
      </c>
      <c r="D1045" s="41">
        <v>11.313700000000001</v>
      </c>
      <c r="E1045" s="41">
        <v>30</v>
      </c>
      <c r="F1045" s="41">
        <v>0</v>
      </c>
      <c r="G1045" s="41" t="s">
        <v>103</v>
      </c>
      <c r="H1045" s="41">
        <v>0</v>
      </c>
      <c r="I1045" s="41">
        <v>1</v>
      </c>
      <c r="J1045" s="108">
        <f>POWER(POWER(Table2[[#This Row],[mv]],4)/10,0.25)</f>
        <v>2.361833565799467E-3</v>
      </c>
      <c r="K1045" s="41">
        <v>0</v>
      </c>
      <c r="L1045" s="41">
        <v>55</v>
      </c>
      <c r="M1045" s="41">
        <v>-1</v>
      </c>
      <c r="N1045" s="41">
        <v>4</v>
      </c>
      <c r="O1045" s="111" t="s">
        <v>1561</v>
      </c>
      <c r="P1045" s="109">
        <v>193505</v>
      </c>
      <c r="Q1045" s="41"/>
      <c r="R1045" s="111"/>
      <c r="S1045" s="110" t="s">
        <v>1623</v>
      </c>
    </row>
    <row r="1046" spans="1:19">
      <c r="A1046" s="105">
        <v>1045</v>
      </c>
      <c r="B1046" s="41">
        <v>12000000</v>
      </c>
      <c r="C1046" s="41">
        <v>4.1999999999999997E-3</v>
      </c>
      <c r="D1046" s="41">
        <v>12.3377</v>
      </c>
      <c r="E1046" s="41">
        <v>30</v>
      </c>
      <c r="F1046" s="41">
        <v>0</v>
      </c>
      <c r="G1046" s="41" t="s">
        <v>103</v>
      </c>
      <c r="H1046" s="41">
        <v>0</v>
      </c>
      <c r="I1046" s="41">
        <v>1</v>
      </c>
      <c r="J1046" s="108">
        <f>POWER(POWER(Table2[[#This Row],[mv]],4)/10,0.25)</f>
        <v>2.361833565799467E-3</v>
      </c>
      <c r="K1046" s="41">
        <v>0</v>
      </c>
      <c r="L1046" s="41">
        <v>55</v>
      </c>
      <c r="M1046" s="41">
        <v>-1</v>
      </c>
      <c r="N1046" s="41">
        <v>4</v>
      </c>
      <c r="O1046" s="111" t="s">
        <v>1562</v>
      </c>
      <c r="P1046" s="109">
        <v>193505</v>
      </c>
      <c r="Q1046" s="41"/>
      <c r="R1046" s="111"/>
      <c r="S1046" s="110" t="s">
        <v>1623</v>
      </c>
    </row>
    <row r="1047" spans="1:19">
      <c r="A1047" s="105">
        <v>1046</v>
      </c>
      <c r="B1047" s="41">
        <v>12000000</v>
      </c>
      <c r="C1047" s="41">
        <v>4.1999999999999997E-3</v>
      </c>
      <c r="D1047" s="41">
        <v>13.4543</v>
      </c>
      <c r="E1047" s="41">
        <v>30</v>
      </c>
      <c r="F1047" s="41">
        <v>0</v>
      </c>
      <c r="G1047" s="41" t="s">
        <v>103</v>
      </c>
      <c r="H1047" s="41">
        <v>0</v>
      </c>
      <c r="I1047" s="41">
        <v>1</v>
      </c>
      <c r="J1047" s="108">
        <f>POWER(POWER(Table2[[#This Row],[mv]],4)/10,0.25)</f>
        <v>2.361833565799467E-3</v>
      </c>
      <c r="K1047" s="41">
        <v>0</v>
      </c>
      <c r="L1047" s="41">
        <v>55</v>
      </c>
      <c r="M1047" s="41">
        <v>-1</v>
      </c>
      <c r="N1047" s="41">
        <v>4</v>
      </c>
      <c r="O1047" s="111" t="s">
        <v>1563</v>
      </c>
      <c r="P1047" s="109">
        <v>193505</v>
      </c>
      <c r="Q1047" s="41"/>
      <c r="R1047" s="111"/>
      <c r="S1047" s="110" t="s">
        <v>1623</v>
      </c>
    </row>
    <row r="1048" spans="1:19">
      <c r="A1048" s="105">
        <v>1047</v>
      </c>
      <c r="B1048" s="41">
        <v>12000000</v>
      </c>
      <c r="C1048" s="41">
        <v>4.1999999999999997E-3</v>
      </c>
      <c r="D1048" s="41">
        <v>14.6721</v>
      </c>
      <c r="E1048" s="41">
        <v>30</v>
      </c>
      <c r="F1048" s="41">
        <v>0</v>
      </c>
      <c r="G1048" s="41" t="s">
        <v>103</v>
      </c>
      <c r="H1048" s="41">
        <v>0</v>
      </c>
      <c r="I1048" s="41">
        <v>1</v>
      </c>
      <c r="J1048" s="108">
        <f>POWER(POWER(Table2[[#This Row],[mv]],4)/10,0.25)</f>
        <v>2.361833565799467E-3</v>
      </c>
      <c r="K1048" s="41">
        <v>0</v>
      </c>
      <c r="L1048" s="41">
        <v>55</v>
      </c>
      <c r="M1048" s="41">
        <v>-1</v>
      </c>
      <c r="N1048" s="41">
        <v>4</v>
      </c>
      <c r="O1048" s="111" t="s">
        <v>1564</v>
      </c>
      <c r="P1048" s="109">
        <v>193505</v>
      </c>
      <c r="Q1048" s="41"/>
      <c r="R1048" s="111"/>
      <c r="S1048" s="110" t="s">
        <v>1623</v>
      </c>
    </row>
    <row r="1049" spans="1:19">
      <c r="A1049" s="105">
        <v>1048</v>
      </c>
      <c r="B1049" s="41">
        <v>12000000</v>
      </c>
      <c r="C1049" s="41">
        <v>4.1999999999999997E-3</v>
      </c>
      <c r="D1049" s="41">
        <v>16</v>
      </c>
      <c r="E1049" s="41">
        <v>30</v>
      </c>
      <c r="F1049" s="41">
        <v>0</v>
      </c>
      <c r="G1049" s="41" t="s">
        <v>103</v>
      </c>
      <c r="H1049" s="41">
        <v>0</v>
      </c>
      <c r="I1049" s="41">
        <v>1</v>
      </c>
      <c r="J1049" s="108">
        <f>POWER(POWER(Table2[[#This Row],[mv]],4)/10,0.25)</f>
        <v>2.361833565799467E-3</v>
      </c>
      <c r="K1049" s="41">
        <v>0</v>
      </c>
      <c r="L1049" s="41">
        <v>55</v>
      </c>
      <c r="M1049" s="41">
        <v>-1</v>
      </c>
      <c r="N1049" s="41">
        <v>4</v>
      </c>
      <c r="O1049" s="111" t="s">
        <v>1565</v>
      </c>
      <c r="P1049" s="109">
        <v>193500</v>
      </c>
      <c r="Q1049" s="41"/>
      <c r="R1049" s="111"/>
      <c r="S1049" s="110" t="s">
        <v>1623</v>
      </c>
    </row>
    <row r="1050" spans="1:19">
      <c r="A1050" s="105">
        <v>1049</v>
      </c>
      <c r="B1050" s="41">
        <v>12000000</v>
      </c>
      <c r="C1050" s="41">
        <v>4.1999999999999997E-3</v>
      </c>
      <c r="D1050" s="41">
        <v>17.4481</v>
      </c>
      <c r="E1050" s="41">
        <v>30</v>
      </c>
      <c r="F1050" s="41">
        <v>0</v>
      </c>
      <c r="G1050" s="41" t="s">
        <v>103</v>
      </c>
      <c r="H1050" s="41">
        <v>0</v>
      </c>
      <c r="I1050" s="41">
        <v>1</v>
      </c>
      <c r="J1050" s="108">
        <f>POWER(POWER(Table2[[#This Row],[mv]],4)/10,0.25)</f>
        <v>2.361833565799467E-3</v>
      </c>
      <c r="K1050" s="41">
        <v>0</v>
      </c>
      <c r="L1050" s="41">
        <v>55</v>
      </c>
      <c r="M1050" s="41">
        <v>-1</v>
      </c>
      <c r="N1050" s="41">
        <v>4</v>
      </c>
      <c r="O1050" s="111" t="s">
        <v>1566</v>
      </c>
      <c r="P1050" s="109">
        <v>193500</v>
      </c>
      <c r="Q1050" s="41"/>
      <c r="R1050" s="111"/>
      <c r="S1050" s="110" t="s">
        <v>1623</v>
      </c>
    </row>
    <row r="1051" spans="1:19">
      <c r="A1051" s="105">
        <v>1050</v>
      </c>
      <c r="B1051" s="41">
        <v>12000000</v>
      </c>
      <c r="C1051" s="41">
        <v>4.1999999999999997E-3</v>
      </c>
      <c r="D1051" s="41">
        <v>19.0273</v>
      </c>
      <c r="E1051" s="41">
        <v>30</v>
      </c>
      <c r="F1051" s="41">
        <v>0</v>
      </c>
      <c r="G1051" s="41" t="s">
        <v>103</v>
      </c>
      <c r="H1051" s="41">
        <v>0</v>
      </c>
      <c r="I1051" s="41">
        <v>1</v>
      </c>
      <c r="J1051" s="108">
        <f>POWER(POWER(Table2[[#This Row],[mv]],4)/10,0.25)</f>
        <v>2.361833565799467E-3</v>
      </c>
      <c r="K1051" s="41">
        <v>0</v>
      </c>
      <c r="L1051" s="41">
        <v>55</v>
      </c>
      <c r="M1051" s="41">
        <v>-1</v>
      </c>
      <c r="N1051" s="41">
        <v>4</v>
      </c>
      <c r="O1051" s="111" t="s">
        <v>1567</v>
      </c>
      <c r="P1051" s="109">
        <v>193500</v>
      </c>
      <c r="Q1051" s="41"/>
      <c r="R1051" s="111"/>
      <c r="S1051" s="110" t="s">
        <v>1623</v>
      </c>
    </row>
    <row r="1052" spans="1:19">
      <c r="A1052" s="105">
        <v>1051</v>
      </c>
      <c r="B1052" s="41">
        <v>12000000</v>
      </c>
      <c r="C1052" s="41">
        <v>4.4999999999999997E-3</v>
      </c>
      <c r="D1052" s="41">
        <v>6.7271999999999998</v>
      </c>
      <c r="E1052" s="41">
        <v>30</v>
      </c>
      <c r="F1052" s="41">
        <v>0</v>
      </c>
      <c r="G1052" s="41" t="s">
        <v>103</v>
      </c>
      <c r="H1052" s="41">
        <v>0</v>
      </c>
      <c r="I1052" s="41">
        <v>1</v>
      </c>
      <c r="J1052" s="108">
        <f>POWER(POWER(Table2[[#This Row],[mv]],4)/10,0.25)</f>
        <v>2.5305359633565699E-3</v>
      </c>
      <c r="K1052" s="41">
        <v>0</v>
      </c>
      <c r="L1052" s="41">
        <v>55</v>
      </c>
      <c r="M1052" s="41">
        <v>-1</v>
      </c>
      <c r="N1052" s="41">
        <v>4</v>
      </c>
      <c r="O1052" s="111" t="s">
        <v>1568</v>
      </c>
      <c r="P1052" s="109">
        <v>193500</v>
      </c>
      <c r="Q1052" s="41"/>
      <c r="R1052" s="111"/>
      <c r="S1052" s="110" t="s">
        <v>1623</v>
      </c>
    </row>
    <row r="1053" spans="1:19">
      <c r="A1053" s="105">
        <v>1052</v>
      </c>
      <c r="B1053" s="41">
        <v>12000000</v>
      </c>
      <c r="C1053" s="41">
        <v>4.4999999999999997E-3</v>
      </c>
      <c r="D1053" s="41">
        <v>7.3360000000000003</v>
      </c>
      <c r="E1053" s="41">
        <v>30</v>
      </c>
      <c r="F1053" s="41">
        <v>0</v>
      </c>
      <c r="G1053" s="41" t="s">
        <v>103</v>
      </c>
      <c r="H1053" s="41">
        <v>0</v>
      </c>
      <c r="I1053" s="41">
        <v>1</v>
      </c>
      <c r="J1053" s="108">
        <f>POWER(POWER(Table2[[#This Row],[mv]],4)/10,0.25)</f>
        <v>2.5305359633565699E-3</v>
      </c>
      <c r="K1053" s="41">
        <v>0</v>
      </c>
      <c r="L1053" s="41">
        <v>55</v>
      </c>
      <c r="M1053" s="41">
        <v>-1</v>
      </c>
      <c r="N1053" s="41">
        <v>4</v>
      </c>
      <c r="O1053" s="111" t="s">
        <v>1569</v>
      </c>
      <c r="P1053" s="109">
        <v>193500</v>
      </c>
      <c r="Q1053" s="41"/>
      <c r="R1053" s="111"/>
      <c r="S1053" s="110" t="s">
        <v>1623</v>
      </c>
    </row>
    <row r="1054" spans="1:19">
      <c r="A1054" s="105">
        <v>1053</v>
      </c>
      <c r="B1054" s="41">
        <v>12000000</v>
      </c>
      <c r="C1054" s="41">
        <v>4.4999999999999997E-3</v>
      </c>
      <c r="D1054" s="41">
        <v>8</v>
      </c>
      <c r="E1054" s="41">
        <v>30</v>
      </c>
      <c r="F1054" s="41">
        <v>0</v>
      </c>
      <c r="G1054" s="41" t="s">
        <v>103</v>
      </c>
      <c r="H1054" s="41">
        <v>0</v>
      </c>
      <c r="I1054" s="41">
        <v>1</v>
      </c>
      <c r="J1054" s="108">
        <f>POWER(POWER(Table2[[#This Row],[mv]],4)/10,0.25)</f>
        <v>2.5305359633565699E-3</v>
      </c>
      <c r="K1054" s="41">
        <v>0</v>
      </c>
      <c r="L1054" s="41">
        <v>55</v>
      </c>
      <c r="M1054" s="41">
        <v>-1</v>
      </c>
      <c r="N1054" s="41">
        <v>4</v>
      </c>
      <c r="O1054" s="111" t="s">
        <v>1570</v>
      </c>
      <c r="P1054" s="109">
        <v>193500</v>
      </c>
      <c r="Q1054" s="41"/>
      <c r="R1054" s="111"/>
      <c r="S1054" s="110" t="s">
        <v>1623</v>
      </c>
    </row>
    <row r="1055" spans="1:19">
      <c r="A1055" s="105">
        <v>1054</v>
      </c>
      <c r="B1055" s="41">
        <v>12000000</v>
      </c>
      <c r="C1055" s="41">
        <v>4.4999999999999997E-3</v>
      </c>
      <c r="D1055" s="41">
        <v>8.7241</v>
      </c>
      <c r="E1055" s="41">
        <v>30</v>
      </c>
      <c r="F1055" s="41">
        <v>0</v>
      </c>
      <c r="G1055" s="41" t="s">
        <v>103</v>
      </c>
      <c r="H1055" s="41">
        <v>0</v>
      </c>
      <c r="I1055" s="41">
        <v>1</v>
      </c>
      <c r="J1055" s="108">
        <f>POWER(POWER(Table2[[#This Row],[mv]],4)/10,0.25)</f>
        <v>2.5305359633565699E-3</v>
      </c>
      <c r="K1055" s="41">
        <v>0</v>
      </c>
      <c r="L1055" s="41">
        <v>55</v>
      </c>
      <c r="M1055" s="41">
        <v>-1</v>
      </c>
      <c r="N1055" s="41">
        <v>4</v>
      </c>
      <c r="O1055" s="111" t="s">
        <v>1571</v>
      </c>
      <c r="P1055" s="109">
        <v>193500</v>
      </c>
      <c r="Q1055" s="41"/>
      <c r="R1055" s="111"/>
      <c r="S1055" s="110" t="s">
        <v>1623</v>
      </c>
    </row>
    <row r="1056" spans="1:19">
      <c r="A1056" s="105">
        <v>1055</v>
      </c>
      <c r="B1056" s="41">
        <v>12000000</v>
      </c>
      <c r="C1056" s="41">
        <v>4.4999999999999997E-3</v>
      </c>
      <c r="D1056" s="41">
        <v>9.5137</v>
      </c>
      <c r="E1056" s="41">
        <v>30</v>
      </c>
      <c r="F1056" s="41">
        <v>0</v>
      </c>
      <c r="G1056" s="41" t="s">
        <v>103</v>
      </c>
      <c r="H1056" s="41">
        <v>0</v>
      </c>
      <c r="I1056" s="41">
        <v>1</v>
      </c>
      <c r="J1056" s="108">
        <f>POWER(POWER(Table2[[#This Row],[mv]],4)/10,0.25)</f>
        <v>2.5305359633565699E-3</v>
      </c>
      <c r="K1056" s="41">
        <v>0</v>
      </c>
      <c r="L1056" s="41">
        <v>55</v>
      </c>
      <c r="M1056" s="41">
        <v>-1</v>
      </c>
      <c r="N1056" s="41">
        <v>4</v>
      </c>
      <c r="O1056" s="111" t="s">
        <v>1572</v>
      </c>
      <c r="P1056" s="109">
        <v>193500</v>
      </c>
      <c r="Q1056" s="41"/>
      <c r="R1056" s="111"/>
      <c r="S1056" s="110" t="s">
        <v>1623</v>
      </c>
    </row>
    <row r="1057" spans="1:19">
      <c r="A1057" s="105">
        <v>1056</v>
      </c>
      <c r="B1057" s="41">
        <v>12000000</v>
      </c>
      <c r="C1057" s="41">
        <v>4.4999999999999997E-3</v>
      </c>
      <c r="D1057" s="41">
        <v>10.374700000000001</v>
      </c>
      <c r="E1057" s="41">
        <v>30</v>
      </c>
      <c r="F1057" s="41">
        <v>0</v>
      </c>
      <c r="G1057" s="41" t="s">
        <v>103</v>
      </c>
      <c r="H1057" s="41">
        <v>0</v>
      </c>
      <c r="I1057" s="41">
        <v>1</v>
      </c>
      <c r="J1057" s="108">
        <f>POWER(POWER(Table2[[#This Row],[mv]],4)/10,0.25)</f>
        <v>2.5305359633565699E-3</v>
      </c>
      <c r="K1057" s="41">
        <v>0</v>
      </c>
      <c r="L1057" s="41">
        <v>55</v>
      </c>
      <c r="M1057" s="41">
        <v>-1</v>
      </c>
      <c r="N1057" s="41">
        <v>4</v>
      </c>
      <c r="O1057" s="111" t="s">
        <v>1573</v>
      </c>
      <c r="P1057" s="109">
        <v>193500</v>
      </c>
      <c r="Q1057" s="41"/>
      <c r="R1057" s="111"/>
      <c r="S1057" s="110" t="s">
        <v>1623</v>
      </c>
    </row>
    <row r="1058" spans="1:19">
      <c r="A1058" s="105">
        <v>1057</v>
      </c>
      <c r="B1058" s="41">
        <v>12000000</v>
      </c>
      <c r="C1058" s="41">
        <v>4.4999999999999997E-3</v>
      </c>
      <c r="D1058" s="41">
        <v>11.313700000000001</v>
      </c>
      <c r="E1058" s="41">
        <v>30</v>
      </c>
      <c r="F1058" s="41">
        <v>0</v>
      </c>
      <c r="G1058" s="41" t="s">
        <v>103</v>
      </c>
      <c r="H1058" s="41">
        <v>0</v>
      </c>
      <c r="I1058" s="41">
        <v>1</v>
      </c>
      <c r="J1058" s="108">
        <f>POWER(POWER(Table2[[#This Row],[mv]],4)/10,0.25)</f>
        <v>2.5305359633565699E-3</v>
      </c>
      <c r="K1058" s="41">
        <v>0</v>
      </c>
      <c r="L1058" s="41">
        <v>55</v>
      </c>
      <c r="M1058" s="41">
        <v>-1</v>
      </c>
      <c r="N1058" s="41">
        <v>4</v>
      </c>
      <c r="O1058" s="111" t="s">
        <v>1574</v>
      </c>
      <c r="P1058" s="109">
        <v>193505</v>
      </c>
      <c r="Q1058" s="41"/>
      <c r="R1058" s="111"/>
      <c r="S1058" s="110" t="s">
        <v>1623</v>
      </c>
    </row>
    <row r="1059" spans="1:19">
      <c r="A1059" s="105">
        <v>1058</v>
      </c>
      <c r="B1059" s="41">
        <v>12000000</v>
      </c>
      <c r="C1059" s="41">
        <v>4.4999999999999997E-3</v>
      </c>
      <c r="D1059" s="41">
        <v>12.3377</v>
      </c>
      <c r="E1059" s="41">
        <v>30</v>
      </c>
      <c r="F1059" s="41">
        <v>0</v>
      </c>
      <c r="G1059" s="41" t="s">
        <v>103</v>
      </c>
      <c r="H1059" s="41">
        <v>0</v>
      </c>
      <c r="I1059" s="41">
        <v>1</v>
      </c>
      <c r="J1059" s="108">
        <f>POWER(POWER(Table2[[#This Row],[mv]],4)/10,0.25)</f>
        <v>2.5305359633565699E-3</v>
      </c>
      <c r="K1059" s="41">
        <v>0</v>
      </c>
      <c r="L1059" s="41">
        <v>55</v>
      </c>
      <c r="M1059" s="41">
        <v>-1</v>
      </c>
      <c r="N1059" s="41">
        <v>4</v>
      </c>
      <c r="O1059" s="111" t="s">
        <v>1575</v>
      </c>
      <c r="P1059" s="109">
        <v>193505</v>
      </c>
      <c r="Q1059" s="41"/>
      <c r="R1059" s="111"/>
      <c r="S1059" s="110" t="s">
        <v>1623</v>
      </c>
    </row>
    <row r="1060" spans="1:19">
      <c r="A1060" s="105">
        <v>1059</v>
      </c>
      <c r="B1060" s="41">
        <v>12000000</v>
      </c>
      <c r="C1060" s="41">
        <v>4.4999999999999997E-3</v>
      </c>
      <c r="D1060" s="41">
        <v>13.4543</v>
      </c>
      <c r="E1060" s="41">
        <v>30</v>
      </c>
      <c r="F1060" s="41">
        <v>0</v>
      </c>
      <c r="G1060" s="41" t="s">
        <v>103</v>
      </c>
      <c r="H1060" s="41">
        <v>0</v>
      </c>
      <c r="I1060" s="41">
        <v>1</v>
      </c>
      <c r="J1060" s="108">
        <f>POWER(POWER(Table2[[#This Row],[mv]],4)/10,0.25)</f>
        <v>2.5305359633565699E-3</v>
      </c>
      <c r="K1060" s="41">
        <v>0</v>
      </c>
      <c r="L1060" s="41">
        <v>55</v>
      </c>
      <c r="M1060" s="41">
        <v>-1</v>
      </c>
      <c r="N1060" s="41">
        <v>4</v>
      </c>
      <c r="O1060" s="111" t="s">
        <v>1576</v>
      </c>
      <c r="P1060" s="109">
        <v>193505</v>
      </c>
      <c r="Q1060" s="41"/>
      <c r="R1060" s="111"/>
      <c r="S1060" s="110" t="s">
        <v>1623</v>
      </c>
    </row>
    <row r="1061" spans="1:19">
      <c r="A1061" s="105">
        <v>1060</v>
      </c>
      <c r="B1061" s="41">
        <v>12000000</v>
      </c>
      <c r="C1061" s="41">
        <v>4.4999999999999997E-3</v>
      </c>
      <c r="D1061" s="41">
        <v>14.6721</v>
      </c>
      <c r="E1061" s="41">
        <v>30</v>
      </c>
      <c r="F1061" s="41">
        <v>0</v>
      </c>
      <c r="G1061" s="41" t="s">
        <v>103</v>
      </c>
      <c r="H1061" s="41">
        <v>0</v>
      </c>
      <c r="I1061" s="41">
        <v>1</v>
      </c>
      <c r="J1061" s="108">
        <f>POWER(POWER(Table2[[#This Row],[mv]],4)/10,0.25)</f>
        <v>2.5305359633565699E-3</v>
      </c>
      <c r="K1061" s="41">
        <v>0</v>
      </c>
      <c r="L1061" s="41">
        <v>55</v>
      </c>
      <c r="M1061" s="41">
        <v>-1</v>
      </c>
      <c r="N1061" s="41">
        <v>4</v>
      </c>
      <c r="O1061" s="111" t="s">
        <v>1577</v>
      </c>
      <c r="P1061" s="109">
        <v>193500</v>
      </c>
      <c r="Q1061" s="41"/>
      <c r="R1061" s="111"/>
      <c r="S1061" s="110" t="s">
        <v>1623</v>
      </c>
    </row>
    <row r="1062" spans="1:19">
      <c r="A1062" s="105">
        <v>1061</v>
      </c>
      <c r="B1062" s="41">
        <v>12000000</v>
      </c>
      <c r="C1062" s="41">
        <v>4.4999999999999997E-3</v>
      </c>
      <c r="D1062" s="41">
        <v>16</v>
      </c>
      <c r="E1062" s="41">
        <v>30</v>
      </c>
      <c r="F1062" s="41">
        <v>0</v>
      </c>
      <c r="G1062" s="41" t="s">
        <v>103</v>
      </c>
      <c r="H1062" s="41">
        <v>0</v>
      </c>
      <c r="I1062" s="41">
        <v>1</v>
      </c>
      <c r="J1062" s="108">
        <f>POWER(POWER(Table2[[#This Row],[mv]],4)/10,0.25)</f>
        <v>2.5305359633565699E-3</v>
      </c>
      <c r="K1062" s="41">
        <v>0</v>
      </c>
      <c r="L1062" s="41">
        <v>55</v>
      </c>
      <c r="M1062" s="41">
        <v>-1</v>
      </c>
      <c r="N1062" s="41">
        <v>4</v>
      </c>
      <c r="O1062" s="111" t="s">
        <v>1578</v>
      </c>
      <c r="P1062" s="109">
        <v>193500</v>
      </c>
      <c r="Q1062" s="41"/>
      <c r="R1062" s="111"/>
      <c r="S1062" s="110" t="s">
        <v>1623</v>
      </c>
    </row>
    <row r="1063" spans="1:19">
      <c r="A1063" s="105">
        <v>1062</v>
      </c>
      <c r="B1063" s="41">
        <v>12000000</v>
      </c>
      <c r="C1063" s="41">
        <v>4.4999999999999997E-3</v>
      </c>
      <c r="D1063" s="41">
        <v>17.4481</v>
      </c>
      <c r="E1063" s="41">
        <v>30</v>
      </c>
      <c r="F1063" s="41">
        <v>0</v>
      </c>
      <c r="G1063" s="41" t="s">
        <v>103</v>
      </c>
      <c r="H1063" s="41">
        <v>0</v>
      </c>
      <c r="I1063" s="41">
        <v>1</v>
      </c>
      <c r="J1063" s="108">
        <f>POWER(POWER(Table2[[#This Row],[mv]],4)/10,0.25)</f>
        <v>2.5305359633565699E-3</v>
      </c>
      <c r="K1063" s="41">
        <v>0</v>
      </c>
      <c r="L1063" s="41">
        <v>55</v>
      </c>
      <c r="M1063" s="41">
        <v>-1</v>
      </c>
      <c r="N1063" s="41">
        <v>4</v>
      </c>
      <c r="O1063" s="111" t="s">
        <v>1579</v>
      </c>
      <c r="P1063" s="109">
        <v>193500</v>
      </c>
      <c r="Q1063" s="41"/>
      <c r="R1063" s="111"/>
      <c r="S1063" s="110" t="s">
        <v>1623</v>
      </c>
    </row>
    <row r="1064" spans="1:19">
      <c r="A1064" s="105">
        <v>1063</v>
      </c>
      <c r="B1064" s="41">
        <v>12000000</v>
      </c>
      <c r="C1064" s="41">
        <v>4.4999999999999997E-3</v>
      </c>
      <c r="D1064" s="41">
        <v>19.0273</v>
      </c>
      <c r="E1064" s="41">
        <v>30</v>
      </c>
      <c r="F1064" s="41">
        <v>0</v>
      </c>
      <c r="G1064" s="41" t="s">
        <v>103</v>
      </c>
      <c r="H1064" s="41">
        <v>0</v>
      </c>
      <c r="I1064" s="41">
        <v>1</v>
      </c>
      <c r="J1064" s="108">
        <f>POWER(POWER(Table2[[#This Row],[mv]],4)/10,0.25)</f>
        <v>2.5305359633565699E-3</v>
      </c>
      <c r="K1064" s="41">
        <v>0</v>
      </c>
      <c r="L1064" s="41">
        <v>55</v>
      </c>
      <c r="M1064" s="41">
        <v>-1</v>
      </c>
      <c r="N1064" s="41">
        <v>4</v>
      </c>
      <c r="O1064" s="111" t="s">
        <v>1580</v>
      </c>
      <c r="P1064" s="109">
        <v>193500</v>
      </c>
      <c r="Q1064" s="41"/>
      <c r="R1064" s="111"/>
      <c r="S1064" s="110" t="s">
        <v>1623</v>
      </c>
    </row>
    <row r="1065" spans="1:19">
      <c r="A1065" s="105">
        <v>1064</v>
      </c>
      <c r="B1065" s="41">
        <v>12000000</v>
      </c>
      <c r="C1065" s="41">
        <v>4.8999999999999998E-3</v>
      </c>
      <c r="D1065" s="41">
        <v>8</v>
      </c>
      <c r="E1065" s="41">
        <v>30</v>
      </c>
      <c r="F1065" s="41">
        <v>0</v>
      </c>
      <c r="G1065" s="41" t="s">
        <v>103</v>
      </c>
      <c r="H1065" s="41">
        <v>0</v>
      </c>
      <c r="I1065" s="41">
        <v>1</v>
      </c>
      <c r="J1065" s="108">
        <f>POWER(POWER(Table2[[#This Row],[mv]],4)/10,0.25)</f>
        <v>2.7554724934327106E-3</v>
      </c>
      <c r="K1065" s="41">
        <v>0</v>
      </c>
      <c r="L1065" s="41">
        <v>55</v>
      </c>
      <c r="M1065" s="41">
        <v>-1</v>
      </c>
      <c r="N1065" s="41">
        <v>4</v>
      </c>
      <c r="O1065" s="111" t="s">
        <v>1581</v>
      </c>
      <c r="P1065" s="109">
        <v>193500</v>
      </c>
      <c r="Q1065" s="41"/>
      <c r="R1065" s="111"/>
      <c r="S1065" s="110" t="s">
        <v>1623</v>
      </c>
    </row>
    <row r="1066" spans="1:19">
      <c r="A1066" s="105">
        <v>1065</v>
      </c>
      <c r="B1066" s="41">
        <v>12000000</v>
      </c>
      <c r="C1066" s="41">
        <v>4.8999999999999998E-3</v>
      </c>
      <c r="D1066" s="41">
        <v>8.7241</v>
      </c>
      <c r="E1066" s="41">
        <v>30</v>
      </c>
      <c r="F1066" s="41">
        <v>0</v>
      </c>
      <c r="G1066" s="41" t="s">
        <v>103</v>
      </c>
      <c r="H1066" s="41">
        <v>0</v>
      </c>
      <c r="I1066" s="41">
        <v>1</v>
      </c>
      <c r="J1066" s="108">
        <f>POWER(POWER(Table2[[#This Row],[mv]],4)/10,0.25)</f>
        <v>2.7554724934327106E-3</v>
      </c>
      <c r="K1066" s="41">
        <v>0</v>
      </c>
      <c r="L1066" s="41">
        <v>55</v>
      </c>
      <c r="M1066" s="41">
        <v>-1</v>
      </c>
      <c r="N1066" s="41">
        <v>4</v>
      </c>
      <c r="O1066" s="111" t="s">
        <v>1582</v>
      </c>
      <c r="P1066" s="109">
        <v>193500</v>
      </c>
      <c r="Q1066" s="41"/>
      <c r="R1066" s="111"/>
      <c r="S1066" s="110" t="s">
        <v>1623</v>
      </c>
    </row>
    <row r="1067" spans="1:19">
      <c r="A1067" s="105">
        <v>1066</v>
      </c>
      <c r="B1067" s="41">
        <v>12000000</v>
      </c>
      <c r="C1067" s="41">
        <v>4.8999999999999998E-3</v>
      </c>
      <c r="D1067" s="41">
        <v>9.5137</v>
      </c>
      <c r="E1067" s="41">
        <v>30</v>
      </c>
      <c r="F1067" s="41">
        <v>0</v>
      </c>
      <c r="G1067" s="41" t="s">
        <v>103</v>
      </c>
      <c r="H1067" s="41">
        <v>0</v>
      </c>
      <c r="I1067" s="41">
        <v>1</v>
      </c>
      <c r="J1067" s="108">
        <f>POWER(POWER(Table2[[#This Row],[mv]],4)/10,0.25)</f>
        <v>2.7554724934327106E-3</v>
      </c>
      <c r="K1067" s="41">
        <v>0</v>
      </c>
      <c r="L1067" s="41">
        <v>55</v>
      </c>
      <c r="M1067" s="41">
        <v>-1</v>
      </c>
      <c r="N1067" s="41">
        <v>4</v>
      </c>
      <c r="O1067" s="111" t="s">
        <v>1583</v>
      </c>
      <c r="P1067" s="109">
        <v>193500</v>
      </c>
      <c r="Q1067" s="41"/>
      <c r="R1067" s="111"/>
      <c r="S1067" s="110" t="s">
        <v>1623</v>
      </c>
    </row>
    <row r="1068" spans="1:19">
      <c r="A1068" s="105">
        <v>1067</v>
      </c>
      <c r="B1068" s="41">
        <v>12000000</v>
      </c>
      <c r="C1068" s="41">
        <v>4.8999999999999998E-3</v>
      </c>
      <c r="D1068" s="41">
        <v>10.374700000000001</v>
      </c>
      <c r="E1068" s="41">
        <v>30</v>
      </c>
      <c r="F1068" s="41">
        <v>0</v>
      </c>
      <c r="G1068" s="41" t="s">
        <v>103</v>
      </c>
      <c r="H1068" s="41">
        <v>0</v>
      </c>
      <c r="I1068" s="41">
        <v>1</v>
      </c>
      <c r="J1068" s="108">
        <f>POWER(POWER(Table2[[#This Row],[mv]],4)/10,0.25)</f>
        <v>2.7554724934327106E-3</v>
      </c>
      <c r="K1068" s="41">
        <v>0</v>
      </c>
      <c r="L1068" s="41">
        <v>55</v>
      </c>
      <c r="M1068" s="41">
        <v>-1</v>
      </c>
      <c r="N1068" s="41">
        <v>4</v>
      </c>
      <c r="O1068" s="111" t="s">
        <v>1584</v>
      </c>
      <c r="P1068" s="109">
        <v>193500</v>
      </c>
      <c r="Q1068" s="41"/>
      <c r="R1068" s="111"/>
      <c r="S1068" s="110" t="s">
        <v>1623</v>
      </c>
    </row>
    <row r="1069" spans="1:19">
      <c r="A1069" s="105">
        <v>1068</v>
      </c>
      <c r="B1069" s="41">
        <v>12000000</v>
      </c>
      <c r="C1069" s="41">
        <v>4.8999999999999998E-3</v>
      </c>
      <c r="D1069" s="41">
        <v>11.313700000000001</v>
      </c>
      <c r="E1069" s="41">
        <v>30</v>
      </c>
      <c r="F1069" s="41">
        <v>0</v>
      </c>
      <c r="G1069" s="41" t="s">
        <v>103</v>
      </c>
      <c r="H1069" s="41">
        <v>0</v>
      </c>
      <c r="I1069" s="41">
        <v>1</v>
      </c>
      <c r="J1069" s="108">
        <f>POWER(POWER(Table2[[#This Row],[mv]],4)/10,0.25)</f>
        <v>2.7554724934327106E-3</v>
      </c>
      <c r="K1069" s="41">
        <v>0</v>
      </c>
      <c r="L1069" s="41">
        <v>55</v>
      </c>
      <c r="M1069" s="41">
        <v>-1</v>
      </c>
      <c r="N1069" s="41">
        <v>4</v>
      </c>
      <c r="O1069" s="111" t="s">
        <v>1585</v>
      </c>
      <c r="P1069" s="109">
        <v>193500</v>
      </c>
      <c r="Q1069" s="41"/>
      <c r="R1069" s="111"/>
      <c r="S1069" s="110" t="s">
        <v>1623</v>
      </c>
    </row>
    <row r="1070" spans="1:19">
      <c r="A1070" s="105">
        <v>1069</v>
      </c>
      <c r="B1070" s="41">
        <v>12000000</v>
      </c>
      <c r="C1070" s="41">
        <v>4.8999999999999998E-3</v>
      </c>
      <c r="D1070" s="41">
        <v>12.3377</v>
      </c>
      <c r="E1070" s="41">
        <v>30</v>
      </c>
      <c r="F1070" s="41">
        <v>0</v>
      </c>
      <c r="G1070" s="41" t="s">
        <v>103</v>
      </c>
      <c r="H1070" s="41">
        <v>0</v>
      </c>
      <c r="I1070" s="41">
        <v>1</v>
      </c>
      <c r="J1070" s="108">
        <f>POWER(POWER(Table2[[#This Row],[mv]],4)/10,0.25)</f>
        <v>2.7554724934327106E-3</v>
      </c>
      <c r="K1070" s="41">
        <v>0</v>
      </c>
      <c r="L1070" s="41">
        <v>55</v>
      </c>
      <c r="M1070" s="41">
        <v>-1</v>
      </c>
      <c r="N1070" s="41">
        <v>4</v>
      </c>
      <c r="O1070" s="111" t="s">
        <v>1586</v>
      </c>
      <c r="P1070" s="109">
        <v>193500</v>
      </c>
      <c r="Q1070" s="41"/>
      <c r="R1070" s="111"/>
      <c r="S1070" s="110" t="s">
        <v>1623</v>
      </c>
    </row>
    <row r="1071" spans="1:19">
      <c r="A1071" s="105">
        <v>1070</v>
      </c>
      <c r="B1071" s="41">
        <v>12000000</v>
      </c>
      <c r="C1071" s="41">
        <v>4.8999999999999998E-3</v>
      </c>
      <c r="D1071" s="41">
        <v>13.4543</v>
      </c>
      <c r="E1071" s="41">
        <v>30</v>
      </c>
      <c r="F1071" s="41">
        <v>0</v>
      </c>
      <c r="G1071" s="41" t="s">
        <v>103</v>
      </c>
      <c r="H1071" s="41">
        <v>0</v>
      </c>
      <c r="I1071" s="41">
        <v>1</v>
      </c>
      <c r="J1071" s="108">
        <f>POWER(POWER(Table2[[#This Row],[mv]],4)/10,0.25)</f>
        <v>2.7554724934327106E-3</v>
      </c>
      <c r="K1071" s="41">
        <v>0</v>
      </c>
      <c r="L1071" s="41">
        <v>55</v>
      </c>
      <c r="M1071" s="41">
        <v>-1</v>
      </c>
      <c r="N1071" s="41">
        <v>4</v>
      </c>
      <c r="O1071" s="111" t="s">
        <v>1587</v>
      </c>
      <c r="P1071" s="109">
        <v>193500</v>
      </c>
      <c r="Q1071" s="41"/>
      <c r="R1071" s="111"/>
      <c r="S1071" s="110" t="s">
        <v>1623</v>
      </c>
    </row>
    <row r="1072" spans="1:19">
      <c r="A1072" s="105">
        <v>1071</v>
      </c>
      <c r="B1072" s="41">
        <v>12000000</v>
      </c>
      <c r="C1072" s="41">
        <v>4.8999999999999998E-3</v>
      </c>
      <c r="D1072" s="41">
        <v>14.6721</v>
      </c>
      <c r="E1072" s="41">
        <v>30</v>
      </c>
      <c r="F1072" s="41">
        <v>0</v>
      </c>
      <c r="G1072" s="41" t="s">
        <v>103</v>
      </c>
      <c r="H1072" s="41">
        <v>0</v>
      </c>
      <c r="I1072" s="41">
        <v>1</v>
      </c>
      <c r="J1072" s="108">
        <f>POWER(POWER(Table2[[#This Row],[mv]],4)/10,0.25)</f>
        <v>2.7554724934327106E-3</v>
      </c>
      <c r="K1072" s="41">
        <v>0</v>
      </c>
      <c r="L1072" s="41">
        <v>55</v>
      </c>
      <c r="M1072" s="41">
        <v>-1</v>
      </c>
      <c r="N1072" s="41">
        <v>4</v>
      </c>
      <c r="O1072" s="111" t="s">
        <v>1588</v>
      </c>
      <c r="P1072" s="109">
        <v>193500</v>
      </c>
      <c r="Q1072" s="41"/>
      <c r="R1072" s="111"/>
      <c r="S1072" s="110" t="s">
        <v>1623</v>
      </c>
    </row>
    <row r="1073" spans="1:19">
      <c r="A1073" s="105">
        <v>1072</v>
      </c>
      <c r="B1073" s="41">
        <v>12000000</v>
      </c>
      <c r="C1073" s="41">
        <v>4.8999999999999998E-3</v>
      </c>
      <c r="D1073" s="41">
        <v>16</v>
      </c>
      <c r="E1073" s="41">
        <v>30</v>
      </c>
      <c r="F1073" s="41">
        <v>0</v>
      </c>
      <c r="G1073" s="41" t="s">
        <v>103</v>
      </c>
      <c r="H1073" s="41">
        <v>0</v>
      </c>
      <c r="I1073" s="41">
        <v>1</v>
      </c>
      <c r="J1073" s="108">
        <f>POWER(POWER(Table2[[#This Row],[mv]],4)/10,0.25)</f>
        <v>2.7554724934327106E-3</v>
      </c>
      <c r="K1073" s="41">
        <v>0</v>
      </c>
      <c r="L1073" s="41">
        <v>55</v>
      </c>
      <c r="M1073" s="41">
        <v>-1</v>
      </c>
      <c r="N1073" s="41">
        <v>4</v>
      </c>
      <c r="O1073" s="111" t="s">
        <v>1589</v>
      </c>
      <c r="P1073" s="109">
        <v>193500</v>
      </c>
      <c r="Q1073" s="41"/>
      <c r="R1073" s="111"/>
      <c r="S1073" s="110" t="s">
        <v>1623</v>
      </c>
    </row>
    <row r="1074" spans="1:19">
      <c r="A1074" s="105">
        <v>1073</v>
      </c>
      <c r="B1074" s="41">
        <v>12000000</v>
      </c>
      <c r="C1074" s="41">
        <v>4.8999999999999998E-3</v>
      </c>
      <c r="D1074" s="41">
        <v>17.4481</v>
      </c>
      <c r="E1074" s="41">
        <v>30</v>
      </c>
      <c r="F1074" s="41">
        <v>0</v>
      </c>
      <c r="G1074" s="41" t="s">
        <v>103</v>
      </c>
      <c r="H1074" s="41">
        <v>0</v>
      </c>
      <c r="I1074" s="41">
        <v>1</v>
      </c>
      <c r="J1074" s="108">
        <f>POWER(POWER(Table2[[#This Row],[mv]],4)/10,0.25)</f>
        <v>2.7554724934327106E-3</v>
      </c>
      <c r="K1074" s="41">
        <v>0</v>
      </c>
      <c r="L1074" s="41">
        <v>55</v>
      </c>
      <c r="M1074" s="41">
        <v>-1</v>
      </c>
      <c r="N1074" s="41">
        <v>4</v>
      </c>
      <c r="O1074" s="111" t="s">
        <v>1590</v>
      </c>
      <c r="P1074" s="109">
        <v>193500</v>
      </c>
      <c r="Q1074" s="41"/>
      <c r="R1074" s="111"/>
      <c r="S1074" s="110" t="s">
        <v>1623</v>
      </c>
    </row>
    <row r="1075" spans="1:19">
      <c r="A1075" s="105">
        <v>1074</v>
      </c>
      <c r="B1075" s="41">
        <v>12000000</v>
      </c>
      <c r="C1075" s="41">
        <v>4.8999999999999998E-3</v>
      </c>
      <c r="D1075" s="41">
        <v>19.0273</v>
      </c>
      <c r="E1075" s="41">
        <v>30</v>
      </c>
      <c r="F1075" s="41">
        <v>0</v>
      </c>
      <c r="G1075" s="41" t="s">
        <v>103</v>
      </c>
      <c r="H1075" s="41">
        <v>0</v>
      </c>
      <c r="I1075" s="41">
        <v>1</v>
      </c>
      <c r="J1075" s="108">
        <f>POWER(POWER(Table2[[#This Row],[mv]],4)/10,0.25)</f>
        <v>2.7554724934327106E-3</v>
      </c>
      <c r="K1075" s="41">
        <v>0</v>
      </c>
      <c r="L1075" s="41">
        <v>55</v>
      </c>
      <c r="M1075" s="41">
        <v>-1</v>
      </c>
      <c r="N1075" s="41">
        <v>4</v>
      </c>
      <c r="O1075" s="111" t="s">
        <v>1591</v>
      </c>
      <c r="P1075" s="109">
        <v>193500</v>
      </c>
      <c r="Q1075" s="41"/>
      <c r="R1075" s="111"/>
      <c r="S1075" s="110" t="s">
        <v>1623</v>
      </c>
    </row>
    <row r="1076" spans="1:19">
      <c r="A1076" s="105">
        <v>1075</v>
      </c>
      <c r="B1076" s="41">
        <v>12000000</v>
      </c>
      <c r="C1076" s="41">
        <v>5.4000000000000003E-3</v>
      </c>
      <c r="D1076" s="41">
        <v>9.5137</v>
      </c>
      <c r="E1076" s="41">
        <v>30</v>
      </c>
      <c r="F1076" s="41">
        <v>0</v>
      </c>
      <c r="G1076" s="41" t="s">
        <v>103</v>
      </c>
      <c r="H1076" s="41">
        <v>0</v>
      </c>
      <c r="I1076" s="41">
        <v>1</v>
      </c>
      <c r="J1076" s="108">
        <f>POWER(POWER(Table2[[#This Row],[mv]],4)/10,0.25)</f>
        <v>3.0366431560278845E-3</v>
      </c>
      <c r="K1076" s="41">
        <v>0</v>
      </c>
      <c r="L1076" s="41">
        <v>55</v>
      </c>
      <c r="M1076" s="41">
        <v>-1</v>
      </c>
      <c r="N1076" s="41">
        <v>4</v>
      </c>
      <c r="O1076" s="111" t="s">
        <v>1592</v>
      </c>
      <c r="P1076" s="109">
        <v>193500</v>
      </c>
      <c r="Q1076" s="41"/>
      <c r="R1076" s="111"/>
      <c r="S1076" s="110" t="s">
        <v>1623</v>
      </c>
    </row>
    <row r="1077" spans="1:19">
      <c r="A1077" s="105">
        <v>1076</v>
      </c>
      <c r="B1077" s="41">
        <v>12000000</v>
      </c>
      <c r="C1077" s="41">
        <v>5.4000000000000003E-3</v>
      </c>
      <c r="D1077" s="41">
        <v>10.374700000000001</v>
      </c>
      <c r="E1077" s="41">
        <v>30</v>
      </c>
      <c r="F1077" s="41">
        <v>0</v>
      </c>
      <c r="G1077" s="41" t="s">
        <v>103</v>
      </c>
      <c r="H1077" s="41">
        <v>0</v>
      </c>
      <c r="I1077" s="41">
        <v>1</v>
      </c>
      <c r="J1077" s="108">
        <f>POWER(POWER(Table2[[#This Row],[mv]],4)/10,0.25)</f>
        <v>3.0366431560278845E-3</v>
      </c>
      <c r="K1077" s="41">
        <v>0</v>
      </c>
      <c r="L1077" s="41">
        <v>55</v>
      </c>
      <c r="M1077" s="41">
        <v>-1</v>
      </c>
      <c r="N1077" s="41">
        <v>4</v>
      </c>
      <c r="O1077" s="111" t="s">
        <v>1593</v>
      </c>
      <c r="P1077" s="109">
        <v>193501</v>
      </c>
      <c r="Q1077" s="41"/>
      <c r="R1077" s="111"/>
      <c r="S1077" s="110" t="s">
        <v>1623</v>
      </c>
    </row>
    <row r="1078" spans="1:19">
      <c r="A1078" s="105">
        <v>1077</v>
      </c>
      <c r="B1078" s="41">
        <v>12000000</v>
      </c>
      <c r="C1078" s="41">
        <v>5.4000000000000003E-3</v>
      </c>
      <c r="D1078" s="41">
        <v>11.313700000000001</v>
      </c>
      <c r="E1078" s="41">
        <v>30</v>
      </c>
      <c r="F1078" s="41">
        <v>0</v>
      </c>
      <c r="G1078" s="41" t="s">
        <v>103</v>
      </c>
      <c r="H1078" s="41">
        <v>0</v>
      </c>
      <c r="I1078" s="41">
        <v>1</v>
      </c>
      <c r="J1078" s="108">
        <f>POWER(POWER(Table2[[#This Row],[mv]],4)/10,0.25)</f>
        <v>3.0366431560278845E-3</v>
      </c>
      <c r="K1078" s="41">
        <v>0</v>
      </c>
      <c r="L1078" s="41">
        <v>55</v>
      </c>
      <c r="M1078" s="41">
        <v>-1</v>
      </c>
      <c r="N1078" s="41">
        <v>4</v>
      </c>
      <c r="O1078" s="111" t="s">
        <v>1594</v>
      </c>
      <c r="P1078" s="109">
        <v>193501</v>
      </c>
      <c r="Q1078" s="41"/>
      <c r="R1078" s="111"/>
      <c r="S1078" s="110" t="s">
        <v>1623</v>
      </c>
    </row>
    <row r="1079" spans="1:19">
      <c r="A1079" s="105">
        <v>1078</v>
      </c>
      <c r="B1079" s="41">
        <v>12000000</v>
      </c>
      <c r="C1079" s="41">
        <v>5.4000000000000003E-3</v>
      </c>
      <c r="D1079" s="41">
        <v>12.3377</v>
      </c>
      <c r="E1079" s="41">
        <v>30</v>
      </c>
      <c r="F1079" s="41">
        <v>0</v>
      </c>
      <c r="G1079" s="41" t="s">
        <v>103</v>
      </c>
      <c r="H1079" s="41">
        <v>0</v>
      </c>
      <c r="I1079" s="41">
        <v>1</v>
      </c>
      <c r="J1079" s="108">
        <f>POWER(POWER(Table2[[#This Row],[mv]],4)/10,0.25)</f>
        <v>3.0366431560278845E-3</v>
      </c>
      <c r="K1079" s="41">
        <v>0</v>
      </c>
      <c r="L1079" s="41">
        <v>55</v>
      </c>
      <c r="M1079" s="41">
        <v>-1</v>
      </c>
      <c r="N1079" s="41">
        <v>4</v>
      </c>
      <c r="O1079" s="111" t="s">
        <v>1595</v>
      </c>
      <c r="P1079" s="109">
        <v>193501</v>
      </c>
      <c r="Q1079" s="41"/>
      <c r="R1079" s="111"/>
      <c r="S1079" s="110" t="s">
        <v>1623</v>
      </c>
    </row>
    <row r="1080" spans="1:19">
      <c r="A1080" s="105">
        <v>1079</v>
      </c>
      <c r="B1080" s="41">
        <v>12000000</v>
      </c>
      <c r="C1080" s="41">
        <v>5.4000000000000003E-3</v>
      </c>
      <c r="D1080" s="41">
        <v>13.4543</v>
      </c>
      <c r="E1080" s="41">
        <v>30</v>
      </c>
      <c r="F1080" s="41">
        <v>0</v>
      </c>
      <c r="G1080" s="41" t="s">
        <v>103</v>
      </c>
      <c r="H1080" s="41">
        <v>0</v>
      </c>
      <c r="I1080" s="41">
        <v>1</v>
      </c>
      <c r="J1080" s="108">
        <f>POWER(POWER(Table2[[#This Row],[mv]],4)/10,0.25)</f>
        <v>3.0366431560278845E-3</v>
      </c>
      <c r="K1080" s="41">
        <v>0</v>
      </c>
      <c r="L1080" s="41">
        <v>55</v>
      </c>
      <c r="M1080" s="41">
        <v>-1</v>
      </c>
      <c r="N1080" s="41">
        <v>4</v>
      </c>
      <c r="O1080" s="111" t="s">
        <v>1596</v>
      </c>
      <c r="P1080" s="109">
        <v>193501</v>
      </c>
      <c r="Q1080" s="41"/>
      <c r="R1080" s="111"/>
      <c r="S1080" s="110" t="s">
        <v>1623</v>
      </c>
    </row>
    <row r="1081" spans="1:19">
      <c r="A1081" s="105">
        <v>1080</v>
      </c>
      <c r="B1081" s="41">
        <v>12000000</v>
      </c>
      <c r="C1081" s="41">
        <v>5.4000000000000003E-3</v>
      </c>
      <c r="D1081" s="41">
        <v>14.6721</v>
      </c>
      <c r="E1081" s="41">
        <v>30</v>
      </c>
      <c r="F1081" s="41">
        <v>0</v>
      </c>
      <c r="G1081" s="41" t="s">
        <v>103</v>
      </c>
      <c r="H1081" s="41">
        <v>0</v>
      </c>
      <c r="I1081" s="41">
        <v>1</v>
      </c>
      <c r="J1081" s="108">
        <f>POWER(POWER(Table2[[#This Row],[mv]],4)/10,0.25)</f>
        <v>3.0366431560278845E-3</v>
      </c>
      <c r="K1081" s="41">
        <v>0</v>
      </c>
      <c r="L1081" s="41">
        <v>55</v>
      </c>
      <c r="M1081" s="41">
        <v>-1</v>
      </c>
      <c r="N1081" s="41">
        <v>4</v>
      </c>
      <c r="O1081" s="111" t="s">
        <v>1597</v>
      </c>
      <c r="P1081" s="109">
        <v>193501</v>
      </c>
      <c r="Q1081" s="41"/>
      <c r="R1081" s="111"/>
      <c r="S1081" s="110" t="s">
        <v>1623</v>
      </c>
    </row>
    <row r="1082" spans="1:19">
      <c r="A1082" s="105">
        <v>1081</v>
      </c>
      <c r="B1082" s="41">
        <v>12000000</v>
      </c>
      <c r="C1082" s="41">
        <v>5.4000000000000003E-3</v>
      </c>
      <c r="D1082" s="41">
        <v>16</v>
      </c>
      <c r="E1082" s="41">
        <v>30</v>
      </c>
      <c r="F1082" s="41">
        <v>0</v>
      </c>
      <c r="G1082" s="41" t="s">
        <v>103</v>
      </c>
      <c r="H1082" s="41">
        <v>0</v>
      </c>
      <c r="I1082" s="41">
        <v>1</v>
      </c>
      <c r="J1082" s="108">
        <f>POWER(POWER(Table2[[#This Row],[mv]],4)/10,0.25)</f>
        <v>3.0366431560278845E-3</v>
      </c>
      <c r="K1082" s="41">
        <v>0</v>
      </c>
      <c r="L1082" s="41">
        <v>55</v>
      </c>
      <c r="M1082" s="41">
        <v>-1</v>
      </c>
      <c r="N1082" s="41">
        <v>4</v>
      </c>
      <c r="O1082" s="111" t="s">
        <v>1598</v>
      </c>
      <c r="P1082" s="109">
        <v>193501</v>
      </c>
      <c r="Q1082" s="41"/>
      <c r="R1082" s="111"/>
      <c r="S1082" s="110" t="s">
        <v>1623</v>
      </c>
    </row>
    <row r="1083" spans="1:19">
      <c r="A1083" s="105">
        <v>1082</v>
      </c>
      <c r="B1083" s="41">
        <v>12000000</v>
      </c>
      <c r="C1083" s="41">
        <v>5.4000000000000003E-3</v>
      </c>
      <c r="D1083" s="41">
        <v>17.4481</v>
      </c>
      <c r="E1083" s="41">
        <v>30</v>
      </c>
      <c r="F1083" s="41">
        <v>0</v>
      </c>
      <c r="G1083" s="41" t="s">
        <v>103</v>
      </c>
      <c r="H1083" s="41">
        <v>0</v>
      </c>
      <c r="I1083" s="41">
        <v>1</v>
      </c>
      <c r="J1083" s="108">
        <f>POWER(POWER(Table2[[#This Row],[mv]],4)/10,0.25)</f>
        <v>3.0366431560278845E-3</v>
      </c>
      <c r="K1083" s="41">
        <v>0</v>
      </c>
      <c r="L1083" s="41">
        <v>55</v>
      </c>
      <c r="M1083" s="41">
        <v>-1</v>
      </c>
      <c r="N1083" s="41">
        <v>4</v>
      </c>
      <c r="O1083" s="111" t="s">
        <v>1599</v>
      </c>
      <c r="P1083" s="109">
        <v>193501</v>
      </c>
      <c r="Q1083" s="41"/>
      <c r="R1083" s="111"/>
      <c r="S1083" s="110" t="s">
        <v>1623</v>
      </c>
    </row>
    <row r="1084" spans="1:19">
      <c r="A1084" s="105">
        <v>1083</v>
      </c>
      <c r="B1084" s="41">
        <v>12000000</v>
      </c>
      <c r="C1084" s="41">
        <v>5.4000000000000003E-3</v>
      </c>
      <c r="D1084" s="41">
        <v>19.0273</v>
      </c>
      <c r="E1084" s="41">
        <v>30</v>
      </c>
      <c r="F1084" s="41">
        <v>0</v>
      </c>
      <c r="G1084" s="41" t="s">
        <v>103</v>
      </c>
      <c r="H1084" s="41">
        <v>0</v>
      </c>
      <c r="I1084" s="41">
        <v>1</v>
      </c>
      <c r="J1084" s="108">
        <f>POWER(POWER(Table2[[#This Row],[mv]],4)/10,0.25)</f>
        <v>3.0366431560278845E-3</v>
      </c>
      <c r="K1084" s="41">
        <v>0</v>
      </c>
      <c r="L1084" s="41">
        <v>55</v>
      </c>
      <c r="M1084" s="41">
        <v>-1</v>
      </c>
      <c r="N1084" s="41">
        <v>4</v>
      </c>
      <c r="O1084" s="111" t="s">
        <v>1600</v>
      </c>
      <c r="P1084" s="109">
        <v>193501</v>
      </c>
      <c r="Q1084" s="41"/>
      <c r="R1084" s="111"/>
      <c r="S1084" s="110" t="s">
        <v>1623</v>
      </c>
    </row>
    <row r="1085" spans="1:19">
      <c r="A1085" s="105">
        <v>1084</v>
      </c>
      <c r="B1085" s="41">
        <v>12000000</v>
      </c>
      <c r="C1085" s="41">
        <v>5.8999999999999999E-3</v>
      </c>
      <c r="D1085" s="41">
        <v>11.313700000000001</v>
      </c>
      <c r="E1085" s="41">
        <v>30</v>
      </c>
      <c r="F1085" s="41">
        <v>0</v>
      </c>
      <c r="G1085" s="41" t="s">
        <v>103</v>
      </c>
      <c r="H1085" s="41">
        <v>0</v>
      </c>
      <c r="I1085" s="41">
        <v>1</v>
      </c>
      <c r="J1085" s="108">
        <f>POWER(POWER(Table2[[#This Row],[mv]],4)/10,0.25)</f>
        <v>3.3178138186230597E-3</v>
      </c>
      <c r="K1085" s="41">
        <v>0</v>
      </c>
      <c r="L1085" s="41">
        <v>55</v>
      </c>
      <c r="M1085" s="41">
        <v>-1</v>
      </c>
      <c r="N1085" s="41">
        <v>4</v>
      </c>
      <c r="O1085" s="111" t="s">
        <v>1601</v>
      </c>
      <c r="P1085" s="109">
        <v>193501</v>
      </c>
      <c r="Q1085" s="41"/>
      <c r="R1085" s="111"/>
      <c r="S1085" s="110" t="s">
        <v>1623</v>
      </c>
    </row>
    <row r="1086" spans="1:19">
      <c r="A1086" s="105">
        <v>1085</v>
      </c>
      <c r="B1086" s="41">
        <v>12000000</v>
      </c>
      <c r="C1086" s="41">
        <v>5.8999999999999999E-3</v>
      </c>
      <c r="D1086" s="41">
        <v>12.3377</v>
      </c>
      <c r="E1086" s="41">
        <v>30</v>
      </c>
      <c r="F1086" s="41">
        <v>0</v>
      </c>
      <c r="G1086" s="41" t="s">
        <v>103</v>
      </c>
      <c r="H1086" s="41">
        <v>0</v>
      </c>
      <c r="I1086" s="41">
        <v>1</v>
      </c>
      <c r="J1086" s="108">
        <f>POWER(POWER(Table2[[#This Row],[mv]],4)/10,0.25)</f>
        <v>3.3178138186230597E-3</v>
      </c>
      <c r="K1086" s="41">
        <v>0</v>
      </c>
      <c r="L1086" s="41">
        <v>55</v>
      </c>
      <c r="M1086" s="41">
        <v>-1</v>
      </c>
      <c r="N1086" s="41">
        <v>4</v>
      </c>
      <c r="O1086" s="111" t="s">
        <v>1602</v>
      </c>
      <c r="P1086" s="109">
        <v>193501</v>
      </c>
      <c r="Q1086" s="41"/>
      <c r="R1086" s="111"/>
      <c r="S1086" s="110" t="s">
        <v>1623</v>
      </c>
    </row>
    <row r="1087" spans="1:19">
      <c r="A1087" s="105">
        <v>1086</v>
      </c>
      <c r="B1087" s="41">
        <v>12000000</v>
      </c>
      <c r="C1087" s="41">
        <v>5.8999999999999999E-3</v>
      </c>
      <c r="D1087" s="41">
        <v>13.4543</v>
      </c>
      <c r="E1087" s="41">
        <v>30</v>
      </c>
      <c r="F1087" s="41">
        <v>0</v>
      </c>
      <c r="G1087" s="41" t="s">
        <v>103</v>
      </c>
      <c r="H1087" s="41">
        <v>0</v>
      </c>
      <c r="I1087" s="41">
        <v>1</v>
      </c>
      <c r="J1087" s="108">
        <f>POWER(POWER(Table2[[#This Row],[mv]],4)/10,0.25)</f>
        <v>3.3178138186230597E-3</v>
      </c>
      <c r="K1087" s="41">
        <v>0</v>
      </c>
      <c r="L1087" s="41">
        <v>55</v>
      </c>
      <c r="M1087" s="41">
        <v>-1</v>
      </c>
      <c r="N1087" s="41">
        <v>4</v>
      </c>
      <c r="O1087" s="111" t="s">
        <v>1603</v>
      </c>
      <c r="P1087" s="109">
        <v>193501</v>
      </c>
      <c r="Q1087" s="41"/>
      <c r="R1087" s="111"/>
      <c r="S1087" s="110" t="s">
        <v>1623</v>
      </c>
    </row>
    <row r="1088" spans="1:19">
      <c r="A1088" s="105">
        <v>1087</v>
      </c>
      <c r="B1088" s="41">
        <v>12000000</v>
      </c>
      <c r="C1088" s="41">
        <v>5.8999999999999999E-3</v>
      </c>
      <c r="D1088" s="41">
        <v>14.6721</v>
      </c>
      <c r="E1088" s="41">
        <v>30</v>
      </c>
      <c r="F1088" s="41">
        <v>0</v>
      </c>
      <c r="G1088" s="41" t="s">
        <v>103</v>
      </c>
      <c r="H1088" s="41">
        <v>0</v>
      </c>
      <c r="I1088" s="41">
        <v>1</v>
      </c>
      <c r="J1088" s="108">
        <f>POWER(POWER(Table2[[#This Row],[mv]],4)/10,0.25)</f>
        <v>3.3178138186230597E-3</v>
      </c>
      <c r="K1088" s="41">
        <v>0</v>
      </c>
      <c r="L1088" s="41">
        <v>55</v>
      </c>
      <c r="M1088" s="41">
        <v>-1</v>
      </c>
      <c r="N1088" s="41">
        <v>4</v>
      </c>
      <c r="O1088" s="111" t="s">
        <v>1604</v>
      </c>
      <c r="P1088" s="109">
        <v>193501</v>
      </c>
      <c r="Q1088" s="41"/>
      <c r="R1088" s="111"/>
      <c r="S1088" s="110" t="s">
        <v>1623</v>
      </c>
    </row>
    <row r="1089" spans="1:19">
      <c r="A1089" s="105">
        <v>1088</v>
      </c>
      <c r="B1089" s="41">
        <v>12000000</v>
      </c>
      <c r="C1089" s="41">
        <v>5.8999999999999999E-3</v>
      </c>
      <c r="D1089" s="41">
        <v>16</v>
      </c>
      <c r="E1089" s="41">
        <v>30</v>
      </c>
      <c r="F1089" s="41">
        <v>0</v>
      </c>
      <c r="G1089" s="41" t="s">
        <v>103</v>
      </c>
      <c r="H1089" s="41">
        <v>0</v>
      </c>
      <c r="I1089" s="41">
        <v>1</v>
      </c>
      <c r="J1089" s="108">
        <f>POWER(POWER(Table2[[#This Row],[mv]],4)/10,0.25)</f>
        <v>3.3178138186230597E-3</v>
      </c>
      <c r="K1089" s="41">
        <v>0</v>
      </c>
      <c r="L1089" s="41">
        <v>55</v>
      </c>
      <c r="M1089" s="41">
        <v>-1</v>
      </c>
      <c r="N1089" s="41">
        <v>4</v>
      </c>
      <c r="O1089" s="111" t="s">
        <v>1605</v>
      </c>
      <c r="P1089" s="109">
        <v>193501</v>
      </c>
      <c r="Q1089" s="41"/>
      <c r="R1089" s="111"/>
      <c r="S1089" s="110" t="s">
        <v>1623</v>
      </c>
    </row>
    <row r="1090" spans="1:19">
      <c r="A1090" s="105">
        <v>1089</v>
      </c>
      <c r="B1090" s="41">
        <v>12000000</v>
      </c>
      <c r="C1090" s="41">
        <v>5.8999999999999999E-3</v>
      </c>
      <c r="D1090" s="41">
        <v>17.4481</v>
      </c>
      <c r="E1090" s="41">
        <v>30</v>
      </c>
      <c r="F1090" s="41">
        <v>0</v>
      </c>
      <c r="G1090" s="41" t="s">
        <v>103</v>
      </c>
      <c r="H1090" s="41">
        <v>0</v>
      </c>
      <c r="I1090" s="41">
        <v>1</v>
      </c>
      <c r="J1090" s="108">
        <f>POWER(POWER(Table2[[#This Row],[mv]],4)/10,0.25)</f>
        <v>3.3178138186230597E-3</v>
      </c>
      <c r="K1090" s="41">
        <v>0</v>
      </c>
      <c r="L1090" s="41">
        <v>55</v>
      </c>
      <c r="M1090" s="41">
        <v>-1</v>
      </c>
      <c r="N1090" s="41">
        <v>4</v>
      </c>
      <c r="O1090" s="111" t="s">
        <v>1606</v>
      </c>
      <c r="P1090" s="109">
        <v>193501</v>
      </c>
      <c r="Q1090" s="41"/>
      <c r="R1090" s="111"/>
      <c r="S1090" s="110" t="s">
        <v>1623</v>
      </c>
    </row>
    <row r="1091" spans="1:19">
      <c r="A1091" s="105">
        <v>1090</v>
      </c>
      <c r="B1091" s="41">
        <v>12000000</v>
      </c>
      <c r="C1091" s="41">
        <v>5.8999999999999999E-3</v>
      </c>
      <c r="D1091" s="41">
        <v>19.0273</v>
      </c>
      <c r="E1091" s="41">
        <v>30</v>
      </c>
      <c r="F1091" s="41">
        <v>0</v>
      </c>
      <c r="G1091" s="41" t="s">
        <v>103</v>
      </c>
      <c r="H1091" s="41">
        <v>0</v>
      </c>
      <c r="I1091" s="41">
        <v>1</v>
      </c>
      <c r="J1091" s="108">
        <f>POWER(POWER(Table2[[#This Row],[mv]],4)/10,0.25)</f>
        <v>3.3178138186230597E-3</v>
      </c>
      <c r="K1091" s="41">
        <v>0</v>
      </c>
      <c r="L1091" s="41">
        <v>55</v>
      </c>
      <c r="M1091" s="41">
        <v>-1</v>
      </c>
      <c r="N1091" s="41">
        <v>4</v>
      </c>
      <c r="O1091" s="111" t="s">
        <v>1607</v>
      </c>
      <c r="P1091" s="109">
        <v>193501</v>
      </c>
      <c r="Q1091" s="41"/>
      <c r="R1091" s="111"/>
      <c r="S1091" s="110" t="s">
        <v>1623</v>
      </c>
    </row>
    <row r="1092" spans="1:19">
      <c r="A1092" s="105">
        <v>1091</v>
      </c>
      <c r="B1092" s="41">
        <v>12000000</v>
      </c>
      <c r="C1092" s="41">
        <v>6.4000000000000003E-3</v>
      </c>
      <c r="D1092" s="41">
        <v>13.4543</v>
      </c>
      <c r="E1092" s="41">
        <v>30</v>
      </c>
      <c r="F1092" s="41">
        <v>0</v>
      </c>
      <c r="G1092" s="41" t="s">
        <v>103</v>
      </c>
      <c r="H1092" s="41">
        <v>0</v>
      </c>
      <c r="I1092" s="41">
        <v>1</v>
      </c>
      <c r="J1092" s="108">
        <f>POWER(POWER(Table2[[#This Row],[mv]],4)/10,0.25)</f>
        <v>3.5989844812182349E-3</v>
      </c>
      <c r="K1092" s="41">
        <v>0</v>
      </c>
      <c r="L1092" s="41">
        <v>55</v>
      </c>
      <c r="M1092" s="41">
        <v>-1</v>
      </c>
      <c r="N1092" s="41">
        <v>4</v>
      </c>
      <c r="O1092" s="111" t="s">
        <v>1608</v>
      </c>
      <c r="P1092" s="109">
        <v>193501</v>
      </c>
      <c r="Q1092" s="41"/>
      <c r="R1092" s="111"/>
      <c r="S1092" s="110" t="s">
        <v>1623</v>
      </c>
    </row>
    <row r="1093" spans="1:19">
      <c r="A1093" s="105">
        <v>1092</v>
      </c>
      <c r="B1093" s="41">
        <v>12000000</v>
      </c>
      <c r="C1093" s="41">
        <v>6.4000000000000003E-3</v>
      </c>
      <c r="D1093" s="41">
        <v>14.6721</v>
      </c>
      <c r="E1093" s="41">
        <v>30</v>
      </c>
      <c r="F1093" s="41">
        <v>0</v>
      </c>
      <c r="G1093" s="41" t="s">
        <v>103</v>
      </c>
      <c r="H1093" s="41">
        <v>0</v>
      </c>
      <c r="I1093" s="41">
        <v>1</v>
      </c>
      <c r="J1093" s="108">
        <f>POWER(POWER(Table2[[#This Row],[mv]],4)/10,0.25)</f>
        <v>3.5989844812182349E-3</v>
      </c>
      <c r="K1093" s="41">
        <v>0</v>
      </c>
      <c r="L1093" s="41">
        <v>55</v>
      </c>
      <c r="M1093" s="41">
        <v>-1</v>
      </c>
      <c r="N1093" s="41">
        <v>4</v>
      </c>
      <c r="O1093" s="111" t="s">
        <v>1609</v>
      </c>
      <c r="P1093" s="109">
        <v>193505</v>
      </c>
      <c r="Q1093" s="41"/>
      <c r="R1093" s="111"/>
      <c r="S1093" s="110" t="s">
        <v>1623</v>
      </c>
    </row>
    <row r="1094" spans="1:19">
      <c r="A1094" s="105">
        <v>1093</v>
      </c>
      <c r="B1094" s="41">
        <v>12000000</v>
      </c>
      <c r="C1094" s="41">
        <v>6.4000000000000003E-3</v>
      </c>
      <c r="D1094" s="41">
        <v>16</v>
      </c>
      <c r="E1094" s="41">
        <v>30</v>
      </c>
      <c r="F1094" s="41">
        <v>0</v>
      </c>
      <c r="G1094" s="41" t="s">
        <v>103</v>
      </c>
      <c r="H1094" s="41">
        <v>0</v>
      </c>
      <c r="I1094" s="41">
        <v>1</v>
      </c>
      <c r="J1094" s="108">
        <f>POWER(POWER(Table2[[#This Row],[mv]],4)/10,0.25)</f>
        <v>3.5989844812182349E-3</v>
      </c>
      <c r="K1094" s="41">
        <v>0</v>
      </c>
      <c r="L1094" s="41">
        <v>55</v>
      </c>
      <c r="M1094" s="41">
        <v>-1</v>
      </c>
      <c r="N1094" s="41">
        <v>4</v>
      </c>
      <c r="O1094" s="111" t="s">
        <v>1610</v>
      </c>
      <c r="P1094" s="109">
        <v>193505</v>
      </c>
      <c r="Q1094" s="41"/>
      <c r="R1094" s="111"/>
      <c r="S1094" s="110" t="s">
        <v>1623</v>
      </c>
    </row>
    <row r="1095" spans="1:19">
      <c r="A1095" s="105">
        <v>1094</v>
      </c>
      <c r="B1095" s="41">
        <v>12000000</v>
      </c>
      <c r="C1095" s="41">
        <v>6.4000000000000003E-3</v>
      </c>
      <c r="D1095" s="41">
        <v>17.4481</v>
      </c>
      <c r="E1095" s="41">
        <v>30</v>
      </c>
      <c r="F1095" s="41">
        <v>0</v>
      </c>
      <c r="G1095" s="41" t="s">
        <v>103</v>
      </c>
      <c r="H1095" s="41">
        <v>0</v>
      </c>
      <c r="I1095" s="41">
        <v>1</v>
      </c>
      <c r="J1095" s="108">
        <f>POWER(POWER(Table2[[#This Row],[mv]],4)/10,0.25)</f>
        <v>3.5989844812182349E-3</v>
      </c>
      <c r="K1095" s="41">
        <v>0</v>
      </c>
      <c r="L1095" s="41">
        <v>55</v>
      </c>
      <c r="M1095" s="41">
        <v>-1</v>
      </c>
      <c r="N1095" s="41">
        <v>4</v>
      </c>
      <c r="O1095" s="111" t="s">
        <v>1611</v>
      </c>
      <c r="P1095" s="109">
        <v>193505</v>
      </c>
      <c r="Q1095" s="41"/>
      <c r="R1095" s="111"/>
      <c r="S1095" s="110" t="s">
        <v>1623</v>
      </c>
    </row>
    <row r="1096" spans="1:19">
      <c r="A1096" s="105">
        <v>1095</v>
      </c>
      <c r="B1096" s="41">
        <v>12000000</v>
      </c>
      <c r="C1096" s="41">
        <v>6.4000000000000003E-3</v>
      </c>
      <c r="D1096" s="41">
        <v>19.0273</v>
      </c>
      <c r="E1096" s="41">
        <v>30</v>
      </c>
      <c r="F1096" s="41">
        <v>0</v>
      </c>
      <c r="G1096" s="41" t="s">
        <v>103</v>
      </c>
      <c r="H1096" s="41">
        <v>0</v>
      </c>
      <c r="I1096" s="41">
        <v>1</v>
      </c>
      <c r="J1096" s="108">
        <f>POWER(POWER(Table2[[#This Row],[mv]],4)/10,0.25)</f>
        <v>3.5989844812182349E-3</v>
      </c>
      <c r="K1096" s="41">
        <v>0</v>
      </c>
      <c r="L1096" s="41">
        <v>55</v>
      </c>
      <c r="M1096" s="41">
        <v>-1</v>
      </c>
      <c r="N1096" s="41">
        <v>4</v>
      </c>
      <c r="O1096" s="111" t="s">
        <v>1612</v>
      </c>
      <c r="P1096" s="109">
        <v>193505</v>
      </c>
      <c r="Q1096" s="41"/>
      <c r="R1096" s="111"/>
      <c r="S1096" s="110" t="s">
        <v>1623</v>
      </c>
    </row>
    <row r="1097" spans="1:19">
      <c r="A1097" s="105">
        <v>1096</v>
      </c>
      <c r="B1097" s="41">
        <v>12000000</v>
      </c>
      <c r="C1097" s="41">
        <v>7.0000000000000001E-3</v>
      </c>
      <c r="D1097" s="41">
        <v>16</v>
      </c>
      <c r="E1097" s="41">
        <v>30</v>
      </c>
      <c r="F1097" s="41">
        <v>0</v>
      </c>
      <c r="G1097" s="41" t="s">
        <v>103</v>
      </c>
      <c r="H1097" s="41">
        <v>0</v>
      </c>
      <c r="I1097" s="41">
        <v>1</v>
      </c>
      <c r="J1097" s="108">
        <f>POWER(POWER(Table2[[#This Row],[mv]],4)/10,0.25)</f>
        <v>3.9363892763324441E-3</v>
      </c>
      <c r="K1097" s="41">
        <v>0</v>
      </c>
      <c r="L1097" s="41">
        <v>55</v>
      </c>
      <c r="M1097" s="41">
        <v>-1</v>
      </c>
      <c r="N1097" s="41">
        <v>4</v>
      </c>
      <c r="O1097" s="111" t="s">
        <v>1613</v>
      </c>
      <c r="P1097" s="109">
        <v>193505</v>
      </c>
      <c r="Q1097" s="41"/>
      <c r="R1097" s="111"/>
      <c r="S1097" s="110" t="s">
        <v>1623</v>
      </c>
    </row>
    <row r="1098" spans="1:19">
      <c r="A1098" s="105">
        <v>1097</v>
      </c>
      <c r="B1098" s="41">
        <v>12000000</v>
      </c>
      <c r="C1098" s="41">
        <v>7.0000000000000001E-3</v>
      </c>
      <c r="D1098" s="41">
        <v>17.4481</v>
      </c>
      <c r="E1098" s="41">
        <v>30</v>
      </c>
      <c r="F1098" s="41">
        <v>0</v>
      </c>
      <c r="G1098" s="41" t="s">
        <v>103</v>
      </c>
      <c r="H1098" s="41">
        <v>0</v>
      </c>
      <c r="I1098" s="41">
        <v>1</v>
      </c>
      <c r="J1098" s="108">
        <f>POWER(POWER(Table2[[#This Row],[mv]],4)/10,0.25)</f>
        <v>3.9363892763324441E-3</v>
      </c>
      <c r="K1098" s="41">
        <v>0</v>
      </c>
      <c r="L1098" s="41">
        <v>55</v>
      </c>
      <c r="M1098" s="41">
        <v>-1</v>
      </c>
      <c r="N1098" s="41">
        <v>4</v>
      </c>
      <c r="O1098" s="111" t="s">
        <v>1614</v>
      </c>
      <c r="P1098" s="109">
        <v>193501</v>
      </c>
      <c r="Q1098" s="41"/>
      <c r="R1098" s="111"/>
      <c r="S1098" s="110" t="s">
        <v>1623</v>
      </c>
    </row>
    <row r="1099" spans="1:19">
      <c r="A1099" s="105">
        <v>1098</v>
      </c>
      <c r="B1099" s="41">
        <v>12000000</v>
      </c>
      <c r="C1099" s="41">
        <v>7.0000000000000001E-3</v>
      </c>
      <c r="D1099" s="41">
        <v>19.0273</v>
      </c>
      <c r="E1099" s="41">
        <v>30</v>
      </c>
      <c r="F1099" s="41">
        <v>0</v>
      </c>
      <c r="G1099" s="41" t="s">
        <v>103</v>
      </c>
      <c r="H1099" s="41">
        <v>0</v>
      </c>
      <c r="I1099" s="41">
        <v>1</v>
      </c>
      <c r="J1099" s="108">
        <f>POWER(POWER(Table2[[#This Row],[mv]],4)/10,0.25)</f>
        <v>3.9363892763324441E-3</v>
      </c>
      <c r="K1099" s="41">
        <v>0</v>
      </c>
      <c r="L1099" s="41">
        <v>55</v>
      </c>
      <c r="M1099" s="41">
        <v>-1</v>
      </c>
      <c r="N1099" s="41">
        <v>4</v>
      </c>
      <c r="O1099" s="111" t="s">
        <v>1615</v>
      </c>
      <c r="P1099" s="109">
        <v>193501</v>
      </c>
      <c r="Q1099" s="41"/>
      <c r="R1099" s="111"/>
      <c r="S1099" s="110" t="s">
        <v>1623</v>
      </c>
    </row>
    <row r="1100" spans="1:19">
      <c r="A1100" s="105">
        <v>1099</v>
      </c>
      <c r="B1100" s="41">
        <v>12000000</v>
      </c>
      <c r="C1100" s="41">
        <v>7.6E-3</v>
      </c>
      <c r="D1100" s="41">
        <v>19.0273</v>
      </c>
      <c r="E1100" s="41">
        <v>30</v>
      </c>
      <c r="F1100" s="41">
        <v>0</v>
      </c>
      <c r="G1100" s="41" t="s">
        <v>103</v>
      </c>
      <c r="H1100" s="41">
        <v>0</v>
      </c>
      <c r="I1100" s="41">
        <v>1</v>
      </c>
      <c r="J1100" s="108">
        <f>POWER(POWER(Table2[[#This Row],[mv]],4)/10,0.25)</f>
        <v>4.2737940714466516E-3</v>
      </c>
      <c r="K1100" s="41">
        <v>0</v>
      </c>
      <c r="L1100" s="41">
        <v>55</v>
      </c>
      <c r="M1100" s="41">
        <v>-1</v>
      </c>
      <c r="N1100" s="41">
        <v>4</v>
      </c>
      <c r="O1100" s="111" t="s">
        <v>1616</v>
      </c>
      <c r="P1100" s="109">
        <v>193501</v>
      </c>
      <c r="Q1100" s="41"/>
      <c r="R1100" s="111"/>
      <c r="S1100" s="110" t="s">
        <v>1623</v>
      </c>
    </row>
    <row r="1101" spans="1:19">
      <c r="A1101" s="105">
        <v>1100</v>
      </c>
      <c r="B1101" s="41">
        <v>12000000</v>
      </c>
      <c r="C1101" s="41">
        <v>2.8999999999999998E-3</v>
      </c>
      <c r="D1101" s="41">
        <v>3.3635999999999999</v>
      </c>
      <c r="E1101" s="41">
        <v>30</v>
      </c>
      <c r="F1101" s="41">
        <v>0</v>
      </c>
      <c r="G1101" s="41" t="s">
        <v>103</v>
      </c>
      <c r="H1101" s="41">
        <v>2</v>
      </c>
      <c r="I1101" s="41">
        <v>1</v>
      </c>
      <c r="J1101" s="108">
        <f>POWER(POWER(Table2[[#This Row],[mv]],4)/10,0.25)</f>
        <v>1.6307898430520129E-3</v>
      </c>
      <c r="K1101" s="41">
        <v>0</v>
      </c>
      <c r="L1101" s="41">
        <v>55</v>
      </c>
      <c r="M1101" s="41">
        <v>-1</v>
      </c>
      <c r="N1101" s="41">
        <v>4</v>
      </c>
      <c r="O1101" s="111" t="s">
        <v>1626</v>
      </c>
      <c r="P1101" s="109">
        <v>192685</v>
      </c>
      <c r="Q1101" s="41"/>
      <c r="R1101" s="111"/>
      <c r="S1101" s="110" t="s">
        <v>1770</v>
      </c>
    </row>
    <row r="1102" spans="1:19">
      <c r="A1102" s="105">
        <v>1101</v>
      </c>
      <c r="B1102" s="41">
        <v>12000000</v>
      </c>
      <c r="C1102" s="41">
        <v>2.8999999999999998E-3</v>
      </c>
      <c r="D1102" s="41">
        <v>3.6680000000000001</v>
      </c>
      <c r="E1102" s="41">
        <v>30</v>
      </c>
      <c r="F1102" s="41">
        <v>0</v>
      </c>
      <c r="G1102" s="41" t="s">
        <v>103</v>
      </c>
      <c r="H1102" s="41">
        <v>2</v>
      </c>
      <c r="I1102" s="41">
        <v>1</v>
      </c>
      <c r="J1102" s="108">
        <f>POWER(POWER(Table2[[#This Row],[mv]],4)/10,0.25)</f>
        <v>1.6307898430520129E-3</v>
      </c>
      <c r="K1102" s="41">
        <v>0</v>
      </c>
      <c r="L1102" s="41">
        <v>55</v>
      </c>
      <c r="M1102" s="41">
        <v>-1</v>
      </c>
      <c r="N1102" s="41">
        <v>4</v>
      </c>
      <c r="O1102" s="111" t="s">
        <v>1627</v>
      </c>
      <c r="P1102" s="109">
        <v>192685</v>
      </c>
      <c r="Q1102" s="41"/>
      <c r="R1102" s="111"/>
      <c r="S1102" s="110" t="s">
        <v>1771</v>
      </c>
    </row>
    <row r="1103" spans="1:19">
      <c r="A1103" s="105">
        <v>1102</v>
      </c>
      <c r="B1103" s="41">
        <v>12000000</v>
      </c>
      <c r="C1103" s="41">
        <v>2.8999999999999998E-3</v>
      </c>
      <c r="D1103" s="41">
        <v>4</v>
      </c>
      <c r="E1103" s="41">
        <v>30</v>
      </c>
      <c r="F1103" s="41">
        <v>0</v>
      </c>
      <c r="G1103" s="41" t="s">
        <v>103</v>
      </c>
      <c r="H1103" s="41">
        <v>2</v>
      </c>
      <c r="I1103" s="41">
        <v>1</v>
      </c>
      <c r="J1103" s="108">
        <f>POWER(POWER(Table2[[#This Row],[mv]],4)/10,0.25)</f>
        <v>1.6307898430520129E-3</v>
      </c>
      <c r="K1103" s="41">
        <v>0</v>
      </c>
      <c r="L1103" s="41">
        <v>55</v>
      </c>
      <c r="M1103" s="41">
        <v>-1</v>
      </c>
      <c r="N1103" s="41">
        <v>4</v>
      </c>
      <c r="O1103" s="111" t="s">
        <v>1628</v>
      </c>
      <c r="P1103" s="109">
        <v>192685</v>
      </c>
      <c r="Q1103" s="41"/>
      <c r="R1103" s="111"/>
      <c r="S1103" s="110" t="s">
        <v>1772</v>
      </c>
    </row>
    <row r="1104" spans="1:19">
      <c r="A1104" s="105">
        <v>1103</v>
      </c>
      <c r="B1104" s="41">
        <v>12000000</v>
      </c>
      <c r="C1104" s="41">
        <v>2.8999999999999998E-3</v>
      </c>
      <c r="D1104" s="41">
        <v>4.3620000000000001</v>
      </c>
      <c r="E1104" s="41">
        <v>30</v>
      </c>
      <c r="F1104" s="41">
        <v>0</v>
      </c>
      <c r="G1104" s="41" t="s">
        <v>103</v>
      </c>
      <c r="H1104" s="41">
        <v>2</v>
      </c>
      <c r="I1104" s="41">
        <v>1</v>
      </c>
      <c r="J1104" s="108">
        <f>POWER(POWER(Table2[[#This Row],[mv]],4)/10,0.25)</f>
        <v>1.6307898430520129E-3</v>
      </c>
      <c r="K1104" s="41">
        <v>0</v>
      </c>
      <c r="L1104" s="41">
        <v>55</v>
      </c>
      <c r="M1104" s="41">
        <v>-1</v>
      </c>
      <c r="N1104" s="41">
        <v>4</v>
      </c>
      <c r="O1104" s="111" t="s">
        <v>1629</v>
      </c>
      <c r="P1104" s="109">
        <v>192685</v>
      </c>
      <c r="Q1104" s="41"/>
      <c r="R1104" s="111"/>
      <c r="S1104" s="110" t="s">
        <v>1773</v>
      </c>
    </row>
    <row r="1105" spans="1:19">
      <c r="A1105" s="105">
        <v>1104</v>
      </c>
      <c r="B1105" s="41">
        <v>12000000</v>
      </c>
      <c r="C1105" s="41">
        <v>2.8999999999999998E-3</v>
      </c>
      <c r="D1105" s="41">
        <v>4.7568000000000001</v>
      </c>
      <c r="E1105" s="41">
        <v>30</v>
      </c>
      <c r="F1105" s="41">
        <v>0</v>
      </c>
      <c r="G1105" s="41" t="s">
        <v>103</v>
      </c>
      <c r="H1105" s="41">
        <v>2</v>
      </c>
      <c r="I1105" s="41">
        <v>1</v>
      </c>
      <c r="J1105" s="108">
        <f>POWER(POWER(Table2[[#This Row],[mv]],4)/10,0.25)</f>
        <v>1.6307898430520129E-3</v>
      </c>
      <c r="K1105" s="41">
        <v>0</v>
      </c>
      <c r="L1105" s="41">
        <v>55</v>
      </c>
      <c r="M1105" s="41">
        <v>-1</v>
      </c>
      <c r="N1105" s="41">
        <v>4</v>
      </c>
      <c r="O1105" s="111" t="s">
        <v>1630</v>
      </c>
      <c r="P1105" s="109">
        <v>192685</v>
      </c>
      <c r="Q1105" s="41"/>
      <c r="R1105" s="111"/>
      <c r="S1105" s="110" t="s">
        <v>1774</v>
      </c>
    </row>
    <row r="1106" spans="1:19">
      <c r="A1106" s="105">
        <v>1105</v>
      </c>
      <c r="B1106" s="41">
        <v>12000000</v>
      </c>
      <c r="C1106" s="41">
        <v>2.8999999999999998E-3</v>
      </c>
      <c r="D1106" s="41">
        <v>5.1874000000000002</v>
      </c>
      <c r="E1106" s="41">
        <v>30</v>
      </c>
      <c r="F1106" s="41">
        <v>0</v>
      </c>
      <c r="G1106" s="41" t="s">
        <v>103</v>
      </c>
      <c r="H1106" s="41">
        <v>2</v>
      </c>
      <c r="I1106" s="41">
        <v>1</v>
      </c>
      <c r="J1106" s="108">
        <f>POWER(POWER(Table2[[#This Row],[mv]],4)/10,0.25)</f>
        <v>1.6307898430520129E-3</v>
      </c>
      <c r="K1106" s="41">
        <v>0</v>
      </c>
      <c r="L1106" s="41">
        <v>55</v>
      </c>
      <c r="M1106" s="41">
        <v>-1</v>
      </c>
      <c r="N1106" s="41">
        <v>4</v>
      </c>
      <c r="O1106" s="111" t="s">
        <v>1631</v>
      </c>
      <c r="P1106" s="109">
        <v>192685</v>
      </c>
      <c r="Q1106" s="41"/>
      <c r="R1106" s="111"/>
      <c r="S1106" s="110" t="s">
        <v>1775</v>
      </c>
    </row>
    <row r="1107" spans="1:19">
      <c r="A1107" s="105">
        <v>1106</v>
      </c>
      <c r="B1107" s="41">
        <v>12000000</v>
      </c>
      <c r="C1107" s="41">
        <v>2.8999999999999998E-3</v>
      </c>
      <c r="D1107" s="41">
        <v>5.6569000000000003</v>
      </c>
      <c r="E1107" s="41">
        <v>30</v>
      </c>
      <c r="F1107" s="41">
        <v>0</v>
      </c>
      <c r="G1107" s="41" t="s">
        <v>103</v>
      </c>
      <c r="H1107" s="41">
        <v>2</v>
      </c>
      <c r="I1107" s="41">
        <v>1</v>
      </c>
      <c r="J1107" s="108">
        <f>POWER(POWER(Table2[[#This Row],[mv]],4)/10,0.25)</f>
        <v>1.6307898430520129E-3</v>
      </c>
      <c r="K1107" s="41">
        <v>0</v>
      </c>
      <c r="L1107" s="41">
        <v>55</v>
      </c>
      <c r="M1107" s="41">
        <v>-1</v>
      </c>
      <c r="N1107" s="41">
        <v>4</v>
      </c>
      <c r="O1107" s="111" t="s">
        <v>1632</v>
      </c>
      <c r="P1107" s="109">
        <v>192685</v>
      </c>
      <c r="Q1107" s="41"/>
      <c r="R1107" s="111"/>
      <c r="S1107" s="110" t="s">
        <v>1776</v>
      </c>
    </row>
    <row r="1108" spans="1:19">
      <c r="A1108" s="105">
        <v>1107</v>
      </c>
      <c r="B1108" s="41">
        <v>12000000</v>
      </c>
      <c r="C1108" s="41">
        <v>2.8999999999999998E-3</v>
      </c>
      <c r="D1108" s="41">
        <v>6.1688000000000001</v>
      </c>
      <c r="E1108" s="41">
        <v>30</v>
      </c>
      <c r="F1108" s="41">
        <v>0</v>
      </c>
      <c r="G1108" s="41" t="s">
        <v>103</v>
      </c>
      <c r="H1108" s="41">
        <v>2</v>
      </c>
      <c r="I1108" s="41">
        <v>1</v>
      </c>
      <c r="J1108" s="108">
        <f>POWER(POWER(Table2[[#This Row],[mv]],4)/10,0.25)</f>
        <v>1.6307898430520129E-3</v>
      </c>
      <c r="K1108" s="41">
        <v>0</v>
      </c>
      <c r="L1108" s="41">
        <v>55</v>
      </c>
      <c r="M1108" s="41">
        <v>-1</v>
      </c>
      <c r="N1108" s="41">
        <v>4</v>
      </c>
      <c r="O1108" s="111" t="s">
        <v>1633</v>
      </c>
      <c r="P1108" s="109">
        <v>192685</v>
      </c>
      <c r="Q1108" s="41"/>
      <c r="R1108" s="111"/>
      <c r="S1108" s="110" t="s">
        <v>1777</v>
      </c>
    </row>
    <row r="1109" spans="1:19">
      <c r="A1109" s="105">
        <v>1108</v>
      </c>
      <c r="B1109" s="41">
        <v>12000000</v>
      </c>
      <c r="C1109" s="41">
        <v>2.8999999999999998E-3</v>
      </c>
      <c r="D1109" s="41">
        <v>6.7271999999999998</v>
      </c>
      <c r="E1109" s="41">
        <v>30</v>
      </c>
      <c r="F1109" s="41">
        <v>0</v>
      </c>
      <c r="G1109" s="41" t="s">
        <v>103</v>
      </c>
      <c r="H1109" s="41">
        <v>2</v>
      </c>
      <c r="I1109" s="41">
        <v>1</v>
      </c>
      <c r="J1109" s="108">
        <f>POWER(POWER(Table2[[#This Row],[mv]],4)/10,0.25)</f>
        <v>1.6307898430520129E-3</v>
      </c>
      <c r="K1109" s="41">
        <v>0</v>
      </c>
      <c r="L1109" s="41">
        <v>55</v>
      </c>
      <c r="M1109" s="41">
        <v>-1</v>
      </c>
      <c r="N1109" s="41">
        <v>4</v>
      </c>
      <c r="O1109" s="111" t="s">
        <v>1634</v>
      </c>
      <c r="P1109" s="109">
        <v>192685</v>
      </c>
      <c r="Q1109" s="41"/>
      <c r="R1109" s="111"/>
      <c r="S1109" s="110" t="s">
        <v>1778</v>
      </c>
    </row>
    <row r="1110" spans="1:19">
      <c r="A1110" s="105">
        <v>1109</v>
      </c>
      <c r="B1110" s="41">
        <v>12000000</v>
      </c>
      <c r="C1110" s="41">
        <v>2.8999999999999998E-3</v>
      </c>
      <c r="D1110" s="41">
        <v>7.3360000000000003</v>
      </c>
      <c r="E1110" s="41">
        <v>30</v>
      </c>
      <c r="F1110" s="41">
        <v>0</v>
      </c>
      <c r="G1110" s="41" t="s">
        <v>103</v>
      </c>
      <c r="H1110" s="41">
        <v>2</v>
      </c>
      <c r="I1110" s="41">
        <v>1</v>
      </c>
      <c r="J1110" s="108">
        <f>POWER(POWER(Table2[[#This Row],[mv]],4)/10,0.25)</f>
        <v>1.6307898430520129E-3</v>
      </c>
      <c r="K1110" s="41">
        <v>0</v>
      </c>
      <c r="L1110" s="41">
        <v>55</v>
      </c>
      <c r="M1110" s="41">
        <v>-1</v>
      </c>
      <c r="N1110" s="41">
        <v>4</v>
      </c>
      <c r="O1110" s="111" t="s">
        <v>1635</v>
      </c>
      <c r="P1110" s="109">
        <v>192685</v>
      </c>
      <c r="Q1110" s="41"/>
      <c r="R1110" s="111"/>
      <c r="S1110" s="110" t="s">
        <v>1779</v>
      </c>
    </row>
    <row r="1111" spans="1:19">
      <c r="A1111" s="105">
        <v>1110</v>
      </c>
      <c r="B1111" s="41">
        <v>12000000</v>
      </c>
      <c r="C1111" s="41">
        <v>2.8999999999999998E-3</v>
      </c>
      <c r="D1111" s="41">
        <v>8</v>
      </c>
      <c r="E1111" s="41">
        <v>30</v>
      </c>
      <c r="F1111" s="41">
        <v>0</v>
      </c>
      <c r="G1111" s="41" t="s">
        <v>103</v>
      </c>
      <c r="H1111" s="41">
        <v>2</v>
      </c>
      <c r="I1111" s="41">
        <v>1</v>
      </c>
      <c r="J1111" s="108">
        <f>POWER(POWER(Table2[[#This Row],[mv]],4)/10,0.25)</f>
        <v>1.6307898430520129E-3</v>
      </c>
      <c r="K1111" s="41">
        <v>0</v>
      </c>
      <c r="L1111" s="41">
        <v>55</v>
      </c>
      <c r="M1111" s="41">
        <v>-1</v>
      </c>
      <c r="N1111" s="41">
        <v>4</v>
      </c>
      <c r="O1111" s="111" t="s">
        <v>1636</v>
      </c>
      <c r="P1111" s="109">
        <v>192685</v>
      </c>
      <c r="Q1111" s="41"/>
      <c r="R1111" s="111"/>
      <c r="S1111" s="110" t="s">
        <v>1780</v>
      </c>
    </row>
    <row r="1112" spans="1:19">
      <c r="A1112" s="105">
        <v>1111</v>
      </c>
      <c r="B1112" s="41">
        <v>12000000</v>
      </c>
      <c r="C1112" s="41">
        <v>2.8999999999999998E-3</v>
      </c>
      <c r="D1112" s="41">
        <v>8.7241</v>
      </c>
      <c r="E1112" s="41">
        <v>30</v>
      </c>
      <c r="F1112" s="41">
        <v>0</v>
      </c>
      <c r="G1112" s="41" t="s">
        <v>103</v>
      </c>
      <c r="H1112" s="41">
        <v>2</v>
      </c>
      <c r="I1112" s="41">
        <v>1</v>
      </c>
      <c r="J1112" s="108">
        <f>POWER(POWER(Table2[[#This Row],[mv]],4)/10,0.25)</f>
        <v>1.6307898430520129E-3</v>
      </c>
      <c r="K1112" s="41">
        <v>0</v>
      </c>
      <c r="L1112" s="41">
        <v>55</v>
      </c>
      <c r="M1112" s="41">
        <v>-1</v>
      </c>
      <c r="N1112" s="41">
        <v>4</v>
      </c>
      <c r="O1112" s="111" t="s">
        <v>1637</v>
      </c>
      <c r="P1112" s="109">
        <v>192685</v>
      </c>
      <c r="Q1112" s="41"/>
      <c r="R1112" s="111"/>
      <c r="S1112" s="110" t="s">
        <v>1781</v>
      </c>
    </row>
    <row r="1113" spans="1:19">
      <c r="A1113" s="105">
        <v>1112</v>
      </c>
      <c r="B1113" s="41">
        <v>12000000</v>
      </c>
      <c r="C1113" s="41">
        <v>2.8999999999999998E-3</v>
      </c>
      <c r="D1113" s="41">
        <v>9.5137</v>
      </c>
      <c r="E1113" s="41">
        <v>30</v>
      </c>
      <c r="F1113" s="41">
        <v>0</v>
      </c>
      <c r="G1113" s="41" t="s">
        <v>103</v>
      </c>
      <c r="H1113" s="41">
        <v>2</v>
      </c>
      <c r="I1113" s="41">
        <v>1</v>
      </c>
      <c r="J1113" s="108">
        <f>POWER(POWER(Table2[[#This Row],[mv]],4)/10,0.25)</f>
        <v>1.6307898430520129E-3</v>
      </c>
      <c r="K1113" s="41">
        <v>0</v>
      </c>
      <c r="L1113" s="41">
        <v>55</v>
      </c>
      <c r="M1113" s="41">
        <v>-1</v>
      </c>
      <c r="N1113" s="41">
        <v>4</v>
      </c>
      <c r="O1113" s="111" t="s">
        <v>1638</v>
      </c>
      <c r="P1113" s="109">
        <v>192685</v>
      </c>
      <c r="Q1113" s="41"/>
      <c r="R1113" s="111"/>
      <c r="S1113" s="110" t="s">
        <v>1782</v>
      </c>
    </row>
    <row r="1114" spans="1:19">
      <c r="A1114" s="105">
        <v>1113</v>
      </c>
      <c r="B1114" s="41">
        <v>12000000</v>
      </c>
      <c r="C1114" s="41">
        <v>2.8999999999999998E-3</v>
      </c>
      <c r="D1114" s="41">
        <v>10.374700000000001</v>
      </c>
      <c r="E1114" s="41">
        <v>30</v>
      </c>
      <c r="F1114" s="41">
        <v>0</v>
      </c>
      <c r="G1114" s="41" t="s">
        <v>103</v>
      </c>
      <c r="H1114" s="41">
        <v>2</v>
      </c>
      <c r="I1114" s="41">
        <v>1</v>
      </c>
      <c r="J1114" s="108">
        <f>POWER(POWER(Table2[[#This Row],[mv]],4)/10,0.25)</f>
        <v>1.6307898430520129E-3</v>
      </c>
      <c r="K1114" s="41">
        <v>0</v>
      </c>
      <c r="L1114" s="41">
        <v>55</v>
      </c>
      <c r="M1114" s="41">
        <v>-1</v>
      </c>
      <c r="N1114" s="41">
        <v>4</v>
      </c>
      <c r="O1114" s="111" t="s">
        <v>1639</v>
      </c>
      <c r="P1114" s="109">
        <v>192685</v>
      </c>
      <c r="Q1114" s="41"/>
      <c r="R1114" s="111"/>
      <c r="S1114" s="110" t="s">
        <v>1783</v>
      </c>
    </row>
    <row r="1115" spans="1:19">
      <c r="A1115" s="105">
        <v>1114</v>
      </c>
      <c r="B1115" s="41">
        <v>12000000</v>
      </c>
      <c r="C1115" s="41">
        <v>2.8999999999999998E-3</v>
      </c>
      <c r="D1115" s="41">
        <v>11.313700000000001</v>
      </c>
      <c r="E1115" s="41">
        <v>30</v>
      </c>
      <c r="F1115" s="41">
        <v>0</v>
      </c>
      <c r="G1115" s="41" t="s">
        <v>103</v>
      </c>
      <c r="H1115" s="41">
        <v>2</v>
      </c>
      <c r="I1115" s="41">
        <v>1</v>
      </c>
      <c r="J1115" s="108">
        <f>POWER(POWER(Table2[[#This Row],[mv]],4)/10,0.25)</f>
        <v>1.6307898430520129E-3</v>
      </c>
      <c r="K1115" s="41">
        <v>0</v>
      </c>
      <c r="L1115" s="41">
        <v>55</v>
      </c>
      <c r="M1115" s="41">
        <v>-1</v>
      </c>
      <c r="N1115" s="41">
        <v>4</v>
      </c>
      <c r="O1115" s="111" t="s">
        <v>1640</v>
      </c>
      <c r="P1115" s="109">
        <v>192685</v>
      </c>
      <c r="Q1115" s="41"/>
      <c r="R1115" s="111"/>
      <c r="S1115" s="110" t="s">
        <v>1784</v>
      </c>
    </row>
    <row r="1116" spans="1:19">
      <c r="A1116" s="105">
        <v>1115</v>
      </c>
      <c r="B1116" s="41">
        <v>12000000</v>
      </c>
      <c r="C1116" s="41">
        <v>2.8999999999999998E-3</v>
      </c>
      <c r="D1116" s="41">
        <v>12.3377</v>
      </c>
      <c r="E1116" s="41">
        <v>30</v>
      </c>
      <c r="F1116" s="41">
        <v>0</v>
      </c>
      <c r="G1116" s="41" t="s">
        <v>103</v>
      </c>
      <c r="H1116" s="41">
        <v>2</v>
      </c>
      <c r="I1116" s="41">
        <v>1</v>
      </c>
      <c r="J1116" s="108">
        <f>POWER(POWER(Table2[[#This Row],[mv]],4)/10,0.25)</f>
        <v>1.6307898430520129E-3</v>
      </c>
      <c r="K1116" s="41">
        <v>0</v>
      </c>
      <c r="L1116" s="41">
        <v>55</v>
      </c>
      <c r="M1116" s="41">
        <v>-1</v>
      </c>
      <c r="N1116" s="41">
        <v>4</v>
      </c>
      <c r="O1116" s="111" t="s">
        <v>1641</v>
      </c>
      <c r="P1116" s="109">
        <v>192685</v>
      </c>
      <c r="Q1116" s="41"/>
      <c r="R1116" s="111"/>
      <c r="S1116" s="110" t="s">
        <v>1785</v>
      </c>
    </row>
    <row r="1117" spans="1:19">
      <c r="A1117" s="105">
        <v>1116</v>
      </c>
      <c r="B1117" s="41">
        <v>12000000</v>
      </c>
      <c r="C1117" s="41">
        <v>2.8999999999999998E-3</v>
      </c>
      <c r="D1117" s="41">
        <v>13.4543</v>
      </c>
      <c r="E1117" s="41">
        <v>30</v>
      </c>
      <c r="F1117" s="41">
        <v>0</v>
      </c>
      <c r="G1117" s="41" t="s">
        <v>103</v>
      </c>
      <c r="H1117" s="41">
        <v>2</v>
      </c>
      <c r="I1117" s="41">
        <v>1</v>
      </c>
      <c r="J1117" s="108">
        <f>POWER(POWER(Table2[[#This Row],[mv]],4)/10,0.25)</f>
        <v>1.6307898430520129E-3</v>
      </c>
      <c r="K1117" s="41">
        <v>0</v>
      </c>
      <c r="L1117" s="41">
        <v>55</v>
      </c>
      <c r="M1117" s="41">
        <v>-1</v>
      </c>
      <c r="N1117" s="41">
        <v>4</v>
      </c>
      <c r="O1117" s="111" t="s">
        <v>1642</v>
      </c>
      <c r="P1117" s="109">
        <v>192685</v>
      </c>
      <c r="Q1117" s="41"/>
      <c r="R1117" s="111"/>
      <c r="S1117" s="110" t="s">
        <v>1786</v>
      </c>
    </row>
    <row r="1118" spans="1:19">
      <c r="A1118" s="105">
        <v>1117</v>
      </c>
      <c r="B1118" s="41">
        <v>12000000</v>
      </c>
      <c r="C1118" s="41">
        <v>2.8999999999999998E-3</v>
      </c>
      <c r="D1118" s="41">
        <v>14.6721</v>
      </c>
      <c r="E1118" s="41">
        <v>30</v>
      </c>
      <c r="F1118" s="41">
        <v>0</v>
      </c>
      <c r="G1118" s="41" t="s">
        <v>103</v>
      </c>
      <c r="H1118" s="41">
        <v>2</v>
      </c>
      <c r="I1118" s="41">
        <v>1</v>
      </c>
      <c r="J1118" s="108">
        <f>POWER(POWER(Table2[[#This Row],[mv]],4)/10,0.25)</f>
        <v>1.6307898430520129E-3</v>
      </c>
      <c r="K1118" s="41">
        <v>0</v>
      </c>
      <c r="L1118" s="41">
        <v>55</v>
      </c>
      <c r="M1118" s="41">
        <v>-1</v>
      </c>
      <c r="N1118" s="41">
        <v>4</v>
      </c>
      <c r="O1118" s="111" t="s">
        <v>1643</v>
      </c>
      <c r="P1118" s="109">
        <v>192685</v>
      </c>
      <c r="Q1118" s="41"/>
      <c r="R1118" s="111"/>
      <c r="S1118" s="110" t="s">
        <v>1787</v>
      </c>
    </row>
    <row r="1119" spans="1:19">
      <c r="A1119" s="105">
        <v>1118</v>
      </c>
      <c r="B1119" s="41">
        <v>12000000</v>
      </c>
      <c r="C1119" s="41">
        <v>2.8999999999999998E-3</v>
      </c>
      <c r="D1119" s="41">
        <v>16</v>
      </c>
      <c r="E1119" s="41">
        <v>30</v>
      </c>
      <c r="F1119" s="41">
        <v>0</v>
      </c>
      <c r="G1119" s="41" t="s">
        <v>103</v>
      </c>
      <c r="H1119" s="41">
        <v>2</v>
      </c>
      <c r="I1119" s="41">
        <v>1</v>
      </c>
      <c r="J1119" s="108">
        <f>POWER(POWER(Table2[[#This Row],[mv]],4)/10,0.25)</f>
        <v>1.6307898430520129E-3</v>
      </c>
      <c r="K1119" s="41">
        <v>0</v>
      </c>
      <c r="L1119" s="41">
        <v>55</v>
      </c>
      <c r="M1119" s="41">
        <v>-1</v>
      </c>
      <c r="N1119" s="41">
        <v>4</v>
      </c>
      <c r="O1119" s="111" t="s">
        <v>1644</v>
      </c>
      <c r="P1119" s="109">
        <v>192685</v>
      </c>
      <c r="Q1119" s="41"/>
      <c r="R1119" s="111"/>
      <c r="S1119" s="110" t="s">
        <v>1788</v>
      </c>
    </row>
    <row r="1120" spans="1:19">
      <c r="A1120" s="105">
        <v>1119</v>
      </c>
      <c r="B1120" s="41">
        <v>12000000</v>
      </c>
      <c r="C1120" s="41">
        <v>2.8999999999999998E-3</v>
      </c>
      <c r="D1120" s="41">
        <v>17.4481</v>
      </c>
      <c r="E1120" s="41">
        <v>30</v>
      </c>
      <c r="F1120" s="41">
        <v>0</v>
      </c>
      <c r="G1120" s="41" t="s">
        <v>103</v>
      </c>
      <c r="H1120" s="41">
        <v>2</v>
      </c>
      <c r="I1120" s="41">
        <v>1</v>
      </c>
      <c r="J1120" s="108">
        <f>POWER(POWER(Table2[[#This Row],[mv]],4)/10,0.25)</f>
        <v>1.6307898430520129E-3</v>
      </c>
      <c r="K1120" s="41">
        <v>0</v>
      </c>
      <c r="L1120" s="41">
        <v>55</v>
      </c>
      <c r="M1120" s="41">
        <v>-1</v>
      </c>
      <c r="N1120" s="41">
        <v>4</v>
      </c>
      <c r="O1120" s="111" t="s">
        <v>1645</v>
      </c>
      <c r="P1120" s="109">
        <v>192685</v>
      </c>
      <c r="Q1120" s="41"/>
      <c r="R1120" s="111"/>
      <c r="S1120" s="110" t="s">
        <v>1789</v>
      </c>
    </row>
    <row r="1121" spans="1:19">
      <c r="A1121" s="105">
        <v>1120</v>
      </c>
      <c r="B1121" s="41">
        <v>12000000</v>
      </c>
      <c r="C1121" s="41">
        <v>2.8999999999999998E-3</v>
      </c>
      <c r="D1121" s="41">
        <v>19.0273</v>
      </c>
      <c r="E1121" s="41">
        <v>30</v>
      </c>
      <c r="F1121" s="41">
        <v>0</v>
      </c>
      <c r="G1121" s="41" t="s">
        <v>103</v>
      </c>
      <c r="H1121" s="41">
        <v>2</v>
      </c>
      <c r="I1121" s="41">
        <v>1</v>
      </c>
      <c r="J1121" s="108">
        <f>POWER(POWER(Table2[[#This Row],[mv]],4)/10,0.25)</f>
        <v>1.6307898430520129E-3</v>
      </c>
      <c r="K1121" s="41">
        <v>0</v>
      </c>
      <c r="L1121" s="41">
        <v>55</v>
      </c>
      <c r="M1121" s="41">
        <v>-1</v>
      </c>
      <c r="N1121" s="41">
        <v>4</v>
      </c>
      <c r="O1121" s="111" t="s">
        <v>1646</v>
      </c>
      <c r="P1121" s="109">
        <v>192685</v>
      </c>
      <c r="Q1121" s="41"/>
      <c r="R1121" s="111"/>
      <c r="S1121" s="110" t="s">
        <v>1790</v>
      </c>
    </row>
    <row r="1122" spans="1:19">
      <c r="A1122" s="105">
        <v>1121</v>
      </c>
      <c r="B1122" s="41">
        <v>12000000</v>
      </c>
      <c r="C1122" s="41">
        <v>3.2000000000000002E-3</v>
      </c>
      <c r="D1122" s="41">
        <v>3.3635999999999999</v>
      </c>
      <c r="E1122" s="41">
        <v>30</v>
      </c>
      <c r="F1122" s="41">
        <v>0</v>
      </c>
      <c r="G1122" s="41" t="s">
        <v>103</v>
      </c>
      <c r="H1122" s="41">
        <v>2</v>
      </c>
      <c r="I1122" s="41">
        <v>1</v>
      </c>
      <c r="J1122" s="108">
        <f>POWER(POWER(Table2[[#This Row],[mv]],4)/10,0.25)</f>
        <v>1.7994922406091175E-3</v>
      </c>
      <c r="K1122" s="41">
        <v>0</v>
      </c>
      <c r="L1122" s="41">
        <v>55</v>
      </c>
      <c r="M1122" s="41">
        <v>-1</v>
      </c>
      <c r="N1122" s="41">
        <v>4</v>
      </c>
      <c r="O1122" s="111" t="s">
        <v>1647</v>
      </c>
      <c r="P1122" s="109">
        <v>192685</v>
      </c>
      <c r="Q1122" s="41"/>
      <c r="R1122" s="111"/>
      <c r="S1122" s="110" t="s">
        <v>1791</v>
      </c>
    </row>
    <row r="1123" spans="1:19">
      <c r="A1123" s="105">
        <v>1122</v>
      </c>
      <c r="B1123" s="41">
        <v>12000000</v>
      </c>
      <c r="C1123" s="41">
        <v>3.2000000000000002E-3</v>
      </c>
      <c r="D1123" s="41">
        <v>3.6680000000000001</v>
      </c>
      <c r="E1123" s="41">
        <v>30</v>
      </c>
      <c r="F1123" s="41">
        <v>0</v>
      </c>
      <c r="G1123" s="41" t="s">
        <v>103</v>
      </c>
      <c r="H1123" s="41">
        <v>2</v>
      </c>
      <c r="I1123" s="41">
        <v>1</v>
      </c>
      <c r="J1123" s="108">
        <f>POWER(POWER(Table2[[#This Row],[mv]],4)/10,0.25)</f>
        <v>1.7994922406091175E-3</v>
      </c>
      <c r="K1123" s="41">
        <v>0</v>
      </c>
      <c r="L1123" s="41">
        <v>55</v>
      </c>
      <c r="M1123" s="41">
        <v>-1</v>
      </c>
      <c r="N1123" s="41">
        <v>4</v>
      </c>
      <c r="O1123" s="111" t="s">
        <v>1648</v>
      </c>
      <c r="P1123" s="109">
        <v>192685</v>
      </c>
      <c r="Q1123" s="41"/>
      <c r="R1123" s="111"/>
      <c r="S1123" s="110" t="s">
        <v>1792</v>
      </c>
    </row>
    <row r="1124" spans="1:19">
      <c r="A1124" s="105">
        <v>1123</v>
      </c>
      <c r="B1124" s="41">
        <v>12000000</v>
      </c>
      <c r="C1124" s="41">
        <v>3.2000000000000002E-3</v>
      </c>
      <c r="D1124" s="41">
        <v>4</v>
      </c>
      <c r="E1124" s="41">
        <v>30</v>
      </c>
      <c r="F1124" s="41">
        <v>0</v>
      </c>
      <c r="G1124" s="41" t="s">
        <v>103</v>
      </c>
      <c r="H1124" s="41">
        <v>2</v>
      </c>
      <c r="I1124" s="41">
        <v>1</v>
      </c>
      <c r="J1124" s="108">
        <f>POWER(POWER(Table2[[#This Row],[mv]],4)/10,0.25)</f>
        <v>1.7994922406091175E-3</v>
      </c>
      <c r="K1124" s="41">
        <v>0</v>
      </c>
      <c r="L1124" s="41">
        <v>55</v>
      </c>
      <c r="M1124" s="41">
        <v>-1</v>
      </c>
      <c r="N1124" s="41">
        <v>4</v>
      </c>
      <c r="O1124" s="111" t="s">
        <v>1649</v>
      </c>
      <c r="P1124" s="109">
        <v>192685</v>
      </c>
      <c r="Q1124" s="41"/>
      <c r="R1124" s="111"/>
      <c r="S1124" s="110" t="s">
        <v>1793</v>
      </c>
    </row>
    <row r="1125" spans="1:19">
      <c r="A1125" s="105">
        <v>1124</v>
      </c>
      <c r="B1125" s="41">
        <v>12000000</v>
      </c>
      <c r="C1125" s="41">
        <v>3.2000000000000002E-3</v>
      </c>
      <c r="D1125" s="41">
        <v>4.3620000000000001</v>
      </c>
      <c r="E1125" s="41">
        <v>30</v>
      </c>
      <c r="F1125" s="41">
        <v>0</v>
      </c>
      <c r="G1125" s="41" t="s">
        <v>103</v>
      </c>
      <c r="H1125" s="41">
        <v>2</v>
      </c>
      <c r="I1125" s="41">
        <v>1</v>
      </c>
      <c r="J1125" s="108">
        <f>POWER(POWER(Table2[[#This Row],[mv]],4)/10,0.25)</f>
        <v>1.7994922406091175E-3</v>
      </c>
      <c r="K1125" s="41">
        <v>0</v>
      </c>
      <c r="L1125" s="41">
        <v>55</v>
      </c>
      <c r="M1125" s="41">
        <v>-1</v>
      </c>
      <c r="N1125" s="41">
        <v>4</v>
      </c>
      <c r="O1125" s="111" t="s">
        <v>1650</v>
      </c>
      <c r="P1125" s="109">
        <v>192685</v>
      </c>
      <c r="Q1125" s="41"/>
      <c r="R1125" s="111"/>
      <c r="S1125" s="110" t="s">
        <v>1794</v>
      </c>
    </row>
    <row r="1126" spans="1:19">
      <c r="A1126" s="105">
        <v>1125</v>
      </c>
      <c r="B1126" s="41">
        <v>12000000</v>
      </c>
      <c r="C1126" s="41">
        <v>3.2000000000000002E-3</v>
      </c>
      <c r="D1126" s="41">
        <v>4.7568000000000001</v>
      </c>
      <c r="E1126" s="41">
        <v>30</v>
      </c>
      <c r="F1126" s="41">
        <v>0</v>
      </c>
      <c r="G1126" s="41" t="s">
        <v>103</v>
      </c>
      <c r="H1126" s="41">
        <v>2</v>
      </c>
      <c r="I1126" s="41">
        <v>1</v>
      </c>
      <c r="J1126" s="108">
        <f>POWER(POWER(Table2[[#This Row],[mv]],4)/10,0.25)</f>
        <v>1.7994922406091175E-3</v>
      </c>
      <c r="K1126" s="41">
        <v>0</v>
      </c>
      <c r="L1126" s="41">
        <v>55</v>
      </c>
      <c r="M1126" s="41">
        <v>-1</v>
      </c>
      <c r="N1126" s="41">
        <v>4</v>
      </c>
      <c r="O1126" s="111" t="s">
        <v>1651</v>
      </c>
      <c r="P1126" s="109">
        <v>192788</v>
      </c>
      <c r="Q1126" s="41"/>
      <c r="R1126" s="111"/>
      <c r="S1126" s="110" t="s">
        <v>1795</v>
      </c>
    </row>
    <row r="1127" spans="1:19">
      <c r="A1127" s="105">
        <v>1126</v>
      </c>
      <c r="B1127" s="41">
        <v>12000000</v>
      </c>
      <c r="C1127" s="41">
        <v>3.2000000000000002E-3</v>
      </c>
      <c r="D1127" s="41">
        <v>5.1874000000000002</v>
      </c>
      <c r="E1127" s="41">
        <v>30</v>
      </c>
      <c r="F1127" s="41">
        <v>0</v>
      </c>
      <c r="G1127" s="41" t="s">
        <v>103</v>
      </c>
      <c r="H1127" s="41">
        <v>2</v>
      </c>
      <c r="I1127" s="41">
        <v>1</v>
      </c>
      <c r="J1127" s="108">
        <f>POWER(POWER(Table2[[#This Row],[mv]],4)/10,0.25)</f>
        <v>1.7994922406091175E-3</v>
      </c>
      <c r="K1127" s="41">
        <v>0</v>
      </c>
      <c r="L1127" s="41">
        <v>55</v>
      </c>
      <c r="M1127" s="41">
        <v>-1</v>
      </c>
      <c r="N1127" s="41">
        <v>4</v>
      </c>
      <c r="O1127" s="111" t="s">
        <v>1652</v>
      </c>
      <c r="P1127" s="109">
        <v>192788</v>
      </c>
      <c r="Q1127" s="41"/>
      <c r="R1127" s="111"/>
      <c r="S1127" s="110" t="s">
        <v>1796</v>
      </c>
    </row>
    <row r="1128" spans="1:19">
      <c r="A1128" s="105">
        <v>1127</v>
      </c>
      <c r="B1128" s="41">
        <v>12000000</v>
      </c>
      <c r="C1128" s="41">
        <v>3.2000000000000002E-3</v>
      </c>
      <c r="D1128" s="41">
        <v>5.6569000000000003</v>
      </c>
      <c r="E1128" s="41">
        <v>30</v>
      </c>
      <c r="F1128" s="41">
        <v>0</v>
      </c>
      <c r="G1128" s="41" t="s">
        <v>103</v>
      </c>
      <c r="H1128" s="41">
        <v>2</v>
      </c>
      <c r="I1128" s="41">
        <v>1</v>
      </c>
      <c r="J1128" s="108">
        <f>POWER(POWER(Table2[[#This Row],[mv]],4)/10,0.25)</f>
        <v>1.7994922406091175E-3</v>
      </c>
      <c r="K1128" s="41">
        <v>0</v>
      </c>
      <c r="L1128" s="41">
        <v>55</v>
      </c>
      <c r="M1128" s="41">
        <v>-1</v>
      </c>
      <c r="N1128" s="41">
        <v>4</v>
      </c>
      <c r="O1128" s="111" t="s">
        <v>1653</v>
      </c>
      <c r="P1128" s="109">
        <v>192788</v>
      </c>
      <c r="Q1128" s="41"/>
      <c r="R1128" s="111"/>
      <c r="S1128" s="110" t="s">
        <v>1797</v>
      </c>
    </row>
    <row r="1129" spans="1:19">
      <c r="A1129" s="105">
        <v>1128</v>
      </c>
      <c r="B1129" s="41">
        <v>12000000</v>
      </c>
      <c r="C1129" s="41">
        <v>3.2000000000000002E-3</v>
      </c>
      <c r="D1129" s="41">
        <v>6.1688000000000001</v>
      </c>
      <c r="E1129" s="41">
        <v>30</v>
      </c>
      <c r="F1129" s="41">
        <v>0</v>
      </c>
      <c r="G1129" s="41" t="s">
        <v>103</v>
      </c>
      <c r="H1129" s="41">
        <v>2</v>
      </c>
      <c r="I1129" s="41">
        <v>1</v>
      </c>
      <c r="J1129" s="108">
        <f>POWER(POWER(Table2[[#This Row],[mv]],4)/10,0.25)</f>
        <v>1.7994922406091175E-3</v>
      </c>
      <c r="K1129" s="41">
        <v>0</v>
      </c>
      <c r="L1129" s="41">
        <v>55</v>
      </c>
      <c r="M1129" s="41">
        <v>-1</v>
      </c>
      <c r="N1129" s="41">
        <v>4</v>
      </c>
      <c r="O1129" s="111" t="s">
        <v>1654</v>
      </c>
      <c r="P1129" s="109">
        <v>192788</v>
      </c>
      <c r="Q1129" s="41"/>
      <c r="R1129" s="111"/>
      <c r="S1129" s="110" t="s">
        <v>1798</v>
      </c>
    </row>
    <row r="1130" spans="1:19">
      <c r="A1130" s="105">
        <v>1129</v>
      </c>
      <c r="B1130" s="41">
        <v>12000000</v>
      </c>
      <c r="C1130" s="41">
        <v>3.2000000000000002E-3</v>
      </c>
      <c r="D1130" s="41">
        <v>6.7271999999999998</v>
      </c>
      <c r="E1130" s="41">
        <v>30</v>
      </c>
      <c r="F1130" s="41">
        <v>0</v>
      </c>
      <c r="G1130" s="41" t="s">
        <v>103</v>
      </c>
      <c r="H1130" s="41">
        <v>2</v>
      </c>
      <c r="I1130" s="41">
        <v>1</v>
      </c>
      <c r="J1130" s="108">
        <f>POWER(POWER(Table2[[#This Row],[mv]],4)/10,0.25)</f>
        <v>1.7994922406091175E-3</v>
      </c>
      <c r="K1130" s="41">
        <v>0</v>
      </c>
      <c r="L1130" s="41">
        <v>55</v>
      </c>
      <c r="M1130" s="41">
        <v>-1</v>
      </c>
      <c r="N1130" s="41">
        <v>4</v>
      </c>
      <c r="O1130" s="111" t="s">
        <v>1655</v>
      </c>
      <c r="P1130" s="109">
        <v>192788</v>
      </c>
      <c r="Q1130" s="41"/>
      <c r="R1130" s="111"/>
      <c r="S1130" s="110" t="s">
        <v>1799</v>
      </c>
    </row>
    <row r="1131" spans="1:19">
      <c r="A1131" s="105">
        <v>1130</v>
      </c>
      <c r="B1131" s="41">
        <v>12000000</v>
      </c>
      <c r="C1131" s="41">
        <v>3.2000000000000002E-3</v>
      </c>
      <c r="D1131" s="41">
        <v>7.3360000000000003</v>
      </c>
      <c r="E1131" s="41">
        <v>30</v>
      </c>
      <c r="F1131" s="41">
        <v>0</v>
      </c>
      <c r="G1131" s="41" t="s">
        <v>103</v>
      </c>
      <c r="H1131" s="41">
        <v>2</v>
      </c>
      <c r="I1131" s="41">
        <v>1</v>
      </c>
      <c r="J1131" s="108">
        <f>POWER(POWER(Table2[[#This Row],[mv]],4)/10,0.25)</f>
        <v>1.7994922406091175E-3</v>
      </c>
      <c r="K1131" s="41">
        <v>0</v>
      </c>
      <c r="L1131" s="41">
        <v>55</v>
      </c>
      <c r="M1131" s="41">
        <v>-1</v>
      </c>
      <c r="N1131" s="41">
        <v>4</v>
      </c>
      <c r="O1131" s="111" t="s">
        <v>1656</v>
      </c>
      <c r="P1131" s="109">
        <v>192788</v>
      </c>
      <c r="Q1131" s="41"/>
      <c r="R1131" s="111"/>
      <c r="S1131" s="110" t="s">
        <v>1800</v>
      </c>
    </row>
    <row r="1132" spans="1:19">
      <c r="A1132" s="105">
        <v>1131</v>
      </c>
      <c r="B1132" s="41">
        <v>12000000</v>
      </c>
      <c r="C1132" s="41">
        <v>3.2000000000000002E-3</v>
      </c>
      <c r="D1132" s="41">
        <v>8</v>
      </c>
      <c r="E1132" s="41">
        <v>30</v>
      </c>
      <c r="F1132" s="41">
        <v>0</v>
      </c>
      <c r="G1132" s="41" t="s">
        <v>103</v>
      </c>
      <c r="H1132" s="41">
        <v>2</v>
      </c>
      <c r="I1132" s="41">
        <v>1</v>
      </c>
      <c r="J1132" s="108">
        <f>POWER(POWER(Table2[[#This Row],[mv]],4)/10,0.25)</f>
        <v>1.7994922406091175E-3</v>
      </c>
      <c r="K1132" s="41">
        <v>0</v>
      </c>
      <c r="L1132" s="41">
        <v>55</v>
      </c>
      <c r="M1132" s="41">
        <v>-1</v>
      </c>
      <c r="N1132" s="41">
        <v>4</v>
      </c>
      <c r="O1132" s="111" t="s">
        <v>1657</v>
      </c>
      <c r="P1132" s="109">
        <v>192788</v>
      </c>
      <c r="Q1132" s="41"/>
      <c r="R1132" s="111"/>
      <c r="S1132" s="110" t="s">
        <v>1801</v>
      </c>
    </row>
    <row r="1133" spans="1:19">
      <c r="A1133" s="105">
        <v>1132</v>
      </c>
      <c r="B1133" s="41">
        <v>12000000</v>
      </c>
      <c r="C1133" s="41">
        <v>3.2000000000000002E-3</v>
      </c>
      <c r="D1133" s="41">
        <v>8.7241</v>
      </c>
      <c r="E1133" s="41">
        <v>30</v>
      </c>
      <c r="F1133" s="41">
        <v>0</v>
      </c>
      <c r="G1133" s="41" t="s">
        <v>103</v>
      </c>
      <c r="H1133" s="41">
        <v>2</v>
      </c>
      <c r="I1133" s="41">
        <v>1</v>
      </c>
      <c r="J1133" s="108">
        <f>POWER(POWER(Table2[[#This Row],[mv]],4)/10,0.25)</f>
        <v>1.7994922406091175E-3</v>
      </c>
      <c r="K1133" s="41">
        <v>0</v>
      </c>
      <c r="L1133" s="41">
        <v>55</v>
      </c>
      <c r="M1133" s="41">
        <v>-1</v>
      </c>
      <c r="N1133" s="41">
        <v>4</v>
      </c>
      <c r="O1133" s="111" t="s">
        <v>1658</v>
      </c>
      <c r="P1133" s="109">
        <v>192788</v>
      </c>
      <c r="Q1133" s="41"/>
      <c r="R1133" s="111"/>
      <c r="S1133" s="110" t="s">
        <v>1802</v>
      </c>
    </row>
    <row r="1134" spans="1:19">
      <c r="A1134" s="105">
        <v>1133</v>
      </c>
      <c r="B1134" s="41">
        <v>12000000</v>
      </c>
      <c r="C1134" s="41">
        <v>3.2000000000000002E-3</v>
      </c>
      <c r="D1134" s="41">
        <v>9.5137</v>
      </c>
      <c r="E1134" s="41">
        <v>30</v>
      </c>
      <c r="F1134" s="41">
        <v>0</v>
      </c>
      <c r="G1134" s="41" t="s">
        <v>103</v>
      </c>
      <c r="H1134" s="41">
        <v>2</v>
      </c>
      <c r="I1134" s="41">
        <v>1</v>
      </c>
      <c r="J1134" s="108">
        <f>POWER(POWER(Table2[[#This Row],[mv]],4)/10,0.25)</f>
        <v>1.7994922406091175E-3</v>
      </c>
      <c r="K1134" s="41">
        <v>0</v>
      </c>
      <c r="L1134" s="41">
        <v>55</v>
      </c>
      <c r="M1134" s="41">
        <v>-1</v>
      </c>
      <c r="N1134" s="41">
        <v>4</v>
      </c>
      <c r="O1134" s="111" t="s">
        <v>1659</v>
      </c>
      <c r="P1134" s="109">
        <v>192788</v>
      </c>
      <c r="Q1134" s="41"/>
      <c r="R1134" s="111"/>
      <c r="S1134" s="110" t="s">
        <v>1803</v>
      </c>
    </row>
    <row r="1135" spans="1:19">
      <c r="A1135" s="105">
        <v>1134</v>
      </c>
      <c r="B1135" s="41">
        <v>12000000</v>
      </c>
      <c r="C1135" s="41">
        <v>3.2000000000000002E-3</v>
      </c>
      <c r="D1135" s="41">
        <v>10.374700000000001</v>
      </c>
      <c r="E1135" s="41">
        <v>30</v>
      </c>
      <c r="F1135" s="41">
        <v>0</v>
      </c>
      <c r="G1135" s="41" t="s">
        <v>103</v>
      </c>
      <c r="H1135" s="41">
        <v>2</v>
      </c>
      <c r="I1135" s="41">
        <v>1</v>
      </c>
      <c r="J1135" s="108">
        <f>POWER(POWER(Table2[[#This Row],[mv]],4)/10,0.25)</f>
        <v>1.7994922406091175E-3</v>
      </c>
      <c r="K1135" s="41">
        <v>0</v>
      </c>
      <c r="L1135" s="41">
        <v>55</v>
      </c>
      <c r="M1135" s="41">
        <v>-1</v>
      </c>
      <c r="N1135" s="41">
        <v>4</v>
      </c>
      <c r="O1135" s="111" t="s">
        <v>1660</v>
      </c>
      <c r="P1135" s="109">
        <v>192788</v>
      </c>
      <c r="Q1135" s="41"/>
      <c r="R1135" s="111"/>
      <c r="S1135" s="110" t="s">
        <v>1804</v>
      </c>
    </row>
    <row r="1136" spans="1:19">
      <c r="A1136" s="105">
        <v>1135</v>
      </c>
      <c r="B1136" s="41">
        <v>12000000</v>
      </c>
      <c r="C1136" s="41">
        <v>3.2000000000000002E-3</v>
      </c>
      <c r="D1136" s="41">
        <v>11.313700000000001</v>
      </c>
      <c r="E1136" s="41">
        <v>30</v>
      </c>
      <c r="F1136" s="41">
        <v>0</v>
      </c>
      <c r="G1136" s="41" t="s">
        <v>103</v>
      </c>
      <c r="H1136" s="41">
        <v>2</v>
      </c>
      <c r="I1136" s="41">
        <v>1</v>
      </c>
      <c r="J1136" s="108">
        <f>POWER(POWER(Table2[[#This Row],[mv]],4)/10,0.25)</f>
        <v>1.7994922406091175E-3</v>
      </c>
      <c r="K1136" s="41">
        <v>0</v>
      </c>
      <c r="L1136" s="41">
        <v>55</v>
      </c>
      <c r="M1136" s="41">
        <v>-1</v>
      </c>
      <c r="N1136" s="41">
        <v>4</v>
      </c>
      <c r="O1136" s="111" t="s">
        <v>1661</v>
      </c>
      <c r="P1136" s="109">
        <v>192788</v>
      </c>
      <c r="Q1136" s="41"/>
      <c r="R1136" s="111"/>
      <c r="S1136" s="110" t="s">
        <v>1805</v>
      </c>
    </row>
    <row r="1137" spans="1:19">
      <c r="A1137" s="105">
        <v>1136</v>
      </c>
      <c r="B1137" s="41">
        <v>12000000</v>
      </c>
      <c r="C1137" s="41">
        <v>3.2000000000000002E-3</v>
      </c>
      <c r="D1137" s="41">
        <v>12.3377</v>
      </c>
      <c r="E1137" s="41">
        <v>30</v>
      </c>
      <c r="F1137" s="41">
        <v>0</v>
      </c>
      <c r="G1137" s="41" t="s">
        <v>103</v>
      </c>
      <c r="H1137" s="41">
        <v>2</v>
      </c>
      <c r="I1137" s="41">
        <v>1</v>
      </c>
      <c r="J1137" s="108">
        <f>POWER(POWER(Table2[[#This Row],[mv]],4)/10,0.25)</f>
        <v>1.7994922406091175E-3</v>
      </c>
      <c r="K1137" s="41">
        <v>0</v>
      </c>
      <c r="L1137" s="41">
        <v>55</v>
      </c>
      <c r="M1137" s="41">
        <v>-1</v>
      </c>
      <c r="N1137" s="41">
        <v>4</v>
      </c>
      <c r="O1137" s="111" t="s">
        <v>1662</v>
      </c>
      <c r="P1137" s="109">
        <v>192788</v>
      </c>
      <c r="Q1137" s="41"/>
      <c r="R1137" s="111"/>
      <c r="S1137" s="110" t="s">
        <v>1806</v>
      </c>
    </row>
    <row r="1138" spans="1:19">
      <c r="A1138" s="105">
        <v>1137</v>
      </c>
      <c r="B1138" s="41">
        <v>12000000</v>
      </c>
      <c r="C1138" s="41">
        <v>3.2000000000000002E-3</v>
      </c>
      <c r="D1138" s="41">
        <v>13.4543</v>
      </c>
      <c r="E1138" s="41">
        <v>30</v>
      </c>
      <c r="F1138" s="41">
        <v>0</v>
      </c>
      <c r="G1138" s="41" t="s">
        <v>103</v>
      </c>
      <c r="H1138" s="41">
        <v>2</v>
      </c>
      <c r="I1138" s="41">
        <v>1</v>
      </c>
      <c r="J1138" s="108">
        <f>POWER(POWER(Table2[[#This Row],[mv]],4)/10,0.25)</f>
        <v>1.7994922406091175E-3</v>
      </c>
      <c r="K1138" s="41">
        <v>0</v>
      </c>
      <c r="L1138" s="41">
        <v>55</v>
      </c>
      <c r="M1138" s="41">
        <v>-1</v>
      </c>
      <c r="N1138" s="41">
        <v>4</v>
      </c>
      <c r="O1138" s="111" t="s">
        <v>1663</v>
      </c>
      <c r="P1138" s="109">
        <v>192788</v>
      </c>
      <c r="Q1138" s="41"/>
      <c r="R1138" s="111"/>
      <c r="S1138" s="110" t="s">
        <v>1807</v>
      </c>
    </row>
    <row r="1139" spans="1:19">
      <c r="A1139" s="105">
        <v>1138</v>
      </c>
      <c r="B1139" s="41">
        <v>12000000</v>
      </c>
      <c r="C1139" s="41">
        <v>3.2000000000000002E-3</v>
      </c>
      <c r="D1139" s="41">
        <v>14.6721</v>
      </c>
      <c r="E1139" s="41">
        <v>30</v>
      </c>
      <c r="F1139" s="41">
        <v>0</v>
      </c>
      <c r="G1139" s="41" t="s">
        <v>103</v>
      </c>
      <c r="H1139" s="41">
        <v>2</v>
      </c>
      <c r="I1139" s="41">
        <v>1</v>
      </c>
      <c r="J1139" s="108">
        <f>POWER(POWER(Table2[[#This Row],[mv]],4)/10,0.25)</f>
        <v>1.7994922406091175E-3</v>
      </c>
      <c r="K1139" s="41">
        <v>0</v>
      </c>
      <c r="L1139" s="41">
        <v>55</v>
      </c>
      <c r="M1139" s="41">
        <v>-1</v>
      </c>
      <c r="N1139" s="41">
        <v>4</v>
      </c>
      <c r="O1139" s="111" t="s">
        <v>1664</v>
      </c>
      <c r="P1139" s="109">
        <v>192788</v>
      </c>
      <c r="Q1139" s="41"/>
      <c r="R1139" s="111"/>
      <c r="S1139" s="110" t="s">
        <v>1808</v>
      </c>
    </row>
    <row r="1140" spans="1:19">
      <c r="A1140" s="105">
        <v>1139</v>
      </c>
      <c r="B1140" s="41">
        <v>12000000</v>
      </c>
      <c r="C1140" s="41">
        <v>3.2000000000000002E-3</v>
      </c>
      <c r="D1140" s="41">
        <v>16</v>
      </c>
      <c r="E1140" s="41">
        <v>30</v>
      </c>
      <c r="F1140" s="41">
        <v>0</v>
      </c>
      <c r="G1140" s="41" t="s">
        <v>103</v>
      </c>
      <c r="H1140" s="41">
        <v>2</v>
      </c>
      <c r="I1140" s="41">
        <v>1</v>
      </c>
      <c r="J1140" s="108">
        <f>POWER(POWER(Table2[[#This Row],[mv]],4)/10,0.25)</f>
        <v>1.7994922406091175E-3</v>
      </c>
      <c r="K1140" s="41">
        <v>0</v>
      </c>
      <c r="L1140" s="41">
        <v>55</v>
      </c>
      <c r="M1140" s="41">
        <v>-1</v>
      </c>
      <c r="N1140" s="41">
        <v>4</v>
      </c>
      <c r="O1140" s="111" t="s">
        <v>1665</v>
      </c>
      <c r="P1140" s="109">
        <v>192788</v>
      </c>
      <c r="Q1140" s="41"/>
      <c r="R1140" s="111"/>
      <c r="S1140" s="110" t="s">
        <v>1809</v>
      </c>
    </row>
    <row r="1141" spans="1:19">
      <c r="A1141" s="105">
        <v>1140</v>
      </c>
      <c r="B1141" s="41">
        <v>12000000</v>
      </c>
      <c r="C1141" s="41">
        <v>3.2000000000000002E-3</v>
      </c>
      <c r="D1141" s="41">
        <v>17.4481</v>
      </c>
      <c r="E1141" s="41">
        <v>30</v>
      </c>
      <c r="F1141" s="41">
        <v>0</v>
      </c>
      <c r="G1141" s="41" t="s">
        <v>103</v>
      </c>
      <c r="H1141" s="41">
        <v>2</v>
      </c>
      <c r="I1141" s="41">
        <v>1</v>
      </c>
      <c r="J1141" s="108">
        <f>POWER(POWER(Table2[[#This Row],[mv]],4)/10,0.25)</f>
        <v>1.7994922406091175E-3</v>
      </c>
      <c r="K1141" s="41">
        <v>0</v>
      </c>
      <c r="L1141" s="41">
        <v>55</v>
      </c>
      <c r="M1141" s="41">
        <v>-1</v>
      </c>
      <c r="N1141" s="41">
        <v>4</v>
      </c>
      <c r="O1141" s="111" t="s">
        <v>1666</v>
      </c>
      <c r="P1141" s="109">
        <v>192788</v>
      </c>
      <c r="Q1141" s="41"/>
      <c r="R1141" s="111"/>
      <c r="S1141" s="110" t="s">
        <v>1810</v>
      </c>
    </row>
    <row r="1142" spans="1:19">
      <c r="A1142" s="105">
        <v>1141</v>
      </c>
      <c r="B1142" s="41">
        <v>12000000</v>
      </c>
      <c r="C1142" s="41">
        <v>3.2000000000000002E-3</v>
      </c>
      <c r="D1142" s="41">
        <v>19.0273</v>
      </c>
      <c r="E1142" s="41">
        <v>30</v>
      </c>
      <c r="F1142" s="41">
        <v>0</v>
      </c>
      <c r="G1142" s="41" t="s">
        <v>103</v>
      </c>
      <c r="H1142" s="41">
        <v>2</v>
      </c>
      <c r="I1142" s="41">
        <v>1</v>
      </c>
      <c r="J1142" s="108">
        <f>POWER(POWER(Table2[[#This Row],[mv]],4)/10,0.25)</f>
        <v>1.7994922406091175E-3</v>
      </c>
      <c r="K1142" s="41">
        <v>0</v>
      </c>
      <c r="L1142" s="41">
        <v>55</v>
      </c>
      <c r="M1142" s="41">
        <v>-1</v>
      </c>
      <c r="N1142" s="41">
        <v>4</v>
      </c>
      <c r="O1142" s="111" t="s">
        <v>1667</v>
      </c>
      <c r="P1142" s="109">
        <v>192788</v>
      </c>
      <c r="Q1142" s="41"/>
      <c r="R1142" s="111"/>
      <c r="S1142" s="110" t="s">
        <v>1811</v>
      </c>
    </row>
    <row r="1143" spans="1:19">
      <c r="A1143" s="105">
        <v>1142</v>
      </c>
      <c r="B1143" s="41">
        <v>12000000</v>
      </c>
      <c r="C1143" s="41">
        <v>3.5000000000000001E-3</v>
      </c>
      <c r="D1143" s="41">
        <v>4</v>
      </c>
      <c r="E1143" s="41">
        <v>30</v>
      </c>
      <c r="F1143" s="41">
        <v>0</v>
      </c>
      <c r="G1143" s="41" t="s">
        <v>103</v>
      </c>
      <c r="H1143" s="41">
        <v>2</v>
      </c>
      <c r="I1143" s="41">
        <v>1</v>
      </c>
      <c r="J1143" s="108">
        <f>POWER(POWER(Table2[[#This Row],[mv]],4)/10,0.25)</f>
        <v>1.9681946381662216E-3</v>
      </c>
      <c r="K1143" s="41">
        <v>0</v>
      </c>
      <c r="L1143" s="41">
        <v>55</v>
      </c>
      <c r="M1143" s="41">
        <v>-1</v>
      </c>
      <c r="N1143" s="41">
        <v>4</v>
      </c>
      <c r="O1143" s="111" t="s">
        <v>1668</v>
      </c>
      <c r="P1143" s="109">
        <v>192788</v>
      </c>
      <c r="Q1143" s="41"/>
      <c r="R1143" s="111"/>
      <c r="S1143" s="110" t="s">
        <v>1812</v>
      </c>
    </row>
    <row r="1144" spans="1:19">
      <c r="A1144" s="105">
        <v>1143</v>
      </c>
      <c r="B1144" s="41">
        <v>12000000</v>
      </c>
      <c r="C1144" s="41">
        <v>3.5000000000000001E-3</v>
      </c>
      <c r="D1144" s="41">
        <v>4.3620000000000001</v>
      </c>
      <c r="E1144" s="41">
        <v>30</v>
      </c>
      <c r="F1144" s="41">
        <v>0</v>
      </c>
      <c r="G1144" s="41" t="s">
        <v>103</v>
      </c>
      <c r="H1144" s="41">
        <v>2</v>
      </c>
      <c r="I1144" s="41">
        <v>1</v>
      </c>
      <c r="J1144" s="108">
        <f>POWER(POWER(Table2[[#This Row],[mv]],4)/10,0.25)</f>
        <v>1.9681946381662216E-3</v>
      </c>
      <c r="K1144" s="41">
        <v>0</v>
      </c>
      <c r="L1144" s="41">
        <v>55</v>
      </c>
      <c r="M1144" s="41">
        <v>-1</v>
      </c>
      <c r="N1144" s="41">
        <v>4</v>
      </c>
      <c r="O1144" s="111" t="s">
        <v>1669</v>
      </c>
      <c r="P1144" s="109">
        <v>192788</v>
      </c>
      <c r="Q1144" s="41"/>
      <c r="R1144" s="111"/>
      <c r="S1144" s="110" t="s">
        <v>1813</v>
      </c>
    </row>
    <row r="1145" spans="1:19">
      <c r="A1145" s="105">
        <v>1144</v>
      </c>
      <c r="B1145" s="41">
        <v>12000000</v>
      </c>
      <c r="C1145" s="41">
        <v>3.5000000000000001E-3</v>
      </c>
      <c r="D1145" s="41">
        <v>4.7568000000000001</v>
      </c>
      <c r="E1145" s="41">
        <v>30</v>
      </c>
      <c r="F1145" s="41">
        <v>0</v>
      </c>
      <c r="G1145" s="41" t="s">
        <v>103</v>
      </c>
      <c r="H1145" s="41">
        <v>2</v>
      </c>
      <c r="I1145" s="41">
        <v>1</v>
      </c>
      <c r="J1145" s="108">
        <f>POWER(POWER(Table2[[#This Row],[mv]],4)/10,0.25)</f>
        <v>1.9681946381662216E-3</v>
      </c>
      <c r="K1145" s="41">
        <v>0</v>
      </c>
      <c r="L1145" s="41">
        <v>55</v>
      </c>
      <c r="M1145" s="41">
        <v>-1</v>
      </c>
      <c r="N1145" s="41">
        <v>4</v>
      </c>
      <c r="O1145" s="111" t="s">
        <v>1670</v>
      </c>
      <c r="P1145" s="109">
        <v>192788</v>
      </c>
      <c r="Q1145" s="41"/>
      <c r="R1145" s="111"/>
      <c r="S1145" s="110" t="s">
        <v>1814</v>
      </c>
    </row>
    <row r="1146" spans="1:19">
      <c r="A1146" s="105">
        <v>1145</v>
      </c>
      <c r="B1146" s="41">
        <v>12000000</v>
      </c>
      <c r="C1146" s="41">
        <v>3.5000000000000001E-3</v>
      </c>
      <c r="D1146" s="41">
        <v>5.1874000000000002</v>
      </c>
      <c r="E1146" s="41">
        <v>30</v>
      </c>
      <c r="F1146" s="41">
        <v>0</v>
      </c>
      <c r="G1146" s="41" t="s">
        <v>103</v>
      </c>
      <c r="H1146" s="41">
        <v>2</v>
      </c>
      <c r="I1146" s="41">
        <v>1</v>
      </c>
      <c r="J1146" s="108">
        <f>POWER(POWER(Table2[[#This Row],[mv]],4)/10,0.25)</f>
        <v>1.9681946381662216E-3</v>
      </c>
      <c r="K1146" s="41">
        <v>0</v>
      </c>
      <c r="L1146" s="41">
        <v>55</v>
      </c>
      <c r="M1146" s="41">
        <v>-1</v>
      </c>
      <c r="N1146" s="41">
        <v>4</v>
      </c>
      <c r="O1146" s="111" t="s">
        <v>1671</v>
      </c>
      <c r="P1146" s="109">
        <v>192788</v>
      </c>
      <c r="Q1146" s="41"/>
      <c r="R1146" s="111"/>
      <c r="S1146" s="110" t="s">
        <v>1815</v>
      </c>
    </row>
    <row r="1147" spans="1:19">
      <c r="A1147" s="105">
        <v>1146</v>
      </c>
      <c r="B1147" s="41">
        <v>12000000</v>
      </c>
      <c r="C1147" s="41">
        <v>3.5000000000000001E-3</v>
      </c>
      <c r="D1147" s="41">
        <v>5.6569000000000003</v>
      </c>
      <c r="E1147" s="41">
        <v>30</v>
      </c>
      <c r="F1147" s="41">
        <v>0</v>
      </c>
      <c r="G1147" s="41" t="s">
        <v>103</v>
      </c>
      <c r="H1147" s="41">
        <v>2</v>
      </c>
      <c r="I1147" s="41">
        <v>1</v>
      </c>
      <c r="J1147" s="108">
        <f>POWER(POWER(Table2[[#This Row],[mv]],4)/10,0.25)</f>
        <v>1.9681946381662216E-3</v>
      </c>
      <c r="K1147" s="41">
        <v>0</v>
      </c>
      <c r="L1147" s="41">
        <v>55</v>
      </c>
      <c r="M1147" s="41">
        <v>-1</v>
      </c>
      <c r="N1147" s="41">
        <v>4</v>
      </c>
      <c r="O1147" s="111" t="s">
        <v>1672</v>
      </c>
      <c r="P1147" s="109">
        <v>192788</v>
      </c>
      <c r="Q1147" s="41"/>
      <c r="R1147" s="111"/>
      <c r="S1147" s="110" t="s">
        <v>1816</v>
      </c>
    </row>
    <row r="1148" spans="1:19">
      <c r="A1148" s="105">
        <v>1147</v>
      </c>
      <c r="B1148" s="41">
        <v>12000000</v>
      </c>
      <c r="C1148" s="41">
        <v>3.5000000000000001E-3</v>
      </c>
      <c r="D1148" s="41">
        <v>6.1688000000000001</v>
      </c>
      <c r="E1148" s="41">
        <v>30</v>
      </c>
      <c r="F1148" s="41">
        <v>0</v>
      </c>
      <c r="G1148" s="41" t="s">
        <v>103</v>
      </c>
      <c r="H1148" s="41">
        <v>2</v>
      </c>
      <c r="I1148" s="41">
        <v>1</v>
      </c>
      <c r="J1148" s="108">
        <f>POWER(POWER(Table2[[#This Row],[mv]],4)/10,0.25)</f>
        <v>1.9681946381662216E-3</v>
      </c>
      <c r="K1148" s="41">
        <v>0</v>
      </c>
      <c r="L1148" s="41">
        <v>55</v>
      </c>
      <c r="M1148" s="41">
        <v>-1</v>
      </c>
      <c r="N1148" s="41">
        <v>4</v>
      </c>
      <c r="O1148" s="111" t="s">
        <v>1673</v>
      </c>
      <c r="P1148" s="109">
        <v>192788</v>
      </c>
      <c r="Q1148" s="41"/>
      <c r="R1148" s="111"/>
      <c r="S1148" s="110" t="s">
        <v>1817</v>
      </c>
    </row>
    <row r="1149" spans="1:19">
      <c r="A1149" s="105">
        <v>1148</v>
      </c>
      <c r="B1149" s="41">
        <v>12000000</v>
      </c>
      <c r="C1149" s="41">
        <v>3.5000000000000001E-3</v>
      </c>
      <c r="D1149" s="41">
        <v>6.7271999999999998</v>
      </c>
      <c r="E1149" s="41">
        <v>30</v>
      </c>
      <c r="F1149" s="41">
        <v>0</v>
      </c>
      <c r="G1149" s="41" t="s">
        <v>103</v>
      </c>
      <c r="H1149" s="41">
        <v>2</v>
      </c>
      <c r="I1149" s="41">
        <v>1</v>
      </c>
      <c r="J1149" s="108">
        <f>POWER(POWER(Table2[[#This Row],[mv]],4)/10,0.25)</f>
        <v>1.9681946381662216E-3</v>
      </c>
      <c r="K1149" s="41">
        <v>0</v>
      </c>
      <c r="L1149" s="41">
        <v>55</v>
      </c>
      <c r="M1149" s="41">
        <v>-1</v>
      </c>
      <c r="N1149" s="41">
        <v>4</v>
      </c>
      <c r="O1149" s="111" t="s">
        <v>1674</v>
      </c>
      <c r="P1149" s="109">
        <v>192788</v>
      </c>
      <c r="Q1149" s="41"/>
      <c r="R1149" s="111"/>
      <c r="S1149" s="110" t="s">
        <v>1818</v>
      </c>
    </row>
    <row r="1150" spans="1:19">
      <c r="A1150" s="105">
        <v>1149</v>
      </c>
      <c r="B1150" s="41">
        <v>12000000</v>
      </c>
      <c r="C1150" s="41">
        <v>3.5000000000000001E-3</v>
      </c>
      <c r="D1150" s="41">
        <v>7.3360000000000003</v>
      </c>
      <c r="E1150" s="41">
        <v>30</v>
      </c>
      <c r="F1150" s="41">
        <v>0</v>
      </c>
      <c r="G1150" s="41" t="s">
        <v>103</v>
      </c>
      <c r="H1150" s="41">
        <v>2</v>
      </c>
      <c r="I1150" s="41">
        <v>1</v>
      </c>
      <c r="J1150" s="108">
        <f>POWER(POWER(Table2[[#This Row],[mv]],4)/10,0.25)</f>
        <v>1.9681946381662216E-3</v>
      </c>
      <c r="K1150" s="41">
        <v>0</v>
      </c>
      <c r="L1150" s="41">
        <v>55</v>
      </c>
      <c r="M1150" s="41">
        <v>-1</v>
      </c>
      <c r="N1150" s="41">
        <v>4</v>
      </c>
      <c r="O1150" s="111" t="s">
        <v>1675</v>
      </c>
      <c r="P1150" s="109">
        <v>192788</v>
      </c>
      <c r="Q1150" s="41"/>
      <c r="R1150" s="111"/>
      <c r="S1150" s="110" t="s">
        <v>1819</v>
      </c>
    </row>
    <row r="1151" spans="1:19">
      <c r="A1151" s="105">
        <v>1150</v>
      </c>
      <c r="B1151" s="41">
        <v>12000000</v>
      </c>
      <c r="C1151" s="41">
        <v>3.5000000000000001E-3</v>
      </c>
      <c r="D1151" s="41">
        <v>8</v>
      </c>
      <c r="E1151" s="41">
        <v>30</v>
      </c>
      <c r="F1151" s="41">
        <v>0</v>
      </c>
      <c r="G1151" s="41" t="s">
        <v>103</v>
      </c>
      <c r="H1151" s="41">
        <v>2</v>
      </c>
      <c r="I1151" s="41">
        <v>1</v>
      </c>
      <c r="J1151" s="108">
        <f>POWER(POWER(Table2[[#This Row],[mv]],4)/10,0.25)</f>
        <v>1.9681946381662216E-3</v>
      </c>
      <c r="K1151" s="41">
        <v>0</v>
      </c>
      <c r="L1151" s="41">
        <v>55</v>
      </c>
      <c r="M1151" s="41">
        <v>-1</v>
      </c>
      <c r="N1151" s="41">
        <v>4</v>
      </c>
      <c r="O1151" s="111" t="s">
        <v>1676</v>
      </c>
      <c r="P1151" s="109">
        <v>192788</v>
      </c>
      <c r="Q1151" s="41"/>
      <c r="R1151" s="111"/>
      <c r="S1151" s="110" t="s">
        <v>1820</v>
      </c>
    </row>
    <row r="1152" spans="1:19">
      <c r="A1152" s="105">
        <v>1151</v>
      </c>
      <c r="B1152" s="41">
        <v>12000000</v>
      </c>
      <c r="C1152" s="41">
        <v>3.5000000000000001E-3</v>
      </c>
      <c r="D1152" s="41">
        <v>8.7241</v>
      </c>
      <c r="E1152" s="41">
        <v>30</v>
      </c>
      <c r="F1152" s="41">
        <v>0</v>
      </c>
      <c r="G1152" s="41" t="s">
        <v>103</v>
      </c>
      <c r="H1152" s="41">
        <v>2</v>
      </c>
      <c r="I1152" s="41">
        <v>1</v>
      </c>
      <c r="J1152" s="108">
        <f>POWER(POWER(Table2[[#This Row],[mv]],4)/10,0.25)</f>
        <v>1.9681946381662216E-3</v>
      </c>
      <c r="K1152" s="41">
        <v>0</v>
      </c>
      <c r="L1152" s="41">
        <v>55</v>
      </c>
      <c r="M1152" s="41">
        <v>-1</v>
      </c>
      <c r="N1152" s="41">
        <v>4</v>
      </c>
      <c r="O1152" s="111" t="s">
        <v>1677</v>
      </c>
      <c r="P1152" s="109">
        <v>192788</v>
      </c>
      <c r="Q1152" s="41"/>
      <c r="R1152" s="111"/>
      <c r="S1152" s="110" t="s">
        <v>1821</v>
      </c>
    </row>
    <row r="1153" spans="1:19">
      <c r="A1153" s="105">
        <v>1152</v>
      </c>
      <c r="B1153" s="41">
        <v>12000000</v>
      </c>
      <c r="C1153" s="41">
        <v>3.5000000000000001E-3</v>
      </c>
      <c r="D1153" s="41">
        <v>9.5137</v>
      </c>
      <c r="E1153" s="41">
        <v>30</v>
      </c>
      <c r="F1153" s="41">
        <v>0</v>
      </c>
      <c r="G1153" s="41" t="s">
        <v>103</v>
      </c>
      <c r="H1153" s="41">
        <v>2</v>
      </c>
      <c r="I1153" s="41">
        <v>1</v>
      </c>
      <c r="J1153" s="108">
        <f>POWER(POWER(Table2[[#This Row],[mv]],4)/10,0.25)</f>
        <v>1.9681946381662216E-3</v>
      </c>
      <c r="K1153" s="41">
        <v>0</v>
      </c>
      <c r="L1153" s="41">
        <v>55</v>
      </c>
      <c r="M1153" s="41">
        <v>-1</v>
      </c>
      <c r="N1153" s="41">
        <v>4</v>
      </c>
      <c r="O1153" s="111" t="s">
        <v>1678</v>
      </c>
      <c r="P1153" s="109">
        <v>192788</v>
      </c>
      <c r="Q1153" s="41"/>
      <c r="R1153" s="111"/>
      <c r="S1153" s="110" t="s">
        <v>1822</v>
      </c>
    </row>
    <row r="1154" spans="1:19">
      <c r="A1154" s="105">
        <v>1153</v>
      </c>
      <c r="B1154" s="41">
        <v>12000000</v>
      </c>
      <c r="C1154" s="41">
        <v>3.5000000000000001E-3</v>
      </c>
      <c r="D1154" s="41">
        <v>10.374700000000001</v>
      </c>
      <c r="E1154" s="41">
        <v>30</v>
      </c>
      <c r="F1154" s="41">
        <v>0</v>
      </c>
      <c r="G1154" s="41" t="s">
        <v>103</v>
      </c>
      <c r="H1154" s="41">
        <v>2</v>
      </c>
      <c r="I1154" s="41">
        <v>1</v>
      </c>
      <c r="J1154" s="108">
        <f>POWER(POWER(Table2[[#This Row],[mv]],4)/10,0.25)</f>
        <v>1.9681946381662216E-3</v>
      </c>
      <c r="K1154" s="41">
        <v>0</v>
      </c>
      <c r="L1154" s="41">
        <v>55</v>
      </c>
      <c r="M1154" s="41">
        <v>-1</v>
      </c>
      <c r="N1154" s="41">
        <v>4</v>
      </c>
      <c r="O1154" s="111" t="s">
        <v>1679</v>
      </c>
      <c r="P1154" s="109">
        <v>192825</v>
      </c>
      <c r="Q1154" s="41"/>
      <c r="R1154" s="111"/>
      <c r="S1154" s="110" t="s">
        <v>1823</v>
      </c>
    </row>
    <row r="1155" spans="1:19">
      <c r="A1155" s="105">
        <v>1154</v>
      </c>
      <c r="B1155" s="41">
        <v>12000000</v>
      </c>
      <c r="C1155" s="41">
        <v>3.5000000000000001E-3</v>
      </c>
      <c r="D1155" s="41">
        <v>11.313700000000001</v>
      </c>
      <c r="E1155" s="41">
        <v>30</v>
      </c>
      <c r="F1155" s="41">
        <v>0</v>
      </c>
      <c r="G1155" s="41" t="s">
        <v>103</v>
      </c>
      <c r="H1155" s="41">
        <v>2</v>
      </c>
      <c r="I1155" s="41">
        <v>1</v>
      </c>
      <c r="J1155" s="108">
        <f>POWER(POWER(Table2[[#This Row],[mv]],4)/10,0.25)</f>
        <v>1.9681946381662216E-3</v>
      </c>
      <c r="K1155" s="41">
        <v>0</v>
      </c>
      <c r="L1155" s="41">
        <v>55</v>
      </c>
      <c r="M1155" s="41">
        <v>-1</v>
      </c>
      <c r="N1155" s="41">
        <v>4</v>
      </c>
      <c r="O1155" s="111" t="s">
        <v>1680</v>
      </c>
      <c r="P1155" s="109">
        <v>192825</v>
      </c>
      <c r="Q1155" s="41"/>
      <c r="R1155" s="111"/>
      <c r="S1155" s="110" t="s">
        <v>1824</v>
      </c>
    </row>
    <row r="1156" spans="1:19">
      <c r="A1156" s="105">
        <v>1155</v>
      </c>
      <c r="B1156" s="41">
        <v>12000000</v>
      </c>
      <c r="C1156" s="41">
        <v>3.5000000000000001E-3</v>
      </c>
      <c r="D1156" s="41">
        <v>12.3377</v>
      </c>
      <c r="E1156" s="41">
        <v>30</v>
      </c>
      <c r="F1156" s="41">
        <v>0</v>
      </c>
      <c r="G1156" s="41" t="s">
        <v>103</v>
      </c>
      <c r="H1156" s="41">
        <v>2</v>
      </c>
      <c r="I1156" s="41">
        <v>1</v>
      </c>
      <c r="J1156" s="108">
        <f>POWER(POWER(Table2[[#This Row],[mv]],4)/10,0.25)</f>
        <v>1.9681946381662216E-3</v>
      </c>
      <c r="K1156" s="41">
        <v>0</v>
      </c>
      <c r="L1156" s="41">
        <v>55</v>
      </c>
      <c r="M1156" s="41">
        <v>-1</v>
      </c>
      <c r="N1156" s="41">
        <v>4</v>
      </c>
      <c r="O1156" s="111" t="s">
        <v>1681</v>
      </c>
      <c r="P1156" s="109">
        <v>192700</v>
      </c>
      <c r="Q1156" s="41"/>
      <c r="R1156" s="111"/>
      <c r="S1156" s="110" t="s">
        <v>1825</v>
      </c>
    </row>
    <row r="1157" spans="1:19">
      <c r="A1157" s="105">
        <v>1156</v>
      </c>
      <c r="B1157" s="41">
        <v>12000000</v>
      </c>
      <c r="C1157" s="41">
        <v>3.5000000000000001E-3</v>
      </c>
      <c r="D1157" s="41">
        <v>13.4543</v>
      </c>
      <c r="E1157" s="41">
        <v>30</v>
      </c>
      <c r="F1157" s="41">
        <v>0</v>
      </c>
      <c r="G1157" s="41" t="s">
        <v>103</v>
      </c>
      <c r="H1157" s="41">
        <v>2</v>
      </c>
      <c r="I1157" s="41">
        <v>1</v>
      </c>
      <c r="J1157" s="108">
        <f>POWER(POWER(Table2[[#This Row],[mv]],4)/10,0.25)</f>
        <v>1.9681946381662216E-3</v>
      </c>
      <c r="K1157" s="41">
        <v>0</v>
      </c>
      <c r="L1157" s="41">
        <v>55</v>
      </c>
      <c r="M1157" s="41">
        <v>-1</v>
      </c>
      <c r="N1157" s="41">
        <v>4</v>
      </c>
      <c r="O1157" s="111" t="s">
        <v>1682</v>
      </c>
      <c r="P1157" s="109">
        <v>192700</v>
      </c>
      <c r="Q1157" s="41"/>
      <c r="R1157" s="111"/>
      <c r="S1157" s="110" t="s">
        <v>1826</v>
      </c>
    </row>
    <row r="1158" spans="1:19">
      <c r="A1158" s="105">
        <v>1157</v>
      </c>
      <c r="B1158" s="41">
        <v>12000000</v>
      </c>
      <c r="C1158" s="41">
        <v>3.5000000000000001E-3</v>
      </c>
      <c r="D1158" s="41">
        <v>14.6721</v>
      </c>
      <c r="E1158" s="41">
        <v>30</v>
      </c>
      <c r="F1158" s="41">
        <v>0</v>
      </c>
      <c r="G1158" s="41" t="s">
        <v>103</v>
      </c>
      <c r="H1158" s="41">
        <v>2</v>
      </c>
      <c r="I1158" s="41">
        <v>1</v>
      </c>
      <c r="J1158" s="108">
        <f>POWER(POWER(Table2[[#This Row],[mv]],4)/10,0.25)</f>
        <v>1.9681946381662216E-3</v>
      </c>
      <c r="K1158" s="41">
        <v>0</v>
      </c>
      <c r="L1158" s="41">
        <v>55</v>
      </c>
      <c r="M1158" s="41">
        <v>-1</v>
      </c>
      <c r="N1158" s="41">
        <v>4</v>
      </c>
      <c r="O1158" s="111" t="s">
        <v>1683</v>
      </c>
      <c r="P1158" s="109">
        <v>192700</v>
      </c>
      <c r="Q1158" s="41"/>
      <c r="R1158" s="111"/>
      <c r="S1158" s="110" t="s">
        <v>1827</v>
      </c>
    </row>
    <row r="1159" spans="1:19">
      <c r="A1159" s="105">
        <v>1158</v>
      </c>
      <c r="B1159" s="41">
        <v>12000000</v>
      </c>
      <c r="C1159" s="41">
        <v>3.5000000000000001E-3</v>
      </c>
      <c r="D1159" s="41">
        <v>16</v>
      </c>
      <c r="E1159" s="41">
        <v>30</v>
      </c>
      <c r="F1159" s="41">
        <v>0</v>
      </c>
      <c r="G1159" s="41" t="s">
        <v>103</v>
      </c>
      <c r="H1159" s="41">
        <v>2</v>
      </c>
      <c r="I1159" s="41">
        <v>1</v>
      </c>
      <c r="J1159" s="108">
        <f>POWER(POWER(Table2[[#This Row],[mv]],4)/10,0.25)</f>
        <v>1.9681946381662216E-3</v>
      </c>
      <c r="K1159" s="41">
        <v>0</v>
      </c>
      <c r="L1159" s="41">
        <v>55</v>
      </c>
      <c r="M1159" s="41">
        <v>-1</v>
      </c>
      <c r="N1159" s="41">
        <v>4</v>
      </c>
      <c r="O1159" s="111" t="s">
        <v>1684</v>
      </c>
      <c r="P1159" s="109">
        <v>192700</v>
      </c>
      <c r="Q1159" s="41"/>
      <c r="R1159" s="111"/>
      <c r="S1159" s="110" t="s">
        <v>1828</v>
      </c>
    </row>
    <row r="1160" spans="1:19">
      <c r="A1160" s="105">
        <v>1159</v>
      </c>
      <c r="B1160" s="41">
        <v>12000000</v>
      </c>
      <c r="C1160" s="41">
        <v>3.5000000000000001E-3</v>
      </c>
      <c r="D1160" s="41">
        <v>17.4481</v>
      </c>
      <c r="E1160" s="41">
        <v>30</v>
      </c>
      <c r="F1160" s="41">
        <v>0</v>
      </c>
      <c r="G1160" s="41" t="s">
        <v>103</v>
      </c>
      <c r="H1160" s="41">
        <v>2</v>
      </c>
      <c r="I1160" s="41">
        <v>1</v>
      </c>
      <c r="J1160" s="108">
        <f>POWER(POWER(Table2[[#This Row],[mv]],4)/10,0.25)</f>
        <v>1.9681946381662216E-3</v>
      </c>
      <c r="K1160" s="41">
        <v>0</v>
      </c>
      <c r="L1160" s="41">
        <v>55</v>
      </c>
      <c r="M1160" s="41">
        <v>-1</v>
      </c>
      <c r="N1160" s="41">
        <v>4</v>
      </c>
      <c r="O1160" s="111" t="s">
        <v>1685</v>
      </c>
      <c r="P1160" s="109">
        <v>192700</v>
      </c>
      <c r="Q1160" s="41"/>
      <c r="R1160" s="111"/>
      <c r="S1160" s="110" t="s">
        <v>1829</v>
      </c>
    </row>
    <row r="1161" spans="1:19">
      <c r="A1161" s="105">
        <v>1160</v>
      </c>
      <c r="B1161" s="41">
        <v>12000000</v>
      </c>
      <c r="C1161" s="41">
        <v>3.5000000000000001E-3</v>
      </c>
      <c r="D1161" s="41">
        <v>19.0273</v>
      </c>
      <c r="E1161" s="41">
        <v>30</v>
      </c>
      <c r="F1161" s="41">
        <v>0</v>
      </c>
      <c r="G1161" s="41" t="s">
        <v>103</v>
      </c>
      <c r="H1161" s="41">
        <v>2</v>
      </c>
      <c r="I1161" s="41">
        <v>1</v>
      </c>
      <c r="J1161" s="108">
        <f>POWER(POWER(Table2[[#This Row],[mv]],4)/10,0.25)</f>
        <v>1.9681946381662216E-3</v>
      </c>
      <c r="K1161" s="41">
        <v>0</v>
      </c>
      <c r="L1161" s="41">
        <v>55</v>
      </c>
      <c r="M1161" s="41">
        <v>-1</v>
      </c>
      <c r="N1161" s="41">
        <v>4</v>
      </c>
      <c r="O1161" s="111" t="s">
        <v>1686</v>
      </c>
      <c r="P1161" s="109">
        <v>192700</v>
      </c>
      <c r="Q1161" s="41"/>
      <c r="R1161" s="111"/>
      <c r="S1161" s="110" t="s">
        <v>1830</v>
      </c>
    </row>
    <row r="1162" spans="1:19">
      <c r="A1162" s="105">
        <v>1161</v>
      </c>
      <c r="B1162" s="41">
        <v>12000000</v>
      </c>
      <c r="C1162" s="41">
        <v>3.8E-3</v>
      </c>
      <c r="D1162" s="41">
        <v>4.7568000000000001</v>
      </c>
      <c r="E1162" s="41">
        <v>30</v>
      </c>
      <c r="F1162" s="41">
        <v>0</v>
      </c>
      <c r="G1162" s="41" t="s">
        <v>103</v>
      </c>
      <c r="H1162" s="41">
        <v>2</v>
      </c>
      <c r="I1162" s="41">
        <v>1</v>
      </c>
      <c r="J1162" s="108">
        <f>POWER(POWER(Table2[[#This Row],[mv]],4)/10,0.25)</f>
        <v>2.1368970357233258E-3</v>
      </c>
      <c r="K1162" s="41">
        <v>0</v>
      </c>
      <c r="L1162" s="41">
        <v>55</v>
      </c>
      <c r="M1162" s="41">
        <v>-1</v>
      </c>
      <c r="N1162" s="41">
        <v>4</v>
      </c>
      <c r="O1162" s="111" t="s">
        <v>1687</v>
      </c>
      <c r="P1162" s="109">
        <v>192700</v>
      </c>
      <c r="Q1162" s="41"/>
      <c r="R1162" s="111"/>
      <c r="S1162" s="110" t="s">
        <v>1831</v>
      </c>
    </row>
    <row r="1163" spans="1:19">
      <c r="A1163" s="105">
        <v>1162</v>
      </c>
      <c r="B1163" s="41">
        <v>12000000</v>
      </c>
      <c r="C1163" s="41">
        <v>3.8E-3</v>
      </c>
      <c r="D1163" s="41">
        <v>5.1874000000000002</v>
      </c>
      <c r="E1163" s="41">
        <v>30</v>
      </c>
      <c r="F1163" s="41">
        <v>0</v>
      </c>
      <c r="G1163" s="41" t="s">
        <v>103</v>
      </c>
      <c r="H1163" s="41">
        <v>2</v>
      </c>
      <c r="I1163" s="41">
        <v>1</v>
      </c>
      <c r="J1163" s="108">
        <f>POWER(POWER(Table2[[#This Row],[mv]],4)/10,0.25)</f>
        <v>2.1368970357233258E-3</v>
      </c>
      <c r="K1163" s="41">
        <v>0</v>
      </c>
      <c r="L1163" s="41">
        <v>55</v>
      </c>
      <c r="M1163" s="41">
        <v>-1</v>
      </c>
      <c r="N1163" s="41">
        <v>4</v>
      </c>
      <c r="O1163" s="111" t="s">
        <v>1688</v>
      </c>
      <c r="P1163" s="109">
        <v>192700</v>
      </c>
      <c r="Q1163" s="41"/>
      <c r="R1163" s="111"/>
      <c r="S1163" s="110" t="s">
        <v>1832</v>
      </c>
    </row>
    <row r="1164" spans="1:19">
      <c r="A1164" s="105">
        <v>1163</v>
      </c>
      <c r="B1164" s="41">
        <v>12000000</v>
      </c>
      <c r="C1164" s="41">
        <v>3.8E-3</v>
      </c>
      <c r="D1164" s="41">
        <v>5.6569000000000003</v>
      </c>
      <c r="E1164" s="41">
        <v>30</v>
      </c>
      <c r="F1164" s="41">
        <v>0</v>
      </c>
      <c r="G1164" s="41" t="s">
        <v>103</v>
      </c>
      <c r="H1164" s="41">
        <v>2</v>
      </c>
      <c r="I1164" s="41">
        <v>1</v>
      </c>
      <c r="J1164" s="108">
        <f>POWER(POWER(Table2[[#This Row],[mv]],4)/10,0.25)</f>
        <v>2.1368970357233258E-3</v>
      </c>
      <c r="K1164" s="41">
        <v>0</v>
      </c>
      <c r="L1164" s="41">
        <v>55</v>
      </c>
      <c r="M1164" s="41">
        <v>-1</v>
      </c>
      <c r="N1164" s="41">
        <v>4</v>
      </c>
      <c r="O1164" s="111" t="s">
        <v>1689</v>
      </c>
      <c r="P1164" s="109">
        <v>192700</v>
      </c>
      <c r="Q1164" s="41"/>
      <c r="R1164" s="111"/>
      <c r="S1164" s="110" t="s">
        <v>1833</v>
      </c>
    </row>
    <row r="1165" spans="1:19">
      <c r="A1165" s="105">
        <v>1164</v>
      </c>
      <c r="B1165" s="41">
        <v>12000000</v>
      </c>
      <c r="C1165" s="41">
        <v>3.8E-3</v>
      </c>
      <c r="D1165" s="41">
        <v>6.1688000000000001</v>
      </c>
      <c r="E1165" s="41">
        <v>30</v>
      </c>
      <c r="F1165" s="41">
        <v>0</v>
      </c>
      <c r="G1165" s="41" t="s">
        <v>103</v>
      </c>
      <c r="H1165" s="41">
        <v>2</v>
      </c>
      <c r="I1165" s="41">
        <v>1</v>
      </c>
      <c r="J1165" s="108">
        <f>POWER(POWER(Table2[[#This Row],[mv]],4)/10,0.25)</f>
        <v>2.1368970357233258E-3</v>
      </c>
      <c r="K1165" s="41">
        <v>0</v>
      </c>
      <c r="L1165" s="41">
        <v>55</v>
      </c>
      <c r="M1165" s="41">
        <v>-1</v>
      </c>
      <c r="N1165" s="41">
        <v>4</v>
      </c>
      <c r="O1165" s="111" t="s">
        <v>1690</v>
      </c>
      <c r="P1165" s="109">
        <v>192700</v>
      </c>
      <c r="Q1165" s="41"/>
      <c r="R1165" s="111"/>
      <c r="S1165" s="110" t="s">
        <v>1834</v>
      </c>
    </row>
    <row r="1166" spans="1:19">
      <c r="A1166" s="105">
        <v>1165</v>
      </c>
      <c r="B1166" s="41">
        <v>12000000</v>
      </c>
      <c r="C1166" s="41">
        <v>3.8E-3</v>
      </c>
      <c r="D1166" s="41">
        <v>6.7271999999999998</v>
      </c>
      <c r="E1166" s="41">
        <v>30</v>
      </c>
      <c r="F1166" s="41">
        <v>0</v>
      </c>
      <c r="G1166" s="41" t="s">
        <v>103</v>
      </c>
      <c r="H1166" s="41">
        <v>2</v>
      </c>
      <c r="I1166" s="41">
        <v>1</v>
      </c>
      <c r="J1166" s="108">
        <f>POWER(POWER(Table2[[#This Row],[mv]],4)/10,0.25)</f>
        <v>2.1368970357233258E-3</v>
      </c>
      <c r="K1166" s="41">
        <v>0</v>
      </c>
      <c r="L1166" s="41">
        <v>55</v>
      </c>
      <c r="M1166" s="41">
        <v>-1</v>
      </c>
      <c r="N1166" s="41">
        <v>4</v>
      </c>
      <c r="O1166" s="111" t="s">
        <v>1691</v>
      </c>
      <c r="P1166" s="109">
        <v>192700</v>
      </c>
      <c r="Q1166" s="41"/>
      <c r="R1166" s="111"/>
      <c r="S1166" s="110" t="s">
        <v>1835</v>
      </c>
    </row>
    <row r="1167" spans="1:19">
      <c r="A1167" s="105">
        <v>1166</v>
      </c>
      <c r="B1167" s="41">
        <v>12000000</v>
      </c>
      <c r="C1167" s="41">
        <v>3.8E-3</v>
      </c>
      <c r="D1167" s="41">
        <v>7.3360000000000003</v>
      </c>
      <c r="E1167" s="41">
        <v>30</v>
      </c>
      <c r="F1167" s="41">
        <v>0</v>
      </c>
      <c r="G1167" s="41" t="s">
        <v>103</v>
      </c>
      <c r="H1167" s="41">
        <v>2</v>
      </c>
      <c r="I1167" s="41">
        <v>1</v>
      </c>
      <c r="J1167" s="108">
        <f>POWER(POWER(Table2[[#This Row],[mv]],4)/10,0.25)</f>
        <v>2.1368970357233258E-3</v>
      </c>
      <c r="K1167" s="41">
        <v>0</v>
      </c>
      <c r="L1167" s="41">
        <v>55</v>
      </c>
      <c r="M1167" s="41">
        <v>-1</v>
      </c>
      <c r="N1167" s="41">
        <v>4</v>
      </c>
      <c r="O1167" s="111" t="s">
        <v>1692</v>
      </c>
      <c r="P1167" s="109">
        <v>192700</v>
      </c>
      <c r="Q1167" s="41"/>
      <c r="R1167" s="111"/>
      <c r="S1167" s="110" t="s">
        <v>1836</v>
      </c>
    </row>
    <row r="1168" spans="1:19">
      <c r="A1168" s="105">
        <v>1167</v>
      </c>
      <c r="B1168" s="41">
        <v>12000000</v>
      </c>
      <c r="C1168" s="41">
        <v>3.8E-3</v>
      </c>
      <c r="D1168" s="41">
        <v>8</v>
      </c>
      <c r="E1168" s="41">
        <v>30</v>
      </c>
      <c r="F1168" s="41">
        <v>0</v>
      </c>
      <c r="G1168" s="41" t="s">
        <v>103</v>
      </c>
      <c r="H1168" s="41">
        <v>2</v>
      </c>
      <c r="I1168" s="41">
        <v>1</v>
      </c>
      <c r="J1168" s="108">
        <f>POWER(POWER(Table2[[#This Row],[mv]],4)/10,0.25)</f>
        <v>2.1368970357233258E-3</v>
      </c>
      <c r="K1168" s="41">
        <v>0</v>
      </c>
      <c r="L1168" s="41">
        <v>55</v>
      </c>
      <c r="M1168" s="41">
        <v>-1</v>
      </c>
      <c r="N1168" s="41">
        <v>4</v>
      </c>
      <c r="O1168" s="111" t="s">
        <v>1693</v>
      </c>
      <c r="P1168" s="109">
        <v>192700</v>
      </c>
      <c r="Q1168" s="41"/>
      <c r="R1168" s="111"/>
      <c r="S1168" s="110" t="s">
        <v>1837</v>
      </c>
    </row>
    <row r="1169" spans="1:19">
      <c r="A1169" s="105">
        <v>1168</v>
      </c>
      <c r="B1169" s="41">
        <v>12000000</v>
      </c>
      <c r="C1169" s="41">
        <v>3.8E-3</v>
      </c>
      <c r="D1169" s="41">
        <v>8.7241</v>
      </c>
      <c r="E1169" s="41">
        <v>30</v>
      </c>
      <c r="F1169" s="41">
        <v>0</v>
      </c>
      <c r="G1169" s="41" t="s">
        <v>103</v>
      </c>
      <c r="H1169" s="41">
        <v>2</v>
      </c>
      <c r="I1169" s="41">
        <v>1</v>
      </c>
      <c r="J1169" s="108">
        <f>POWER(POWER(Table2[[#This Row],[mv]],4)/10,0.25)</f>
        <v>2.1368970357233258E-3</v>
      </c>
      <c r="K1169" s="41">
        <v>0</v>
      </c>
      <c r="L1169" s="41">
        <v>55</v>
      </c>
      <c r="M1169" s="41">
        <v>-1</v>
      </c>
      <c r="N1169" s="41">
        <v>4</v>
      </c>
      <c r="O1169" s="111" t="s">
        <v>1694</v>
      </c>
      <c r="P1169" s="109">
        <v>192700</v>
      </c>
      <c r="Q1169" s="41"/>
      <c r="R1169" s="111"/>
      <c r="S1169" s="110" t="s">
        <v>1838</v>
      </c>
    </row>
    <row r="1170" spans="1:19">
      <c r="A1170" s="105">
        <v>1169</v>
      </c>
      <c r="B1170" s="41">
        <v>12000000</v>
      </c>
      <c r="C1170" s="41">
        <v>3.8E-3</v>
      </c>
      <c r="D1170" s="41">
        <v>9.5137</v>
      </c>
      <c r="E1170" s="41">
        <v>30</v>
      </c>
      <c r="F1170" s="41">
        <v>0</v>
      </c>
      <c r="G1170" s="41" t="s">
        <v>103</v>
      </c>
      <c r="H1170" s="41">
        <v>2</v>
      </c>
      <c r="I1170" s="41">
        <v>1</v>
      </c>
      <c r="J1170" s="108">
        <f>POWER(POWER(Table2[[#This Row],[mv]],4)/10,0.25)</f>
        <v>2.1368970357233258E-3</v>
      </c>
      <c r="K1170" s="41">
        <v>0</v>
      </c>
      <c r="L1170" s="41">
        <v>55</v>
      </c>
      <c r="M1170" s="41">
        <v>-1</v>
      </c>
      <c r="N1170" s="41">
        <v>4</v>
      </c>
      <c r="O1170" s="111" t="s">
        <v>1695</v>
      </c>
      <c r="P1170" s="109">
        <v>192700</v>
      </c>
      <c r="Q1170" s="41"/>
      <c r="R1170" s="111"/>
      <c r="S1170" s="110" t="s">
        <v>1839</v>
      </c>
    </row>
    <row r="1171" spans="1:19">
      <c r="A1171" s="105">
        <v>1170</v>
      </c>
      <c r="B1171" s="41">
        <v>12000000</v>
      </c>
      <c r="C1171" s="41">
        <v>3.8E-3</v>
      </c>
      <c r="D1171" s="41">
        <v>10.374700000000001</v>
      </c>
      <c r="E1171" s="41">
        <v>30</v>
      </c>
      <c r="F1171" s="41">
        <v>0</v>
      </c>
      <c r="G1171" s="41" t="s">
        <v>103</v>
      </c>
      <c r="H1171" s="41">
        <v>2</v>
      </c>
      <c r="I1171" s="41">
        <v>1</v>
      </c>
      <c r="J1171" s="108">
        <f>POWER(POWER(Table2[[#This Row],[mv]],4)/10,0.25)</f>
        <v>2.1368970357233258E-3</v>
      </c>
      <c r="K1171" s="41">
        <v>0</v>
      </c>
      <c r="L1171" s="41">
        <v>55</v>
      </c>
      <c r="M1171" s="41">
        <v>-1</v>
      </c>
      <c r="N1171" s="41">
        <v>4</v>
      </c>
      <c r="O1171" s="111" t="s">
        <v>1696</v>
      </c>
      <c r="P1171" s="109">
        <v>192700</v>
      </c>
      <c r="Q1171" s="41"/>
      <c r="R1171" s="111"/>
      <c r="S1171" s="110" t="s">
        <v>1840</v>
      </c>
    </row>
    <row r="1172" spans="1:19">
      <c r="A1172" s="105">
        <v>1171</v>
      </c>
      <c r="B1172" s="41">
        <v>12000000</v>
      </c>
      <c r="C1172" s="41">
        <v>3.8E-3</v>
      </c>
      <c r="D1172" s="41">
        <v>11.313700000000001</v>
      </c>
      <c r="E1172" s="41">
        <v>30</v>
      </c>
      <c r="F1172" s="41">
        <v>0</v>
      </c>
      <c r="G1172" s="41" t="s">
        <v>103</v>
      </c>
      <c r="H1172" s="41">
        <v>2</v>
      </c>
      <c r="I1172" s="41">
        <v>1</v>
      </c>
      <c r="J1172" s="108">
        <f>POWER(POWER(Table2[[#This Row],[mv]],4)/10,0.25)</f>
        <v>2.1368970357233258E-3</v>
      </c>
      <c r="K1172" s="41">
        <v>0</v>
      </c>
      <c r="L1172" s="41">
        <v>55</v>
      </c>
      <c r="M1172" s="41">
        <v>-1</v>
      </c>
      <c r="N1172" s="41">
        <v>4</v>
      </c>
      <c r="O1172" s="111" t="s">
        <v>1697</v>
      </c>
      <c r="P1172" s="109">
        <v>192700</v>
      </c>
      <c r="Q1172" s="41"/>
      <c r="R1172" s="111"/>
      <c r="S1172" s="110" t="s">
        <v>1841</v>
      </c>
    </row>
    <row r="1173" spans="1:19">
      <c r="A1173" s="105">
        <v>1172</v>
      </c>
      <c r="B1173" s="41">
        <v>12000000</v>
      </c>
      <c r="C1173" s="41">
        <v>3.8E-3</v>
      </c>
      <c r="D1173" s="41">
        <v>12.3377</v>
      </c>
      <c r="E1173" s="41">
        <v>30</v>
      </c>
      <c r="F1173" s="41">
        <v>0</v>
      </c>
      <c r="G1173" s="41" t="s">
        <v>103</v>
      </c>
      <c r="H1173" s="41">
        <v>2</v>
      </c>
      <c r="I1173" s="41">
        <v>1</v>
      </c>
      <c r="J1173" s="108">
        <f>POWER(POWER(Table2[[#This Row],[mv]],4)/10,0.25)</f>
        <v>2.1368970357233258E-3</v>
      </c>
      <c r="K1173" s="41">
        <v>0</v>
      </c>
      <c r="L1173" s="41">
        <v>55</v>
      </c>
      <c r="M1173" s="41">
        <v>-1</v>
      </c>
      <c r="N1173" s="41">
        <v>4</v>
      </c>
      <c r="O1173" s="111" t="s">
        <v>1698</v>
      </c>
      <c r="P1173" s="109">
        <v>192700</v>
      </c>
      <c r="Q1173" s="41"/>
      <c r="R1173" s="111"/>
      <c r="S1173" s="110" t="s">
        <v>1842</v>
      </c>
    </row>
    <row r="1174" spans="1:19">
      <c r="A1174" s="105">
        <v>1173</v>
      </c>
      <c r="B1174" s="41">
        <v>12000000</v>
      </c>
      <c r="C1174" s="41">
        <v>3.8E-3</v>
      </c>
      <c r="D1174" s="41">
        <v>13.4543</v>
      </c>
      <c r="E1174" s="41">
        <v>30</v>
      </c>
      <c r="F1174" s="41">
        <v>0</v>
      </c>
      <c r="G1174" s="41" t="s">
        <v>103</v>
      </c>
      <c r="H1174" s="41">
        <v>2</v>
      </c>
      <c r="I1174" s="41">
        <v>1</v>
      </c>
      <c r="J1174" s="108">
        <f>POWER(POWER(Table2[[#This Row],[mv]],4)/10,0.25)</f>
        <v>2.1368970357233258E-3</v>
      </c>
      <c r="K1174" s="41">
        <v>0</v>
      </c>
      <c r="L1174" s="41">
        <v>55</v>
      </c>
      <c r="M1174" s="41">
        <v>-1</v>
      </c>
      <c r="N1174" s="41">
        <v>4</v>
      </c>
      <c r="O1174" s="111" t="s">
        <v>1699</v>
      </c>
      <c r="P1174" s="109">
        <v>192700</v>
      </c>
      <c r="Q1174" s="41"/>
      <c r="R1174" s="111"/>
      <c r="S1174" s="110" t="s">
        <v>1843</v>
      </c>
    </row>
    <row r="1175" spans="1:19">
      <c r="A1175" s="105">
        <v>1174</v>
      </c>
      <c r="B1175" s="41">
        <v>12000000</v>
      </c>
      <c r="C1175" s="41">
        <v>3.8E-3</v>
      </c>
      <c r="D1175" s="41">
        <v>14.6721</v>
      </c>
      <c r="E1175" s="41">
        <v>30</v>
      </c>
      <c r="F1175" s="41">
        <v>0</v>
      </c>
      <c r="G1175" s="41" t="s">
        <v>103</v>
      </c>
      <c r="H1175" s="41">
        <v>2</v>
      </c>
      <c r="I1175" s="41">
        <v>1</v>
      </c>
      <c r="J1175" s="108">
        <f>POWER(POWER(Table2[[#This Row],[mv]],4)/10,0.25)</f>
        <v>2.1368970357233258E-3</v>
      </c>
      <c r="K1175" s="41">
        <v>0</v>
      </c>
      <c r="L1175" s="41">
        <v>55</v>
      </c>
      <c r="M1175" s="41">
        <v>-1</v>
      </c>
      <c r="N1175" s="41">
        <v>4</v>
      </c>
      <c r="O1175" s="111" t="s">
        <v>1700</v>
      </c>
      <c r="P1175" s="109">
        <v>192700</v>
      </c>
      <c r="Q1175" s="41"/>
      <c r="R1175" s="111"/>
      <c r="S1175" s="110" t="s">
        <v>1844</v>
      </c>
    </row>
    <row r="1176" spans="1:19">
      <c r="A1176" s="105">
        <v>1175</v>
      </c>
      <c r="B1176" s="41">
        <v>12000000</v>
      </c>
      <c r="C1176" s="41">
        <v>3.8E-3</v>
      </c>
      <c r="D1176" s="41">
        <v>16</v>
      </c>
      <c r="E1176" s="41">
        <v>30</v>
      </c>
      <c r="F1176" s="41">
        <v>0</v>
      </c>
      <c r="G1176" s="41" t="s">
        <v>103</v>
      </c>
      <c r="H1176" s="41">
        <v>2</v>
      </c>
      <c r="I1176" s="41">
        <v>1</v>
      </c>
      <c r="J1176" s="108">
        <f>POWER(POWER(Table2[[#This Row],[mv]],4)/10,0.25)</f>
        <v>2.1368970357233258E-3</v>
      </c>
      <c r="K1176" s="41">
        <v>0</v>
      </c>
      <c r="L1176" s="41">
        <v>55</v>
      </c>
      <c r="M1176" s="41">
        <v>-1</v>
      </c>
      <c r="N1176" s="41">
        <v>4</v>
      </c>
      <c r="O1176" s="111" t="s">
        <v>1701</v>
      </c>
      <c r="P1176" s="109">
        <v>192700</v>
      </c>
      <c r="Q1176" s="41"/>
      <c r="R1176" s="111"/>
      <c r="S1176" s="110" t="s">
        <v>1845</v>
      </c>
    </row>
    <row r="1177" spans="1:19">
      <c r="A1177" s="105">
        <v>1176</v>
      </c>
      <c r="B1177" s="41">
        <v>12000000</v>
      </c>
      <c r="C1177" s="41">
        <v>3.8E-3</v>
      </c>
      <c r="D1177" s="41">
        <v>17.4481</v>
      </c>
      <c r="E1177" s="41">
        <v>30</v>
      </c>
      <c r="F1177" s="41">
        <v>0</v>
      </c>
      <c r="G1177" s="41" t="s">
        <v>103</v>
      </c>
      <c r="H1177" s="41">
        <v>2</v>
      </c>
      <c r="I1177" s="41">
        <v>1</v>
      </c>
      <c r="J1177" s="108">
        <f>POWER(POWER(Table2[[#This Row],[mv]],4)/10,0.25)</f>
        <v>2.1368970357233258E-3</v>
      </c>
      <c r="K1177" s="41">
        <v>0</v>
      </c>
      <c r="L1177" s="41">
        <v>55</v>
      </c>
      <c r="M1177" s="41">
        <v>-1</v>
      </c>
      <c r="N1177" s="41">
        <v>4</v>
      </c>
      <c r="O1177" s="111" t="s">
        <v>1702</v>
      </c>
      <c r="P1177" s="109">
        <v>192700</v>
      </c>
      <c r="Q1177" s="41"/>
      <c r="R1177" s="111"/>
      <c r="S1177" s="110" t="s">
        <v>1846</v>
      </c>
    </row>
    <row r="1178" spans="1:19">
      <c r="A1178" s="105">
        <v>1177</v>
      </c>
      <c r="B1178" s="41">
        <v>12000000</v>
      </c>
      <c r="C1178" s="41">
        <v>3.8E-3</v>
      </c>
      <c r="D1178" s="41">
        <v>19.0273</v>
      </c>
      <c r="E1178" s="41">
        <v>30</v>
      </c>
      <c r="F1178" s="41">
        <v>0</v>
      </c>
      <c r="G1178" s="41" t="s">
        <v>103</v>
      </c>
      <c r="H1178" s="41">
        <v>2</v>
      </c>
      <c r="I1178" s="41">
        <v>1</v>
      </c>
      <c r="J1178" s="108">
        <f>POWER(POWER(Table2[[#This Row],[mv]],4)/10,0.25)</f>
        <v>2.1368970357233258E-3</v>
      </c>
      <c r="K1178" s="41">
        <v>0</v>
      </c>
      <c r="L1178" s="41">
        <v>55</v>
      </c>
      <c r="M1178" s="41">
        <v>-1</v>
      </c>
      <c r="N1178" s="41">
        <v>4</v>
      </c>
      <c r="O1178" s="111" t="s">
        <v>1703</v>
      </c>
      <c r="P1178" s="109">
        <v>192700</v>
      </c>
      <c r="Q1178" s="41"/>
      <c r="R1178" s="111"/>
      <c r="S1178" s="110" t="s">
        <v>1847</v>
      </c>
    </row>
    <row r="1179" spans="1:19">
      <c r="A1179" s="105">
        <v>1178</v>
      </c>
      <c r="B1179" s="41">
        <v>12000000</v>
      </c>
      <c r="C1179" s="41">
        <v>4.1999999999999997E-3</v>
      </c>
      <c r="D1179" s="41">
        <v>5.6569000000000003</v>
      </c>
      <c r="E1179" s="41">
        <v>30</v>
      </c>
      <c r="F1179" s="41">
        <v>0</v>
      </c>
      <c r="G1179" s="41" t="s">
        <v>103</v>
      </c>
      <c r="H1179" s="41">
        <v>2</v>
      </c>
      <c r="I1179" s="41">
        <v>1</v>
      </c>
      <c r="J1179" s="108">
        <f>POWER(POWER(Table2[[#This Row],[mv]],4)/10,0.25)</f>
        <v>2.361833565799467E-3</v>
      </c>
      <c r="K1179" s="41">
        <v>0</v>
      </c>
      <c r="L1179" s="41">
        <v>55</v>
      </c>
      <c r="M1179" s="41">
        <v>-1</v>
      </c>
      <c r="N1179" s="41">
        <v>4</v>
      </c>
      <c r="O1179" s="111" t="s">
        <v>1704</v>
      </c>
      <c r="P1179" s="109">
        <v>192700</v>
      </c>
      <c r="Q1179" s="41"/>
      <c r="R1179" s="111"/>
      <c r="S1179" s="110" t="s">
        <v>1848</v>
      </c>
    </row>
    <row r="1180" spans="1:19">
      <c r="A1180" s="105">
        <v>1179</v>
      </c>
      <c r="B1180" s="41">
        <v>12000000</v>
      </c>
      <c r="C1180" s="41">
        <v>4.1999999999999997E-3</v>
      </c>
      <c r="D1180" s="41">
        <v>6.1688000000000001</v>
      </c>
      <c r="E1180" s="41">
        <v>30</v>
      </c>
      <c r="F1180" s="41">
        <v>0</v>
      </c>
      <c r="G1180" s="41" t="s">
        <v>103</v>
      </c>
      <c r="H1180" s="41">
        <v>2</v>
      </c>
      <c r="I1180" s="41">
        <v>1</v>
      </c>
      <c r="J1180" s="108">
        <f>POWER(POWER(Table2[[#This Row],[mv]],4)/10,0.25)</f>
        <v>2.361833565799467E-3</v>
      </c>
      <c r="K1180" s="41">
        <v>0</v>
      </c>
      <c r="L1180" s="41">
        <v>55</v>
      </c>
      <c r="M1180" s="41">
        <v>-1</v>
      </c>
      <c r="N1180" s="41">
        <v>4</v>
      </c>
      <c r="O1180" s="111" t="s">
        <v>1705</v>
      </c>
      <c r="P1180" s="109">
        <v>192700</v>
      </c>
      <c r="Q1180" s="41"/>
      <c r="R1180" s="111"/>
      <c r="S1180" s="110" t="s">
        <v>1849</v>
      </c>
    </row>
    <row r="1181" spans="1:19">
      <c r="A1181" s="105">
        <v>1180</v>
      </c>
      <c r="B1181" s="41">
        <v>12000000</v>
      </c>
      <c r="C1181" s="41">
        <v>4.1999999999999997E-3</v>
      </c>
      <c r="D1181" s="41">
        <v>6.7271999999999998</v>
      </c>
      <c r="E1181" s="41">
        <v>30</v>
      </c>
      <c r="F1181" s="41">
        <v>0</v>
      </c>
      <c r="G1181" s="41" t="s">
        <v>103</v>
      </c>
      <c r="H1181" s="41">
        <v>2</v>
      </c>
      <c r="I1181" s="41">
        <v>1</v>
      </c>
      <c r="J1181" s="108">
        <f>POWER(POWER(Table2[[#This Row],[mv]],4)/10,0.25)</f>
        <v>2.361833565799467E-3</v>
      </c>
      <c r="K1181" s="41">
        <v>0</v>
      </c>
      <c r="L1181" s="41">
        <v>55</v>
      </c>
      <c r="M1181" s="41">
        <v>-1</v>
      </c>
      <c r="N1181" s="41">
        <v>4</v>
      </c>
      <c r="O1181" s="111" t="s">
        <v>1706</v>
      </c>
      <c r="P1181" s="109">
        <v>192700</v>
      </c>
      <c r="Q1181" s="41"/>
      <c r="R1181" s="111"/>
      <c r="S1181" s="110" t="s">
        <v>1850</v>
      </c>
    </row>
    <row r="1182" spans="1:19">
      <c r="A1182" s="105">
        <v>1181</v>
      </c>
      <c r="B1182" s="41">
        <v>12000000</v>
      </c>
      <c r="C1182" s="41">
        <v>4.1999999999999997E-3</v>
      </c>
      <c r="D1182" s="41">
        <v>7.3360000000000003</v>
      </c>
      <c r="E1182" s="41">
        <v>30</v>
      </c>
      <c r="F1182" s="41">
        <v>0</v>
      </c>
      <c r="G1182" s="41" t="s">
        <v>103</v>
      </c>
      <c r="H1182" s="41">
        <v>2</v>
      </c>
      <c r="I1182" s="41">
        <v>1</v>
      </c>
      <c r="J1182" s="108">
        <f>POWER(POWER(Table2[[#This Row],[mv]],4)/10,0.25)</f>
        <v>2.361833565799467E-3</v>
      </c>
      <c r="K1182" s="41">
        <v>0</v>
      </c>
      <c r="L1182" s="41">
        <v>55</v>
      </c>
      <c r="M1182" s="41">
        <v>-1</v>
      </c>
      <c r="N1182" s="41">
        <v>4</v>
      </c>
      <c r="O1182" s="111" t="s">
        <v>1707</v>
      </c>
      <c r="P1182" s="109">
        <v>192700</v>
      </c>
      <c r="Q1182" s="41"/>
      <c r="R1182" s="111"/>
      <c r="S1182" s="110" t="s">
        <v>1851</v>
      </c>
    </row>
    <row r="1183" spans="1:19">
      <c r="A1183" s="105">
        <v>1182</v>
      </c>
      <c r="B1183" s="41">
        <v>12000000</v>
      </c>
      <c r="C1183" s="41">
        <v>4.1999999999999997E-3</v>
      </c>
      <c r="D1183" s="41">
        <v>8</v>
      </c>
      <c r="E1183" s="41">
        <v>30</v>
      </c>
      <c r="F1183" s="41">
        <v>0</v>
      </c>
      <c r="G1183" s="41" t="s">
        <v>103</v>
      </c>
      <c r="H1183" s="41">
        <v>2</v>
      </c>
      <c r="I1183" s="41">
        <v>1</v>
      </c>
      <c r="J1183" s="108">
        <f>POWER(POWER(Table2[[#This Row],[mv]],4)/10,0.25)</f>
        <v>2.361833565799467E-3</v>
      </c>
      <c r="K1183" s="41">
        <v>0</v>
      </c>
      <c r="L1183" s="41">
        <v>55</v>
      </c>
      <c r="M1183" s="41">
        <v>-1</v>
      </c>
      <c r="N1183" s="41">
        <v>4</v>
      </c>
      <c r="O1183" s="111" t="s">
        <v>1708</v>
      </c>
      <c r="P1183" s="109">
        <v>192700</v>
      </c>
      <c r="Q1183" s="41"/>
      <c r="R1183" s="111"/>
      <c r="S1183" s="110" t="s">
        <v>1852</v>
      </c>
    </row>
    <row r="1184" spans="1:19">
      <c r="A1184" s="105">
        <v>1183</v>
      </c>
      <c r="B1184" s="41">
        <v>12000000</v>
      </c>
      <c r="C1184" s="41">
        <v>4.1999999999999997E-3</v>
      </c>
      <c r="D1184" s="41">
        <v>8.7241</v>
      </c>
      <c r="E1184" s="41">
        <v>30</v>
      </c>
      <c r="F1184" s="41">
        <v>0</v>
      </c>
      <c r="G1184" s="41" t="s">
        <v>103</v>
      </c>
      <c r="H1184" s="41">
        <v>2</v>
      </c>
      <c r="I1184" s="41">
        <v>1</v>
      </c>
      <c r="J1184" s="108">
        <f>POWER(POWER(Table2[[#This Row],[mv]],4)/10,0.25)</f>
        <v>2.361833565799467E-3</v>
      </c>
      <c r="K1184" s="41">
        <v>0</v>
      </c>
      <c r="L1184" s="41">
        <v>55</v>
      </c>
      <c r="M1184" s="41">
        <v>-1</v>
      </c>
      <c r="N1184" s="41">
        <v>4</v>
      </c>
      <c r="O1184" s="111" t="s">
        <v>1709</v>
      </c>
      <c r="P1184" s="109">
        <v>192700</v>
      </c>
      <c r="Q1184" s="41"/>
      <c r="R1184" s="111"/>
      <c r="S1184" s="110" t="s">
        <v>1853</v>
      </c>
    </row>
    <row r="1185" spans="1:19">
      <c r="A1185" s="105">
        <v>1184</v>
      </c>
      <c r="B1185" s="41">
        <v>12000000</v>
      </c>
      <c r="C1185" s="41">
        <v>4.1999999999999997E-3</v>
      </c>
      <c r="D1185" s="41">
        <v>9.5137</v>
      </c>
      <c r="E1185" s="41">
        <v>30</v>
      </c>
      <c r="F1185" s="41">
        <v>0</v>
      </c>
      <c r="G1185" s="41" t="s">
        <v>103</v>
      </c>
      <c r="H1185" s="41">
        <v>2</v>
      </c>
      <c r="I1185" s="41">
        <v>1</v>
      </c>
      <c r="J1185" s="108">
        <f>POWER(POWER(Table2[[#This Row],[mv]],4)/10,0.25)</f>
        <v>2.361833565799467E-3</v>
      </c>
      <c r="K1185" s="41">
        <v>0</v>
      </c>
      <c r="L1185" s="41">
        <v>55</v>
      </c>
      <c r="M1185" s="41">
        <v>-1</v>
      </c>
      <c r="N1185" s="41">
        <v>4</v>
      </c>
      <c r="O1185" s="111" t="s">
        <v>1710</v>
      </c>
      <c r="P1185" s="109">
        <v>192700</v>
      </c>
      <c r="Q1185" s="41"/>
      <c r="R1185" s="111"/>
      <c r="S1185" s="110" t="s">
        <v>1854</v>
      </c>
    </row>
    <row r="1186" spans="1:19">
      <c r="A1186" s="105">
        <v>1185</v>
      </c>
      <c r="B1186" s="41">
        <v>12000000</v>
      </c>
      <c r="C1186" s="41">
        <v>4.1999999999999997E-3</v>
      </c>
      <c r="D1186" s="41">
        <v>10.374700000000001</v>
      </c>
      <c r="E1186" s="41">
        <v>30</v>
      </c>
      <c r="F1186" s="41">
        <v>0</v>
      </c>
      <c r="G1186" s="41" t="s">
        <v>103</v>
      </c>
      <c r="H1186" s="41">
        <v>2</v>
      </c>
      <c r="I1186" s="41">
        <v>1</v>
      </c>
      <c r="J1186" s="108">
        <f>POWER(POWER(Table2[[#This Row],[mv]],4)/10,0.25)</f>
        <v>2.361833565799467E-3</v>
      </c>
      <c r="K1186" s="41">
        <v>0</v>
      </c>
      <c r="L1186" s="41">
        <v>55</v>
      </c>
      <c r="M1186" s="41">
        <v>-1</v>
      </c>
      <c r="N1186" s="41">
        <v>4</v>
      </c>
      <c r="O1186" s="111" t="s">
        <v>1711</v>
      </c>
      <c r="P1186" s="109">
        <v>192700</v>
      </c>
      <c r="Q1186" s="41"/>
      <c r="R1186" s="111"/>
      <c r="S1186" s="110" t="s">
        <v>1855</v>
      </c>
    </row>
    <row r="1187" spans="1:19">
      <c r="A1187" s="105">
        <v>1186</v>
      </c>
      <c r="B1187" s="41">
        <v>12000000</v>
      </c>
      <c r="C1187" s="41">
        <v>4.1999999999999997E-3</v>
      </c>
      <c r="D1187" s="41">
        <v>11.313700000000001</v>
      </c>
      <c r="E1187" s="41">
        <v>30</v>
      </c>
      <c r="F1187" s="41">
        <v>0</v>
      </c>
      <c r="G1187" s="41" t="s">
        <v>103</v>
      </c>
      <c r="H1187" s="41">
        <v>2</v>
      </c>
      <c r="I1187" s="41">
        <v>1</v>
      </c>
      <c r="J1187" s="108">
        <f>POWER(POWER(Table2[[#This Row],[mv]],4)/10,0.25)</f>
        <v>2.361833565799467E-3</v>
      </c>
      <c r="K1187" s="41">
        <v>0</v>
      </c>
      <c r="L1187" s="41">
        <v>55</v>
      </c>
      <c r="M1187" s="41">
        <v>-1</v>
      </c>
      <c r="N1187" s="41">
        <v>4</v>
      </c>
      <c r="O1187" s="111" t="s">
        <v>1712</v>
      </c>
      <c r="P1187" s="109">
        <v>192700</v>
      </c>
      <c r="Q1187" s="41"/>
      <c r="R1187" s="111"/>
      <c r="S1187" s="110" t="s">
        <v>1856</v>
      </c>
    </row>
    <row r="1188" spans="1:19">
      <c r="A1188" s="105">
        <v>1187</v>
      </c>
      <c r="B1188" s="41">
        <v>12000000</v>
      </c>
      <c r="C1188" s="41">
        <v>4.1999999999999997E-3</v>
      </c>
      <c r="D1188" s="41">
        <v>12.3377</v>
      </c>
      <c r="E1188" s="41">
        <v>30</v>
      </c>
      <c r="F1188" s="41">
        <v>0</v>
      </c>
      <c r="G1188" s="41" t="s">
        <v>103</v>
      </c>
      <c r="H1188" s="41">
        <v>2</v>
      </c>
      <c r="I1188" s="41">
        <v>1</v>
      </c>
      <c r="J1188" s="108">
        <f>POWER(POWER(Table2[[#This Row],[mv]],4)/10,0.25)</f>
        <v>2.361833565799467E-3</v>
      </c>
      <c r="K1188" s="41">
        <v>0</v>
      </c>
      <c r="L1188" s="41">
        <v>55</v>
      </c>
      <c r="M1188" s="41">
        <v>-1</v>
      </c>
      <c r="N1188" s="41">
        <v>4</v>
      </c>
      <c r="O1188" s="111" t="s">
        <v>1713</v>
      </c>
      <c r="P1188" s="109">
        <v>192700</v>
      </c>
      <c r="Q1188" s="41"/>
      <c r="R1188" s="111"/>
      <c r="S1188" s="110" t="s">
        <v>1857</v>
      </c>
    </row>
    <row r="1189" spans="1:19">
      <c r="A1189" s="105">
        <v>1188</v>
      </c>
      <c r="B1189" s="41">
        <v>12000000</v>
      </c>
      <c r="C1189" s="41">
        <v>4.1999999999999997E-3</v>
      </c>
      <c r="D1189" s="41">
        <v>13.4543</v>
      </c>
      <c r="E1189" s="41">
        <v>30</v>
      </c>
      <c r="F1189" s="41">
        <v>0</v>
      </c>
      <c r="G1189" s="41" t="s">
        <v>103</v>
      </c>
      <c r="H1189" s="41">
        <v>2</v>
      </c>
      <c r="I1189" s="41">
        <v>1</v>
      </c>
      <c r="J1189" s="108">
        <f>POWER(POWER(Table2[[#This Row],[mv]],4)/10,0.25)</f>
        <v>2.361833565799467E-3</v>
      </c>
      <c r="K1189" s="41">
        <v>0</v>
      </c>
      <c r="L1189" s="41">
        <v>55</v>
      </c>
      <c r="M1189" s="41">
        <v>-1</v>
      </c>
      <c r="N1189" s="41">
        <v>4</v>
      </c>
      <c r="O1189" s="111" t="s">
        <v>1714</v>
      </c>
      <c r="P1189" s="109">
        <v>192700</v>
      </c>
      <c r="Q1189" s="41"/>
      <c r="R1189" s="111"/>
      <c r="S1189" s="110" t="s">
        <v>1858</v>
      </c>
    </row>
    <row r="1190" spans="1:19">
      <c r="A1190" s="105">
        <v>1189</v>
      </c>
      <c r="B1190" s="41">
        <v>12000000</v>
      </c>
      <c r="C1190" s="41">
        <v>4.1999999999999997E-3</v>
      </c>
      <c r="D1190" s="41">
        <v>14.6721</v>
      </c>
      <c r="E1190" s="41">
        <v>30</v>
      </c>
      <c r="F1190" s="41">
        <v>0</v>
      </c>
      <c r="G1190" s="41" t="s">
        <v>103</v>
      </c>
      <c r="H1190" s="41">
        <v>2</v>
      </c>
      <c r="I1190" s="41">
        <v>1</v>
      </c>
      <c r="J1190" s="108">
        <f>POWER(POWER(Table2[[#This Row],[mv]],4)/10,0.25)</f>
        <v>2.361833565799467E-3</v>
      </c>
      <c r="K1190" s="41">
        <v>0</v>
      </c>
      <c r="L1190" s="41">
        <v>55</v>
      </c>
      <c r="M1190" s="41">
        <v>-1</v>
      </c>
      <c r="N1190" s="41">
        <v>4</v>
      </c>
      <c r="O1190" s="111" t="s">
        <v>1715</v>
      </c>
      <c r="P1190" s="109">
        <v>192700</v>
      </c>
      <c r="Q1190" s="41"/>
      <c r="R1190" s="111"/>
      <c r="S1190" s="110" t="s">
        <v>1859</v>
      </c>
    </row>
    <row r="1191" spans="1:19">
      <c r="A1191" s="105">
        <v>1190</v>
      </c>
      <c r="B1191" s="41">
        <v>12000000</v>
      </c>
      <c r="C1191" s="41">
        <v>4.1999999999999997E-3</v>
      </c>
      <c r="D1191" s="41">
        <v>16</v>
      </c>
      <c r="E1191" s="41">
        <v>30</v>
      </c>
      <c r="F1191" s="41">
        <v>0</v>
      </c>
      <c r="G1191" s="41" t="s">
        <v>103</v>
      </c>
      <c r="H1191" s="41">
        <v>2</v>
      </c>
      <c r="I1191" s="41">
        <v>1</v>
      </c>
      <c r="J1191" s="108">
        <f>POWER(POWER(Table2[[#This Row],[mv]],4)/10,0.25)</f>
        <v>2.361833565799467E-3</v>
      </c>
      <c r="K1191" s="41">
        <v>0</v>
      </c>
      <c r="L1191" s="41">
        <v>55</v>
      </c>
      <c r="M1191" s="41">
        <v>-1</v>
      </c>
      <c r="N1191" s="41">
        <v>4</v>
      </c>
      <c r="O1191" s="111" t="s">
        <v>1716</v>
      </c>
      <c r="P1191" s="109">
        <v>192700</v>
      </c>
      <c r="Q1191" s="41"/>
      <c r="R1191" s="111"/>
      <c r="S1191" s="110" t="s">
        <v>1860</v>
      </c>
    </row>
    <row r="1192" spans="1:19">
      <c r="A1192" s="105">
        <v>1191</v>
      </c>
      <c r="B1192" s="41">
        <v>12000000</v>
      </c>
      <c r="C1192" s="41">
        <v>4.1999999999999997E-3</v>
      </c>
      <c r="D1192" s="41">
        <v>17.4481</v>
      </c>
      <c r="E1192" s="41">
        <v>30</v>
      </c>
      <c r="F1192" s="41">
        <v>0</v>
      </c>
      <c r="G1192" s="41" t="s">
        <v>103</v>
      </c>
      <c r="H1192" s="41">
        <v>2</v>
      </c>
      <c r="I1192" s="41">
        <v>1</v>
      </c>
      <c r="J1192" s="108">
        <f>POWER(POWER(Table2[[#This Row],[mv]],4)/10,0.25)</f>
        <v>2.361833565799467E-3</v>
      </c>
      <c r="K1192" s="41">
        <v>0</v>
      </c>
      <c r="L1192" s="41">
        <v>55</v>
      </c>
      <c r="M1192" s="41">
        <v>-1</v>
      </c>
      <c r="N1192" s="41">
        <v>4</v>
      </c>
      <c r="O1192" s="111" t="s">
        <v>1717</v>
      </c>
      <c r="P1192" s="109">
        <v>192700</v>
      </c>
      <c r="Q1192" s="41"/>
      <c r="R1192" s="111"/>
      <c r="S1192" s="110" t="s">
        <v>1861</v>
      </c>
    </row>
    <row r="1193" spans="1:19">
      <c r="A1193" s="105">
        <v>1192</v>
      </c>
      <c r="B1193" s="41">
        <v>12000000</v>
      </c>
      <c r="C1193" s="41">
        <v>4.1999999999999997E-3</v>
      </c>
      <c r="D1193" s="41">
        <v>19.0273</v>
      </c>
      <c r="E1193" s="41">
        <v>30</v>
      </c>
      <c r="F1193" s="41">
        <v>0</v>
      </c>
      <c r="G1193" s="41" t="s">
        <v>103</v>
      </c>
      <c r="H1193" s="41">
        <v>2</v>
      </c>
      <c r="I1193" s="41">
        <v>1</v>
      </c>
      <c r="J1193" s="108">
        <f>POWER(POWER(Table2[[#This Row],[mv]],4)/10,0.25)</f>
        <v>2.361833565799467E-3</v>
      </c>
      <c r="K1193" s="41">
        <v>0</v>
      </c>
      <c r="L1193" s="41">
        <v>55</v>
      </c>
      <c r="M1193" s="41">
        <v>-1</v>
      </c>
      <c r="N1193" s="41">
        <v>4</v>
      </c>
      <c r="O1193" s="111" t="s">
        <v>1718</v>
      </c>
      <c r="P1193" s="109">
        <v>192700</v>
      </c>
      <c r="Q1193" s="41"/>
      <c r="R1193" s="111"/>
      <c r="S1193" s="110" t="s">
        <v>1862</v>
      </c>
    </row>
    <row r="1194" spans="1:19">
      <c r="A1194" s="105">
        <v>1193</v>
      </c>
      <c r="B1194" s="41">
        <v>12000000</v>
      </c>
      <c r="C1194" s="41">
        <v>4.4999999999999997E-3</v>
      </c>
      <c r="D1194" s="41">
        <v>6.7271999999999998</v>
      </c>
      <c r="E1194" s="41">
        <v>30</v>
      </c>
      <c r="F1194" s="41">
        <v>0</v>
      </c>
      <c r="G1194" s="41" t="s">
        <v>103</v>
      </c>
      <c r="H1194" s="41">
        <v>2</v>
      </c>
      <c r="I1194" s="41">
        <v>1</v>
      </c>
      <c r="J1194" s="108">
        <f>POWER(POWER(Table2[[#This Row],[mv]],4)/10,0.25)</f>
        <v>2.5305359633565699E-3</v>
      </c>
      <c r="K1194" s="41">
        <v>0</v>
      </c>
      <c r="L1194" s="41">
        <v>55</v>
      </c>
      <c r="M1194" s="41">
        <v>-1</v>
      </c>
      <c r="N1194" s="41">
        <v>4</v>
      </c>
      <c r="O1194" s="111" t="s">
        <v>1719</v>
      </c>
      <c r="P1194" s="109">
        <v>192700</v>
      </c>
      <c r="Q1194" s="41"/>
      <c r="R1194" s="111"/>
      <c r="S1194" s="110" t="s">
        <v>1863</v>
      </c>
    </row>
    <row r="1195" spans="1:19">
      <c r="A1195" s="105">
        <v>1194</v>
      </c>
      <c r="B1195" s="41">
        <v>12000000</v>
      </c>
      <c r="C1195" s="41">
        <v>4.4999999999999997E-3</v>
      </c>
      <c r="D1195" s="41">
        <v>7.3360000000000003</v>
      </c>
      <c r="E1195" s="41">
        <v>30</v>
      </c>
      <c r="F1195" s="41">
        <v>0</v>
      </c>
      <c r="G1195" s="41" t="s">
        <v>103</v>
      </c>
      <c r="H1195" s="41">
        <v>2</v>
      </c>
      <c r="I1195" s="41">
        <v>1</v>
      </c>
      <c r="J1195" s="108">
        <f>POWER(POWER(Table2[[#This Row],[mv]],4)/10,0.25)</f>
        <v>2.5305359633565699E-3</v>
      </c>
      <c r="K1195" s="41">
        <v>0</v>
      </c>
      <c r="L1195" s="41">
        <v>55</v>
      </c>
      <c r="M1195" s="41">
        <v>-1</v>
      </c>
      <c r="N1195" s="41">
        <v>4</v>
      </c>
      <c r="O1195" s="111" t="s">
        <v>1720</v>
      </c>
      <c r="P1195" s="109">
        <v>192700</v>
      </c>
      <c r="Q1195" s="41"/>
      <c r="R1195" s="111"/>
      <c r="S1195" s="110" t="s">
        <v>1864</v>
      </c>
    </row>
    <row r="1196" spans="1:19">
      <c r="A1196" s="105">
        <v>1195</v>
      </c>
      <c r="B1196" s="41">
        <v>12000000</v>
      </c>
      <c r="C1196" s="41">
        <v>4.4999999999999997E-3</v>
      </c>
      <c r="D1196" s="41">
        <v>8</v>
      </c>
      <c r="E1196" s="41">
        <v>30</v>
      </c>
      <c r="F1196" s="41">
        <v>0</v>
      </c>
      <c r="G1196" s="41" t="s">
        <v>103</v>
      </c>
      <c r="H1196" s="41">
        <v>2</v>
      </c>
      <c r="I1196" s="41">
        <v>1</v>
      </c>
      <c r="J1196" s="108">
        <f>POWER(POWER(Table2[[#This Row],[mv]],4)/10,0.25)</f>
        <v>2.5305359633565699E-3</v>
      </c>
      <c r="K1196" s="41">
        <v>0</v>
      </c>
      <c r="L1196" s="41">
        <v>55</v>
      </c>
      <c r="M1196" s="41">
        <v>-1</v>
      </c>
      <c r="N1196" s="41">
        <v>4</v>
      </c>
      <c r="O1196" s="111" t="s">
        <v>1721</v>
      </c>
      <c r="P1196" s="109">
        <v>192701</v>
      </c>
      <c r="Q1196" s="41"/>
      <c r="R1196" s="111"/>
      <c r="S1196" s="110" t="s">
        <v>1865</v>
      </c>
    </row>
    <row r="1197" spans="1:19">
      <c r="A1197" s="105">
        <v>1196</v>
      </c>
      <c r="B1197" s="41">
        <v>12000000</v>
      </c>
      <c r="C1197" s="41">
        <v>4.4999999999999997E-3</v>
      </c>
      <c r="D1197" s="41">
        <v>8.7241</v>
      </c>
      <c r="E1197" s="41">
        <v>30</v>
      </c>
      <c r="F1197" s="41">
        <v>0</v>
      </c>
      <c r="G1197" s="41" t="s">
        <v>103</v>
      </c>
      <c r="H1197" s="41">
        <v>2</v>
      </c>
      <c r="I1197" s="41">
        <v>1</v>
      </c>
      <c r="J1197" s="108">
        <f>POWER(POWER(Table2[[#This Row],[mv]],4)/10,0.25)</f>
        <v>2.5305359633565699E-3</v>
      </c>
      <c r="K1197" s="41">
        <v>0</v>
      </c>
      <c r="L1197" s="41">
        <v>55</v>
      </c>
      <c r="M1197" s="41">
        <v>-1</v>
      </c>
      <c r="N1197" s="41">
        <v>4</v>
      </c>
      <c r="O1197" s="111" t="s">
        <v>1722</v>
      </c>
      <c r="P1197" s="109">
        <v>192701</v>
      </c>
      <c r="Q1197" s="41"/>
      <c r="R1197" s="111"/>
      <c r="S1197" s="110" t="s">
        <v>1866</v>
      </c>
    </row>
    <row r="1198" spans="1:19">
      <c r="A1198" s="105">
        <v>1197</v>
      </c>
      <c r="B1198" s="41">
        <v>12000000</v>
      </c>
      <c r="C1198" s="41">
        <v>4.4999999999999997E-3</v>
      </c>
      <c r="D1198" s="41">
        <v>9.5137</v>
      </c>
      <c r="E1198" s="41">
        <v>30</v>
      </c>
      <c r="F1198" s="41">
        <v>0</v>
      </c>
      <c r="G1198" s="41" t="s">
        <v>103</v>
      </c>
      <c r="H1198" s="41">
        <v>2</v>
      </c>
      <c r="I1198" s="41">
        <v>1</v>
      </c>
      <c r="J1198" s="108">
        <f>POWER(POWER(Table2[[#This Row],[mv]],4)/10,0.25)</f>
        <v>2.5305359633565699E-3</v>
      </c>
      <c r="K1198" s="41">
        <v>0</v>
      </c>
      <c r="L1198" s="41">
        <v>55</v>
      </c>
      <c r="M1198" s="41">
        <v>-1</v>
      </c>
      <c r="N1198" s="41">
        <v>4</v>
      </c>
      <c r="O1198" s="111" t="s">
        <v>1723</v>
      </c>
      <c r="P1198" s="109">
        <v>192701</v>
      </c>
      <c r="Q1198" s="41"/>
      <c r="R1198" s="111"/>
      <c r="S1198" s="110" t="s">
        <v>1867</v>
      </c>
    </row>
    <row r="1199" spans="1:19">
      <c r="A1199" s="105">
        <v>1198</v>
      </c>
      <c r="B1199" s="41">
        <v>12000000</v>
      </c>
      <c r="C1199" s="41">
        <v>4.4999999999999997E-3</v>
      </c>
      <c r="D1199" s="41">
        <v>10.374700000000001</v>
      </c>
      <c r="E1199" s="41">
        <v>30</v>
      </c>
      <c r="F1199" s="41">
        <v>0</v>
      </c>
      <c r="G1199" s="41" t="s">
        <v>103</v>
      </c>
      <c r="H1199" s="41">
        <v>2</v>
      </c>
      <c r="I1199" s="41">
        <v>1</v>
      </c>
      <c r="J1199" s="108">
        <f>POWER(POWER(Table2[[#This Row],[mv]],4)/10,0.25)</f>
        <v>2.5305359633565699E-3</v>
      </c>
      <c r="K1199" s="41">
        <v>0</v>
      </c>
      <c r="L1199" s="41">
        <v>55</v>
      </c>
      <c r="M1199" s="41">
        <v>-1</v>
      </c>
      <c r="N1199" s="41">
        <v>4</v>
      </c>
      <c r="O1199" s="111" t="s">
        <v>1724</v>
      </c>
      <c r="P1199" s="109">
        <v>192701</v>
      </c>
      <c r="Q1199" s="41"/>
      <c r="R1199" s="111"/>
      <c r="S1199" s="110" t="s">
        <v>1868</v>
      </c>
    </row>
    <row r="1200" spans="1:19">
      <c r="A1200" s="105">
        <v>1199</v>
      </c>
      <c r="B1200" s="41">
        <v>12000000</v>
      </c>
      <c r="C1200" s="41">
        <v>4.4999999999999997E-3</v>
      </c>
      <c r="D1200" s="41">
        <v>11.313700000000001</v>
      </c>
      <c r="E1200" s="41">
        <v>30</v>
      </c>
      <c r="F1200" s="41">
        <v>0</v>
      </c>
      <c r="G1200" s="41" t="s">
        <v>103</v>
      </c>
      <c r="H1200" s="41">
        <v>2</v>
      </c>
      <c r="I1200" s="41">
        <v>1</v>
      </c>
      <c r="J1200" s="108">
        <f>POWER(POWER(Table2[[#This Row],[mv]],4)/10,0.25)</f>
        <v>2.5305359633565699E-3</v>
      </c>
      <c r="K1200" s="41">
        <v>0</v>
      </c>
      <c r="L1200" s="41">
        <v>55</v>
      </c>
      <c r="M1200" s="41">
        <v>-1</v>
      </c>
      <c r="N1200" s="41">
        <v>4</v>
      </c>
      <c r="O1200" s="111" t="s">
        <v>1725</v>
      </c>
      <c r="P1200" s="109">
        <v>192701</v>
      </c>
      <c r="Q1200" s="41"/>
      <c r="R1200" s="111"/>
      <c r="S1200" s="110" t="s">
        <v>1869</v>
      </c>
    </row>
    <row r="1201" spans="1:19">
      <c r="A1201" s="105">
        <v>1200</v>
      </c>
      <c r="B1201" s="41">
        <v>12000000</v>
      </c>
      <c r="C1201" s="41">
        <v>4.4999999999999997E-3</v>
      </c>
      <c r="D1201" s="41">
        <v>12.3377</v>
      </c>
      <c r="E1201" s="41">
        <v>30</v>
      </c>
      <c r="F1201" s="41">
        <v>0</v>
      </c>
      <c r="G1201" s="41" t="s">
        <v>103</v>
      </c>
      <c r="H1201" s="41">
        <v>2</v>
      </c>
      <c r="I1201" s="41">
        <v>1</v>
      </c>
      <c r="J1201" s="108">
        <f>POWER(POWER(Table2[[#This Row],[mv]],4)/10,0.25)</f>
        <v>2.5305359633565699E-3</v>
      </c>
      <c r="K1201" s="41">
        <v>0</v>
      </c>
      <c r="L1201" s="41">
        <v>55</v>
      </c>
      <c r="M1201" s="41">
        <v>-1</v>
      </c>
      <c r="N1201" s="41">
        <v>4</v>
      </c>
      <c r="O1201" s="111" t="s">
        <v>1726</v>
      </c>
      <c r="P1201" s="109">
        <v>192701</v>
      </c>
      <c r="Q1201" s="41"/>
      <c r="R1201" s="111"/>
      <c r="S1201" s="110" t="s">
        <v>1870</v>
      </c>
    </row>
    <row r="1202" spans="1:19">
      <c r="A1202" s="105">
        <v>1201</v>
      </c>
      <c r="B1202" s="41">
        <v>12000000</v>
      </c>
      <c r="C1202" s="41">
        <v>4.4999999999999997E-3</v>
      </c>
      <c r="D1202" s="41">
        <v>13.4543</v>
      </c>
      <c r="E1202" s="41">
        <v>30</v>
      </c>
      <c r="F1202" s="41">
        <v>0</v>
      </c>
      <c r="G1202" s="41" t="s">
        <v>103</v>
      </c>
      <c r="H1202" s="41">
        <v>2</v>
      </c>
      <c r="I1202" s="41">
        <v>1</v>
      </c>
      <c r="J1202" s="108">
        <f>POWER(POWER(Table2[[#This Row],[mv]],4)/10,0.25)</f>
        <v>2.5305359633565699E-3</v>
      </c>
      <c r="K1202" s="41">
        <v>0</v>
      </c>
      <c r="L1202" s="41">
        <v>55</v>
      </c>
      <c r="M1202" s="41">
        <v>-1</v>
      </c>
      <c r="N1202" s="41">
        <v>4</v>
      </c>
      <c r="O1202" s="111" t="s">
        <v>1727</v>
      </c>
      <c r="P1202" s="109">
        <v>192701</v>
      </c>
      <c r="Q1202" s="41"/>
      <c r="R1202" s="111"/>
      <c r="S1202" s="110" t="s">
        <v>1871</v>
      </c>
    </row>
    <row r="1203" spans="1:19">
      <c r="A1203" s="105">
        <v>1202</v>
      </c>
      <c r="B1203" s="41">
        <v>12000000</v>
      </c>
      <c r="C1203" s="41">
        <v>4.4999999999999997E-3</v>
      </c>
      <c r="D1203" s="41">
        <v>14.6721</v>
      </c>
      <c r="E1203" s="41">
        <v>30</v>
      </c>
      <c r="F1203" s="41">
        <v>0</v>
      </c>
      <c r="G1203" s="41" t="s">
        <v>103</v>
      </c>
      <c r="H1203" s="41">
        <v>2</v>
      </c>
      <c r="I1203" s="41">
        <v>1</v>
      </c>
      <c r="J1203" s="108">
        <f>POWER(POWER(Table2[[#This Row],[mv]],4)/10,0.25)</f>
        <v>2.5305359633565699E-3</v>
      </c>
      <c r="K1203" s="41">
        <v>0</v>
      </c>
      <c r="L1203" s="41">
        <v>55</v>
      </c>
      <c r="M1203" s="41">
        <v>-1</v>
      </c>
      <c r="N1203" s="41">
        <v>4</v>
      </c>
      <c r="O1203" s="111" t="s">
        <v>1728</v>
      </c>
      <c r="P1203" s="109">
        <v>192701</v>
      </c>
      <c r="Q1203" s="41"/>
      <c r="R1203" s="111"/>
      <c r="S1203" s="110" t="s">
        <v>1872</v>
      </c>
    </row>
    <row r="1204" spans="1:19">
      <c r="A1204" s="105">
        <v>1203</v>
      </c>
      <c r="B1204" s="41">
        <v>12000000</v>
      </c>
      <c r="C1204" s="41">
        <v>4.4999999999999997E-3</v>
      </c>
      <c r="D1204" s="41">
        <v>16</v>
      </c>
      <c r="E1204" s="41">
        <v>30</v>
      </c>
      <c r="F1204" s="41">
        <v>0</v>
      </c>
      <c r="G1204" s="41" t="s">
        <v>103</v>
      </c>
      <c r="H1204" s="41">
        <v>2</v>
      </c>
      <c r="I1204" s="41">
        <v>1</v>
      </c>
      <c r="J1204" s="108">
        <f>POWER(POWER(Table2[[#This Row],[mv]],4)/10,0.25)</f>
        <v>2.5305359633565699E-3</v>
      </c>
      <c r="K1204" s="41">
        <v>0</v>
      </c>
      <c r="L1204" s="41">
        <v>55</v>
      </c>
      <c r="M1204" s="41">
        <v>-1</v>
      </c>
      <c r="N1204" s="41">
        <v>4</v>
      </c>
      <c r="O1204" s="111" t="s">
        <v>1729</v>
      </c>
      <c r="P1204" s="109">
        <v>192701</v>
      </c>
      <c r="Q1204" s="41"/>
      <c r="R1204" s="111"/>
      <c r="S1204" s="110" t="s">
        <v>1873</v>
      </c>
    </row>
    <row r="1205" spans="1:19">
      <c r="A1205" s="105">
        <v>1204</v>
      </c>
      <c r="B1205" s="41">
        <v>12000000</v>
      </c>
      <c r="C1205" s="41">
        <v>4.4999999999999997E-3</v>
      </c>
      <c r="D1205" s="41">
        <v>17.4481</v>
      </c>
      <c r="E1205" s="41">
        <v>30</v>
      </c>
      <c r="F1205" s="41">
        <v>0</v>
      </c>
      <c r="G1205" s="41" t="s">
        <v>103</v>
      </c>
      <c r="H1205" s="41">
        <v>2</v>
      </c>
      <c r="I1205" s="41">
        <v>1</v>
      </c>
      <c r="J1205" s="108">
        <f>POWER(POWER(Table2[[#This Row],[mv]],4)/10,0.25)</f>
        <v>2.5305359633565699E-3</v>
      </c>
      <c r="K1205" s="41">
        <v>0</v>
      </c>
      <c r="L1205" s="41">
        <v>55</v>
      </c>
      <c r="M1205" s="41">
        <v>-1</v>
      </c>
      <c r="N1205" s="41">
        <v>4</v>
      </c>
      <c r="O1205" s="111" t="s">
        <v>1730</v>
      </c>
      <c r="P1205" s="109">
        <v>192701</v>
      </c>
      <c r="Q1205" s="41"/>
      <c r="R1205" s="111"/>
      <c r="S1205" s="110" t="s">
        <v>1874</v>
      </c>
    </row>
    <row r="1206" spans="1:19">
      <c r="A1206" s="105">
        <v>1205</v>
      </c>
      <c r="B1206" s="41">
        <v>12000000</v>
      </c>
      <c r="C1206" s="41">
        <v>4.4999999999999997E-3</v>
      </c>
      <c r="D1206" s="41">
        <v>19.0273</v>
      </c>
      <c r="E1206" s="41">
        <v>30</v>
      </c>
      <c r="F1206" s="41">
        <v>0</v>
      </c>
      <c r="G1206" s="41" t="s">
        <v>103</v>
      </c>
      <c r="H1206" s="41">
        <v>2</v>
      </c>
      <c r="I1206" s="41">
        <v>1</v>
      </c>
      <c r="J1206" s="108">
        <f>POWER(POWER(Table2[[#This Row],[mv]],4)/10,0.25)</f>
        <v>2.5305359633565699E-3</v>
      </c>
      <c r="K1206" s="41">
        <v>0</v>
      </c>
      <c r="L1206" s="41">
        <v>55</v>
      </c>
      <c r="M1206" s="41">
        <v>-1</v>
      </c>
      <c r="N1206" s="41">
        <v>4</v>
      </c>
      <c r="O1206" s="111" t="s">
        <v>1731</v>
      </c>
      <c r="P1206" s="109">
        <v>192701</v>
      </c>
      <c r="Q1206" s="41"/>
      <c r="R1206" s="111"/>
      <c r="S1206" s="110" t="s">
        <v>1875</v>
      </c>
    </row>
    <row r="1207" spans="1:19">
      <c r="A1207" s="105">
        <v>1206</v>
      </c>
      <c r="B1207" s="41">
        <v>12000000</v>
      </c>
      <c r="C1207" s="41">
        <v>4.8999999999999998E-3</v>
      </c>
      <c r="D1207" s="41">
        <v>8</v>
      </c>
      <c r="E1207" s="41">
        <v>30</v>
      </c>
      <c r="F1207" s="41">
        <v>0</v>
      </c>
      <c r="G1207" s="41" t="s">
        <v>103</v>
      </c>
      <c r="H1207" s="41">
        <v>2</v>
      </c>
      <c r="I1207" s="41">
        <v>1</v>
      </c>
      <c r="J1207" s="108">
        <f>POWER(POWER(Table2[[#This Row],[mv]],4)/10,0.25)</f>
        <v>2.7554724934327106E-3</v>
      </c>
      <c r="K1207" s="41">
        <v>0</v>
      </c>
      <c r="L1207" s="41">
        <v>55</v>
      </c>
      <c r="M1207" s="41">
        <v>-1</v>
      </c>
      <c r="N1207" s="41">
        <v>4</v>
      </c>
      <c r="O1207" s="111" t="s">
        <v>1732</v>
      </c>
      <c r="P1207" s="109">
        <v>192701</v>
      </c>
      <c r="Q1207" s="41"/>
      <c r="R1207" s="111"/>
      <c r="S1207" s="110" t="s">
        <v>1876</v>
      </c>
    </row>
    <row r="1208" spans="1:19">
      <c r="A1208" s="105">
        <v>1207</v>
      </c>
      <c r="B1208" s="41">
        <v>12000000</v>
      </c>
      <c r="C1208" s="41">
        <v>4.8999999999999998E-3</v>
      </c>
      <c r="D1208" s="41">
        <v>8.7241</v>
      </c>
      <c r="E1208" s="41">
        <v>30</v>
      </c>
      <c r="F1208" s="41">
        <v>0</v>
      </c>
      <c r="G1208" s="41" t="s">
        <v>103</v>
      </c>
      <c r="H1208" s="41">
        <v>2</v>
      </c>
      <c r="I1208" s="41">
        <v>1</v>
      </c>
      <c r="J1208" s="108">
        <f>POWER(POWER(Table2[[#This Row],[mv]],4)/10,0.25)</f>
        <v>2.7554724934327106E-3</v>
      </c>
      <c r="K1208" s="41">
        <v>0</v>
      </c>
      <c r="L1208" s="41">
        <v>55</v>
      </c>
      <c r="M1208" s="41">
        <v>-1</v>
      </c>
      <c r="N1208" s="41">
        <v>4</v>
      </c>
      <c r="O1208" s="111" t="s">
        <v>1733</v>
      </c>
      <c r="P1208" s="109">
        <v>192701</v>
      </c>
      <c r="Q1208" s="41"/>
      <c r="R1208" s="111"/>
      <c r="S1208" s="110" t="s">
        <v>1877</v>
      </c>
    </row>
    <row r="1209" spans="1:19">
      <c r="A1209" s="105">
        <v>1208</v>
      </c>
      <c r="B1209" s="41">
        <v>12000000</v>
      </c>
      <c r="C1209" s="41">
        <v>4.8999999999999998E-3</v>
      </c>
      <c r="D1209" s="41">
        <v>9.5137</v>
      </c>
      <c r="E1209" s="41">
        <v>30</v>
      </c>
      <c r="F1209" s="41">
        <v>0</v>
      </c>
      <c r="G1209" s="41" t="s">
        <v>103</v>
      </c>
      <c r="H1209" s="41">
        <v>2</v>
      </c>
      <c r="I1209" s="41">
        <v>1</v>
      </c>
      <c r="J1209" s="108">
        <f>POWER(POWER(Table2[[#This Row],[mv]],4)/10,0.25)</f>
        <v>2.7554724934327106E-3</v>
      </c>
      <c r="K1209" s="41">
        <v>0</v>
      </c>
      <c r="L1209" s="41">
        <v>55</v>
      </c>
      <c r="M1209" s="41">
        <v>-1</v>
      </c>
      <c r="N1209" s="41">
        <v>4</v>
      </c>
      <c r="O1209" s="111" t="s">
        <v>1734</v>
      </c>
      <c r="P1209" s="109">
        <v>192701</v>
      </c>
      <c r="Q1209" s="41"/>
      <c r="R1209" s="111"/>
      <c r="S1209" s="110" t="s">
        <v>1878</v>
      </c>
    </row>
    <row r="1210" spans="1:19">
      <c r="A1210" s="105">
        <v>1209</v>
      </c>
      <c r="B1210" s="41">
        <v>12000000</v>
      </c>
      <c r="C1210" s="41">
        <v>4.8999999999999998E-3</v>
      </c>
      <c r="D1210" s="41">
        <v>10.374700000000001</v>
      </c>
      <c r="E1210" s="41">
        <v>30</v>
      </c>
      <c r="F1210" s="41">
        <v>0</v>
      </c>
      <c r="G1210" s="41" t="s">
        <v>103</v>
      </c>
      <c r="H1210" s="41">
        <v>2</v>
      </c>
      <c r="I1210" s="41">
        <v>1</v>
      </c>
      <c r="J1210" s="108">
        <f>POWER(POWER(Table2[[#This Row],[mv]],4)/10,0.25)</f>
        <v>2.7554724934327106E-3</v>
      </c>
      <c r="K1210" s="41">
        <v>0</v>
      </c>
      <c r="L1210" s="41">
        <v>55</v>
      </c>
      <c r="M1210" s="41">
        <v>-1</v>
      </c>
      <c r="N1210" s="41">
        <v>4</v>
      </c>
      <c r="O1210" s="111" t="s">
        <v>1735</v>
      </c>
      <c r="P1210" s="109">
        <v>192701</v>
      </c>
      <c r="Q1210" s="41"/>
      <c r="R1210" s="111"/>
      <c r="S1210" s="110" t="s">
        <v>1879</v>
      </c>
    </row>
    <row r="1211" spans="1:19">
      <c r="A1211" s="105">
        <v>1210</v>
      </c>
      <c r="B1211" s="41">
        <v>12000000</v>
      </c>
      <c r="C1211" s="41">
        <v>4.8999999999999998E-3</v>
      </c>
      <c r="D1211" s="41">
        <v>11.313700000000001</v>
      </c>
      <c r="E1211" s="41">
        <v>30</v>
      </c>
      <c r="F1211" s="41">
        <v>0</v>
      </c>
      <c r="G1211" s="41" t="s">
        <v>103</v>
      </c>
      <c r="H1211" s="41">
        <v>2</v>
      </c>
      <c r="I1211" s="41">
        <v>1</v>
      </c>
      <c r="J1211" s="108">
        <f>POWER(POWER(Table2[[#This Row],[mv]],4)/10,0.25)</f>
        <v>2.7554724934327106E-3</v>
      </c>
      <c r="K1211" s="41">
        <v>0</v>
      </c>
      <c r="L1211" s="41">
        <v>55</v>
      </c>
      <c r="M1211" s="41">
        <v>-1</v>
      </c>
      <c r="N1211" s="41">
        <v>4</v>
      </c>
      <c r="O1211" s="111" t="s">
        <v>1736</v>
      </c>
      <c r="P1211" s="109">
        <v>192701</v>
      </c>
      <c r="Q1211" s="41"/>
      <c r="R1211" s="111"/>
      <c r="S1211" s="110" t="s">
        <v>1880</v>
      </c>
    </row>
    <row r="1212" spans="1:19">
      <c r="A1212" s="105">
        <v>1211</v>
      </c>
      <c r="B1212" s="41">
        <v>12000000</v>
      </c>
      <c r="C1212" s="41">
        <v>4.8999999999999998E-3</v>
      </c>
      <c r="D1212" s="41">
        <v>12.3377</v>
      </c>
      <c r="E1212" s="41">
        <v>30</v>
      </c>
      <c r="F1212" s="41">
        <v>0</v>
      </c>
      <c r="G1212" s="41" t="s">
        <v>103</v>
      </c>
      <c r="H1212" s="41">
        <v>2</v>
      </c>
      <c r="I1212" s="41">
        <v>1</v>
      </c>
      <c r="J1212" s="108">
        <f>POWER(POWER(Table2[[#This Row],[mv]],4)/10,0.25)</f>
        <v>2.7554724934327106E-3</v>
      </c>
      <c r="K1212" s="41">
        <v>0</v>
      </c>
      <c r="L1212" s="41">
        <v>55</v>
      </c>
      <c r="M1212" s="41">
        <v>-1</v>
      </c>
      <c r="N1212" s="41">
        <v>4</v>
      </c>
      <c r="O1212" s="111" t="s">
        <v>1737</v>
      </c>
      <c r="P1212" s="109">
        <v>192701</v>
      </c>
      <c r="Q1212" s="41"/>
      <c r="R1212" s="111"/>
      <c r="S1212" s="110" t="s">
        <v>1881</v>
      </c>
    </row>
    <row r="1213" spans="1:19">
      <c r="A1213" s="105">
        <v>1212</v>
      </c>
      <c r="B1213" s="41">
        <v>12000000</v>
      </c>
      <c r="C1213" s="41">
        <v>4.8999999999999998E-3</v>
      </c>
      <c r="D1213" s="41">
        <v>13.4543</v>
      </c>
      <c r="E1213" s="41">
        <v>30</v>
      </c>
      <c r="F1213" s="41">
        <v>0</v>
      </c>
      <c r="G1213" s="41" t="s">
        <v>103</v>
      </c>
      <c r="H1213" s="41">
        <v>2</v>
      </c>
      <c r="I1213" s="41">
        <v>1</v>
      </c>
      <c r="J1213" s="108">
        <f>POWER(POWER(Table2[[#This Row],[mv]],4)/10,0.25)</f>
        <v>2.7554724934327106E-3</v>
      </c>
      <c r="K1213" s="41">
        <v>0</v>
      </c>
      <c r="L1213" s="41">
        <v>55</v>
      </c>
      <c r="M1213" s="41">
        <v>-1</v>
      </c>
      <c r="N1213" s="41">
        <v>4</v>
      </c>
      <c r="O1213" s="111" t="s">
        <v>1738</v>
      </c>
      <c r="P1213" s="109">
        <v>192701</v>
      </c>
      <c r="Q1213" s="41"/>
      <c r="R1213" s="111"/>
      <c r="S1213" s="110" t="s">
        <v>1882</v>
      </c>
    </row>
    <row r="1214" spans="1:19">
      <c r="A1214" s="105">
        <v>1213</v>
      </c>
      <c r="B1214" s="41">
        <v>12000000</v>
      </c>
      <c r="C1214" s="41">
        <v>4.8999999999999998E-3</v>
      </c>
      <c r="D1214" s="41">
        <v>14.6721</v>
      </c>
      <c r="E1214" s="41">
        <v>30</v>
      </c>
      <c r="F1214" s="41">
        <v>0</v>
      </c>
      <c r="G1214" s="41" t="s">
        <v>103</v>
      </c>
      <c r="H1214" s="41">
        <v>2</v>
      </c>
      <c r="I1214" s="41">
        <v>1</v>
      </c>
      <c r="J1214" s="108">
        <f>POWER(POWER(Table2[[#This Row],[mv]],4)/10,0.25)</f>
        <v>2.7554724934327106E-3</v>
      </c>
      <c r="K1214" s="41">
        <v>0</v>
      </c>
      <c r="L1214" s="41">
        <v>55</v>
      </c>
      <c r="M1214" s="41">
        <v>-1</v>
      </c>
      <c r="N1214" s="41">
        <v>4</v>
      </c>
      <c r="O1214" s="111" t="s">
        <v>1739</v>
      </c>
      <c r="P1214" s="109">
        <v>192701</v>
      </c>
      <c r="Q1214" s="41"/>
      <c r="R1214" s="111"/>
      <c r="S1214" s="110" t="s">
        <v>1883</v>
      </c>
    </row>
    <row r="1215" spans="1:19">
      <c r="A1215" s="105">
        <v>1214</v>
      </c>
      <c r="B1215" s="41">
        <v>12000000</v>
      </c>
      <c r="C1215" s="41">
        <v>4.8999999999999998E-3</v>
      </c>
      <c r="D1215" s="41">
        <v>16</v>
      </c>
      <c r="E1215" s="41">
        <v>30</v>
      </c>
      <c r="F1215" s="41">
        <v>0</v>
      </c>
      <c r="G1215" s="41" t="s">
        <v>103</v>
      </c>
      <c r="H1215" s="41">
        <v>2</v>
      </c>
      <c r="I1215" s="41">
        <v>1</v>
      </c>
      <c r="J1215" s="108">
        <f>POWER(POWER(Table2[[#This Row],[mv]],4)/10,0.25)</f>
        <v>2.7554724934327106E-3</v>
      </c>
      <c r="K1215" s="41">
        <v>0</v>
      </c>
      <c r="L1215" s="41">
        <v>55</v>
      </c>
      <c r="M1215" s="41">
        <v>-1</v>
      </c>
      <c r="N1215" s="41">
        <v>4</v>
      </c>
      <c r="O1215" s="111" t="s">
        <v>1740</v>
      </c>
      <c r="P1215" s="109">
        <v>192701</v>
      </c>
      <c r="Q1215" s="41"/>
      <c r="R1215" s="111"/>
      <c r="S1215" s="110" t="s">
        <v>1884</v>
      </c>
    </row>
    <row r="1216" spans="1:19">
      <c r="A1216" s="105">
        <v>1215</v>
      </c>
      <c r="B1216" s="41">
        <v>12000000</v>
      </c>
      <c r="C1216" s="41">
        <v>4.8999999999999998E-3</v>
      </c>
      <c r="D1216" s="41">
        <v>17.4481</v>
      </c>
      <c r="E1216" s="41">
        <v>30</v>
      </c>
      <c r="F1216" s="41">
        <v>0</v>
      </c>
      <c r="G1216" s="41" t="s">
        <v>103</v>
      </c>
      <c r="H1216" s="41">
        <v>2</v>
      </c>
      <c r="I1216" s="41">
        <v>1</v>
      </c>
      <c r="J1216" s="108">
        <f>POWER(POWER(Table2[[#This Row],[mv]],4)/10,0.25)</f>
        <v>2.7554724934327106E-3</v>
      </c>
      <c r="K1216" s="41">
        <v>0</v>
      </c>
      <c r="L1216" s="41">
        <v>55</v>
      </c>
      <c r="M1216" s="41">
        <v>-1</v>
      </c>
      <c r="N1216" s="41">
        <v>4</v>
      </c>
      <c r="O1216" s="111" t="s">
        <v>1741</v>
      </c>
      <c r="P1216" s="109">
        <v>192702</v>
      </c>
      <c r="Q1216" s="41"/>
      <c r="R1216" s="111"/>
      <c r="S1216" s="110" t="s">
        <v>1885</v>
      </c>
    </row>
    <row r="1217" spans="1:19">
      <c r="A1217" s="105">
        <v>1216</v>
      </c>
      <c r="B1217" s="41">
        <v>12000000</v>
      </c>
      <c r="C1217" s="41">
        <v>4.8999999999999998E-3</v>
      </c>
      <c r="D1217" s="41">
        <v>19.0273</v>
      </c>
      <c r="E1217" s="41">
        <v>30</v>
      </c>
      <c r="F1217" s="41">
        <v>0</v>
      </c>
      <c r="G1217" s="41" t="s">
        <v>103</v>
      </c>
      <c r="H1217" s="41">
        <v>2</v>
      </c>
      <c r="I1217" s="41">
        <v>1</v>
      </c>
      <c r="J1217" s="108">
        <f>POWER(POWER(Table2[[#This Row],[mv]],4)/10,0.25)</f>
        <v>2.7554724934327106E-3</v>
      </c>
      <c r="K1217" s="41">
        <v>0</v>
      </c>
      <c r="L1217" s="41">
        <v>55</v>
      </c>
      <c r="M1217" s="41">
        <v>-1</v>
      </c>
      <c r="N1217" s="41">
        <v>4</v>
      </c>
      <c r="O1217" s="111" t="s">
        <v>1742</v>
      </c>
      <c r="P1217" s="109">
        <v>192702</v>
      </c>
      <c r="Q1217" s="41"/>
      <c r="R1217" s="111"/>
      <c r="S1217" s="110" t="s">
        <v>1886</v>
      </c>
    </row>
    <row r="1218" spans="1:19">
      <c r="A1218" s="105">
        <v>1217</v>
      </c>
      <c r="B1218" s="41">
        <v>12000000</v>
      </c>
      <c r="C1218" s="41">
        <v>5.4000000000000003E-3</v>
      </c>
      <c r="D1218" s="41">
        <v>9.5137</v>
      </c>
      <c r="E1218" s="41">
        <v>30</v>
      </c>
      <c r="F1218" s="41">
        <v>0</v>
      </c>
      <c r="G1218" s="41" t="s">
        <v>103</v>
      </c>
      <c r="H1218" s="41">
        <v>2</v>
      </c>
      <c r="I1218" s="41">
        <v>1</v>
      </c>
      <c r="J1218" s="108">
        <f>POWER(POWER(Table2[[#This Row],[mv]],4)/10,0.25)</f>
        <v>3.0366431560278845E-3</v>
      </c>
      <c r="K1218" s="41">
        <v>0</v>
      </c>
      <c r="L1218" s="41">
        <v>55</v>
      </c>
      <c r="M1218" s="41">
        <v>-1</v>
      </c>
      <c r="N1218" s="41">
        <v>4</v>
      </c>
      <c r="O1218" s="111" t="s">
        <v>1743</v>
      </c>
      <c r="P1218" s="109">
        <v>192702</v>
      </c>
      <c r="Q1218" s="41"/>
      <c r="R1218" s="111"/>
      <c r="S1218" s="110" t="s">
        <v>1887</v>
      </c>
    </row>
    <row r="1219" spans="1:19">
      <c r="A1219" s="105">
        <v>1218</v>
      </c>
      <c r="B1219" s="41">
        <v>12000000</v>
      </c>
      <c r="C1219" s="41">
        <v>5.4000000000000003E-3</v>
      </c>
      <c r="D1219" s="41">
        <v>10.374700000000001</v>
      </c>
      <c r="E1219" s="41">
        <v>30</v>
      </c>
      <c r="F1219" s="41">
        <v>0</v>
      </c>
      <c r="G1219" s="41" t="s">
        <v>103</v>
      </c>
      <c r="H1219" s="41">
        <v>2</v>
      </c>
      <c r="I1219" s="41">
        <v>1</v>
      </c>
      <c r="J1219" s="108">
        <f>POWER(POWER(Table2[[#This Row],[mv]],4)/10,0.25)</f>
        <v>3.0366431560278845E-3</v>
      </c>
      <c r="K1219" s="41">
        <v>0</v>
      </c>
      <c r="L1219" s="41">
        <v>55</v>
      </c>
      <c r="M1219" s="41">
        <v>-1</v>
      </c>
      <c r="N1219" s="41">
        <v>4</v>
      </c>
      <c r="O1219" s="111" t="s">
        <v>1744</v>
      </c>
      <c r="P1219" s="109">
        <v>192702</v>
      </c>
      <c r="Q1219" s="41"/>
      <c r="R1219" s="111"/>
      <c r="S1219" s="110" t="s">
        <v>1888</v>
      </c>
    </row>
    <row r="1220" spans="1:19">
      <c r="A1220" s="105">
        <v>1219</v>
      </c>
      <c r="B1220" s="41">
        <v>12000000</v>
      </c>
      <c r="C1220" s="41">
        <v>5.4000000000000003E-3</v>
      </c>
      <c r="D1220" s="41">
        <v>11.313700000000001</v>
      </c>
      <c r="E1220" s="41">
        <v>30</v>
      </c>
      <c r="F1220" s="41">
        <v>0</v>
      </c>
      <c r="G1220" s="41" t="s">
        <v>103</v>
      </c>
      <c r="H1220" s="41">
        <v>2</v>
      </c>
      <c r="I1220" s="41">
        <v>1</v>
      </c>
      <c r="J1220" s="108">
        <f>POWER(POWER(Table2[[#This Row],[mv]],4)/10,0.25)</f>
        <v>3.0366431560278845E-3</v>
      </c>
      <c r="K1220" s="41">
        <v>0</v>
      </c>
      <c r="L1220" s="41">
        <v>55</v>
      </c>
      <c r="M1220" s="41">
        <v>-1</v>
      </c>
      <c r="N1220" s="41">
        <v>4</v>
      </c>
      <c r="O1220" s="111" t="s">
        <v>1745</v>
      </c>
      <c r="P1220" s="109">
        <v>192702</v>
      </c>
      <c r="Q1220" s="41"/>
      <c r="R1220" s="111"/>
      <c r="S1220" s="110" t="s">
        <v>1889</v>
      </c>
    </row>
    <row r="1221" spans="1:19">
      <c r="A1221" s="105">
        <v>1220</v>
      </c>
      <c r="B1221" s="41">
        <v>12000000</v>
      </c>
      <c r="C1221" s="41">
        <v>5.4000000000000003E-3</v>
      </c>
      <c r="D1221" s="41">
        <v>12.3377</v>
      </c>
      <c r="E1221" s="41">
        <v>30</v>
      </c>
      <c r="F1221" s="41">
        <v>0</v>
      </c>
      <c r="G1221" s="41" t="s">
        <v>103</v>
      </c>
      <c r="H1221" s="41">
        <v>2</v>
      </c>
      <c r="I1221" s="41">
        <v>1</v>
      </c>
      <c r="J1221" s="108">
        <f>POWER(POWER(Table2[[#This Row],[mv]],4)/10,0.25)</f>
        <v>3.0366431560278845E-3</v>
      </c>
      <c r="K1221" s="41">
        <v>0</v>
      </c>
      <c r="L1221" s="41">
        <v>55</v>
      </c>
      <c r="M1221" s="41">
        <v>-1</v>
      </c>
      <c r="N1221" s="41">
        <v>4</v>
      </c>
      <c r="O1221" s="111" t="s">
        <v>1746</v>
      </c>
      <c r="P1221" s="109">
        <v>192702</v>
      </c>
      <c r="Q1221" s="41"/>
      <c r="R1221" s="111"/>
      <c r="S1221" s="110" t="s">
        <v>1890</v>
      </c>
    </row>
    <row r="1222" spans="1:19">
      <c r="A1222" s="105">
        <v>1221</v>
      </c>
      <c r="B1222" s="41">
        <v>12000000</v>
      </c>
      <c r="C1222" s="41">
        <v>5.4000000000000003E-3</v>
      </c>
      <c r="D1222" s="41">
        <v>13.4543</v>
      </c>
      <c r="E1222" s="41">
        <v>30</v>
      </c>
      <c r="F1222" s="41">
        <v>0</v>
      </c>
      <c r="G1222" s="41" t="s">
        <v>103</v>
      </c>
      <c r="H1222" s="41">
        <v>2</v>
      </c>
      <c r="I1222" s="41">
        <v>1</v>
      </c>
      <c r="J1222" s="108">
        <f>POWER(POWER(Table2[[#This Row],[mv]],4)/10,0.25)</f>
        <v>3.0366431560278845E-3</v>
      </c>
      <c r="K1222" s="41">
        <v>0</v>
      </c>
      <c r="L1222" s="41">
        <v>55</v>
      </c>
      <c r="M1222" s="41">
        <v>-1</v>
      </c>
      <c r="N1222" s="41">
        <v>4</v>
      </c>
      <c r="O1222" s="111" t="s">
        <v>1747</v>
      </c>
      <c r="P1222" s="109">
        <v>192702</v>
      </c>
      <c r="Q1222" s="41"/>
      <c r="R1222" s="111"/>
      <c r="S1222" s="110" t="s">
        <v>1891</v>
      </c>
    </row>
    <row r="1223" spans="1:19">
      <c r="A1223" s="105">
        <v>1222</v>
      </c>
      <c r="B1223" s="41">
        <v>12000000</v>
      </c>
      <c r="C1223" s="41">
        <v>5.4000000000000003E-3</v>
      </c>
      <c r="D1223" s="41">
        <v>14.6721</v>
      </c>
      <c r="E1223" s="41">
        <v>30</v>
      </c>
      <c r="F1223" s="41">
        <v>0</v>
      </c>
      <c r="G1223" s="41" t="s">
        <v>103</v>
      </c>
      <c r="H1223" s="41">
        <v>2</v>
      </c>
      <c r="I1223" s="41">
        <v>1</v>
      </c>
      <c r="J1223" s="108">
        <f>POWER(POWER(Table2[[#This Row],[mv]],4)/10,0.25)</f>
        <v>3.0366431560278845E-3</v>
      </c>
      <c r="K1223" s="41">
        <v>0</v>
      </c>
      <c r="L1223" s="41">
        <v>55</v>
      </c>
      <c r="M1223" s="41">
        <v>-1</v>
      </c>
      <c r="N1223" s="41">
        <v>4</v>
      </c>
      <c r="O1223" s="111" t="s">
        <v>1748</v>
      </c>
      <c r="P1223" s="109">
        <v>192702</v>
      </c>
      <c r="Q1223" s="41"/>
      <c r="R1223" s="111"/>
      <c r="S1223" s="110" t="s">
        <v>1892</v>
      </c>
    </row>
    <row r="1224" spans="1:19">
      <c r="A1224" s="105">
        <v>1223</v>
      </c>
      <c r="B1224" s="41">
        <v>12000000</v>
      </c>
      <c r="C1224" s="41">
        <v>5.4000000000000003E-3</v>
      </c>
      <c r="D1224" s="41">
        <v>16</v>
      </c>
      <c r="E1224" s="41">
        <v>30</v>
      </c>
      <c r="F1224" s="41">
        <v>0</v>
      </c>
      <c r="G1224" s="41" t="s">
        <v>103</v>
      </c>
      <c r="H1224" s="41">
        <v>2</v>
      </c>
      <c r="I1224" s="41">
        <v>1</v>
      </c>
      <c r="J1224" s="108">
        <f>POWER(POWER(Table2[[#This Row],[mv]],4)/10,0.25)</f>
        <v>3.0366431560278845E-3</v>
      </c>
      <c r="K1224" s="41">
        <v>0</v>
      </c>
      <c r="L1224" s="41">
        <v>55</v>
      </c>
      <c r="M1224" s="41">
        <v>-1</v>
      </c>
      <c r="N1224" s="41">
        <v>4</v>
      </c>
      <c r="O1224" s="111" t="s">
        <v>1749</v>
      </c>
      <c r="P1224" s="109">
        <v>192702</v>
      </c>
      <c r="Q1224" s="41"/>
      <c r="R1224" s="111"/>
      <c r="S1224" s="110" t="s">
        <v>1893</v>
      </c>
    </row>
    <row r="1225" spans="1:19">
      <c r="A1225" s="105">
        <v>1224</v>
      </c>
      <c r="B1225" s="41">
        <v>12000000</v>
      </c>
      <c r="C1225" s="41">
        <v>5.4000000000000003E-3</v>
      </c>
      <c r="D1225" s="41">
        <v>17.4481</v>
      </c>
      <c r="E1225" s="41">
        <v>30</v>
      </c>
      <c r="F1225" s="41">
        <v>0</v>
      </c>
      <c r="G1225" s="41" t="s">
        <v>103</v>
      </c>
      <c r="H1225" s="41">
        <v>2</v>
      </c>
      <c r="I1225" s="41">
        <v>1</v>
      </c>
      <c r="J1225" s="108">
        <f>POWER(POWER(Table2[[#This Row],[mv]],4)/10,0.25)</f>
        <v>3.0366431560278845E-3</v>
      </c>
      <c r="K1225" s="41">
        <v>0</v>
      </c>
      <c r="L1225" s="41">
        <v>55</v>
      </c>
      <c r="M1225" s="41">
        <v>-1</v>
      </c>
      <c r="N1225" s="41">
        <v>4</v>
      </c>
      <c r="O1225" s="111" t="s">
        <v>1750</v>
      </c>
      <c r="P1225" s="109">
        <v>192702</v>
      </c>
      <c r="Q1225" s="41"/>
      <c r="R1225" s="111"/>
      <c r="S1225" s="110" t="s">
        <v>1894</v>
      </c>
    </row>
    <row r="1226" spans="1:19">
      <c r="A1226" s="105">
        <v>1225</v>
      </c>
      <c r="B1226" s="41">
        <v>12000000</v>
      </c>
      <c r="C1226" s="41">
        <v>5.4000000000000003E-3</v>
      </c>
      <c r="D1226" s="41">
        <v>19.0273</v>
      </c>
      <c r="E1226" s="41">
        <v>30</v>
      </c>
      <c r="F1226" s="41">
        <v>0</v>
      </c>
      <c r="G1226" s="41" t="s">
        <v>103</v>
      </c>
      <c r="H1226" s="41">
        <v>2</v>
      </c>
      <c r="I1226" s="41">
        <v>1</v>
      </c>
      <c r="J1226" s="108">
        <f>POWER(POWER(Table2[[#This Row],[mv]],4)/10,0.25)</f>
        <v>3.0366431560278845E-3</v>
      </c>
      <c r="K1226" s="41">
        <v>0</v>
      </c>
      <c r="L1226" s="41">
        <v>55</v>
      </c>
      <c r="M1226" s="41">
        <v>-1</v>
      </c>
      <c r="N1226" s="41">
        <v>4</v>
      </c>
      <c r="O1226" s="111" t="s">
        <v>1751</v>
      </c>
      <c r="P1226" s="109">
        <v>192702</v>
      </c>
      <c r="Q1226" s="41"/>
      <c r="R1226" s="111"/>
      <c r="S1226" s="110" t="s">
        <v>1895</v>
      </c>
    </row>
    <row r="1227" spans="1:19">
      <c r="A1227" s="105">
        <v>1226</v>
      </c>
      <c r="B1227" s="41">
        <v>12000000</v>
      </c>
      <c r="C1227" s="41">
        <v>5.8999999999999999E-3</v>
      </c>
      <c r="D1227" s="41">
        <v>11.313700000000001</v>
      </c>
      <c r="E1227" s="41">
        <v>30</v>
      </c>
      <c r="F1227" s="41">
        <v>0</v>
      </c>
      <c r="G1227" s="41" t="s">
        <v>103</v>
      </c>
      <c r="H1227" s="41">
        <v>2</v>
      </c>
      <c r="I1227" s="41">
        <v>1</v>
      </c>
      <c r="J1227" s="108">
        <f>POWER(POWER(Table2[[#This Row],[mv]],4)/10,0.25)</f>
        <v>3.3178138186230597E-3</v>
      </c>
      <c r="K1227" s="41">
        <v>0</v>
      </c>
      <c r="L1227" s="41">
        <v>55</v>
      </c>
      <c r="M1227" s="41">
        <v>-1</v>
      </c>
      <c r="N1227" s="41">
        <v>4</v>
      </c>
      <c r="O1227" s="111" t="s">
        <v>1752</v>
      </c>
      <c r="P1227" s="109">
        <v>192702</v>
      </c>
      <c r="Q1227" s="41"/>
      <c r="R1227" s="111"/>
      <c r="S1227" s="110" t="s">
        <v>1896</v>
      </c>
    </row>
    <row r="1228" spans="1:19">
      <c r="A1228" s="105">
        <v>1227</v>
      </c>
      <c r="B1228" s="41">
        <v>12000000</v>
      </c>
      <c r="C1228" s="41">
        <v>5.8999999999999999E-3</v>
      </c>
      <c r="D1228" s="41">
        <v>12.3377</v>
      </c>
      <c r="E1228" s="41">
        <v>30</v>
      </c>
      <c r="F1228" s="41">
        <v>0</v>
      </c>
      <c r="G1228" s="41" t="s">
        <v>103</v>
      </c>
      <c r="H1228" s="41">
        <v>2</v>
      </c>
      <c r="I1228" s="41">
        <v>1</v>
      </c>
      <c r="J1228" s="108">
        <f>POWER(POWER(Table2[[#This Row],[mv]],4)/10,0.25)</f>
        <v>3.3178138186230597E-3</v>
      </c>
      <c r="K1228" s="41">
        <v>0</v>
      </c>
      <c r="L1228" s="41">
        <v>55</v>
      </c>
      <c r="M1228" s="41">
        <v>-1</v>
      </c>
      <c r="N1228" s="41">
        <v>4</v>
      </c>
      <c r="O1228" s="111" t="s">
        <v>1753</v>
      </c>
      <c r="P1228" s="109">
        <v>192702</v>
      </c>
      <c r="Q1228" s="41"/>
      <c r="R1228" s="111"/>
      <c r="S1228" s="110" t="s">
        <v>1897</v>
      </c>
    </row>
    <row r="1229" spans="1:19">
      <c r="A1229" s="105">
        <v>1228</v>
      </c>
      <c r="B1229" s="41">
        <v>12000000</v>
      </c>
      <c r="C1229" s="41">
        <v>5.8999999999999999E-3</v>
      </c>
      <c r="D1229" s="41">
        <v>13.4543</v>
      </c>
      <c r="E1229" s="41">
        <v>30</v>
      </c>
      <c r="F1229" s="41">
        <v>0</v>
      </c>
      <c r="G1229" s="41" t="s">
        <v>103</v>
      </c>
      <c r="H1229" s="41">
        <v>2</v>
      </c>
      <c r="I1229" s="41">
        <v>1</v>
      </c>
      <c r="J1229" s="108">
        <f>POWER(POWER(Table2[[#This Row],[mv]],4)/10,0.25)</f>
        <v>3.3178138186230597E-3</v>
      </c>
      <c r="K1229" s="41">
        <v>0</v>
      </c>
      <c r="L1229" s="41">
        <v>55</v>
      </c>
      <c r="M1229" s="41">
        <v>-1</v>
      </c>
      <c r="N1229" s="41">
        <v>4</v>
      </c>
      <c r="O1229" s="111" t="s">
        <v>1754</v>
      </c>
      <c r="P1229" s="109">
        <v>192702</v>
      </c>
      <c r="Q1229" s="41"/>
      <c r="R1229" s="111"/>
      <c r="S1229" s="110" t="s">
        <v>1898</v>
      </c>
    </row>
    <row r="1230" spans="1:19">
      <c r="A1230" s="105">
        <v>1229</v>
      </c>
      <c r="B1230" s="41">
        <v>12000000</v>
      </c>
      <c r="C1230" s="41">
        <v>5.8999999999999999E-3</v>
      </c>
      <c r="D1230" s="41">
        <v>14.6721</v>
      </c>
      <c r="E1230" s="41">
        <v>30</v>
      </c>
      <c r="F1230" s="41">
        <v>0</v>
      </c>
      <c r="G1230" s="41" t="s">
        <v>103</v>
      </c>
      <c r="H1230" s="41">
        <v>2</v>
      </c>
      <c r="I1230" s="41">
        <v>1</v>
      </c>
      <c r="J1230" s="108">
        <f>POWER(POWER(Table2[[#This Row],[mv]],4)/10,0.25)</f>
        <v>3.3178138186230597E-3</v>
      </c>
      <c r="K1230" s="41">
        <v>0</v>
      </c>
      <c r="L1230" s="41">
        <v>55</v>
      </c>
      <c r="M1230" s="41">
        <v>-1</v>
      </c>
      <c r="N1230" s="41">
        <v>4</v>
      </c>
      <c r="O1230" s="111" t="s">
        <v>1755</v>
      </c>
      <c r="P1230" s="109">
        <v>192702</v>
      </c>
      <c r="Q1230" s="41"/>
      <c r="R1230" s="111"/>
      <c r="S1230" s="110" t="s">
        <v>1899</v>
      </c>
    </row>
    <row r="1231" spans="1:19">
      <c r="A1231" s="105">
        <v>1230</v>
      </c>
      <c r="B1231" s="41">
        <v>12000000</v>
      </c>
      <c r="C1231" s="41">
        <v>5.8999999999999999E-3</v>
      </c>
      <c r="D1231" s="41">
        <v>16</v>
      </c>
      <c r="E1231" s="41">
        <v>30</v>
      </c>
      <c r="F1231" s="41">
        <v>0</v>
      </c>
      <c r="G1231" s="41" t="s">
        <v>103</v>
      </c>
      <c r="H1231" s="41">
        <v>2</v>
      </c>
      <c r="I1231" s="41">
        <v>1</v>
      </c>
      <c r="J1231" s="108">
        <f>POWER(POWER(Table2[[#This Row],[mv]],4)/10,0.25)</f>
        <v>3.3178138186230597E-3</v>
      </c>
      <c r="K1231" s="41">
        <v>0</v>
      </c>
      <c r="L1231" s="41">
        <v>55</v>
      </c>
      <c r="M1231" s="41">
        <v>-1</v>
      </c>
      <c r="N1231" s="41">
        <v>4</v>
      </c>
      <c r="O1231" s="111" t="s">
        <v>1756</v>
      </c>
      <c r="P1231" s="109">
        <v>192702</v>
      </c>
      <c r="Q1231" s="41"/>
      <c r="R1231" s="111"/>
      <c r="S1231" s="110" t="s">
        <v>1900</v>
      </c>
    </row>
    <row r="1232" spans="1:19">
      <c r="A1232" s="105">
        <v>1231</v>
      </c>
      <c r="B1232" s="41">
        <v>12000000</v>
      </c>
      <c r="C1232" s="41">
        <v>5.8999999999999999E-3</v>
      </c>
      <c r="D1232" s="41">
        <v>17.4481</v>
      </c>
      <c r="E1232" s="41">
        <v>30</v>
      </c>
      <c r="F1232" s="41">
        <v>0</v>
      </c>
      <c r="G1232" s="41" t="s">
        <v>103</v>
      </c>
      <c r="H1232" s="41">
        <v>2</v>
      </c>
      <c r="I1232" s="41">
        <v>1</v>
      </c>
      <c r="J1232" s="108">
        <f>POWER(POWER(Table2[[#This Row],[mv]],4)/10,0.25)</f>
        <v>3.3178138186230597E-3</v>
      </c>
      <c r="K1232" s="41">
        <v>0</v>
      </c>
      <c r="L1232" s="41">
        <v>55</v>
      </c>
      <c r="M1232" s="41">
        <v>-1</v>
      </c>
      <c r="N1232" s="41">
        <v>4</v>
      </c>
      <c r="O1232" s="111" t="s">
        <v>1757</v>
      </c>
      <c r="P1232" s="109">
        <v>192702</v>
      </c>
      <c r="Q1232" s="41"/>
      <c r="R1232" s="111"/>
      <c r="S1232" s="110" t="s">
        <v>1901</v>
      </c>
    </row>
    <row r="1233" spans="1:19">
      <c r="A1233" s="105">
        <v>1232</v>
      </c>
      <c r="B1233" s="41">
        <v>12000000</v>
      </c>
      <c r="C1233" s="41">
        <v>5.8999999999999999E-3</v>
      </c>
      <c r="D1233" s="41">
        <v>19.0273</v>
      </c>
      <c r="E1233" s="41">
        <v>30</v>
      </c>
      <c r="F1233" s="41">
        <v>0</v>
      </c>
      <c r="G1233" s="41" t="s">
        <v>103</v>
      </c>
      <c r="H1233" s="41">
        <v>2</v>
      </c>
      <c r="I1233" s="41">
        <v>1</v>
      </c>
      <c r="J1233" s="108">
        <f>POWER(POWER(Table2[[#This Row],[mv]],4)/10,0.25)</f>
        <v>3.3178138186230597E-3</v>
      </c>
      <c r="K1233" s="41">
        <v>0</v>
      </c>
      <c r="L1233" s="41">
        <v>55</v>
      </c>
      <c r="M1233" s="41">
        <v>-1</v>
      </c>
      <c r="N1233" s="41">
        <v>4</v>
      </c>
      <c r="O1233" s="111" t="s">
        <v>1758</v>
      </c>
      <c r="P1233" s="109">
        <v>192702</v>
      </c>
      <c r="Q1233" s="41"/>
      <c r="R1233" s="111"/>
      <c r="S1233" s="110" t="s">
        <v>1902</v>
      </c>
    </row>
    <row r="1234" spans="1:19">
      <c r="A1234" s="105">
        <v>1233</v>
      </c>
      <c r="B1234" s="41">
        <v>12000000</v>
      </c>
      <c r="C1234" s="41">
        <v>6.4000000000000003E-3</v>
      </c>
      <c r="D1234" s="41">
        <v>13.4543</v>
      </c>
      <c r="E1234" s="41">
        <v>30</v>
      </c>
      <c r="F1234" s="41">
        <v>0</v>
      </c>
      <c r="G1234" s="41" t="s">
        <v>103</v>
      </c>
      <c r="H1234" s="41">
        <v>2</v>
      </c>
      <c r="I1234" s="41">
        <v>1</v>
      </c>
      <c r="J1234" s="108">
        <f>POWER(POWER(Table2[[#This Row],[mv]],4)/10,0.25)</f>
        <v>3.5989844812182349E-3</v>
      </c>
      <c r="K1234" s="41">
        <v>0</v>
      </c>
      <c r="L1234" s="41">
        <v>55</v>
      </c>
      <c r="M1234" s="41">
        <v>-1</v>
      </c>
      <c r="N1234" s="41">
        <v>4</v>
      </c>
      <c r="O1234" s="111" t="s">
        <v>1759</v>
      </c>
      <c r="P1234" s="109">
        <v>192702</v>
      </c>
      <c r="Q1234" s="41"/>
      <c r="R1234" s="111"/>
      <c r="S1234" s="110" t="s">
        <v>1903</v>
      </c>
    </row>
    <row r="1235" spans="1:19">
      <c r="A1235" s="105">
        <v>1234</v>
      </c>
      <c r="B1235" s="41">
        <v>12000000</v>
      </c>
      <c r="C1235" s="41">
        <v>6.4000000000000003E-3</v>
      </c>
      <c r="D1235" s="41">
        <v>14.6721</v>
      </c>
      <c r="E1235" s="41">
        <v>30</v>
      </c>
      <c r="F1235" s="41">
        <v>0</v>
      </c>
      <c r="G1235" s="41" t="s">
        <v>103</v>
      </c>
      <c r="H1235" s="41">
        <v>2</v>
      </c>
      <c r="I1235" s="41">
        <v>1</v>
      </c>
      <c r="J1235" s="108">
        <f>POWER(POWER(Table2[[#This Row],[mv]],4)/10,0.25)</f>
        <v>3.5989844812182349E-3</v>
      </c>
      <c r="K1235" s="41">
        <v>0</v>
      </c>
      <c r="L1235" s="41">
        <v>55</v>
      </c>
      <c r="M1235" s="41">
        <v>-1</v>
      </c>
      <c r="N1235" s="41">
        <v>4</v>
      </c>
      <c r="O1235" s="111" t="s">
        <v>1760</v>
      </c>
      <c r="P1235" s="109">
        <v>192702</v>
      </c>
      <c r="Q1235" s="41"/>
      <c r="R1235" s="111"/>
      <c r="S1235" s="110" t="s">
        <v>1904</v>
      </c>
    </row>
    <row r="1236" spans="1:19">
      <c r="A1236" s="105">
        <v>1235</v>
      </c>
      <c r="B1236" s="41">
        <v>12000000</v>
      </c>
      <c r="C1236" s="41">
        <v>6.4000000000000003E-3</v>
      </c>
      <c r="D1236" s="41">
        <v>16</v>
      </c>
      <c r="E1236" s="41">
        <v>30</v>
      </c>
      <c r="F1236" s="41">
        <v>0</v>
      </c>
      <c r="G1236" s="41" t="s">
        <v>103</v>
      </c>
      <c r="H1236" s="41">
        <v>2</v>
      </c>
      <c r="I1236" s="41">
        <v>1</v>
      </c>
      <c r="J1236" s="108">
        <f>POWER(POWER(Table2[[#This Row],[mv]],4)/10,0.25)</f>
        <v>3.5989844812182349E-3</v>
      </c>
      <c r="K1236" s="41">
        <v>0</v>
      </c>
      <c r="L1236" s="41">
        <v>55</v>
      </c>
      <c r="M1236" s="41">
        <v>-1</v>
      </c>
      <c r="N1236" s="41">
        <v>4</v>
      </c>
      <c r="O1236" s="111" t="s">
        <v>1761</v>
      </c>
      <c r="P1236" s="109">
        <v>192702</v>
      </c>
      <c r="Q1236" s="41"/>
      <c r="R1236" s="111"/>
      <c r="S1236" s="110" t="s">
        <v>1905</v>
      </c>
    </row>
    <row r="1237" spans="1:19">
      <c r="A1237" s="105">
        <v>1236</v>
      </c>
      <c r="B1237" s="41">
        <v>12000000</v>
      </c>
      <c r="C1237" s="41">
        <v>6.4000000000000003E-3</v>
      </c>
      <c r="D1237" s="41">
        <v>17.4481</v>
      </c>
      <c r="E1237" s="41">
        <v>30</v>
      </c>
      <c r="F1237" s="41">
        <v>0</v>
      </c>
      <c r="G1237" s="41" t="s">
        <v>103</v>
      </c>
      <c r="H1237" s="41">
        <v>2</v>
      </c>
      <c r="I1237" s="41">
        <v>1</v>
      </c>
      <c r="J1237" s="108">
        <f>POWER(POWER(Table2[[#This Row],[mv]],4)/10,0.25)</f>
        <v>3.5989844812182349E-3</v>
      </c>
      <c r="K1237" s="41">
        <v>0</v>
      </c>
      <c r="L1237" s="41">
        <v>55</v>
      </c>
      <c r="M1237" s="41">
        <v>-1</v>
      </c>
      <c r="N1237" s="41">
        <v>4</v>
      </c>
      <c r="O1237" s="111" t="s">
        <v>1762</v>
      </c>
      <c r="P1237" s="109">
        <v>192702</v>
      </c>
      <c r="Q1237" s="41"/>
      <c r="R1237" s="111"/>
      <c r="S1237" s="110" t="s">
        <v>1906</v>
      </c>
    </row>
    <row r="1238" spans="1:19">
      <c r="A1238" s="105">
        <v>1237</v>
      </c>
      <c r="B1238" s="41">
        <v>12000000</v>
      </c>
      <c r="C1238" s="41">
        <v>6.4000000000000003E-3</v>
      </c>
      <c r="D1238" s="41">
        <v>19.0273</v>
      </c>
      <c r="E1238" s="41">
        <v>30</v>
      </c>
      <c r="F1238" s="41">
        <v>0</v>
      </c>
      <c r="G1238" s="41" t="s">
        <v>103</v>
      </c>
      <c r="H1238" s="41">
        <v>2</v>
      </c>
      <c r="I1238" s="41">
        <v>1</v>
      </c>
      <c r="J1238" s="108">
        <f>POWER(POWER(Table2[[#This Row],[mv]],4)/10,0.25)</f>
        <v>3.5989844812182349E-3</v>
      </c>
      <c r="K1238" s="41">
        <v>0</v>
      </c>
      <c r="L1238" s="41">
        <v>55</v>
      </c>
      <c r="M1238" s="41">
        <v>-1</v>
      </c>
      <c r="N1238" s="41">
        <v>4</v>
      </c>
      <c r="O1238" s="111" t="s">
        <v>1763</v>
      </c>
      <c r="P1238" s="109">
        <v>192702</v>
      </c>
      <c r="Q1238" s="41"/>
      <c r="R1238" s="111"/>
      <c r="S1238" s="110" t="s">
        <v>1907</v>
      </c>
    </row>
    <row r="1239" spans="1:19">
      <c r="A1239" s="105">
        <v>1238</v>
      </c>
      <c r="B1239" s="41">
        <v>12000000</v>
      </c>
      <c r="C1239" s="41">
        <v>7.0000000000000001E-3</v>
      </c>
      <c r="D1239" s="41">
        <v>16</v>
      </c>
      <c r="E1239" s="41">
        <v>30</v>
      </c>
      <c r="F1239" s="41">
        <v>0</v>
      </c>
      <c r="G1239" s="41" t="s">
        <v>103</v>
      </c>
      <c r="H1239" s="41">
        <v>2</v>
      </c>
      <c r="I1239" s="41">
        <v>1</v>
      </c>
      <c r="J1239" s="108">
        <f>POWER(POWER(Table2[[#This Row],[mv]],4)/10,0.25)</f>
        <v>3.9363892763324441E-3</v>
      </c>
      <c r="K1239" s="41">
        <v>0</v>
      </c>
      <c r="L1239" s="41">
        <v>55</v>
      </c>
      <c r="M1239" s="41">
        <v>-1</v>
      </c>
      <c r="N1239" s="41">
        <v>4</v>
      </c>
      <c r="O1239" s="111" t="s">
        <v>1764</v>
      </c>
      <c r="P1239" s="109">
        <v>192702</v>
      </c>
      <c r="Q1239" s="41"/>
      <c r="R1239" s="111"/>
      <c r="S1239" s="110" t="s">
        <v>1908</v>
      </c>
    </row>
    <row r="1240" spans="1:19">
      <c r="A1240" s="105">
        <v>1239</v>
      </c>
      <c r="B1240" s="41">
        <v>12000000</v>
      </c>
      <c r="C1240" s="41">
        <v>7.0000000000000001E-3</v>
      </c>
      <c r="D1240" s="41">
        <v>17.4481</v>
      </c>
      <c r="E1240" s="41">
        <v>30</v>
      </c>
      <c r="F1240" s="41">
        <v>0</v>
      </c>
      <c r="G1240" s="41" t="s">
        <v>103</v>
      </c>
      <c r="H1240" s="41">
        <v>2</v>
      </c>
      <c r="I1240" s="41">
        <v>1</v>
      </c>
      <c r="J1240" s="108">
        <f>POWER(POWER(Table2[[#This Row],[mv]],4)/10,0.25)</f>
        <v>3.9363892763324441E-3</v>
      </c>
      <c r="K1240" s="41">
        <v>0</v>
      </c>
      <c r="L1240" s="41">
        <v>55</v>
      </c>
      <c r="M1240" s="41">
        <v>-1</v>
      </c>
      <c r="N1240" s="41">
        <v>4</v>
      </c>
      <c r="O1240" s="111" t="s">
        <v>1765</v>
      </c>
      <c r="P1240" s="109">
        <v>192702</v>
      </c>
      <c r="Q1240" s="41"/>
      <c r="R1240" s="111"/>
      <c r="S1240" s="110" t="s">
        <v>1909</v>
      </c>
    </row>
    <row r="1241" spans="1:19">
      <c r="A1241" s="105">
        <v>1240</v>
      </c>
      <c r="B1241" s="41">
        <v>12000000</v>
      </c>
      <c r="C1241" s="41">
        <v>7.0000000000000001E-3</v>
      </c>
      <c r="D1241" s="41">
        <v>19.0273</v>
      </c>
      <c r="E1241" s="41">
        <v>30</v>
      </c>
      <c r="F1241" s="41">
        <v>0</v>
      </c>
      <c r="G1241" s="41" t="s">
        <v>103</v>
      </c>
      <c r="H1241" s="41">
        <v>2</v>
      </c>
      <c r="I1241" s="41">
        <v>1</v>
      </c>
      <c r="J1241" s="108">
        <f>POWER(POWER(Table2[[#This Row],[mv]],4)/10,0.25)</f>
        <v>3.9363892763324441E-3</v>
      </c>
      <c r="K1241" s="41">
        <v>0</v>
      </c>
      <c r="L1241" s="41">
        <v>55</v>
      </c>
      <c r="M1241" s="41">
        <v>-1</v>
      </c>
      <c r="N1241" s="41">
        <v>4</v>
      </c>
      <c r="O1241" s="111" t="s">
        <v>1766</v>
      </c>
      <c r="P1241" s="109">
        <v>192702</v>
      </c>
      <c r="Q1241" s="41"/>
      <c r="R1241" s="111"/>
      <c r="S1241" s="110" t="s">
        <v>1910</v>
      </c>
    </row>
    <row r="1242" spans="1:19">
      <c r="A1242" s="105">
        <v>1241</v>
      </c>
      <c r="B1242" s="41">
        <v>12000000</v>
      </c>
      <c r="C1242" s="41">
        <v>7.6E-3</v>
      </c>
      <c r="D1242" s="41">
        <v>19.0273</v>
      </c>
      <c r="E1242" s="41">
        <v>30</v>
      </c>
      <c r="F1242" s="41">
        <v>0</v>
      </c>
      <c r="G1242" s="41" t="s">
        <v>103</v>
      </c>
      <c r="H1242" s="41">
        <v>2</v>
      </c>
      <c r="I1242" s="41">
        <v>1</v>
      </c>
      <c r="J1242" s="108">
        <f>POWER(POWER(Table2[[#This Row],[mv]],4)/10,0.25)</f>
        <v>4.2737940714466516E-3</v>
      </c>
      <c r="K1242" s="41">
        <v>0</v>
      </c>
      <c r="L1242" s="41">
        <v>55</v>
      </c>
      <c r="M1242" s="41">
        <v>-1</v>
      </c>
      <c r="N1242" s="41">
        <v>4</v>
      </c>
      <c r="O1242" s="111" t="s">
        <v>1767</v>
      </c>
      <c r="P1242" s="109">
        <v>192702</v>
      </c>
      <c r="Q1242" s="41"/>
      <c r="R1242" s="111"/>
      <c r="S1242" s="110" t="s">
        <v>1911</v>
      </c>
    </row>
    <row r="1243" spans="1:19">
      <c r="A1243" s="105">
        <v>1242</v>
      </c>
      <c r="B1243" s="41">
        <v>120000000</v>
      </c>
      <c r="C1243" s="41">
        <v>2.8999999999999998E-3</v>
      </c>
      <c r="D1243" s="41">
        <v>3.3635999999999999</v>
      </c>
      <c r="E1243" s="41">
        <v>30</v>
      </c>
      <c r="F1243" s="41">
        <v>0</v>
      </c>
      <c r="G1243" s="41" t="s">
        <v>103</v>
      </c>
      <c r="H1243" s="41">
        <v>1</v>
      </c>
      <c r="I1243" s="41">
        <v>1</v>
      </c>
      <c r="J1243" s="108">
        <v>0</v>
      </c>
      <c r="K1243" s="41">
        <v>0</v>
      </c>
      <c r="L1243" s="41">
        <v>55</v>
      </c>
      <c r="M1243" s="41">
        <v>-1</v>
      </c>
      <c r="N1243" s="41">
        <v>4</v>
      </c>
      <c r="O1243" s="111" t="s">
        <v>1914</v>
      </c>
      <c r="P1243" s="109">
        <v>193040</v>
      </c>
      <c r="Q1243" s="41"/>
      <c r="R1243" s="111"/>
      <c r="S1243" s="110">
        <v>1184121</v>
      </c>
    </row>
    <row r="1244" spans="1:19">
      <c r="A1244" s="105">
        <v>1243</v>
      </c>
      <c r="B1244" s="41">
        <v>120000000</v>
      </c>
      <c r="C1244" s="41">
        <v>2.8999999999999998E-3</v>
      </c>
      <c r="D1244" s="41">
        <v>3.6680000000000001</v>
      </c>
      <c r="E1244" s="41">
        <v>30</v>
      </c>
      <c r="F1244" s="41">
        <v>0</v>
      </c>
      <c r="G1244" s="41" t="s">
        <v>103</v>
      </c>
      <c r="H1244" s="41">
        <v>1</v>
      </c>
      <c r="I1244" s="41">
        <v>1</v>
      </c>
      <c r="J1244" s="108">
        <v>0</v>
      </c>
      <c r="K1244" s="41">
        <v>0</v>
      </c>
      <c r="L1244" s="41">
        <v>55</v>
      </c>
      <c r="M1244" s="41">
        <v>-1</v>
      </c>
      <c r="N1244" s="41">
        <v>4</v>
      </c>
      <c r="O1244" s="111" t="s">
        <v>1915</v>
      </c>
      <c r="P1244" s="109">
        <v>193040</v>
      </c>
      <c r="Q1244" s="41"/>
      <c r="R1244" s="111"/>
      <c r="S1244" s="110">
        <v>1184121</v>
      </c>
    </row>
    <row r="1245" spans="1:19">
      <c r="A1245" s="105">
        <v>1244</v>
      </c>
      <c r="B1245" s="41">
        <v>120000000</v>
      </c>
      <c r="C1245" s="41">
        <v>2.8999999999999998E-3</v>
      </c>
      <c r="D1245" s="41">
        <v>4</v>
      </c>
      <c r="E1245" s="41">
        <v>30</v>
      </c>
      <c r="F1245" s="41">
        <v>0</v>
      </c>
      <c r="G1245" s="41" t="s">
        <v>103</v>
      </c>
      <c r="H1245" s="41">
        <v>1</v>
      </c>
      <c r="I1245" s="41">
        <v>1</v>
      </c>
      <c r="J1245" s="108">
        <v>0</v>
      </c>
      <c r="K1245" s="41">
        <v>0</v>
      </c>
      <c r="L1245" s="41">
        <v>55</v>
      </c>
      <c r="M1245" s="41">
        <v>-1</v>
      </c>
      <c r="N1245" s="41">
        <v>4</v>
      </c>
      <c r="O1245" s="111" t="s">
        <v>1916</v>
      </c>
      <c r="P1245" s="109">
        <v>193040</v>
      </c>
      <c r="Q1245" s="41"/>
      <c r="R1245" s="111"/>
      <c r="S1245" s="110">
        <v>1184121</v>
      </c>
    </row>
    <row r="1246" spans="1:19">
      <c r="A1246" s="105">
        <v>1245</v>
      </c>
      <c r="B1246" s="41">
        <v>120000000</v>
      </c>
      <c r="C1246" s="41">
        <v>2.8999999999999998E-3</v>
      </c>
      <c r="D1246" s="41">
        <v>4.3620000000000001</v>
      </c>
      <c r="E1246" s="41">
        <v>30</v>
      </c>
      <c r="F1246" s="41">
        <v>0</v>
      </c>
      <c r="G1246" s="41" t="s">
        <v>103</v>
      </c>
      <c r="H1246" s="41">
        <v>1</v>
      </c>
      <c r="I1246" s="41">
        <v>1</v>
      </c>
      <c r="J1246" s="108">
        <v>0</v>
      </c>
      <c r="K1246" s="41">
        <v>0</v>
      </c>
      <c r="L1246" s="41">
        <v>55</v>
      </c>
      <c r="M1246" s="41">
        <v>-1</v>
      </c>
      <c r="N1246" s="41">
        <v>4</v>
      </c>
      <c r="O1246" s="111" t="s">
        <v>1917</v>
      </c>
      <c r="P1246" s="109">
        <v>193040</v>
      </c>
      <c r="Q1246" s="41"/>
      <c r="R1246" s="111"/>
      <c r="S1246" s="110">
        <v>1184121</v>
      </c>
    </row>
    <row r="1247" spans="1:19">
      <c r="A1247" s="105">
        <v>1246</v>
      </c>
      <c r="B1247" s="41">
        <v>120000000</v>
      </c>
      <c r="C1247" s="41">
        <v>2.8999999999999998E-3</v>
      </c>
      <c r="D1247" s="41">
        <v>4.7568000000000001</v>
      </c>
      <c r="E1247" s="41">
        <v>30</v>
      </c>
      <c r="F1247" s="41">
        <v>0</v>
      </c>
      <c r="G1247" s="41" t="s">
        <v>103</v>
      </c>
      <c r="H1247" s="41">
        <v>1</v>
      </c>
      <c r="I1247" s="41">
        <v>1</v>
      </c>
      <c r="J1247" s="108">
        <v>0</v>
      </c>
      <c r="K1247" s="41">
        <v>0</v>
      </c>
      <c r="L1247" s="41">
        <v>55</v>
      </c>
      <c r="M1247" s="41">
        <v>-1</v>
      </c>
      <c r="N1247" s="41">
        <v>4</v>
      </c>
      <c r="O1247" s="111" t="s">
        <v>1918</v>
      </c>
      <c r="P1247" s="109">
        <v>193040</v>
      </c>
      <c r="Q1247" s="41"/>
      <c r="R1247" s="111"/>
      <c r="S1247" s="110">
        <v>1184121</v>
      </c>
    </row>
    <row r="1248" spans="1:19">
      <c r="A1248" s="105">
        <v>1247</v>
      </c>
      <c r="B1248" s="41">
        <v>120000000</v>
      </c>
      <c r="C1248" s="41">
        <v>2.8999999999999998E-3</v>
      </c>
      <c r="D1248" s="41">
        <v>5.1874000000000002</v>
      </c>
      <c r="E1248" s="41">
        <v>30</v>
      </c>
      <c r="F1248" s="41">
        <v>0</v>
      </c>
      <c r="G1248" s="41" t="s">
        <v>103</v>
      </c>
      <c r="H1248" s="41">
        <v>1</v>
      </c>
      <c r="I1248" s="41">
        <v>1</v>
      </c>
      <c r="J1248" s="108">
        <v>0</v>
      </c>
      <c r="K1248" s="41">
        <v>0</v>
      </c>
      <c r="L1248" s="41">
        <v>55</v>
      </c>
      <c r="M1248" s="41">
        <v>-1</v>
      </c>
      <c r="N1248" s="41">
        <v>4</v>
      </c>
      <c r="O1248" s="111" t="s">
        <v>1919</v>
      </c>
      <c r="P1248" s="109">
        <v>193040</v>
      </c>
      <c r="Q1248" s="41"/>
      <c r="R1248" s="111"/>
      <c r="S1248" s="110">
        <v>1184121</v>
      </c>
    </row>
    <row r="1249" spans="1:19">
      <c r="A1249" s="105">
        <v>1248</v>
      </c>
      <c r="B1249" s="41">
        <v>120000000</v>
      </c>
      <c r="C1249" s="41">
        <v>2.8999999999999998E-3</v>
      </c>
      <c r="D1249" s="41">
        <v>5.6569000000000003</v>
      </c>
      <c r="E1249" s="41">
        <v>30</v>
      </c>
      <c r="F1249" s="41">
        <v>0</v>
      </c>
      <c r="G1249" s="41" t="s">
        <v>103</v>
      </c>
      <c r="H1249" s="41">
        <v>1</v>
      </c>
      <c r="I1249" s="41">
        <v>1</v>
      </c>
      <c r="J1249" s="108">
        <v>0</v>
      </c>
      <c r="K1249" s="41">
        <v>0</v>
      </c>
      <c r="L1249" s="41">
        <v>55</v>
      </c>
      <c r="M1249" s="41">
        <v>-1</v>
      </c>
      <c r="N1249" s="41">
        <v>4</v>
      </c>
      <c r="O1249" s="111" t="s">
        <v>1920</v>
      </c>
      <c r="P1249" s="109">
        <v>193040</v>
      </c>
      <c r="Q1249" s="41"/>
      <c r="R1249" s="111"/>
      <c r="S1249" s="110">
        <v>1184121</v>
      </c>
    </row>
    <row r="1250" spans="1:19">
      <c r="A1250" s="105">
        <v>1249</v>
      </c>
      <c r="B1250" s="41">
        <v>120000000</v>
      </c>
      <c r="C1250" s="41">
        <v>2.8999999999999998E-3</v>
      </c>
      <c r="D1250" s="41">
        <v>6.1688000000000001</v>
      </c>
      <c r="E1250" s="41">
        <v>30</v>
      </c>
      <c r="F1250" s="41">
        <v>0</v>
      </c>
      <c r="G1250" s="41" t="s">
        <v>103</v>
      </c>
      <c r="H1250" s="41">
        <v>1</v>
      </c>
      <c r="I1250" s="41">
        <v>1</v>
      </c>
      <c r="J1250" s="108">
        <v>0</v>
      </c>
      <c r="K1250" s="41">
        <v>0</v>
      </c>
      <c r="L1250" s="41">
        <v>55</v>
      </c>
      <c r="M1250" s="41">
        <v>-1</v>
      </c>
      <c r="N1250" s="41">
        <v>4</v>
      </c>
      <c r="O1250" s="111" t="s">
        <v>1921</v>
      </c>
      <c r="P1250" s="109">
        <v>193040</v>
      </c>
      <c r="Q1250" s="41"/>
      <c r="R1250" s="111"/>
      <c r="S1250" s="110">
        <v>1184121</v>
      </c>
    </row>
    <row r="1251" spans="1:19">
      <c r="A1251" s="105">
        <v>1250</v>
      </c>
      <c r="B1251" s="41">
        <v>120000000</v>
      </c>
      <c r="C1251" s="41">
        <v>2.8999999999999998E-3</v>
      </c>
      <c r="D1251" s="41">
        <v>6.7271999999999998</v>
      </c>
      <c r="E1251" s="41">
        <v>30</v>
      </c>
      <c r="F1251" s="41">
        <v>0</v>
      </c>
      <c r="G1251" s="41" t="s">
        <v>103</v>
      </c>
      <c r="H1251" s="41">
        <v>1</v>
      </c>
      <c r="I1251" s="41">
        <v>1</v>
      </c>
      <c r="J1251" s="108">
        <v>0</v>
      </c>
      <c r="K1251" s="41">
        <v>0</v>
      </c>
      <c r="L1251" s="41">
        <v>55</v>
      </c>
      <c r="M1251" s="41">
        <v>-1</v>
      </c>
      <c r="N1251" s="41">
        <v>4</v>
      </c>
      <c r="O1251" s="111" t="s">
        <v>1922</v>
      </c>
      <c r="P1251" s="109">
        <v>193040</v>
      </c>
      <c r="Q1251" s="41"/>
      <c r="R1251" s="111"/>
      <c r="S1251" s="110">
        <v>1184121</v>
      </c>
    </row>
    <row r="1252" spans="1:19">
      <c r="A1252" s="105">
        <v>1251</v>
      </c>
      <c r="B1252" s="41">
        <v>120000000</v>
      </c>
      <c r="C1252" s="41">
        <v>2.8999999999999998E-3</v>
      </c>
      <c r="D1252" s="41">
        <v>7.3360000000000003</v>
      </c>
      <c r="E1252" s="41">
        <v>30</v>
      </c>
      <c r="F1252" s="41">
        <v>0</v>
      </c>
      <c r="G1252" s="41" t="s">
        <v>103</v>
      </c>
      <c r="H1252" s="41">
        <v>1</v>
      </c>
      <c r="I1252" s="41">
        <v>1</v>
      </c>
      <c r="J1252" s="108">
        <v>0</v>
      </c>
      <c r="K1252" s="41">
        <v>0</v>
      </c>
      <c r="L1252" s="41">
        <v>55</v>
      </c>
      <c r="M1252" s="41">
        <v>-1</v>
      </c>
      <c r="N1252" s="41">
        <v>4</v>
      </c>
      <c r="O1252" s="111" t="s">
        <v>1923</v>
      </c>
      <c r="P1252" s="109">
        <v>193040</v>
      </c>
      <c r="Q1252" s="41"/>
      <c r="R1252" s="111"/>
      <c r="S1252" s="110">
        <v>1184121</v>
      </c>
    </row>
    <row r="1253" spans="1:19">
      <c r="A1253" s="105">
        <v>1252</v>
      </c>
      <c r="B1253" s="41">
        <v>120000000</v>
      </c>
      <c r="C1253" s="41">
        <v>2.8999999999999998E-3</v>
      </c>
      <c r="D1253" s="41">
        <v>8</v>
      </c>
      <c r="E1253" s="41">
        <v>30</v>
      </c>
      <c r="F1253" s="41">
        <v>0</v>
      </c>
      <c r="G1253" s="41" t="s">
        <v>103</v>
      </c>
      <c r="H1253" s="41">
        <v>1</v>
      </c>
      <c r="I1253" s="41">
        <v>1</v>
      </c>
      <c r="J1253" s="108">
        <v>0</v>
      </c>
      <c r="K1253" s="41">
        <v>0</v>
      </c>
      <c r="L1253" s="41">
        <v>55</v>
      </c>
      <c r="M1253" s="41">
        <v>-1</v>
      </c>
      <c r="N1253" s="41">
        <v>4</v>
      </c>
      <c r="O1253" s="111" t="s">
        <v>1924</v>
      </c>
      <c r="P1253" s="109">
        <v>193040</v>
      </c>
      <c r="Q1253" s="41"/>
      <c r="R1253" s="111"/>
      <c r="S1253" s="110">
        <v>1184121</v>
      </c>
    </row>
    <row r="1254" spans="1:19">
      <c r="A1254" s="105">
        <v>1253</v>
      </c>
      <c r="B1254" s="41">
        <v>120000000</v>
      </c>
      <c r="C1254" s="41">
        <v>2.8999999999999998E-3</v>
      </c>
      <c r="D1254" s="41">
        <v>8.7241</v>
      </c>
      <c r="E1254" s="41">
        <v>30</v>
      </c>
      <c r="F1254" s="41">
        <v>0</v>
      </c>
      <c r="G1254" s="41" t="s">
        <v>103</v>
      </c>
      <c r="H1254" s="41">
        <v>1</v>
      </c>
      <c r="I1254" s="41">
        <v>1</v>
      </c>
      <c r="J1254" s="108">
        <v>0</v>
      </c>
      <c r="K1254" s="41">
        <v>0</v>
      </c>
      <c r="L1254" s="41">
        <v>55</v>
      </c>
      <c r="M1254" s="41">
        <v>-1</v>
      </c>
      <c r="N1254" s="41">
        <v>4</v>
      </c>
      <c r="O1254" s="111" t="s">
        <v>1925</v>
      </c>
      <c r="P1254" s="109">
        <v>193040</v>
      </c>
      <c r="Q1254" s="41"/>
      <c r="R1254" s="111"/>
      <c r="S1254" s="110">
        <v>1184121</v>
      </c>
    </row>
    <row r="1255" spans="1:19">
      <c r="A1255" s="105">
        <v>1254</v>
      </c>
      <c r="B1255" s="41">
        <v>120000000</v>
      </c>
      <c r="C1255" s="41">
        <v>2.8999999999999998E-3</v>
      </c>
      <c r="D1255" s="41">
        <v>9.5137</v>
      </c>
      <c r="E1255" s="41">
        <v>30</v>
      </c>
      <c r="F1255" s="41">
        <v>0</v>
      </c>
      <c r="G1255" s="41" t="s">
        <v>103</v>
      </c>
      <c r="H1255" s="41">
        <v>1</v>
      </c>
      <c r="I1255" s="41">
        <v>1</v>
      </c>
      <c r="J1255" s="108">
        <v>0</v>
      </c>
      <c r="K1255" s="41">
        <v>0</v>
      </c>
      <c r="L1255" s="41">
        <v>55</v>
      </c>
      <c r="M1255" s="41">
        <v>-1</v>
      </c>
      <c r="N1255" s="41">
        <v>4</v>
      </c>
      <c r="O1255" s="111" t="s">
        <v>1926</v>
      </c>
      <c r="P1255" s="109">
        <v>193040</v>
      </c>
      <c r="Q1255" s="41"/>
      <c r="R1255" s="111"/>
      <c r="S1255" s="110">
        <v>1184121</v>
      </c>
    </row>
    <row r="1256" spans="1:19">
      <c r="A1256" s="105">
        <v>1255</v>
      </c>
      <c r="B1256" s="41">
        <v>120000000</v>
      </c>
      <c r="C1256" s="41">
        <v>2.8999999999999998E-3</v>
      </c>
      <c r="D1256" s="41">
        <v>10.374700000000001</v>
      </c>
      <c r="E1256" s="41">
        <v>30</v>
      </c>
      <c r="F1256" s="41">
        <v>0</v>
      </c>
      <c r="G1256" s="41" t="s">
        <v>103</v>
      </c>
      <c r="H1256" s="41">
        <v>1</v>
      </c>
      <c r="I1256" s="41">
        <v>1</v>
      </c>
      <c r="J1256" s="108">
        <v>0</v>
      </c>
      <c r="K1256" s="41">
        <v>0</v>
      </c>
      <c r="L1256" s="41">
        <v>55</v>
      </c>
      <c r="M1256" s="41">
        <v>-1</v>
      </c>
      <c r="N1256" s="41">
        <v>4</v>
      </c>
      <c r="O1256" s="111" t="s">
        <v>1927</v>
      </c>
      <c r="P1256" s="109">
        <v>193040</v>
      </c>
      <c r="Q1256" s="41"/>
      <c r="R1256" s="111"/>
      <c r="S1256" s="110">
        <v>1184121</v>
      </c>
    </row>
    <row r="1257" spans="1:19">
      <c r="A1257" s="105">
        <v>1256</v>
      </c>
      <c r="B1257" s="41">
        <v>120000000</v>
      </c>
      <c r="C1257" s="41">
        <v>2.8999999999999998E-3</v>
      </c>
      <c r="D1257" s="41">
        <v>11.313700000000001</v>
      </c>
      <c r="E1257" s="41">
        <v>30</v>
      </c>
      <c r="F1257" s="41">
        <v>0</v>
      </c>
      <c r="G1257" s="41" t="s">
        <v>103</v>
      </c>
      <c r="H1257" s="41">
        <v>1</v>
      </c>
      <c r="I1257" s="41">
        <v>1</v>
      </c>
      <c r="J1257" s="108">
        <v>0</v>
      </c>
      <c r="K1257" s="41">
        <v>0</v>
      </c>
      <c r="L1257" s="41">
        <v>55</v>
      </c>
      <c r="M1257" s="41">
        <v>-1</v>
      </c>
      <c r="N1257" s="41">
        <v>4</v>
      </c>
      <c r="O1257" s="111" t="s">
        <v>1928</v>
      </c>
      <c r="P1257" s="109">
        <v>193040</v>
      </c>
      <c r="Q1257" s="41"/>
      <c r="R1257" s="111"/>
      <c r="S1257" s="110">
        <v>1184121</v>
      </c>
    </row>
    <row r="1258" spans="1:19">
      <c r="A1258" s="105">
        <v>1257</v>
      </c>
      <c r="B1258" s="41">
        <v>120000000</v>
      </c>
      <c r="C1258" s="41">
        <v>2.8999999999999998E-3</v>
      </c>
      <c r="D1258" s="41">
        <v>12.3377</v>
      </c>
      <c r="E1258" s="41">
        <v>30</v>
      </c>
      <c r="F1258" s="41">
        <v>0</v>
      </c>
      <c r="G1258" s="41" t="s">
        <v>103</v>
      </c>
      <c r="H1258" s="41">
        <v>1</v>
      </c>
      <c r="I1258" s="41">
        <v>1</v>
      </c>
      <c r="J1258" s="108">
        <v>0</v>
      </c>
      <c r="K1258" s="41">
        <v>0</v>
      </c>
      <c r="L1258" s="41">
        <v>55</v>
      </c>
      <c r="M1258" s="41">
        <v>-1</v>
      </c>
      <c r="N1258" s="41">
        <v>4</v>
      </c>
      <c r="O1258" s="111" t="s">
        <v>1929</v>
      </c>
      <c r="P1258" s="109">
        <v>193040</v>
      </c>
      <c r="Q1258" s="41"/>
      <c r="R1258" s="111"/>
      <c r="S1258" s="110">
        <v>1184121</v>
      </c>
    </row>
    <row r="1259" spans="1:19">
      <c r="A1259" s="105">
        <v>1258</v>
      </c>
      <c r="B1259" s="41">
        <v>120000000</v>
      </c>
      <c r="C1259" s="41">
        <v>2.8999999999999998E-3</v>
      </c>
      <c r="D1259" s="41">
        <v>13.4543</v>
      </c>
      <c r="E1259" s="41">
        <v>30</v>
      </c>
      <c r="F1259" s="41">
        <v>0</v>
      </c>
      <c r="G1259" s="41" t="s">
        <v>103</v>
      </c>
      <c r="H1259" s="41">
        <v>1</v>
      </c>
      <c r="I1259" s="41">
        <v>1</v>
      </c>
      <c r="J1259" s="108">
        <v>0</v>
      </c>
      <c r="K1259" s="41">
        <v>0</v>
      </c>
      <c r="L1259" s="41">
        <v>55</v>
      </c>
      <c r="M1259" s="41">
        <v>-1</v>
      </c>
      <c r="N1259" s="41">
        <v>4</v>
      </c>
      <c r="O1259" s="111" t="s">
        <v>1930</v>
      </c>
      <c r="P1259" s="109">
        <v>193040</v>
      </c>
      <c r="Q1259" s="41"/>
      <c r="R1259" s="111"/>
      <c r="S1259" s="110">
        <v>1184121</v>
      </c>
    </row>
    <row r="1260" spans="1:19">
      <c r="A1260" s="105">
        <v>1259</v>
      </c>
      <c r="B1260" s="41">
        <v>120000000</v>
      </c>
      <c r="C1260" s="41">
        <v>2.8999999999999998E-3</v>
      </c>
      <c r="D1260" s="41">
        <v>14.6721</v>
      </c>
      <c r="E1260" s="41">
        <v>30</v>
      </c>
      <c r="F1260" s="41">
        <v>0</v>
      </c>
      <c r="G1260" s="41" t="s">
        <v>103</v>
      </c>
      <c r="H1260" s="41">
        <v>1</v>
      </c>
      <c r="I1260" s="41">
        <v>1</v>
      </c>
      <c r="J1260" s="108">
        <v>0</v>
      </c>
      <c r="K1260" s="41">
        <v>0</v>
      </c>
      <c r="L1260" s="41">
        <v>55</v>
      </c>
      <c r="M1260" s="41">
        <v>-1</v>
      </c>
      <c r="N1260" s="41">
        <v>4</v>
      </c>
      <c r="O1260" s="111" t="s">
        <v>1931</v>
      </c>
      <c r="P1260" s="109">
        <v>193040</v>
      </c>
      <c r="Q1260" s="41"/>
      <c r="R1260" s="111"/>
      <c r="S1260" s="110">
        <v>1184121</v>
      </c>
    </row>
    <row r="1261" spans="1:19">
      <c r="A1261" s="105">
        <v>1260</v>
      </c>
      <c r="B1261" s="41">
        <v>120000000</v>
      </c>
      <c r="C1261" s="41">
        <v>2.8999999999999998E-3</v>
      </c>
      <c r="D1261" s="41">
        <v>16</v>
      </c>
      <c r="E1261" s="41">
        <v>30</v>
      </c>
      <c r="F1261" s="41">
        <v>0</v>
      </c>
      <c r="G1261" s="41" t="s">
        <v>103</v>
      </c>
      <c r="H1261" s="41">
        <v>1</v>
      </c>
      <c r="I1261" s="41">
        <v>1</v>
      </c>
      <c r="J1261" s="108">
        <v>0</v>
      </c>
      <c r="K1261" s="41">
        <v>0</v>
      </c>
      <c r="L1261" s="41">
        <v>55</v>
      </c>
      <c r="M1261" s="41">
        <v>-1</v>
      </c>
      <c r="N1261" s="41">
        <v>4</v>
      </c>
      <c r="O1261" s="111" t="s">
        <v>1932</v>
      </c>
      <c r="P1261" s="109">
        <v>193040</v>
      </c>
      <c r="Q1261" s="41"/>
      <c r="R1261" s="111"/>
      <c r="S1261" s="110">
        <v>1184121</v>
      </c>
    </row>
    <row r="1262" spans="1:19">
      <c r="A1262" s="105">
        <v>1261</v>
      </c>
      <c r="B1262" s="41">
        <v>120000000</v>
      </c>
      <c r="C1262" s="41">
        <v>2.8999999999999998E-3</v>
      </c>
      <c r="D1262" s="41">
        <v>17.4481</v>
      </c>
      <c r="E1262" s="41">
        <v>30</v>
      </c>
      <c r="F1262" s="41">
        <v>0</v>
      </c>
      <c r="G1262" s="41" t="s">
        <v>103</v>
      </c>
      <c r="H1262" s="41">
        <v>1</v>
      </c>
      <c r="I1262" s="41">
        <v>1</v>
      </c>
      <c r="J1262" s="108">
        <v>0</v>
      </c>
      <c r="K1262" s="41">
        <v>0</v>
      </c>
      <c r="L1262" s="41">
        <v>55</v>
      </c>
      <c r="M1262" s="41">
        <v>-1</v>
      </c>
      <c r="N1262" s="41">
        <v>4</v>
      </c>
      <c r="O1262" s="111" t="s">
        <v>1933</v>
      </c>
      <c r="P1262" s="109">
        <v>193040</v>
      </c>
      <c r="Q1262" s="41"/>
      <c r="R1262" s="111"/>
      <c r="S1262" s="110">
        <v>1184121</v>
      </c>
    </row>
    <row r="1263" spans="1:19">
      <c r="A1263" s="105">
        <v>1262</v>
      </c>
      <c r="B1263" s="41">
        <v>120000000</v>
      </c>
      <c r="C1263" s="41">
        <v>2.8999999999999998E-3</v>
      </c>
      <c r="D1263" s="41">
        <v>19.0273</v>
      </c>
      <c r="E1263" s="41">
        <v>30</v>
      </c>
      <c r="F1263" s="41">
        <v>0</v>
      </c>
      <c r="G1263" s="41" t="s">
        <v>103</v>
      </c>
      <c r="H1263" s="41">
        <v>1</v>
      </c>
      <c r="I1263" s="41">
        <v>1</v>
      </c>
      <c r="J1263" s="108">
        <v>0</v>
      </c>
      <c r="K1263" s="41">
        <v>0</v>
      </c>
      <c r="L1263" s="41">
        <v>55</v>
      </c>
      <c r="M1263" s="41">
        <v>-1</v>
      </c>
      <c r="N1263" s="41">
        <v>4</v>
      </c>
      <c r="O1263" s="111" t="s">
        <v>1934</v>
      </c>
      <c r="P1263" s="109">
        <v>193040</v>
      </c>
      <c r="Q1263" s="41"/>
      <c r="R1263" s="111"/>
      <c r="S1263" s="110">
        <v>1184121</v>
      </c>
    </row>
    <row r="1264" spans="1:19">
      <c r="A1264" s="105">
        <v>1263</v>
      </c>
      <c r="B1264" s="41">
        <v>120000000</v>
      </c>
      <c r="C1264" s="41">
        <v>3.2000000000000002E-3</v>
      </c>
      <c r="D1264" s="41">
        <v>3.3635999999999999</v>
      </c>
      <c r="E1264" s="41">
        <v>30</v>
      </c>
      <c r="F1264" s="41">
        <v>0</v>
      </c>
      <c r="G1264" s="41" t="s">
        <v>103</v>
      </c>
      <c r="H1264" s="41">
        <v>1</v>
      </c>
      <c r="I1264" s="41">
        <v>1</v>
      </c>
      <c r="J1264" s="108">
        <v>0</v>
      </c>
      <c r="K1264" s="41">
        <v>0</v>
      </c>
      <c r="L1264" s="41">
        <v>55</v>
      </c>
      <c r="M1264" s="41">
        <v>-1</v>
      </c>
      <c r="N1264" s="41">
        <v>4</v>
      </c>
      <c r="O1264" s="111" t="s">
        <v>1935</v>
      </c>
      <c r="P1264" s="109">
        <v>193040</v>
      </c>
      <c r="Q1264" s="41"/>
      <c r="R1264" s="111"/>
      <c r="S1264" s="110">
        <v>1184121</v>
      </c>
    </row>
    <row r="1265" spans="1:19">
      <c r="A1265" s="105">
        <v>1264</v>
      </c>
      <c r="B1265" s="41">
        <v>120000000</v>
      </c>
      <c r="C1265" s="41">
        <v>3.2000000000000002E-3</v>
      </c>
      <c r="D1265" s="41">
        <v>3.6680000000000001</v>
      </c>
      <c r="E1265" s="41">
        <v>30</v>
      </c>
      <c r="F1265" s="41">
        <v>0</v>
      </c>
      <c r="G1265" s="41" t="s">
        <v>103</v>
      </c>
      <c r="H1265" s="41">
        <v>1</v>
      </c>
      <c r="I1265" s="41">
        <v>1</v>
      </c>
      <c r="J1265" s="108">
        <v>0</v>
      </c>
      <c r="K1265" s="41">
        <v>0</v>
      </c>
      <c r="L1265" s="41">
        <v>55</v>
      </c>
      <c r="M1265" s="41">
        <v>-1</v>
      </c>
      <c r="N1265" s="41">
        <v>4</v>
      </c>
      <c r="O1265" s="111" t="s">
        <v>1936</v>
      </c>
      <c r="P1265" s="109">
        <v>193040</v>
      </c>
      <c r="Q1265" s="41"/>
      <c r="R1265" s="111"/>
      <c r="S1265" s="110">
        <v>1184121</v>
      </c>
    </row>
    <row r="1266" spans="1:19">
      <c r="A1266" s="105">
        <v>1265</v>
      </c>
      <c r="B1266" s="41">
        <v>120000000</v>
      </c>
      <c r="C1266" s="41">
        <v>3.2000000000000002E-3</v>
      </c>
      <c r="D1266" s="41">
        <v>4</v>
      </c>
      <c r="E1266" s="41">
        <v>30</v>
      </c>
      <c r="F1266" s="41">
        <v>0</v>
      </c>
      <c r="G1266" s="41" t="s">
        <v>103</v>
      </c>
      <c r="H1266" s="41">
        <v>1</v>
      </c>
      <c r="I1266" s="41">
        <v>1</v>
      </c>
      <c r="J1266" s="108">
        <v>0</v>
      </c>
      <c r="K1266" s="41">
        <v>0</v>
      </c>
      <c r="L1266" s="41">
        <v>55</v>
      </c>
      <c r="M1266" s="41">
        <v>-1</v>
      </c>
      <c r="N1266" s="41">
        <v>4</v>
      </c>
      <c r="O1266" s="111" t="s">
        <v>1937</v>
      </c>
      <c r="P1266" s="109">
        <v>193040</v>
      </c>
      <c r="Q1266" s="41"/>
      <c r="R1266" s="111"/>
      <c r="S1266" s="110">
        <v>1184121</v>
      </c>
    </row>
    <row r="1267" spans="1:19">
      <c r="A1267" s="105">
        <v>1266</v>
      </c>
      <c r="B1267" s="41">
        <v>120000000</v>
      </c>
      <c r="C1267" s="41">
        <v>3.2000000000000002E-3</v>
      </c>
      <c r="D1267" s="41">
        <v>4.3620000000000001</v>
      </c>
      <c r="E1267" s="41">
        <v>30</v>
      </c>
      <c r="F1267" s="41">
        <v>0</v>
      </c>
      <c r="G1267" s="41" t="s">
        <v>103</v>
      </c>
      <c r="H1267" s="41">
        <v>1</v>
      </c>
      <c r="I1267" s="41">
        <v>1</v>
      </c>
      <c r="J1267" s="108">
        <v>0</v>
      </c>
      <c r="K1267" s="41">
        <v>0</v>
      </c>
      <c r="L1267" s="41">
        <v>55</v>
      </c>
      <c r="M1267" s="41">
        <v>-1</v>
      </c>
      <c r="N1267" s="41">
        <v>4</v>
      </c>
      <c r="O1267" s="111" t="s">
        <v>1938</v>
      </c>
      <c r="P1267" s="109">
        <v>193040</v>
      </c>
      <c r="Q1267" s="41"/>
      <c r="R1267" s="111"/>
      <c r="S1267" s="110">
        <v>1184121</v>
      </c>
    </row>
    <row r="1268" spans="1:19">
      <c r="A1268" s="105">
        <v>1267</v>
      </c>
      <c r="B1268" s="41">
        <v>120000000</v>
      </c>
      <c r="C1268" s="41">
        <v>3.2000000000000002E-3</v>
      </c>
      <c r="D1268" s="41">
        <v>4.7568000000000001</v>
      </c>
      <c r="E1268" s="41">
        <v>30</v>
      </c>
      <c r="F1268" s="41">
        <v>0</v>
      </c>
      <c r="G1268" s="41" t="s">
        <v>103</v>
      </c>
      <c r="H1268" s="41">
        <v>1</v>
      </c>
      <c r="I1268" s="41">
        <v>1</v>
      </c>
      <c r="J1268" s="108">
        <v>0</v>
      </c>
      <c r="K1268" s="41">
        <v>0</v>
      </c>
      <c r="L1268" s="41">
        <v>55</v>
      </c>
      <c r="M1268" s="41">
        <v>-1</v>
      </c>
      <c r="N1268" s="41">
        <v>4</v>
      </c>
      <c r="O1268" s="111" t="s">
        <v>1939</v>
      </c>
      <c r="P1268" s="109">
        <v>193040</v>
      </c>
      <c r="Q1268" s="41"/>
      <c r="R1268" s="111"/>
      <c r="S1268" s="110">
        <v>1184121</v>
      </c>
    </row>
    <row r="1269" spans="1:19">
      <c r="A1269" s="105">
        <v>1268</v>
      </c>
      <c r="B1269" s="41">
        <v>120000000</v>
      </c>
      <c r="C1269" s="41">
        <v>3.2000000000000002E-3</v>
      </c>
      <c r="D1269" s="41">
        <v>5.1874000000000002</v>
      </c>
      <c r="E1269" s="41">
        <v>30</v>
      </c>
      <c r="F1269" s="41">
        <v>0</v>
      </c>
      <c r="G1269" s="41" t="s">
        <v>103</v>
      </c>
      <c r="H1269" s="41">
        <v>1</v>
      </c>
      <c r="I1269" s="41">
        <v>1</v>
      </c>
      <c r="J1269" s="108">
        <v>0</v>
      </c>
      <c r="K1269" s="41">
        <v>0</v>
      </c>
      <c r="L1269" s="41">
        <v>55</v>
      </c>
      <c r="M1269" s="41">
        <v>-1</v>
      </c>
      <c r="N1269" s="41">
        <v>4</v>
      </c>
      <c r="O1269" s="111" t="s">
        <v>1940</v>
      </c>
      <c r="P1269" s="109">
        <v>193040</v>
      </c>
      <c r="Q1269" s="41"/>
      <c r="R1269" s="111"/>
      <c r="S1269" s="110">
        <v>1184121</v>
      </c>
    </row>
    <row r="1270" spans="1:19">
      <c r="A1270" s="105">
        <v>1269</v>
      </c>
      <c r="B1270" s="41">
        <v>120000000</v>
      </c>
      <c r="C1270" s="41">
        <v>3.2000000000000002E-3</v>
      </c>
      <c r="D1270" s="41">
        <v>5.6569000000000003</v>
      </c>
      <c r="E1270" s="41">
        <v>30</v>
      </c>
      <c r="F1270" s="41">
        <v>0</v>
      </c>
      <c r="G1270" s="41" t="s">
        <v>103</v>
      </c>
      <c r="H1270" s="41">
        <v>1</v>
      </c>
      <c r="I1270" s="41">
        <v>1</v>
      </c>
      <c r="J1270" s="108">
        <v>0</v>
      </c>
      <c r="K1270" s="41">
        <v>0</v>
      </c>
      <c r="L1270" s="41">
        <v>55</v>
      </c>
      <c r="M1270" s="41">
        <v>-1</v>
      </c>
      <c r="N1270" s="41">
        <v>4</v>
      </c>
      <c r="O1270" s="111" t="s">
        <v>1941</v>
      </c>
      <c r="P1270" s="109">
        <v>193040</v>
      </c>
      <c r="Q1270" s="41"/>
      <c r="R1270" s="111"/>
      <c r="S1270" s="110">
        <v>1184121</v>
      </c>
    </row>
    <row r="1271" spans="1:19">
      <c r="A1271" s="105">
        <v>1270</v>
      </c>
      <c r="B1271" s="41">
        <v>120000000</v>
      </c>
      <c r="C1271" s="41">
        <v>3.2000000000000002E-3</v>
      </c>
      <c r="D1271" s="41">
        <v>6.1688000000000001</v>
      </c>
      <c r="E1271" s="41">
        <v>30</v>
      </c>
      <c r="F1271" s="41">
        <v>0</v>
      </c>
      <c r="G1271" s="41" t="s">
        <v>103</v>
      </c>
      <c r="H1271" s="41">
        <v>1</v>
      </c>
      <c r="I1271" s="41">
        <v>1</v>
      </c>
      <c r="J1271" s="108">
        <v>0</v>
      </c>
      <c r="K1271" s="41">
        <v>0</v>
      </c>
      <c r="L1271" s="41">
        <v>55</v>
      </c>
      <c r="M1271" s="41">
        <v>-1</v>
      </c>
      <c r="N1271" s="41">
        <v>4</v>
      </c>
      <c r="O1271" s="111" t="s">
        <v>1942</v>
      </c>
      <c r="P1271" s="109">
        <v>193040</v>
      </c>
      <c r="Q1271" s="41"/>
      <c r="R1271" s="111"/>
      <c r="S1271" s="110">
        <v>1184121</v>
      </c>
    </row>
    <row r="1272" spans="1:19">
      <c r="A1272" s="105">
        <v>1271</v>
      </c>
      <c r="B1272" s="41">
        <v>120000000</v>
      </c>
      <c r="C1272" s="41">
        <v>3.2000000000000002E-3</v>
      </c>
      <c r="D1272" s="41">
        <v>6.7271999999999998</v>
      </c>
      <c r="E1272" s="41">
        <v>30</v>
      </c>
      <c r="F1272" s="41">
        <v>0</v>
      </c>
      <c r="G1272" s="41" t="s">
        <v>103</v>
      </c>
      <c r="H1272" s="41">
        <v>1</v>
      </c>
      <c r="I1272" s="41">
        <v>1</v>
      </c>
      <c r="J1272" s="108">
        <v>0</v>
      </c>
      <c r="K1272" s="41">
        <v>0</v>
      </c>
      <c r="L1272" s="41">
        <v>55</v>
      </c>
      <c r="M1272" s="41">
        <v>-1</v>
      </c>
      <c r="N1272" s="41">
        <v>4</v>
      </c>
      <c r="O1272" s="111" t="s">
        <v>1943</v>
      </c>
      <c r="P1272" s="109">
        <v>193040</v>
      </c>
      <c r="Q1272" s="41"/>
      <c r="R1272" s="111"/>
      <c r="S1272" s="110">
        <v>1184121</v>
      </c>
    </row>
    <row r="1273" spans="1:19">
      <c r="A1273" s="105">
        <v>1272</v>
      </c>
      <c r="B1273" s="41">
        <v>120000000</v>
      </c>
      <c r="C1273" s="41">
        <v>3.2000000000000002E-3</v>
      </c>
      <c r="D1273" s="41">
        <v>7.3360000000000003</v>
      </c>
      <c r="E1273" s="41">
        <v>30</v>
      </c>
      <c r="F1273" s="41">
        <v>0</v>
      </c>
      <c r="G1273" s="41" t="s">
        <v>103</v>
      </c>
      <c r="H1273" s="41">
        <v>1</v>
      </c>
      <c r="I1273" s="41">
        <v>1</v>
      </c>
      <c r="J1273" s="108">
        <v>0</v>
      </c>
      <c r="K1273" s="41">
        <v>0</v>
      </c>
      <c r="L1273" s="41">
        <v>55</v>
      </c>
      <c r="M1273" s="41">
        <v>-1</v>
      </c>
      <c r="N1273" s="41">
        <v>4</v>
      </c>
      <c r="O1273" s="111" t="s">
        <v>1944</v>
      </c>
      <c r="P1273" s="109">
        <v>193040</v>
      </c>
      <c r="Q1273" s="41"/>
      <c r="R1273" s="111"/>
      <c r="S1273" s="110">
        <v>1184121</v>
      </c>
    </row>
    <row r="1274" spans="1:19">
      <c r="A1274" s="105">
        <v>1273</v>
      </c>
      <c r="B1274" s="41">
        <v>120000000</v>
      </c>
      <c r="C1274" s="41">
        <v>3.2000000000000002E-3</v>
      </c>
      <c r="D1274" s="41">
        <v>8</v>
      </c>
      <c r="E1274" s="41">
        <v>30</v>
      </c>
      <c r="F1274" s="41">
        <v>0</v>
      </c>
      <c r="G1274" s="41" t="s">
        <v>103</v>
      </c>
      <c r="H1274" s="41">
        <v>1</v>
      </c>
      <c r="I1274" s="41">
        <v>1</v>
      </c>
      <c r="J1274" s="108">
        <v>0</v>
      </c>
      <c r="K1274" s="41">
        <v>0</v>
      </c>
      <c r="L1274" s="41">
        <v>55</v>
      </c>
      <c r="M1274" s="41">
        <v>-1</v>
      </c>
      <c r="N1274" s="41">
        <v>4</v>
      </c>
      <c r="O1274" s="111" t="s">
        <v>1945</v>
      </c>
      <c r="P1274" s="109">
        <v>193040</v>
      </c>
      <c r="Q1274" s="41"/>
      <c r="R1274" s="111"/>
      <c r="S1274" s="110">
        <v>1184121</v>
      </c>
    </row>
    <row r="1275" spans="1:19">
      <c r="A1275" s="105">
        <v>1274</v>
      </c>
      <c r="B1275" s="41">
        <v>120000000</v>
      </c>
      <c r="C1275" s="41">
        <v>3.2000000000000002E-3</v>
      </c>
      <c r="D1275" s="41">
        <v>8.7241</v>
      </c>
      <c r="E1275" s="41">
        <v>30</v>
      </c>
      <c r="F1275" s="41">
        <v>0</v>
      </c>
      <c r="G1275" s="41" t="s">
        <v>103</v>
      </c>
      <c r="H1275" s="41">
        <v>1</v>
      </c>
      <c r="I1275" s="41">
        <v>1</v>
      </c>
      <c r="J1275" s="108">
        <v>0</v>
      </c>
      <c r="K1275" s="41">
        <v>0</v>
      </c>
      <c r="L1275" s="41">
        <v>55</v>
      </c>
      <c r="M1275" s="41">
        <v>-1</v>
      </c>
      <c r="N1275" s="41">
        <v>4</v>
      </c>
      <c r="O1275" s="111" t="s">
        <v>1946</v>
      </c>
      <c r="P1275" s="109">
        <v>193040</v>
      </c>
      <c r="Q1275" s="41"/>
      <c r="R1275" s="111"/>
      <c r="S1275" s="110">
        <v>1184121</v>
      </c>
    </row>
    <row r="1276" spans="1:19">
      <c r="A1276" s="105">
        <v>1275</v>
      </c>
      <c r="B1276" s="41">
        <v>120000000</v>
      </c>
      <c r="C1276" s="41">
        <v>3.2000000000000002E-3</v>
      </c>
      <c r="D1276" s="41">
        <v>9.5137</v>
      </c>
      <c r="E1276" s="41">
        <v>30</v>
      </c>
      <c r="F1276" s="41">
        <v>0</v>
      </c>
      <c r="G1276" s="41" t="s">
        <v>103</v>
      </c>
      <c r="H1276" s="41">
        <v>1</v>
      </c>
      <c r="I1276" s="41">
        <v>1</v>
      </c>
      <c r="J1276" s="108">
        <v>0</v>
      </c>
      <c r="K1276" s="41">
        <v>0</v>
      </c>
      <c r="L1276" s="41">
        <v>55</v>
      </c>
      <c r="M1276" s="41">
        <v>-1</v>
      </c>
      <c r="N1276" s="41">
        <v>4</v>
      </c>
      <c r="O1276" s="111" t="s">
        <v>1947</v>
      </c>
      <c r="P1276" s="109">
        <v>193040</v>
      </c>
      <c r="Q1276" s="41"/>
      <c r="R1276" s="111"/>
      <c r="S1276" s="110">
        <v>1184121</v>
      </c>
    </row>
    <row r="1277" spans="1:19">
      <c r="A1277" s="105">
        <v>1276</v>
      </c>
      <c r="B1277" s="41">
        <v>120000000</v>
      </c>
      <c r="C1277" s="41">
        <v>3.2000000000000002E-3</v>
      </c>
      <c r="D1277" s="41">
        <v>10.374700000000001</v>
      </c>
      <c r="E1277" s="41">
        <v>30</v>
      </c>
      <c r="F1277" s="41">
        <v>0</v>
      </c>
      <c r="G1277" s="41" t="s">
        <v>103</v>
      </c>
      <c r="H1277" s="41">
        <v>1</v>
      </c>
      <c r="I1277" s="41">
        <v>1</v>
      </c>
      <c r="J1277" s="108">
        <v>0</v>
      </c>
      <c r="K1277" s="41">
        <v>0</v>
      </c>
      <c r="L1277" s="41">
        <v>55</v>
      </c>
      <c r="M1277" s="41">
        <v>-1</v>
      </c>
      <c r="N1277" s="41">
        <v>4</v>
      </c>
      <c r="O1277" s="111" t="s">
        <v>1948</v>
      </c>
      <c r="P1277" s="109">
        <v>193157</v>
      </c>
      <c r="Q1277" s="41"/>
      <c r="R1277" s="111"/>
      <c r="S1277" s="110">
        <v>1184121</v>
      </c>
    </row>
    <row r="1278" spans="1:19">
      <c r="A1278" s="105">
        <v>1277</v>
      </c>
      <c r="B1278" s="41">
        <v>120000000</v>
      </c>
      <c r="C1278" s="41">
        <v>3.2000000000000002E-3</v>
      </c>
      <c r="D1278" s="41">
        <v>11.313700000000001</v>
      </c>
      <c r="E1278" s="41">
        <v>30</v>
      </c>
      <c r="F1278" s="41">
        <v>0</v>
      </c>
      <c r="G1278" s="41" t="s">
        <v>103</v>
      </c>
      <c r="H1278" s="41">
        <v>1</v>
      </c>
      <c r="I1278" s="41">
        <v>1</v>
      </c>
      <c r="J1278" s="108">
        <v>0</v>
      </c>
      <c r="K1278" s="41">
        <v>0</v>
      </c>
      <c r="L1278" s="41">
        <v>55</v>
      </c>
      <c r="M1278" s="41">
        <v>-1</v>
      </c>
      <c r="N1278" s="41">
        <v>4</v>
      </c>
      <c r="O1278" s="111" t="s">
        <v>1949</v>
      </c>
      <c r="P1278" s="109">
        <v>193157</v>
      </c>
      <c r="Q1278" s="41"/>
      <c r="R1278" s="111"/>
      <c r="S1278" s="110">
        <v>1184121</v>
      </c>
    </row>
    <row r="1279" spans="1:19">
      <c r="A1279" s="105">
        <v>1278</v>
      </c>
      <c r="B1279" s="41">
        <v>120000000</v>
      </c>
      <c r="C1279" s="41">
        <v>3.2000000000000002E-3</v>
      </c>
      <c r="D1279" s="41">
        <v>12.3377</v>
      </c>
      <c r="E1279" s="41">
        <v>30</v>
      </c>
      <c r="F1279" s="41">
        <v>0</v>
      </c>
      <c r="G1279" s="41" t="s">
        <v>103</v>
      </c>
      <c r="H1279" s="41">
        <v>1</v>
      </c>
      <c r="I1279" s="41">
        <v>1</v>
      </c>
      <c r="J1279" s="108">
        <v>0</v>
      </c>
      <c r="K1279" s="41">
        <v>0</v>
      </c>
      <c r="L1279" s="41">
        <v>55</v>
      </c>
      <c r="M1279" s="41">
        <v>-1</v>
      </c>
      <c r="N1279" s="41">
        <v>4</v>
      </c>
      <c r="O1279" s="111" t="s">
        <v>1950</v>
      </c>
      <c r="P1279" s="109">
        <v>193157</v>
      </c>
      <c r="Q1279" s="41"/>
      <c r="R1279" s="111"/>
      <c r="S1279" s="110">
        <v>1184121</v>
      </c>
    </row>
    <row r="1280" spans="1:19">
      <c r="A1280" s="105">
        <v>1279</v>
      </c>
      <c r="B1280" s="41">
        <v>120000000</v>
      </c>
      <c r="C1280" s="41">
        <v>3.2000000000000002E-3</v>
      </c>
      <c r="D1280" s="41">
        <v>13.4543</v>
      </c>
      <c r="E1280" s="41">
        <v>30</v>
      </c>
      <c r="F1280" s="41">
        <v>0</v>
      </c>
      <c r="G1280" s="41" t="s">
        <v>103</v>
      </c>
      <c r="H1280" s="41">
        <v>1</v>
      </c>
      <c r="I1280" s="41">
        <v>1</v>
      </c>
      <c r="J1280" s="108">
        <v>0</v>
      </c>
      <c r="K1280" s="41">
        <v>0</v>
      </c>
      <c r="L1280" s="41">
        <v>55</v>
      </c>
      <c r="M1280" s="41">
        <v>-1</v>
      </c>
      <c r="N1280" s="41">
        <v>4</v>
      </c>
      <c r="O1280" s="111" t="s">
        <v>1951</v>
      </c>
      <c r="P1280" s="109">
        <v>193157</v>
      </c>
      <c r="Q1280" s="41"/>
      <c r="R1280" s="111"/>
      <c r="S1280" s="110">
        <v>1184121</v>
      </c>
    </row>
    <row r="1281" spans="1:19">
      <c r="A1281" s="105">
        <v>1280</v>
      </c>
      <c r="B1281" s="41">
        <v>120000000</v>
      </c>
      <c r="C1281" s="41">
        <v>3.2000000000000002E-3</v>
      </c>
      <c r="D1281" s="41">
        <v>14.6721</v>
      </c>
      <c r="E1281" s="41">
        <v>30</v>
      </c>
      <c r="F1281" s="41">
        <v>0</v>
      </c>
      <c r="G1281" s="41" t="s">
        <v>103</v>
      </c>
      <c r="H1281" s="41">
        <v>1</v>
      </c>
      <c r="I1281" s="41">
        <v>1</v>
      </c>
      <c r="J1281" s="108">
        <v>0</v>
      </c>
      <c r="K1281" s="41">
        <v>0</v>
      </c>
      <c r="L1281" s="41">
        <v>55</v>
      </c>
      <c r="M1281" s="41">
        <v>-1</v>
      </c>
      <c r="N1281" s="41">
        <v>4</v>
      </c>
      <c r="O1281" s="111" t="s">
        <v>1952</v>
      </c>
      <c r="P1281" s="109">
        <v>193157</v>
      </c>
      <c r="Q1281" s="41"/>
      <c r="R1281" s="111"/>
      <c r="S1281" s="110">
        <v>1184121</v>
      </c>
    </row>
    <row r="1282" spans="1:19">
      <c r="A1282" s="105">
        <v>1281</v>
      </c>
      <c r="B1282" s="41">
        <v>120000000</v>
      </c>
      <c r="C1282" s="41">
        <v>3.2000000000000002E-3</v>
      </c>
      <c r="D1282" s="41">
        <v>16</v>
      </c>
      <c r="E1282" s="41">
        <v>30</v>
      </c>
      <c r="F1282" s="41">
        <v>0</v>
      </c>
      <c r="G1282" s="41" t="s">
        <v>103</v>
      </c>
      <c r="H1282" s="41">
        <v>1</v>
      </c>
      <c r="I1282" s="41">
        <v>1</v>
      </c>
      <c r="J1282" s="108">
        <v>0</v>
      </c>
      <c r="K1282" s="41">
        <v>0</v>
      </c>
      <c r="L1282" s="41">
        <v>55</v>
      </c>
      <c r="M1282" s="41">
        <v>-1</v>
      </c>
      <c r="N1282" s="41">
        <v>4</v>
      </c>
      <c r="O1282" s="111" t="s">
        <v>1953</v>
      </c>
      <c r="P1282" s="109">
        <v>193157</v>
      </c>
      <c r="Q1282" s="41"/>
      <c r="R1282" s="111"/>
      <c r="S1282" s="110">
        <v>1184121</v>
      </c>
    </row>
    <row r="1283" spans="1:19">
      <c r="A1283" s="105">
        <v>1282</v>
      </c>
      <c r="B1283" s="41">
        <v>120000000</v>
      </c>
      <c r="C1283" s="41">
        <v>3.2000000000000002E-3</v>
      </c>
      <c r="D1283" s="41">
        <v>17.4481</v>
      </c>
      <c r="E1283" s="41">
        <v>30</v>
      </c>
      <c r="F1283" s="41">
        <v>0</v>
      </c>
      <c r="G1283" s="41" t="s">
        <v>103</v>
      </c>
      <c r="H1283" s="41">
        <v>1</v>
      </c>
      <c r="I1283" s="41">
        <v>1</v>
      </c>
      <c r="J1283" s="108">
        <v>0</v>
      </c>
      <c r="K1283" s="41">
        <v>0</v>
      </c>
      <c r="L1283" s="41">
        <v>55</v>
      </c>
      <c r="M1283" s="41">
        <v>-1</v>
      </c>
      <c r="N1283" s="41">
        <v>4</v>
      </c>
      <c r="O1283" s="111" t="s">
        <v>1954</v>
      </c>
      <c r="P1283" s="109">
        <v>193157</v>
      </c>
      <c r="Q1283" s="41"/>
      <c r="R1283" s="111"/>
      <c r="S1283" s="110">
        <v>1184121</v>
      </c>
    </row>
    <row r="1284" spans="1:19">
      <c r="A1284" s="105">
        <v>1283</v>
      </c>
      <c r="B1284" s="41">
        <v>120000000</v>
      </c>
      <c r="C1284" s="41">
        <v>3.2000000000000002E-3</v>
      </c>
      <c r="D1284" s="41">
        <v>19.0273</v>
      </c>
      <c r="E1284" s="41">
        <v>30</v>
      </c>
      <c r="F1284" s="41">
        <v>0</v>
      </c>
      <c r="G1284" s="41" t="s">
        <v>103</v>
      </c>
      <c r="H1284" s="41">
        <v>1</v>
      </c>
      <c r="I1284" s="41">
        <v>1</v>
      </c>
      <c r="J1284" s="108">
        <v>0</v>
      </c>
      <c r="K1284" s="41">
        <v>0</v>
      </c>
      <c r="L1284" s="41">
        <v>55</v>
      </c>
      <c r="M1284" s="41">
        <v>-1</v>
      </c>
      <c r="N1284" s="41">
        <v>4</v>
      </c>
      <c r="O1284" s="111" t="s">
        <v>1955</v>
      </c>
      <c r="P1284" s="109">
        <v>193157</v>
      </c>
      <c r="Q1284" s="41"/>
      <c r="R1284" s="111"/>
      <c r="S1284" s="110">
        <v>1184121</v>
      </c>
    </row>
    <row r="1285" spans="1:19">
      <c r="A1285" s="105">
        <v>1284</v>
      </c>
      <c r="B1285" s="41">
        <v>120000000</v>
      </c>
      <c r="C1285" s="41">
        <v>3.5000000000000001E-3</v>
      </c>
      <c r="D1285" s="41">
        <v>4</v>
      </c>
      <c r="E1285" s="41">
        <v>30</v>
      </c>
      <c r="F1285" s="41">
        <v>0</v>
      </c>
      <c r="G1285" s="41" t="s">
        <v>103</v>
      </c>
      <c r="H1285" s="41">
        <v>1</v>
      </c>
      <c r="I1285" s="41">
        <v>1</v>
      </c>
      <c r="J1285" s="108">
        <v>0</v>
      </c>
      <c r="K1285" s="41">
        <v>0</v>
      </c>
      <c r="L1285" s="41">
        <v>55</v>
      </c>
      <c r="M1285" s="41">
        <v>-1</v>
      </c>
      <c r="N1285" s="41">
        <v>4</v>
      </c>
      <c r="O1285" s="111" t="s">
        <v>1956</v>
      </c>
      <c r="P1285" s="109">
        <v>193157</v>
      </c>
      <c r="Q1285" s="41"/>
      <c r="R1285" s="111"/>
      <c r="S1285" s="110">
        <v>1184121</v>
      </c>
    </row>
    <row r="1286" spans="1:19">
      <c r="A1286" s="105">
        <v>1285</v>
      </c>
      <c r="B1286" s="41">
        <v>120000000</v>
      </c>
      <c r="C1286" s="41">
        <v>3.5000000000000001E-3</v>
      </c>
      <c r="D1286" s="41">
        <v>4.3620000000000001</v>
      </c>
      <c r="E1286" s="41">
        <v>30</v>
      </c>
      <c r="F1286" s="41">
        <v>0</v>
      </c>
      <c r="G1286" s="41" t="s">
        <v>103</v>
      </c>
      <c r="H1286" s="41">
        <v>1</v>
      </c>
      <c r="I1286" s="41">
        <v>1</v>
      </c>
      <c r="J1286" s="108">
        <v>0</v>
      </c>
      <c r="K1286" s="41">
        <v>0</v>
      </c>
      <c r="L1286" s="41">
        <v>55</v>
      </c>
      <c r="M1286" s="41">
        <v>-1</v>
      </c>
      <c r="N1286" s="41">
        <v>4</v>
      </c>
      <c r="O1286" s="111" t="s">
        <v>1957</v>
      </c>
      <c r="P1286" s="109">
        <v>193157</v>
      </c>
      <c r="Q1286" s="41"/>
      <c r="R1286" s="111"/>
      <c r="S1286" s="110">
        <v>1184121</v>
      </c>
    </row>
    <row r="1287" spans="1:19">
      <c r="A1287" s="105">
        <v>1286</v>
      </c>
      <c r="B1287" s="41">
        <v>120000000</v>
      </c>
      <c r="C1287" s="41">
        <v>3.5000000000000001E-3</v>
      </c>
      <c r="D1287" s="41">
        <v>4.7568000000000001</v>
      </c>
      <c r="E1287" s="41">
        <v>30</v>
      </c>
      <c r="F1287" s="41">
        <v>0</v>
      </c>
      <c r="G1287" s="41" t="s">
        <v>103</v>
      </c>
      <c r="H1287" s="41">
        <v>1</v>
      </c>
      <c r="I1287" s="41">
        <v>1</v>
      </c>
      <c r="J1287" s="108">
        <v>0</v>
      </c>
      <c r="K1287" s="41">
        <v>0</v>
      </c>
      <c r="L1287" s="41">
        <v>55</v>
      </c>
      <c r="M1287" s="41">
        <v>-1</v>
      </c>
      <c r="N1287" s="41">
        <v>4</v>
      </c>
      <c r="O1287" s="111" t="s">
        <v>1958</v>
      </c>
      <c r="P1287" s="109">
        <v>193157</v>
      </c>
      <c r="Q1287" s="41"/>
      <c r="R1287" s="111"/>
      <c r="S1287" s="110">
        <v>1184121</v>
      </c>
    </row>
    <row r="1288" spans="1:19">
      <c r="A1288" s="105">
        <v>1287</v>
      </c>
      <c r="B1288" s="41">
        <v>120000000</v>
      </c>
      <c r="C1288" s="41">
        <v>3.5000000000000001E-3</v>
      </c>
      <c r="D1288" s="41">
        <v>5.1874000000000002</v>
      </c>
      <c r="E1288" s="41">
        <v>30</v>
      </c>
      <c r="F1288" s="41">
        <v>0</v>
      </c>
      <c r="G1288" s="41" t="s">
        <v>103</v>
      </c>
      <c r="H1288" s="41">
        <v>1</v>
      </c>
      <c r="I1288" s="41">
        <v>1</v>
      </c>
      <c r="J1288" s="108">
        <v>0</v>
      </c>
      <c r="K1288" s="41">
        <v>0</v>
      </c>
      <c r="L1288" s="41">
        <v>55</v>
      </c>
      <c r="M1288" s="41">
        <v>-1</v>
      </c>
      <c r="N1288" s="41">
        <v>4</v>
      </c>
      <c r="O1288" s="111" t="s">
        <v>1959</v>
      </c>
      <c r="P1288" s="109">
        <v>193157</v>
      </c>
      <c r="Q1288" s="41"/>
      <c r="R1288" s="111"/>
      <c r="S1288" s="110">
        <v>1184121</v>
      </c>
    </row>
    <row r="1289" spans="1:19">
      <c r="A1289" s="105">
        <v>1288</v>
      </c>
      <c r="B1289" s="41">
        <v>120000000</v>
      </c>
      <c r="C1289" s="41">
        <v>3.5000000000000001E-3</v>
      </c>
      <c r="D1289" s="41">
        <v>5.6569000000000003</v>
      </c>
      <c r="E1289" s="41">
        <v>30</v>
      </c>
      <c r="F1289" s="41">
        <v>0</v>
      </c>
      <c r="G1289" s="41" t="s">
        <v>103</v>
      </c>
      <c r="H1289" s="41">
        <v>1</v>
      </c>
      <c r="I1289" s="41">
        <v>1</v>
      </c>
      <c r="J1289" s="108">
        <v>0</v>
      </c>
      <c r="K1289" s="41">
        <v>0</v>
      </c>
      <c r="L1289" s="41">
        <v>55</v>
      </c>
      <c r="M1289" s="41">
        <v>-1</v>
      </c>
      <c r="N1289" s="41">
        <v>4</v>
      </c>
      <c r="O1289" s="111" t="s">
        <v>1960</v>
      </c>
      <c r="P1289" s="109">
        <v>193157</v>
      </c>
      <c r="Q1289" s="41"/>
      <c r="R1289" s="111"/>
      <c r="S1289" s="110">
        <v>1184121</v>
      </c>
    </row>
    <row r="1290" spans="1:19">
      <c r="A1290" s="105">
        <v>1289</v>
      </c>
      <c r="B1290" s="41">
        <v>120000000</v>
      </c>
      <c r="C1290" s="41">
        <v>3.5000000000000001E-3</v>
      </c>
      <c r="D1290" s="41">
        <v>6.1688000000000001</v>
      </c>
      <c r="E1290" s="41">
        <v>30</v>
      </c>
      <c r="F1290" s="41">
        <v>0</v>
      </c>
      <c r="G1290" s="41" t="s">
        <v>103</v>
      </c>
      <c r="H1290" s="41">
        <v>1</v>
      </c>
      <c r="I1290" s="41">
        <v>1</v>
      </c>
      <c r="J1290" s="108">
        <v>0</v>
      </c>
      <c r="K1290" s="41">
        <v>0</v>
      </c>
      <c r="L1290" s="41">
        <v>55</v>
      </c>
      <c r="M1290" s="41">
        <v>-1</v>
      </c>
      <c r="N1290" s="41">
        <v>4</v>
      </c>
      <c r="O1290" s="111" t="s">
        <v>1961</v>
      </c>
      <c r="P1290" s="109">
        <v>193157</v>
      </c>
      <c r="Q1290" s="41"/>
      <c r="R1290" s="111"/>
      <c r="S1290" s="110">
        <v>1184121</v>
      </c>
    </row>
    <row r="1291" spans="1:19">
      <c r="A1291" s="105">
        <v>1290</v>
      </c>
      <c r="B1291" s="41">
        <v>120000000</v>
      </c>
      <c r="C1291" s="41">
        <v>3.5000000000000001E-3</v>
      </c>
      <c r="D1291" s="41">
        <v>6.7271999999999998</v>
      </c>
      <c r="E1291" s="41">
        <v>30</v>
      </c>
      <c r="F1291" s="41">
        <v>0</v>
      </c>
      <c r="G1291" s="41" t="s">
        <v>103</v>
      </c>
      <c r="H1291" s="41">
        <v>1</v>
      </c>
      <c r="I1291" s="41">
        <v>1</v>
      </c>
      <c r="J1291" s="108">
        <v>0</v>
      </c>
      <c r="K1291" s="41">
        <v>0</v>
      </c>
      <c r="L1291" s="41">
        <v>55</v>
      </c>
      <c r="M1291" s="41">
        <v>-1</v>
      </c>
      <c r="N1291" s="41">
        <v>4</v>
      </c>
      <c r="O1291" s="111" t="s">
        <v>1962</v>
      </c>
      <c r="P1291" s="109">
        <v>193157</v>
      </c>
      <c r="Q1291" s="41"/>
      <c r="R1291" s="111"/>
      <c r="S1291" s="110">
        <v>1184121</v>
      </c>
    </row>
    <row r="1292" spans="1:19">
      <c r="A1292" s="105">
        <v>1291</v>
      </c>
      <c r="B1292" s="41">
        <v>120000000</v>
      </c>
      <c r="C1292" s="41">
        <v>3.5000000000000001E-3</v>
      </c>
      <c r="D1292" s="41">
        <v>7.3360000000000003</v>
      </c>
      <c r="E1292" s="41">
        <v>30</v>
      </c>
      <c r="F1292" s="41">
        <v>0</v>
      </c>
      <c r="G1292" s="41" t="s">
        <v>103</v>
      </c>
      <c r="H1292" s="41">
        <v>1</v>
      </c>
      <c r="I1292" s="41">
        <v>1</v>
      </c>
      <c r="J1292" s="108">
        <v>0</v>
      </c>
      <c r="K1292" s="41">
        <v>0</v>
      </c>
      <c r="L1292" s="41">
        <v>55</v>
      </c>
      <c r="M1292" s="41">
        <v>-1</v>
      </c>
      <c r="N1292" s="41">
        <v>4</v>
      </c>
      <c r="O1292" s="111" t="s">
        <v>1963</v>
      </c>
      <c r="P1292" s="109">
        <v>193157</v>
      </c>
      <c r="Q1292" s="41"/>
      <c r="R1292" s="111"/>
      <c r="S1292" s="110">
        <v>1184121</v>
      </c>
    </row>
    <row r="1293" spans="1:19">
      <c r="A1293" s="105">
        <v>1292</v>
      </c>
      <c r="B1293" s="41">
        <v>120000000</v>
      </c>
      <c r="C1293" s="41">
        <v>3.5000000000000001E-3</v>
      </c>
      <c r="D1293" s="41">
        <v>8</v>
      </c>
      <c r="E1293" s="41">
        <v>30</v>
      </c>
      <c r="F1293" s="41">
        <v>0</v>
      </c>
      <c r="G1293" s="41" t="s">
        <v>103</v>
      </c>
      <c r="H1293" s="41">
        <v>1</v>
      </c>
      <c r="I1293" s="41">
        <v>1</v>
      </c>
      <c r="J1293" s="108">
        <v>0</v>
      </c>
      <c r="K1293" s="41">
        <v>0</v>
      </c>
      <c r="L1293" s="41">
        <v>55</v>
      </c>
      <c r="M1293" s="41">
        <v>-1</v>
      </c>
      <c r="N1293" s="41">
        <v>4</v>
      </c>
      <c r="O1293" s="111" t="s">
        <v>1964</v>
      </c>
      <c r="P1293" s="109">
        <v>193041</v>
      </c>
      <c r="Q1293" s="41"/>
      <c r="R1293" s="111"/>
      <c r="S1293" s="110">
        <v>1184121</v>
      </c>
    </row>
    <row r="1294" spans="1:19">
      <c r="A1294" s="105">
        <v>1293</v>
      </c>
      <c r="B1294" s="41">
        <v>120000000</v>
      </c>
      <c r="C1294" s="41">
        <v>3.5000000000000001E-3</v>
      </c>
      <c r="D1294" s="41">
        <v>8.7241</v>
      </c>
      <c r="E1294" s="41">
        <v>30</v>
      </c>
      <c r="F1294" s="41">
        <v>0</v>
      </c>
      <c r="G1294" s="41" t="s">
        <v>103</v>
      </c>
      <c r="H1294" s="41">
        <v>1</v>
      </c>
      <c r="I1294" s="41">
        <v>1</v>
      </c>
      <c r="J1294" s="108">
        <v>0</v>
      </c>
      <c r="K1294" s="41">
        <v>0</v>
      </c>
      <c r="L1294" s="41">
        <v>55</v>
      </c>
      <c r="M1294" s="41">
        <v>-1</v>
      </c>
      <c r="N1294" s="41">
        <v>4</v>
      </c>
      <c r="O1294" s="111" t="s">
        <v>1965</v>
      </c>
      <c r="P1294" s="109">
        <v>193041</v>
      </c>
      <c r="Q1294" s="41"/>
      <c r="R1294" s="111"/>
      <c r="S1294" s="110">
        <v>1184121</v>
      </c>
    </row>
    <row r="1295" spans="1:19">
      <c r="A1295" s="105">
        <v>1294</v>
      </c>
      <c r="B1295" s="41">
        <v>120000000</v>
      </c>
      <c r="C1295" s="41">
        <v>3.5000000000000001E-3</v>
      </c>
      <c r="D1295" s="41">
        <v>9.5137</v>
      </c>
      <c r="E1295" s="41">
        <v>30</v>
      </c>
      <c r="F1295" s="41">
        <v>0</v>
      </c>
      <c r="G1295" s="41" t="s">
        <v>103</v>
      </c>
      <c r="H1295" s="41">
        <v>1</v>
      </c>
      <c r="I1295" s="41">
        <v>1</v>
      </c>
      <c r="J1295" s="108">
        <v>0</v>
      </c>
      <c r="K1295" s="41">
        <v>0</v>
      </c>
      <c r="L1295" s="41">
        <v>55</v>
      </c>
      <c r="M1295" s="41">
        <v>-1</v>
      </c>
      <c r="N1295" s="41">
        <v>4</v>
      </c>
      <c r="O1295" s="111" t="s">
        <v>1966</v>
      </c>
      <c r="P1295" s="109">
        <v>193041</v>
      </c>
      <c r="Q1295" s="41"/>
      <c r="R1295" s="111"/>
      <c r="S1295" s="110">
        <v>1184121</v>
      </c>
    </row>
    <row r="1296" spans="1:19">
      <c r="A1296" s="105">
        <v>1295</v>
      </c>
      <c r="B1296" s="41">
        <v>120000000</v>
      </c>
      <c r="C1296" s="41">
        <v>3.5000000000000001E-3</v>
      </c>
      <c r="D1296" s="41">
        <v>10.374700000000001</v>
      </c>
      <c r="E1296" s="41">
        <v>30</v>
      </c>
      <c r="F1296" s="41">
        <v>0</v>
      </c>
      <c r="G1296" s="41" t="s">
        <v>103</v>
      </c>
      <c r="H1296" s="41">
        <v>1</v>
      </c>
      <c r="I1296" s="41">
        <v>1</v>
      </c>
      <c r="J1296" s="108">
        <v>0</v>
      </c>
      <c r="K1296" s="41">
        <v>0</v>
      </c>
      <c r="L1296" s="41">
        <v>55</v>
      </c>
      <c r="M1296" s="41">
        <v>-1</v>
      </c>
      <c r="N1296" s="41">
        <v>4</v>
      </c>
      <c r="O1296" s="111" t="s">
        <v>1967</v>
      </c>
      <c r="P1296" s="109">
        <v>193041</v>
      </c>
      <c r="Q1296" s="41"/>
      <c r="R1296" s="111"/>
      <c r="S1296" s="110">
        <v>1184121</v>
      </c>
    </row>
    <row r="1297" spans="1:19">
      <c r="A1297" s="105">
        <v>1296</v>
      </c>
      <c r="B1297" s="41">
        <v>120000000</v>
      </c>
      <c r="C1297" s="41">
        <v>3.5000000000000001E-3</v>
      </c>
      <c r="D1297" s="41">
        <v>11.313700000000001</v>
      </c>
      <c r="E1297" s="41">
        <v>30</v>
      </c>
      <c r="F1297" s="41">
        <v>0</v>
      </c>
      <c r="G1297" s="41" t="s">
        <v>103</v>
      </c>
      <c r="H1297" s="41">
        <v>1</v>
      </c>
      <c r="I1297" s="41">
        <v>1</v>
      </c>
      <c r="J1297" s="108">
        <v>0</v>
      </c>
      <c r="K1297" s="41">
        <v>0</v>
      </c>
      <c r="L1297" s="41">
        <v>55</v>
      </c>
      <c r="M1297" s="41">
        <v>-1</v>
      </c>
      <c r="N1297" s="41">
        <v>4</v>
      </c>
      <c r="O1297" s="111" t="s">
        <v>1968</v>
      </c>
      <c r="P1297" s="109">
        <v>193041</v>
      </c>
      <c r="Q1297" s="41"/>
      <c r="R1297" s="111"/>
      <c r="S1297" s="110">
        <v>1184121</v>
      </c>
    </row>
    <row r="1298" spans="1:19">
      <c r="A1298" s="105">
        <v>1297</v>
      </c>
      <c r="B1298" s="41">
        <v>120000000</v>
      </c>
      <c r="C1298" s="41">
        <v>3.5000000000000001E-3</v>
      </c>
      <c r="D1298" s="41">
        <v>12.3377</v>
      </c>
      <c r="E1298" s="41">
        <v>30</v>
      </c>
      <c r="F1298" s="41">
        <v>0</v>
      </c>
      <c r="G1298" s="41" t="s">
        <v>103</v>
      </c>
      <c r="H1298" s="41">
        <v>1</v>
      </c>
      <c r="I1298" s="41">
        <v>1</v>
      </c>
      <c r="J1298" s="108">
        <v>0</v>
      </c>
      <c r="K1298" s="41">
        <v>0</v>
      </c>
      <c r="L1298" s="41">
        <v>55</v>
      </c>
      <c r="M1298" s="41">
        <v>-1</v>
      </c>
      <c r="N1298" s="41">
        <v>4</v>
      </c>
      <c r="O1298" s="111" t="s">
        <v>1969</v>
      </c>
      <c r="P1298" s="109">
        <v>193041</v>
      </c>
      <c r="Q1298" s="41"/>
      <c r="R1298" s="111"/>
      <c r="S1298" s="110">
        <v>1184121</v>
      </c>
    </row>
    <row r="1299" spans="1:19">
      <c r="A1299" s="105">
        <v>1298</v>
      </c>
      <c r="B1299" s="41">
        <v>120000000</v>
      </c>
      <c r="C1299" s="41">
        <v>3.5000000000000001E-3</v>
      </c>
      <c r="D1299" s="41">
        <v>13.4543</v>
      </c>
      <c r="E1299" s="41">
        <v>30</v>
      </c>
      <c r="F1299" s="41">
        <v>0</v>
      </c>
      <c r="G1299" s="41" t="s">
        <v>103</v>
      </c>
      <c r="H1299" s="41">
        <v>1</v>
      </c>
      <c r="I1299" s="41">
        <v>1</v>
      </c>
      <c r="J1299" s="108">
        <v>0</v>
      </c>
      <c r="K1299" s="41">
        <v>0</v>
      </c>
      <c r="L1299" s="41">
        <v>55</v>
      </c>
      <c r="M1299" s="41">
        <v>-1</v>
      </c>
      <c r="N1299" s="41">
        <v>4</v>
      </c>
      <c r="O1299" s="111" t="s">
        <v>1970</v>
      </c>
      <c r="P1299" s="109">
        <v>193041</v>
      </c>
      <c r="Q1299" s="41"/>
      <c r="R1299" s="111"/>
      <c r="S1299" s="110">
        <v>1184121</v>
      </c>
    </row>
    <row r="1300" spans="1:19">
      <c r="A1300" s="105">
        <v>1299</v>
      </c>
      <c r="B1300" s="41">
        <v>120000000</v>
      </c>
      <c r="C1300" s="41">
        <v>3.5000000000000001E-3</v>
      </c>
      <c r="D1300" s="41">
        <v>14.6721</v>
      </c>
      <c r="E1300" s="41">
        <v>30</v>
      </c>
      <c r="F1300" s="41">
        <v>0</v>
      </c>
      <c r="G1300" s="41" t="s">
        <v>103</v>
      </c>
      <c r="H1300" s="41">
        <v>1</v>
      </c>
      <c r="I1300" s="41">
        <v>1</v>
      </c>
      <c r="J1300" s="108">
        <v>0</v>
      </c>
      <c r="K1300" s="41">
        <v>0</v>
      </c>
      <c r="L1300" s="41">
        <v>55</v>
      </c>
      <c r="M1300" s="41">
        <v>-1</v>
      </c>
      <c r="N1300" s="41">
        <v>4</v>
      </c>
      <c r="O1300" s="111" t="s">
        <v>1971</v>
      </c>
      <c r="P1300" s="109">
        <v>193041</v>
      </c>
      <c r="Q1300" s="41"/>
      <c r="R1300" s="111"/>
      <c r="S1300" s="110">
        <v>1184121</v>
      </c>
    </row>
    <row r="1301" spans="1:19">
      <c r="A1301" s="105">
        <v>1300</v>
      </c>
      <c r="B1301" s="41">
        <v>120000000</v>
      </c>
      <c r="C1301" s="41">
        <v>3.5000000000000001E-3</v>
      </c>
      <c r="D1301" s="41">
        <v>16</v>
      </c>
      <c r="E1301" s="41">
        <v>30</v>
      </c>
      <c r="F1301" s="41">
        <v>0</v>
      </c>
      <c r="G1301" s="41" t="s">
        <v>103</v>
      </c>
      <c r="H1301" s="41">
        <v>1</v>
      </c>
      <c r="I1301" s="41">
        <v>1</v>
      </c>
      <c r="J1301" s="108">
        <v>0</v>
      </c>
      <c r="K1301" s="41">
        <v>0</v>
      </c>
      <c r="L1301" s="41">
        <v>55</v>
      </c>
      <c r="M1301" s="41">
        <v>-1</v>
      </c>
      <c r="N1301" s="41">
        <v>4</v>
      </c>
      <c r="O1301" s="111" t="s">
        <v>1972</v>
      </c>
      <c r="P1301" s="109">
        <v>193041</v>
      </c>
      <c r="Q1301" s="41"/>
      <c r="R1301" s="111"/>
      <c r="S1301" s="110">
        <v>1184121</v>
      </c>
    </row>
    <row r="1302" spans="1:19">
      <c r="A1302" s="105">
        <v>1301</v>
      </c>
      <c r="B1302" s="41">
        <v>120000000</v>
      </c>
      <c r="C1302" s="41">
        <v>3.5000000000000001E-3</v>
      </c>
      <c r="D1302" s="41">
        <v>17.4481</v>
      </c>
      <c r="E1302" s="41">
        <v>30</v>
      </c>
      <c r="F1302" s="41">
        <v>0</v>
      </c>
      <c r="G1302" s="41" t="s">
        <v>103</v>
      </c>
      <c r="H1302" s="41">
        <v>1</v>
      </c>
      <c r="I1302" s="41">
        <v>1</v>
      </c>
      <c r="J1302" s="108">
        <v>0</v>
      </c>
      <c r="K1302" s="41">
        <v>0</v>
      </c>
      <c r="L1302" s="41">
        <v>55</v>
      </c>
      <c r="M1302" s="41">
        <v>-1</v>
      </c>
      <c r="N1302" s="41">
        <v>4</v>
      </c>
      <c r="O1302" s="111" t="s">
        <v>1973</v>
      </c>
      <c r="P1302" s="109">
        <v>193041</v>
      </c>
      <c r="Q1302" s="41"/>
      <c r="R1302" s="111"/>
      <c r="S1302" s="110">
        <v>1184121</v>
      </c>
    </row>
    <row r="1303" spans="1:19">
      <c r="A1303" s="105">
        <v>1302</v>
      </c>
      <c r="B1303" s="41">
        <v>120000000</v>
      </c>
      <c r="C1303" s="41">
        <v>3.5000000000000001E-3</v>
      </c>
      <c r="D1303" s="41">
        <v>19.0273</v>
      </c>
      <c r="E1303" s="41">
        <v>30</v>
      </c>
      <c r="F1303" s="41">
        <v>0</v>
      </c>
      <c r="G1303" s="41" t="s">
        <v>103</v>
      </c>
      <c r="H1303" s="41">
        <v>1</v>
      </c>
      <c r="I1303" s="41">
        <v>1</v>
      </c>
      <c r="J1303" s="108">
        <v>0</v>
      </c>
      <c r="K1303" s="41">
        <v>0</v>
      </c>
      <c r="L1303" s="41">
        <v>55</v>
      </c>
      <c r="M1303" s="41">
        <v>-1</v>
      </c>
      <c r="N1303" s="41">
        <v>4</v>
      </c>
      <c r="O1303" s="111" t="s">
        <v>1974</v>
      </c>
      <c r="P1303" s="109">
        <v>193041</v>
      </c>
      <c r="Q1303" s="41"/>
      <c r="R1303" s="111"/>
      <c r="S1303" s="110">
        <v>1184121</v>
      </c>
    </row>
    <row r="1304" spans="1:19">
      <c r="A1304" s="105">
        <v>1303</v>
      </c>
      <c r="B1304" s="41">
        <v>120000000</v>
      </c>
      <c r="C1304" s="41">
        <v>3.8E-3</v>
      </c>
      <c r="D1304" s="41">
        <v>4.7568000000000001</v>
      </c>
      <c r="E1304" s="41">
        <v>30</v>
      </c>
      <c r="F1304" s="41">
        <v>0</v>
      </c>
      <c r="G1304" s="41" t="s">
        <v>103</v>
      </c>
      <c r="H1304" s="41">
        <v>1</v>
      </c>
      <c r="I1304" s="41">
        <v>1</v>
      </c>
      <c r="J1304" s="108">
        <v>0</v>
      </c>
      <c r="K1304" s="41">
        <v>0</v>
      </c>
      <c r="L1304" s="41">
        <v>55</v>
      </c>
      <c r="M1304" s="41">
        <v>-1</v>
      </c>
      <c r="N1304" s="41">
        <v>4</v>
      </c>
      <c r="O1304" s="111" t="s">
        <v>1975</v>
      </c>
      <c r="P1304" s="109">
        <v>193041</v>
      </c>
      <c r="Q1304" s="41"/>
      <c r="R1304" s="111"/>
      <c r="S1304" s="110">
        <v>1184121</v>
      </c>
    </row>
    <row r="1305" spans="1:19">
      <c r="A1305" s="105">
        <v>1304</v>
      </c>
      <c r="B1305" s="41">
        <v>120000000</v>
      </c>
      <c r="C1305" s="41">
        <v>3.8E-3</v>
      </c>
      <c r="D1305" s="41">
        <v>5.1874000000000002</v>
      </c>
      <c r="E1305" s="41">
        <v>30</v>
      </c>
      <c r="F1305" s="41">
        <v>0</v>
      </c>
      <c r="G1305" s="41" t="s">
        <v>103</v>
      </c>
      <c r="H1305" s="41">
        <v>1</v>
      </c>
      <c r="I1305" s="41">
        <v>1</v>
      </c>
      <c r="J1305" s="108">
        <v>0</v>
      </c>
      <c r="K1305" s="41">
        <v>0</v>
      </c>
      <c r="L1305" s="41">
        <v>55</v>
      </c>
      <c r="M1305" s="41">
        <v>-1</v>
      </c>
      <c r="N1305" s="41">
        <v>4</v>
      </c>
      <c r="O1305" s="111" t="s">
        <v>1976</v>
      </c>
      <c r="P1305" s="109">
        <v>193041</v>
      </c>
      <c r="Q1305" s="41"/>
      <c r="R1305" s="111"/>
      <c r="S1305" s="110">
        <v>1184121</v>
      </c>
    </row>
    <row r="1306" spans="1:19">
      <c r="A1306" s="105">
        <v>1305</v>
      </c>
      <c r="B1306" s="41">
        <v>120000000</v>
      </c>
      <c r="C1306" s="41">
        <v>3.8E-3</v>
      </c>
      <c r="D1306" s="41">
        <v>5.6569000000000003</v>
      </c>
      <c r="E1306" s="41">
        <v>30</v>
      </c>
      <c r="F1306" s="41">
        <v>0</v>
      </c>
      <c r="G1306" s="41" t="s">
        <v>103</v>
      </c>
      <c r="H1306" s="41">
        <v>1</v>
      </c>
      <c r="I1306" s="41">
        <v>1</v>
      </c>
      <c r="J1306" s="108">
        <v>0</v>
      </c>
      <c r="K1306" s="41">
        <v>0</v>
      </c>
      <c r="L1306" s="41">
        <v>55</v>
      </c>
      <c r="M1306" s="41">
        <v>-1</v>
      </c>
      <c r="N1306" s="41">
        <v>4</v>
      </c>
      <c r="O1306" s="111" t="s">
        <v>1977</v>
      </c>
      <c r="P1306" s="109">
        <v>193041</v>
      </c>
      <c r="Q1306" s="41"/>
      <c r="R1306" s="111"/>
      <c r="S1306" s="110">
        <v>1184121</v>
      </c>
    </row>
    <row r="1307" spans="1:19">
      <c r="A1307" s="105">
        <v>1306</v>
      </c>
      <c r="B1307" s="41">
        <v>120000000</v>
      </c>
      <c r="C1307" s="41">
        <v>3.8E-3</v>
      </c>
      <c r="D1307" s="41">
        <v>6.1688000000000001</v>
      </c>
      <c r="E1307" s="41">
        <v>30</v>
      </c>
      <c r="F1307" s="41">
        <v>0</v>
      </c>
      <c r="G1307" s="41" t="s">
        <v>103</v>
      </c>
      <c r="H1307" s="41">
        <v>1</v>
      </c>
      <c r="I1307" s="41">
        <v>1</v>
      </c>
      <c r="J1307" s="108">
        <v>0</v>
      </c>
      <c r="K1307" s="41">
        <v>0</v>
      </c>
      <c r="L1307" s="41">
        <v>55</v>
      </c>
      <c r="M1307" s="41">
        <v>-1</v>
      </c>
      <c r="N1307" s="41">
        <v>4</v>
      </c>
      <c r="O1307" s="111" t="s">
        <v>1978</v>
      </c>
      <c r="P1307" s="109">
        <v>193041</v>
      </c>
      <c r="Q1307" s="41"/>
      <c r="R1307" s="111"/>
      <c r="S1307" s="110">
        <v>1184121</v>
      </c>
    </row>
    <row r="1308" spans="1:19">
      <c r="A1308" s="105">
        <v>1307</v>
      </c>
      <c r="B1308" s="41">
        <v>120000000</v>
      </c>
      <c r="C1308" s="41">
        <v>3.8E-3</v>
      </c>
      <c r="D1308" s="41">
        <v>6.7271999999999998</v>
      </c>
      <c r="E1308" s="41">
        <v>30</v>
      </c>
      <c r="F1308" s="41">
        <v>0</v>
      </c>
      <c r="G1308" s="41" t="s">
        <v>103</v>
      </c>
      <c r="H1308" s="41">
        <v>1</v>
      </c>
      <c r="I1308" s="41">
        <v>1</v>
      </c>
      <c r="J1308" s="108">
        <v>0</v>
      </c>
      <c r="K1308" s="41">
        <v>0</v>
      </c>
      <c r="L1308" s="41">
        <v>55</v>
      </c>
      <c r="M1308" s="41">
        <v>-1</v>
      </c>
      <c r="N1308" s="41">
        <v>4</v>
      </c>
      <c r="O1308" s="111" t="s">
        <v>1979</v>
      </c>
      <c r="P1308" s="109">
        <v>193041</v>
      </c>
      <c r="Q1308" s="41"/>
      <c r="R1308" s="111"/>
      <c r="S1308" s="110">
        <v>1184121</v>
      </c>
    </row>
    <row r="1309" spans="1:19">
      <c r="A1309" s="105">
        <v>1308</v>
      </c>
      <c r="B1309" s="41">
        <v>120000000</v>
      </c>
      <c r="C1309" s="41">
        <v>3.8E-3</v>
      </c>
      <c r="D1309" s="41">
        <v>7.3360000000000003</v>
      </c>
      <c r="E1309" s="41">
        <v>30</v>
      </c>
      <c r="F1309" s="41">
        <v>0</v>
      </c>
      <c r="G1309" s="41" t="s">
        <v>103</v>
      </c>
      <c r="H1309" s="41">
        <v>1</v>
      </c>
      <c r="I1309" s="41">
        <v>1</v>
      </c>
      <c r="J1309" s="108">
        <v>0</v>
      </c>
      <c r="K1309" s="41">
        <v>0</v>
      </c>
      <c r="L1309" s="41">
        <v>55</v>
      </c>
      <c r="M1309" s="41">
        <v>-1</v>
      </c>
      <c r="N1309" s="41">
        <v>4</v>
      </c>
      <c r="O1309" s="111" t="s">
        <v>1980</v>
      </c>
      <c r="P1309" s="109">
        <v>193041</v>
      </c>
      <c r="Q1309" s="41"/>
      <c r="R1309" s="111"/>
      <c r="S1309" s="110">
        <v>1184121</v>
      </c>
    </row>
    <row r="1310" spans="1:19">
      <c r="A1310" s="105">
        <v>1309</v>
      </c>
      <c r="B1310" s="41">
        <v>120000000</v>
      </c>
      <c r="C1310" s="41">
        <v>3.8E-3</v>
      </c>
      <c r="D1310" s="41">
        <v>8</v>
      </c>
      <c r="E1310" s="41">
        <v>30</v>
      </c>
      <c r="F1310" s="41">
        <v>0</v>
      </c>
      <c r="G1310" s="41" t="s">
        <v>103</v>
      </c>
      <c r="H1310" s="41">
        <v>1</v>
      </c>
      <c r="I1310" s="41">
        <v>1</v>
      </c>
      <c r="J1310" s="108">
        <v>0</v>
      </c>
      <c r="K1310" s="41">
        <v>0</v>
      </c>
      <c r="L1310" s="41">
        <v>55</v>
      </c>
      <c r="M1310" s="41">
        <v>-1</v>
      </c>
      <c r="N1310" s="41">
        <v>4</v>
      </c>
      <c r="O1310" s="111" t="s">
        <v>1981</v>
      </c>
      <c r="P1310" s="109">
        <v>193041</v>
      </c>
      <c r="Q1310" s="41"/>
      <c r="R1310" s="111"/>
      <c r="S1310" s="110">
        <v>1184121</v>
      </c>
    </row>
    <row r="1311" spans="1:19">
      <c r="A1311" s="105">
        <v>1310</v>
      </c>
      <c r="B1311" s="41">
        <v>120000000</v>
      </c>
      <c r="C1311" s="41">
        <v>3.8E-3</v>
      </c>
      <c r="D1311" s="41">
        <v>8.7241</v>
      </c>
      <c r="E1311" s="41">
        <v>30</v>
      </c>
      <c r="F1311" s="41">
        <v>0</v>
      </c>
      <c r="G1311" s="41" t="s">
        <v>103</v>
      </c>
      <c r="H1311" s="41">
        <v>1</v>
      </c>
      <c r="I1311" s="41">
        <v>1</v>
      </c>
      <c r="J1311" s="108">
        <v>0</v>
      </c>
      <c r="K1311" s="41">
        <v>0</v>
      </c>
      <c r="L1311" s="41">
        <v>55</v>
      </c>
      <c r="M1311" s="41">
        <v>-1</v>
      </c>
      <c r="N1311" s="41">
        <v>4</v>
      </c>
      <c r="O1311" s="111" t="s">
        <v>1982</v>
      </c>
      <c r="P1311" s="109">
        <v>193041</v>
      </c>
      <c r="Q1311" s="41"/>
      <c r="R1311" s="111"/>
      <c r="S1311" s="110">
        <v>1184121</v>
      </c>
    </row>
    <row r="1312" spans="1:19">
      <c r="A1312" s="105">
        <v>1311</v>
      </c>
      <c r="B1312" s="41">
        <v>120000000</v>
      </c>
      <c r="C1312" s="41">
        <v>3.8E-3</v>
      </c>
      <c r="D1312" s="41">
        <v>9.5137</v>
      </c>
      <c r="E1312" s="41">
        <v>30</v>
      </c>
      <c r="F1312" s="41">
        <v>0</v>
      </c>
      <c r="G1312" s="41" t="s">
        <v>103</v>
      </c>
      <c r="H1312" s="41">
        <v>1</v>
      </c>
      <c r="I1312" s="41">
        <v>1</v>
      </c>
      <c r="J1312" s="108">
        <v>0</v>
      </c>
      <c r="K1312" s="41">
        <v>0</v>
      </c>
      <c r="L1312" s="41">
        <v>55</v>
      </c>
      <c r="M1312" s="41">
        <v>-1</v>
      </c>
      <c r="N1312" s="41">
        <v>4</v>
      </c>
      <c r="O1312" s="111" t="s">
        <v>1983</v>
      </c>
      <c r="P1312" s="109">
        <v>193041</v>
      </c>
      <c r="Q1312" s="41"/>
      <c r="R1312" s="111"/>
      <c r="S1312" s="110">
        <v>1184121</v>
      </c>
    </row>
    <row r="1313" spans="1:19">
      <c r="A1313" s="105">
        <v>1312</v>
      </c>
      <c r="B1313" s="41">
        <v>120000000</v>
      </c>
      <c r="C1313" s="41">
        <v>3.8E-3</v>
      </c>
      <c r="D1313" s="41">
        <v>10.374700000000001</v>
      </c>
      <c r="E1313" s="41">
        <v>30</v>
      </c>
      <c r="F1313" s="41">
        <v>0</v>
      </c>
      <c r="G1313" s="41" t="s">
        <v>103</v>
      </c>
      <c r="H1313" s="41">
        <v>1</v>
      </c>
      <c r="I1313" s="41">
        <v>1</v>
      </c>
      <c r="J1313" s="108">
        <v>0</v>
      </c>
      <c r="K1313" s="41">
        <v>0</v>
      </c>
      <c r="L1313" s="41">
        <v>55</v>
      </c>
      <c r="M1313" s="41">
        <v>-1</v>
      </c>
      <c r="N1313" s="41">
        <v>4</v>
      </c>
      <c r="O1313" s="111" t="s">
        <v>1984</v>
      </c>
      <c r="P1313" s="109">
        <v>193041</v>
      </c>
      <c r="Q1313" s="41"/>
      <c r="R1313" s="111"/>
      <c r="S1313" s="110">
        <v>1184121</v>
      </c>
    </row>
    <row r="1314" spans="1:19">
      <c r="A1314" s="105">
        <v>1313</v>
      </c>
      <c r="B1314" s="41">
        <v>120000000</v>
      </c>
      <c r="C1314" s="41">
        <v>3.8E-3</v>
      </c>
      <c r="D1314" s="41">
        <v>11.313700000000001</v>
      </c>
      <c r="E1314" s="41">
        <v>30</v>
      </c>
      <c r="F1314" s="41">
        <v>0</v>
      </c>
      <c r="G1314" s="41" t="s">
        <v>103</v>
      </c>
      <c r="H1314" s="41">
        <v>1</v>
      </c>
      <c r="I1314" s="41">
        <v>1</v>
      </c>
      <c r="J1314" s="108">
        <v>0</v>
      </c>
      <c r="K1314" s="41">
        <v>0</v>
      </c>
      <c r="L1314" s="41">
        <v>55</v>
      </c>
      <c r="M1314" s="41">
        <v>-1</v>
      </c>
      <c r="N1314" s="41">
        <v>4</v>
      </c>
      <c r="O1314" s="111" t="s">
        <v>1985</v>
      </c>
      <c r="P1314" s="109">
        <v>193041</v>
      </c>
      <c r="Q1314" s="41"/>
      <c r="R1314" s="111"/>
      <c r="S1314" s="110">
        <v>1184121</v>
      </c>
    </row>
    <row r="1315" spans="1:19">
      <c r="A1315" s="105">
        <v>1314</v>
      </c>
      <c r="B1315" s="41">
        <v>120000000</v>
      </c>
      <c r="C1315" s="41">
        <v>3.8E-3</v>
      </c>
      <c r="D1315" s="41">
        <v>12.3377</v>
      </c>
      <c r="E1315" s="41">
        <v>30</v>
      </c>
      <c r="F1315" s="41">
        <v>0</v>
      </c>
      <c r="G1315" s="41" t="s">
        <v>103</v>
      </c>
      <c r="H1315" s="41">
        <v>1</v>
      </c>
      <c r="I1315" s="41">
        <v>1</v>
      </c>
      <c r="J1315" s="108">
        <v>0</v>
      </c>
      <c r="K1315" s="41">
        <v>0</v>
      </c>
      <c r="L1315" s="41">
        <v>55</v>
      </c>
      <c r="M1315" s="41">
        <v>-1</v>
      </c>
      <c r="N1315" s="41">
        <v>4</v>
      </c>
      <c r="O1315" s="111" t="s">
        <v>1986</v>
      </c>
      <c r="P1315" s="109">
        <v>193041</v>
      </c>
      <c r="Q1315" s="41"/>
      <c r="R1315" s="111"/>
      <c r="S1315" s="110">
        <v>1184121</v>
      </c>
    </row>
    <row r="1316" spans="1:19">
      <c r="A1316" s="105">
        <v>1315</v>
      </c>
      <c r="B1316" s="41">
        <v>120000000</v>
      </c>
      <c r="C1316" s="41">
        <v>3.8E-3</v>
      </c>
      <c r="D1316" s="41">
        <v>13.4543</v>
      </c>
      <c r="E1316" s="41">
        <v>30</v>
      </c>
      <c r="F1316" s="41">
        <v>0</v>
      </c>
      <c r="G1316" s="41" t="s">
        <v>103</v>
      </c>
      <c r="H1316" s="41">
        <v>1</v>
      </c>
      <c r="I1316" s="41">
        <v>1</v>
      </c>
      <c r="J1316" s="108">
        <v>0</v>
      </c>
      <c r="K1316" s="41">
        <v>0</v>
      </c>
      <c r="L1316" s="41">
        <v>55</v>
      </c>
      <c r="M1316" s="41">
        <v>-1</v>
      </c>
      <c r="N1316" s="41">
        <v>4</v>
      </c>
      <c r="O1316" s="111" t="s">
        <v>1987</v>
      </c>
      <c r="P1316" s="109">
        <v>193041</v>
      </c>
      <c r="Q1316" s="41"/>
      <c r="R1316" s="111"/>
      <c r="S1316" s="110">
        <v>1184121</v>
      </c>
    </row>
    <row r="1317" spans="1:19">
      <c r="A1317" s="105">
        <v>1316</v>
      </c>
      <c r="B1317" s="41">
        <v>120000000</v>
      </c>
      <c r="C1317" s="41">
        <v>3.8E-3</v>
      </c>
      <c r="D1317" s="41">
        <v>14.6721</v>
      </c>
      <c r="E1317" s="41">
        <v>30</v>
      </c>
      <c r="F1317" s="41">
        <v>0</v>
      </c>
      <c r="G1317" s="41" t="s">
        <v>103</v>
      </c>
      <c r="H1317" s="41">
        <v>1</v>
      </c>
      <c r="I1317" s="41">
        <v>1</v>
      </c>
      <c r="J1317" s="108">
        <v>0</v>
      </c>
      <c r="K1317" s="41">
        <v>0</v>
      </c>
      <c r="L1317" s="41">
        <v>55</v>
      </c>
      <c r="M1317" s="41">
        <v>-1</v>
      </c>
      <c r="N1317" s="41">
        <v>4</v>
      </c>
      <c r="O1317" s="111" t="s">
        <v>1988</v>
      </c>
      <c r="P1317" s="109">
        <v>193041</v>
      </c>
      <c r="Q1317" s="41"/>
      <c r="R1317" s="111"/>
      <c r="S1317" s="110">
        <v>1184121</v>
      </c>
    </row>
    <row r="1318" spans="1:19">
      <c r="A1318" s="105">
        <v>1317</v>
      </c>
      <c r="B1318" s="41">
        <v>120000000</v>
      </c>
      <c r="C1318" s="41">
        <v>3.8E-3</v>
      </c>
      <c r="D1318" s="41">
        <v>16</v>
      </c>
      <c r="E1318" s="41">
        <v>30</v>
      </c>
      <c r="F1318" s="41">
        <v>0</v>
      </c>
      <c r="G1318" s="41" t="s">
        <v>103</v>
      </c>
      <c r="H1318" s="41">
        <v>1</v>
      </c>
      <c r="I1318" s="41">
        <v>1</v>
      </c>
      <c r="J1318" s="108">
        <v>0</v>
      </c>
      <c r="K1318" s="41">
        <v>0</v>
      </c>
      <c r="L1318" s="41">
        <v>55</v>
      </c>
      <c r="M1318" s="41">
        <v>-1</v>
      </c>
      <c r="N1318" s="41">
        <v>4</v>
      </c>
      <c r="O1318" s="111" t="s">
        <v>1989</v>
      </c>
      <c r="P1318" s="109">
        <v>193041</v>
      </c>
      <c r="Q1318" s="41"/>
      <c r="R1318" s="111"/>
      <c r="S1318" s="110">
        <v>1184121</v>
      </c>
    </row>
    <row r="1319" spans="1:19">
      <c r="A1319" s="105">
        <v>1318</v>
      </c>
      <c r="B1319" s="41">
        <v>120000000</v>
      </c>
      <c r="C1319" s="41">
        <v>3.8E-3</v>
      </c>
      <c r="D1319" s="41">
        <v>17.4481</v>
      </c>
      <c r="E1319" s="41">
        <v>30</v>
      </c>
      <c r="F1319" s="41">
        <v>0</v>
      </c>
      <c r="G1319" s="41" t="s">
        <v>103</v>
      </c>
      <c r="H1319" s="41">
        <v>1</v>
      </c>
      <c r="I1319" s="41">
        <v>1</v>
      </c>
      <c r="J1319" s="108">
        <v>0</v>
      </c>
      <c r="K1319" s="41">
        <v>0</v>
      </c>
      <c r="L1319" s="41">
        <v>55</v>
      </c>
      <c r="M1319" s="41">
        <v>-1</v>
      </c>
      <c r="N1319" s="41">
        <v>4</v>
      </c>
      <c r="O1319" s="111" t="s">
        <v>1990</v>
      </c>
      <c r="P1319" s="109">
        <v>193041</v>
      </c>
      <c r="Q1319" s="41"/>
      <c r="R1319" s="111"/>
      <c r="S1319" s="110">
        <v>1184121</v>
      </c>
    </row>
    <row r="1320" spans="1:19">
      <c r="A1320" s="105">
        <v>1319</v>
      </c>
      <c r="B1320" s="41">
        <v>120000000</v>
      </c>
      <c r="C1320" s="41">
        <v>3.8E-3</v>
      </c>
      <c r="D1320" s="41">
        <v>19.0273</v>
      </c>
      <c r="E1320" s="41">
        <v>30</v>
      </c>
      <c r="F1320" s="41">
        <v>0</v>
      </c>
      <c r="G1320" s="41" t="s">
        <v>103</v>
      </c>
      <c r="H1320" s="41">
        <v>1</v>
      </c>
      <c r="I1320" s="41">
        <v>1</v>
      </c>
      <c r="J1320" s="108">
        <v>0</v>
      </c>
      <c r="K1320" s="41">
        <v>0</v>
      </c>
      <c r="L1320" s="41">
        <v>55</v>
      </c>
      <c r="M1320" s="41">
        <v>-1</v>
      </c>
      <c r="N1320" s="41">
        <v>4</v>
      </c>
      <c r="O1320" s="111" t="s">
        <v>1991</v>
      </c>
      <c r="P1320" s="109">
        <v>193041</v>
      </c>
      <c r="Q1320" s="41"/>
      <c r="R1320" s="111"/>
      <c r="S1320" s="110">
        <v>1184121</v>
      </c>
    </row>
    <row r="1321" spans="1:19">
      <c r="A1321" s="105">
        <v>1320</v>
      </c>
      <c r="B1321" s="41">
        <v>120000000</v>
      </c>
      <c r="C1321" s="41">
        <v>4.1999999999999997E-3</v>
      </c>
      <c r="D1321" s="41">
        <v>5.6569000000000003</v>
      </c>
      <c r="E1321" s="41">
        <v>30</v>
      </c>
      <c r="F1321" s="41">
        <v>0</v>
      </c>
      <c r="G1321" s="41" t="s">
        <v>103</v>
      </c>
      <c r="H1321" s="41">
        <v>1</v>
      </c>
      <c r="I1321" s="41">
        <v>1</v>
      </c>
      <c r="J1321" s="108">
        <v>0</v>
      </c>
      <c r="K1321" s="41">
        <v>0</v>
      </c>
      <c r="L1321" s="41">
        <v>55</v>
      </c>
      <c r="M1321" s="41">
        <v>-1</v>
      </c>
      <c r="N1321" s="41">
        <v>4</v>
      </c>
      <c r="O1321" s="111" t="s">
        <v>1992</v>
      </c>
      <c r="P1321" s="109">
        <v>193041</v>
      </c>
      <c r="Q1321" s="41"/>
      <c r="R1321" s="111"/>
      <c r="S1321" s="110">
        <v>1184121</v>
      </c>
    </row>
    <row r="1322" spans="1:19">
      <c r="A1322" s="105">
        <v>1321</v>
      </c>
      <c r="B1322" s="41">
        <v>120000000</v>
      </c>
      <c r="C1322" s="41">
        <v>4.1999999999999997E-3</v>
      </c>
      <c r="D1322" s="41">
        <v>6.1688000000000001</v>
      </c>
      <c r="E1322" s="41">
        <v>30</v>
      </c>
      <c r="F1322" s="41">
        <v>0</v>
      </c>
      <c r="G1322" s="41" t="s">
        <v>103</v>
      </c>
      <c r="H1322" s="41">
        <v>1</v>
      </c>
      <c r="I1322" s="41">
        <v>1</v>
      </c>
      <c r="J1322" s="108">
        <v>0</v>
      </c>
      <c r="K1322" s="41">
        <v>0</v>
      </c>
      <c r="L1322" s="41">
        <v>55</v>
      </c>
      <c r="M1322" s="41">
        <v>-1</v>
      </c>
      <c r="N1322" s="41">
        <v>4</v>
      </c>
      <c r="O1322" s="111" t="s">
        <v>1993</v>
      </c>
      <c r="P1322" s="109">
        <v>193041</v>
      </c>
      <c r="Q1322" s="41"/>
      <c r="R1322" s="111"/>
      <c r="S1322" s="110">
        <v>1184121</v>
      </c>
    </row>
    <row r="1323" spans="1:19">
      <c r="A1323" s="105">
        <v>1322</v>
      </c>
      <c r="B1323" s="41">
        <v>120000000</v>
      </c>
      <c r="C1323" s="41">
        <v>4.1999999999999997E-3</v>
      </c>
      <c r="D1323" s="41">
        <v>6.7271999999999998</v>
      </c>
      <c r="E1323" s="41">
        <v>30</v>
      </c>
      <c r="F1323" s="41">
        <v>0</v>
      </c>
      <c r="G1323" s="41" t="s">
        <v>103</v>
      </c>
      <c r="H1323" s="41">
        <v>1</v>
      </c>
      <c r="I1323" s="41">
        <v>1</v>
      </c>
      <c r="J1323" s="108">
        <v>0</v>
      </c>
      <c r="K1323" s="41">
        <v>0</v>
      </c>
      <c r="L1323" s="41">
        <v>55</v>
      </c>
      <c r="M1323" s="41">
        <v>-1</v>
      </c>
      <c r="N1323" s="41">
        <v>4</v>
      </c>
      <c r="O1323" s="111" t="s">
        <v>1994</v>
      </c>
      <c r="P1323" s="109">
        <v>193041</v>
      </c>
      <c r="Q1323" s="41"/>
      <c r="R1323" s="111"/>
      <c r="S1323" s="110">
        <v>1184121</v>
      </c>
    </row>
    <row r="1324" spans="1:19">
      <c r="A1324" s="105">
        <v>1323</v>
      </c>
      <c r="B1324" s="41">
        <v>120000000</v>
      </c>
      <c r="C1324" s="41">
        <v>4.1999999999999997E-3</v>
      </c>
      <c r="D1324" s="41">
        <v>7.3360000000000003</v>
      </c>
      <c r="E1324" s="41">
        <v>30</v>
      </c>
      <c r="F1324" s="41">
        <v>0</v>
      </c>
      <c r="G1324" s="41" t="s">
        <v>103</v>
      </c>
      <c r="H1324" s="41">
        <v>1</v>
      </c>
      <c r="I1324" s="41">
        <v>1</v>
      </c>
      <c r="J1324" s="108">
        <v>0</v>
      </c>
      <c r="K1324" s="41">
        <v>0</v>
      </c>
      <c r="L1324" s="41">
        <v>55</v>
      </c>
      <c r="M1324" s="41">
        <v>-1</v>
      </c>
      <c r="N1324" s="41">
        <v>4</v>
      </c>
      <c r="O1324" s="111" t="s">
        <v>1995</v>
      </c>
      <c r="P1324" s="109">
        <v>193041</v>
      </c>
      <c r="Q1324" s="41"/>
      <c r="R1324" s="111"/>
      <c r="S1324" s="110">
        <v>1184121</v>
      </c>
    </row>
    <row r="1325" spans="1:19">
      <c r="A1325" s="105">
        <v>1324</v>
      </c>
      <c r="B1325" s="41">
        <v>120000000</v>
      </c>
      <c r="C1325" s="41">
        <v>4.1999999999999997E-3</v>
      </c>
      <c r="D1325" s="41">
        <v>8</v>
      </c>
      <c r="E1325" s="41">
        <v>30</v>
      </c>
      <c r="F1325" s="41">
        <v>0</v>
      </c>
      <c r="G1325" s="41" t="s">
        <v>103</v>
      </c>
      <c r="H1325" s="41">
        <v>1</v>
      </c>
      <c r="I1325" s="41">
        <v>1</v>
      </c>
      <c r="J1325" s="108">
        <v>0</v>
      </c>
      <c r="K1325" s="41">
        <v>0</v>
      </c>
      <c r="L1325" s="41">
        <v>55</v>
      </c>
      <c r="M1325" s="41">
        <v>-1</v>
      </c>
      <c r="N1325" s="41">
        <v>4</v>
      </c>
      <c r="O1325" s="111" t="s">
        <v>1996</v>
      </c>
      <c r="P1325" s="109">
        <v>193041</v>
      </c>
      <c r="Q1325" s="41"/>
      <c r="R1325" s="111"/>
      <c r="S1325" s="110">
        <v>1184121</v>
      </c>
    </row>
    <row r="1326" spans="1:19">
      <c r="A1326" s="105">
        <v>1325</v>
      </c>
      <c r="B1326" s="41">
        <v>120000000</v>
      </c>
      <c r="C1326" s="41">
        <v>4.1999999999999997E-3</v>
      </c>
      <c r="D1326" s="41">
        <v>8.7241</v>
      </c>
      <c r="E1326" s="41">
        <v>30</v>
      </c>
      <c r="F1326" s="41">
        <v>0</v>
      </c>
      <c r="G1326" s="41" t="s">
        <v>103</v>
      </c>
      <c r="H1326" s="41">
        <v>1</v>
      </c>
      <c r="I1326" s="41">
        <v>1</v>
      </c>
      <c r="J1326" s="108">
        <v>0</v>
      </c>
      <c r="K1326" s="41">
        <v>0</v>
      </c>
      <c r="L1326" s="41">
        <v>55</v>
      </c>
      <c r="M1326" s="41">
        <v>-1</v>
      </c>
      <c r="N1326" s="41">
        <v>4</v>
      </c>
      <c r="O1326" s="111" t="s">
        <v>1997</v>
      </c>
      <c r="P1326" s="109">
        <v>193041</v>
      </c>
      <c r="Q1326" s="41"/>
      <c r="R1326" s="111"/>
      <c r="S1326" s="110">
        <v>1184121</v>
      </c>
    </row>
    <row r="1327" spans="1:19">
      <c r="A1327" s="105">
        <v>1326</v>
      </c>
      <c r="B1327" s="41">
        <v>120000000</v>
      </c>
      <c r="C1327" s="41">
        <v>4.1999999999999997E-3</v>
      </c>
      <c r="D1327" s="41">
        <v>9.5137</v>
      </c>
      <c r="E1327" s="41">
        <v>30</v>
      </c>
      <c r="F1327" s="41">
        <v>0</v>
      </c>
      <c r="G1327" s="41" t="s">
        <v>103</v>
      </c>
      <c r="H1327" s="41">
        <v>1</v>
      </c>
      <c r="I1327" s="41">
        <v>1</v>
      </c>
      <c r="J1327" s="108">
        <v>0</v>
      </c>
      <c r="K1327" s="41">
        <v>0</v>
      </c>
      <c r="L1327" s="41">
        <v>55</v>
      </c>
      <c r="M1327" s="41">
        <v>-1</v>
      </c>
      <c r="N1327" s="41">
        <v>4</v>
      </c>
      <c r="O1327" s="111" t="s">
        <v>1998</v>
      </c>
      <c r="P1327" s="109">
        <v>193158</v>
      </c>
      <c r="Q1327" s="41"/>
      <c r="R1327" s="111"/>
      <c r="S1327" s="110">
        <v>1184121</v>
      </c>
    </row>
    <row r="1328" spans="1:19">
      <c r="A1328" s="105">
        <v>1327</v>
      </c>
      <c r="B1328" s="41">
        <v>120000000</v>
      </c>
      <c r="C1328" s="41">
        <v>4.1999999999999997E-3</v>
      </c>
      <c r="D1328" s="41">
        <v>10.374700000000001</v>
      </c>
      <c r="E1328" s="41">
        <v>30</v>
      </c>
      <c r="F1328" s="41">
        <v>0</v>
      </c>
      <c r="G1328" s="41" t="s">
        <v>103</v>
      </c>
      <c r="H1328" s="41">
        <v>1</v>
      </c>
      <c r="I1328" s="41">
        <v>1</v>
      </c>
      <c r="J1328" s="108">
        <v>0</v>
      </c>
      <c r="K1328" s="41">
        <v>0</v>
      </c>
      <c r="L1328" s="41">
        <v>55</v>
      </c>
      <c r="M1328" s="41">
        <v>-1</v>
      </c>
      <c r="N1328" s="41">
        <v>4</v>
      </c>
      <c r="O1328" s="111" t="s">
        <v>1999</v>
      </c>
      <c r="P1328" s="109">
        <v>193158</v>
      </c>
      <c r="Q1328" s="41"/>
      <c r="R1328" s="111"/>
      <c r="S1328" s="110">
        <v>1184121</v>
      </c>
    </row>
    <row r="1329" spans="1:19">
      <c r="A1329" s="105">
        <v>1328</v>
      </c>
      <c r="B1329" s="41">
        <v>120000000</v>
      </c>
      <c r="C1329" s="41">
        <v>4.1999999999999997E-3</v>
      </c>
      <c r="D1329" s="41">
        <v>11.313700000000001</v>
      </c>
      <c r="E1329" s="41">
        <v>30</v>
      </c>
      <c r="F1329" s="41">
        <v>0</v>
      </c>
      <c r="G1329" s="41" t="s">
        <v>103</v>
      </c>
      <c r="H1329" s="41">
        <v>1</v>
      </c>
      <c r="I1329" s="41">
        <v>1</v>
      </c>
      <c r="J1329" s="108">
        <v>0</v>
      </c>
      <c r="K1329" s="41">
        <v>0</v>
      </c>
      <c r="L1329" s="41">
        <v>55</v>
      </c>
      <c r="M1329" s="41">
        <v>-1</v>
      </c>
      <c r="N1329" s="41">
        <v>4</v>
      </c>
      <c r="O1329" s="111" t="s">
        <v>2000</v>
      </c>
      <c r="P1329" s="109">
        <v>193158</v>
      </c>
      <c r="Q1329" s="41"/>
      <c r="R1329" s="111"/>
      <c r="S1329" s="110">
        <v>1184121</v>
      </c>
    </row>
    <row r="1330" spans="1:19">
      <c r="A1330" s="105">
        <v>1329</v>
      </c>
      <c r="B1330" s="41">
        <v>120000000</v>
      </c>
      <c r="C1330" s="41">
        <v>4.1999999999999997E-3</v>
      </c>
      <c r="D1330" s="41">
        <v>12.3377</v>
      </c>
      <c r="E1330" s="41">
        <v>30</v>
      </c>
      <c r="F1330" s="41">
        <v>0</v>
      </c>
      <c r="G1330" s="41" t="s">
        <v>103</v>
      </c>
      <c r="H1330" s="41">
        <v>1</v>
      </c>
      <c r="I1330" s="41">
        <v>1</v>
      </c>
      <c r="J1330" s="108">
        <v>0</v>
      </c>
      <c r="K1330" s="41">
        <v>0</v>
      </c>
      <c r="L1330" s="41">
        <v>55</v>
      </c>
      <c r="M1330" s="41">
        <v>-1</v>
      </c>
      <c r="N1330" s="41">
        <v>4</v>
      </c>
      <c r="O1330" s="111" t="s">
        <v>2001</v>
      </c>
      <c r="P1330" s="109">
        <v>193158</v>
      </c>
      <c r="Q1330" s="41"/>
      <c r="R1330" s="111"/>
      <c r="S1330" s="110">
        <v>1184121</v>
      </c>
    </row>
    <row r="1331" spans="1:19">
      <c r="A1331" s="105">
        <v>1330</v>
      </c>
      <c r="B1331" s="41">
        <v>120000000</v>
      </c>
      <c r="C1331" s="41">
        <v>4.1999999999999997E-3</v>
      </c>
      <c r="D1331" s="41">
        <v>13.4543</v>
      </c>
      <c r="E1331" s="41">
        <v>30</v>
      </c>
      <c r="F1331" s="41">
        <v>0</v>
      </c>
      <c r="G1331" s="41" t="s">
        <v>103</v>
      </c>
      <c r="H1331" s="41">
        <v>1</v>
      </c>
      <c r="I1331" s="41">
        <v>1</v>
      </c>
      <c r="J1331" s="108">
        <v>0</v>
      </c>
      <c r="K1331" s="41">
        <v>0</v>
      </c>
      <c r="L1331" s="41">
        <v>55</v>
      </c>
      <c r="M1331" s="41">
        <v>-1</v>
      </c>
      <c r="N1331" s="41">
        <v>4</v>
      </c>
      <c r="O1331" s="111" t="s">
        <v>2002</v>
      </c>
      <c r="P1331" s="109">
        <v>193158</v>
      </c>
      <c r="Q1331" s="41"/>
      <c r="R1331" s="111"/>
      <c r="S1331" s="110">
        <v>1184121</v>
      </c>
    </row>
    <row r="1332" spans="1:19">
      <c r="A1332" s="105">
        <v>1331</v>
      </c>
      <c r="B1332" s="41">
        <v>120000000</v>
      </c>
      <c r="C1332" s="41">
        <v>4.1999999999999997E-3</v>
      </c>
      <c r="D1332" s="41">
        <v>14.6721</v>
      </c>
      <c r="E1332" s="41">
        <v>30</v>
      </c>
      <c r="F1332" s="41">
        <v>0</v>
      </c>
      <c r="G1332" s="41" t="s">
        <v>103</v>
      </c>
      <c r="H1332" s="41">
        <v>1</v>
      </c>
      <c r="I1332" s="41">
        <v>1</v>
      </c>
      <c r="J1332" s="108">
        <v>0</v>
      </c>
      <c r="K1332" s="41">
        <v>0</v>
      </c>
      <c r="L1332" s="41">
        <v>55</v>
      </c>
      <c r="M1332" s="41">
        <v>-1</v>
      </c>
      <c r="N1332" s="41">
        <v>4</v>
      </c>
      <c r="O1332" s="111" t="s">
        <v>2003</v>
      </c>
      <c r="P1332" s="109">
        <v>193158</v>
      </c>
      <c r="Q1332" s="41"/>
      <c r="R1332" s="111"/>
      <c r="S1332" s="110">
        <v>1184121</v>
      </c>
    </row>
    <row r="1333" spans="1:19">
      <c r="A1333" s="105">
        <v>1332</v>
      </c>
      <c r="B1333" s="41">
        <v>120000000</v>
      </c>
      <c r="C1333" s="41">
        <v>4.1999999999999997E-3</v>
      </c>
      <c r="D1333" s="41">
        <v>16</v>
      </c>
      <c r="E1333" s="41">
        <v>30</v>
      </c>
      <c r="F1333" s="41">
        <v>0</v>
      </c>
      <c r="G1333" s="41" t="s">
        <v>103</v>
      </c>
      <c r="H1333" s="41">
        <v>1</v>
      </c>
      <c r="I1333" s="41">
        <v>1</v>
      </c>
      <c r="J1333" s="108">
        <v>0</v>
      </c>
      <c r="K1333" s="41">
        <v>0</v>
      </c>
      <c r="L1333" s="41">
        <v>55</v>
      </c>
      <c r="M1333" s="41">
        <v>-1</v>
      </c>
      <c r="N1333" s="41">
        <v>4</v>
      </c>
      <c r="O1333" s="111" t="s">
        <v>2004</v>
      </c>
      <c r="P1333" s="109">
        <v>193158</v>
      </c>
      <c r="Q1333" s="41"/>
      <c r="R1333" s="111"/>
      <c r="S1333" s="110">
        <v>1184121</v>
      </c>
    </row>
    <row r="1334" spans="1:19">
      <c r="A1334" s="105">
        <v>1333</v>
      </c>
      <c r="B1334" s="41">
        <v>120000000</v>
      </c>
      <c r="C1334" s="41">
        <v>4.1999999999999997E-3</v>
      </c>
      <c r="D1334" s="41">
        <v>17.4481</v>
      </c>
      <c r="E1334" s="41">
        <v>30</v>
      </c>
      <c r="F1334" s="41">
        <v>0</v>
      </c>
      <c r="G1334" s="41" t="s">
        <v>103</v>
      </c>
      <c r="H1334" s="41">
        <v>1</v>
      </c>
      <c r="I1334" s="41">
        <v>1</v>
      </c>
      <c r="J1334" s="108">
        <v>0</v>
      </c>
      <c r="K1334" s="41">
        <v>0</v>
      </c>
      <c r="L1334" s="41">
        <v>55</v>
      </c>
      <c r="M1334" s="41">
        <v>-1</v>
      </c>
      <c r="N1334" s="41">
        <v>4</v>
      </c>
      <c r="O1334" s="111" t="s">
        <v>2005</v>
      </c>
      <c r="P1334" s="109">
        <v>193158</v>
      </c>
      <c r="Q1334" s="41"/>
      <c r="R1334" s="111"/>
      <c r="S1334" s="110">
        <v>1184121</v>
      </c>
    </row>
    <row r="1335" spans="1:19">
      <c r="A1335" s="105">
        <v>1334</v>
      </c>
      <c r="B1335" s="41">
        <v>120000000</v>
      </c>
      <c r="C1335" s="41">
        <v>4.1999999999999997E-3</v>
      </c>
      <c r="D1335" s="41">
        <v>19.0273</v>
      </c>
      <c r="E1335" s="41">
        <v>30</v>
      </c>
      <c r="F1335" s="41">
        <v>0</v>
      </c>
      <c r="G1335" s="41" t="s">
        <v>103</v>
      </c>
      <c r="H1335" s="41">
        <v>1</v>
      </c>
      <c r="I1335" s="41">
        <v>1</v>
      </c>
      <c r="J1335" s="108">
        <v>0</v>
      </c>
      <c r="K1335" s="41">
        <v>0</v>
      </c>
      <c r="L1335" s="41">
        <v>55</v>
      </c>
      <c r="M1335" s="41">
        <v>-1</v>
      </c>
      <c r="N1335" s="41">
        <v>4</v>
      </c>
      <c r="O1335" s="111" t="s">
        <v>2006</v>
      </c>
      <c r="P1335" s="109">
        <v>193158</v>
      </c>
      <c r="Q1335" s="41"/>
      <c r="R1335" s="111"/>
      <c r="S1335" s="110">
        <v>1184121</v>
      </c>
    </row>
    <row r="1336" spans="1:19">
      <c r="A1336" s="105">
        <v>1335</v>
      </c>
      <c r="B1336" s="41">
        <v>120000000</v>
      </c>
      <c r="C1336" s="41">
        <v>4.4999999999999997E-3</v>
      </c>
      <c r="D1336" s="41">
        <v>6.7271999999999998</v>
      </c>
      <c r="E1336" s="41">
        <v>30</v>
      </c>
      <c r="F1336" s="41">
        <v>0</v>
      </c>
      <c r="G1336" s="41" t="s">
        <v>103</v>
      </c>
      <c r="H1336" s="41">
        <v>1</v>
      </c>
      <c r="I1336" s="41">
        <v>1</v>
      </c>
      <c r="J1336" s="108">
        <v>0</v>
      </c>
      <c r="K1336" s="41">
        <v>0</v>
      </c>
      <c r="L1336" s="41">
        <v>55</v>
      </c>
      <c r="M1336" s="41">
        <v>-1</v>
      </c>
      <c r="N1336" s="41">
        <v>4</v>
      </c>
      <c r="O1336" s="111" t="s">
        <v>2007</v>
      </c>
      <c r="P1336" s="109">
        <v>193158</v>
      </c>
      <c r="Q1336" s="41"/>
      <c r="R1336" s="111"/>
      <c r="S1336" s="110">
        <v>1184121</v>
      </c>
    </row>
    <row r="1337" spans="1:19">
      <c r="A1337" s="105">
        <v>1336</v>
      </c>
      <c r="B1337" s="41">
        <v>120000000</v>
      </c>
      <c r="C1337" s="41">
        <v>4.4999999999999997E-3</v>
      </c>
      <c r="D1337" s="41">
        <v>7.3360000000000003</v>
      </c>
      <c r="E1337" s="41">
        <v>30</v>
      </c>
      <c r="F1337" s="41">
        <v>0</v>
      </c>
      <c r="G1337" s="41" t="s">
        <v>103</v>
      </c>
      <c r="H1337" s="41">
        <v>1</v>
      </c>
      <c r="I1337" s="41">
        <v>1</v>
      </c>
      <c r="J1337" s="108">
        <v>0</v>
      </c>
      <c r="K1337" s="41">
        <v>0</v>
      </c>
      <c r="L1337" s="41">
        <v>55</v>
      </c>
      <c r="M1337" s="41">
        <v>-1</v>
      </c>
      <c r="N1337" s="41">
        <v>4</v>
      </c>
      <c r="O1337" s="111" t="s">
        <v>2008</v>
      </c>
      <c r="P1337" s="109">
        <v>193158</v>
      </c>
      <c r="Q1337" s="41"/>
      <c r="R1337" s="111"/>
      <c r="S1337" s="110">
        <v>1184121</v>
      </c>
    </row>
    <row r="1338" spans="1:19">
      <c r="A1338" s="105">
        <v>1337</v>
      </c>
      <c r="B1338" s="41">
        <v>120000000</v>
      </c>
      <c r="C1338" s="41">
        <v>4.4999999999999997E-3</v>
      </c>
      <c r="D1338" s="41">
        <v>8</v>
      </c>
      <c r="E1338" s="41">
        <v>30</v>
      </c>
      <c r="F1338" s="41">
        <v>0</v>
      </c>
      <c r="G1338" s="41" t="s">
        <v>103</v>
      </c>
      <c r="H1338" s="41">
        <v>1</v>
      </c>
      <c r="I1338" s="41">
        <v>1</v>
      </c>
      <c r="J1338" s="108">
        <v>0</v>
      </c>
      <c r="K1338" s="41">
        <v>0</v>
      </c>
      <c r="L1338" s="41">
        <v>55</v>
      </c>
      <c r="M1338" s="41">
        <v>-1</v>
      </c>
      <c r="N1338" s="41">
        <v>4</v>
      </c>
      <c r="O1338" s="111" t="s">
        <v>2009</v>
      </c>
      <c r="P1338" s="109">
        <v>193158</v>
      </c>
      <c r="Q1338" s="41"/>
      <c r="R1338" s="111"/>
      <c r="S1338" s="110">
        <v>1184121</v>
      </c>
    </row>
    <row r="1339" spans="1:19">
      <c r="A1339" s="105">
        <v>1338</v>
      </c>
      <c r="B1339" s="41">
        <v>120000000</v>
      </c>
      <c r="C1339" s="41">
        <v>4.4999999999999997E-3</v>
      </c>
      <c r="D1339" s="41">
        <v>8.7241</v>
      </c>
      <c r="E1339" s="41">
        <v>30</v>
      </c>
      <c r="F1339" s="41">
        <v>0</v>
      </c>
      <c r="G1339" s="41" t="s">
        <v>103</v>
      </c>
      <c r="H1339" s="41">
        <v>1</v>
      </c>
      <c r="I1339" s="41">
        <v>1</v>
      </c>
      <c r="J1339" s="108">
        <v>0</v>
      </c>
      <c r="K1339" s="41">
        <v>0</v>
      </c>
      <c r="L1339" s="41">
        <v>55</v>
      </c>
      <c r="M1339" s="41">
        <v>-1</v>
      </c>
      <c r="N1339" s="41">
        <v>4</v>
      </c>
      <c r="O1339" s="111" t="s">
        <v>2010</v>
      </c>
      <c r="P1339" s="109">
        <v>193158</v>
      </c>
      <c r="Q1339" s="41"/>
      <c r="R1339" s="111"/>
      <c r="S1339" s="110">
        <v>1184121</v>
      </c>
    </row>
    <row r="1340" spans="1:19">
      <c r="A1340" s="105">
        <v>1339</v>
      </c>
      <c r="B1340" s="41">
        <v>120000000</v>
      </c>
      <c r="C1340" s="41">
        <v>4.4999999999999997E-3</v>
      </c>
      <c r="D1340" s="41">
        <v>9.5137</v>
      </c>
      <c r="E1340" s="41">
        <v>30</v>
      </c>
      <c r="F1340" s="41">
        <v>0</v>
      </c>
      <c r="G1340" s="41" t="s">
        <v>103</v>
      </c>
      <c r="H1340" s="41">
        <v>1</v>
      </c>
      <c r="I1340" s="41">
        <v>1</v>
      </c>
      <c r="J1340" s="108">
        <v>0</v>
      </c>
      <c r="K1340" s="41">
        <v>0</v>
      </c>
      <c r="L1340" s="41">
        <v>55</v>
      </c>
      <c r="M1340" s="41">
        <v>-1</v>
      </c>
      <c r="N1340" s="41">
        <v>4</v>
      </c>
      <c r="O1340" s="111" t="s">
        <v>2011</v>
      </c>
      <c r="P1340" s="109">
        <v>193158</v>
      </c>
      <c r="Q1340" s="41"/>
      <c r="R1340" s="111"/>
      <c r="S1340" s="110">
        <v>1184121</v>
      </c>
    </row>
    <row r="1341" spans="1:19">
      <c r="A1341" s="105">
        <v>1340</v>
      </c>
      <c r="B1341" s="41">
        <v>120000000</v>
      </c>
      <c r="C1341" s="41">
        <v>4.4999999999999997E-3</v>
      </c>
      <c r="D1341" s="41">
        <v>10.374700000000001</v>
      </c>
      <c r="E1341" s="41">
        <v>30</v>
      </c>
      <c r="F1341" s="41">
        <v>0</v>
      </c>
      <c r="G1341" s="41" t="s">
        <v>103</v>
      </c>
      <c r="H1341" s="41">
        <v>1</v>
      </c>
      <c r="I1341" s="41">
        <v>1</v>
      </c>
      <c r="J1341" s="108">
        <v>0</v>
      </c>
      <c r="K1341" s="41">
        <v>0</v>
      </c>
      <c r="L1341" s="41">
        <v>55</v>
      </c>
      <c r="M1341" s="41">
        <v>-1</v>
      </c>
      <c r="N1341" s="41">
        <v>4</v>
      </c>
      <c r="O1341" s="111" t="s">
        <v>2012</v>
      </c>
      <c r="P1341" s="109">
        <v>193158</v>
      </c>
      <c r="Q1341" s="41"/>
      <c r="R1341" s="111"/>
      <c r="S1341" s="110">
        <v>1184121</v>
      </c>
    </row>
    <row r="1342" spans="1:19">
      <c r="A1342" s="105">
        <v>1341</v>
      </c>
      <c r="B1342" s="41">
        <v>120000000</v>
      </c>
      <c r="C1342" s="41">
        <v>4.4999999999999997E-3</v>
      </c>
      <c r="D1342" s="41">
        <v>11.313700000000001</v>
      </c>
      <c r="E1342" s="41">
        <v>30</v>
      </c>
      <c r="F1342" s="41">
        <v>0</v>
      </c>
      <c r="G1342" s="41" t="s">
        <v>103</v>
      </c>
      <c r="H1342" s="41">
        <v>1</v>
      </c>
      <c r="I1342" s="41">
        <v>1</v>
      </c>
      <c r="J1342" s="108">
        <v>0</v>
      </c>
      <c r="K1342" s="41">
        <v>0</v>
      </c>
      <c r="L1342" s="41">
        <v>55</v>
      </c>
      <c r="M1342" s="41">
        <v>-1</v>
      </c>
      <c r="N1342" s="41">
        <v>4</v>
      </c>
      <c r="O1342" s="111" t="s">
        <v>2013</v>
      </c>
      <c r="P1342" s="109">
        <v>193158</v>
      </c>
      <c r="Q1342" s="41"/>
      <c r="R1342" s="111"/>
      <c r="S1342" s="110">
        <v>1184121</v>
      </c>
    </row>
    <row r="1343" spans="1:19">
      <c r="A1343" s="105">
        <v>1342</v>
      </c>
      <c r="B1343" s="41">
        <v>120000000</v>
      </c>
      <c r="C1343" s="41">
        <v>4.4999999999999997E-3</v>
      </c>
      <c r="D1343" s="41">
        <v>12.3377</v>
      </c>
      <c r="E1343" s="41">
        <v>30</v>
      </c>
      <c r="F1343" s="41">
        <v>0</v>
      </c>
      <c r="G1343" s="41" t="s">
        <v>103</v>
      </c>
      <c r="H1343" s="41">
        <v>1</v>
      </c>
      <c r="I1343" s="41">
        <v>1</v>
      </c>
      <c r="J1343" s="108">
        <v>0</v>
      </c>
      <c r="K1343" s="41">
        <v>0</v>
      </c>
      <c r="L1343" s="41">
        <v>55</v>
      </c>
      <c r="M1343" s="41">
        <v>-1</v>
      </c>
      <c r="N1343" s="41">
        <v>4</v>
      </c>
      <c r="O1343" s="111" t="s">
        <v>2014</v>
      </c>
      <c r="P1343" s="109">
        <v>193042</v>
      </c>
      <c r="Q1343" s="41"/>
      <c r="R1343" s="111"/>
      <c r="S1343" s="110">
        <v>1184121</v>
      </c>
    </row>
    <row r="1344" spans="1:19">
      <c r="A1344" s="105">
        <v>1343</v>
      </c>
      <c r="B1344" s="41">
        <v>120000000</v>
      </c>
      <c r="C1344" s="41">
        <v>4.4999999999999997E-3</v>
      </c>
      <c r="D1344" s="41">
        <v>13.4543</v>
      </c>
      <c r="E1344" s="41">
        <v>30</v>
      </c>
      <c r="F1344" s="41">
        <v>0</v>
      </c>
      <c r="G1344" s="41" t="s">
        <v>103</v>
      </c>
      <c r="H1344" s="41">
        <v>1</v>
      </c>
      <c r="I1344" s="41">
        <v>1</v>
      </c>
      <c r="J1344" s="108">
        <v>0</v>
      </c>
      <c r="K1344" s="41">
        <v>0</v>
      </c>
      <c r="L1344" s="41">
        <v>55</v>
      </c>
      <c r="M1344" s="41">
        <v>-1</v>
      </c>
      <c r="N1344" s="41">
        <v>4</v>
      </c>
      <c r="O1344" s="111" t="s">
        <v>2015</v>
      </c>
      <c r="P1344" s="109">
        <v>193042</v>
      </c>
      <c r="Q1344" s="41"/>
      <c r="R1344" s="111"/>
      <c r="S1344" s="110">
        <v>1184121</v>
      </c>
    </row>
    <row r="1345" spans="1:19">
      <c r="A1345" s="105">
        <v>1344</v>
      </c>
      <c r="B1345" s="41">
        <v>120000000</v>
      </c>
      <c r="C1345" s="41">
        <v>4.4999999999999997E-3</v>
      </c>
      <c r="D1345" s="41">
        <v>14.6721</v>
      </c>
      <c r="E1345" s="41">
        <v>30</v>
      </c>
      <c r="F1345" s="41">
        <v>0</v>
      </c>
      <c r="G1345" s="41" t="s">
        <v>103</v>
      </c>
      <c r="H1345" s="41">
        <v>1</v>
      </c>
      <c r="I1345" s="41">
        <v>1</v>
      </c>
      <c r="J1345" s="108">
        <v>0</v>
      </c>
      <c r="K1345" s="41">
        <v>0</v>
      </c>
      <c r="L1345" s="41">
        <v>55</v>
      </c>
      <c r="M1345" s="41">
        <v>-1</v>
      </c>
      <c r="N1345" s="41">
        <v>4</v>
      </c>
      <c r="O1345" s="111" t="s">
        <v>2016</v>
      </c>
      <c r="P1345" s="109">
        <v>193042</v>
      </c>
      <c r="Q1345" s="41"/>
      <c r="R1345" s="111"/>
      <c r="S1345" s="110">
        <v>1184121</v>
      </c>
    </row>
    <row r="1346" spans="1:19">
      <c r="A1346" s="105">
        <v>1345</v>
      </c>
      <c r="B1346" s="41">
        <v>120000000</v>
      </c>
      <c r="C1346" s="41">
        <v>4.4999999999999997E-3</v>
      </c>
      <c r="D1346" s="41">
        <v>16</v>
      </c>
      <c r="E1346" s="41">
        <v>30</v>
      </c>
      <c r="F1346" s="41">
        <v>0</v>
      </c>
      <c r="G1346" s="41" t="s">
        <v>103</v>
      </c>
      <c r="H1346" s="41">
        <v>1</v>
      </c>
      <c r="I1346" s="41">
        <v>1</v>
      </c>
      <c r="J1346" s="108">
        <v>0</v>
      </c>
      <c r="K1346" s="41">
        <v>0</v>
      </c>
      <c r="L1346" s="41">
        <v>55</v>
      </c>
      <c r="M1346" s="41">
        <v>-1</v>
      </c>
      <c r="N1346" s="41">
        <v>4</v>
      </c>
      <c r="O1346" s="111" t="s">
        <v>2017</v>
      </c>
      <c r="P1346" s="109">
        <v>193042</v>
      </c>
      <c r="Q1346" s="41"/>
      <c r="R1346" s="111"/>
      <c r="S1346" s="110">
        <v>1184121</v>
      </c>
    </row>
    <row r="1347" spans="1:19">
      <c r="A1347" s="105">
        <v>1346</v>
      </c>
      <c r="B1347" s="41">
        <v>120000000</v>
      </c>
      <c r="C1347" s="41">
        <v>4.4999999999999997E-3</v>
      </c>
      <c r="D1347" s="41">
        <v>17.4481</v>
      </c>
      <c r="E1347" s="41">
        <v>30</v>
      </c>
      <c r="F1347" s="41">
        <v>0</v>
      </c>
      <c r="G1347" s="41" t="s">
        <v>103</v>
      </c>
      <c r="H1347" s="41">
        <v>1</v>
      </c>
      <c r="I1347" s="41">
        <v>1</v>
      </c>
      <c r="J1347" s="108">
        <v>0</v>
      </c>
      <c r="K1347" s="41">
        <v>0</v>
      </c>
      <c r="L1347" s="41">
        <v>55</v>
      </c>
      <c r="M1347" s="41">
        <v>-1</v>
      </c>
      <c r="N1347" s="41">
        <v>4</v>
      </c>
      <c r="O1347" s="111" t="s">
        <v>2018</v>
      </c>
      <c r="P1347" s="109">
        <v>193042</v>
      </c>
      <c r="Q1347" s="41"/>
      <c r="R1347" s="111"/>
      <c r="S1347" s="110">
        <v>1184121</v>
      </c>
    </row>
    <row r="1348" spans="1:19">
      <c r="A1348" s="105">
        <v>1347</v>
      </c>
      <c r="B1348" s="41">
        <v>120000000</v>
      </c>
      <c r="C1348" s="41">
        <v>4.4999999999999997E-3</v>
      </c>
      <c r="D1348" s="41">
        <v>19.0273</v>
      </c>
      <c r="E1348" s="41">
        <v>30</v>
      </c>
      <c r="F1348" s="41">
        <v>0</v>
      </c>
      <c r="G1348" s="41" t="s">
        <v>103</v>
      </c>
      <c r="H1348" s="41">
        <v>1</v>
      </c>
      <c r="I1348" s="41">
        <v>1</v>
      </c>
      <c r="J1348" s="108">
        <v>0</v>
      </c>
      <c r="K1348" s="41">
        <v>0</v>
      </c>
      <c r="L1348" s="41">
        <v>55</v>
      </c>
      <c r="M1348" s="41">
        <v>-1</v>
      </c>
      <c r="N1348" s="41">
        <v>4</v>
      </c>
      <c r="O1348" s="111" t="s">
        <v>2019</v>
      </c>
      <c r="P1348" s="109">
        <v>193042</v>
      </c>
      <c r="Q1348" s="41"/>
      <c r="R1348" s="111"/>
      <c r="S1348" s="110">
        <v>1184121</v>
      </c>
    </row>
    <row r="1349" spans="1:19">
      <c r="A1349" s="105">
        <v>1348</v>
      </c>
      <c r="B1349" s="41">
        <v>120000000</v>
      </c>
      <c r="C1349" s="41">
        <v>4.8999999999999998E-3</v>
      </c>
      <c r="D1349" s="41">
        <v>8</v>
      </c>
      <c r="E1349" s="41">
        <v>30</v>
      </c>
      <c r="F1349" s="41">
        <v>0</v>
      </c>
      <c r="G1349" s="41" t="s">
        <v>103</v>
      </c>
      <c r="H1349" s="41">
        <v>1</v>
      </c>
      <c r="I1349" s="41">
        <v>1</v>
      </c>
      <c r="J1349" s="108">
        <v>0</v>
      </c>
      <c r="K1349" s="41">
        <v>0</v>
      </c>
      <c r="L1349" s="41">
        <v>55</v>
      </c>
      <c r="M1349" s="41">
        <v>-1</v>
      </c>
      <c r="N1349" s="41">
        <v>4</v>
      </c>
      <c r="O1349" s="111" t="s">
        <v>2020</v>
      </c>
      <c r="P1349" s="109">
        <v>193042</v>
      </c>
      <c r="Q1349" s="41"/>
      <c r="R1349" s="111"/>
      <c r="S1349" s="110">
        <v>1184121</v>
      </c>
    </row>
    <row r="1350" spans="1:19">
      <c r="A1350" s="105">
        <v>1349</v>
      </c>
      <c r="B1350" s="41">
        <v>120000000</v>
      </c>
      <c r="C1350" s="41">
        <v>4.8999999999999998E-3</v>
      </c>
      <c r="D1350" s="41">
        <v>8.7241</v>
      </c>
      <c r="E1350" s="41">
        <v>30</v>
      </c>
      <c r="F1350" s="41">
        <v>0</v>
      </c>
      <c r="G1350" s="41" t="s">
        <v>103</v>
      </c>
      <c r="H1350" s="41">
        <v>1</v>
      </c>
      <c r="I1350" s="41">
        <v>1</v>
      </c>
      <c r="J1350" s="108">
        <v>0</v>
      </c>
      <c r="K1350" s="41">
        <v>0</v>
      </c>
      <c r="L1350" s="41">
        <v>55</v>
      </c>
      <c r="M1350" s="41">
        <v>-1</v>
      </c>
      <c r="N1350" s="41">
        <v>4</v>
      </c>
      <c r="O1350" s="111" t="s">
        <v>2021</v>
      </c>
      <c r="P1350" s="109">
        <v>193042</v>
      </c>
      <c r="Q1350" s="41"/>
      <c r="R1350" s="111"/>
      <c r="S1350" s="110">
        <v>1184121</v>
      </c>
    </row>
    <row r="1351" spans="1:19">
      <c r="A1351" s="105">
        <v>1350</v>
      </c>
      <c r="B1351" s="41">
        <v>120000000</v>
      </c>
      <c r="C1351" s="41">
        <v>4.8999999999999998E-3</v>
      </c>
      <c r="D1351" s="41">
        <v>9.5137</v>
      </c>
      <c r="E1351" s="41">
        <v>30</v>
      </c>
      <c r="F1351" s="41">
        <v>0</v>
      </c>
      <c r="G1351" s="41" t="s">
        <v>103</v>
      </c>
      <c r="H1351" s="41">
        <v>1</v>
      </c>
      <c r="I1351" s="41">
        <v>1</v>
      </c>
      <c r="J1351" s="108">
        <v>0</v>
      </c>
      <c r="K1351" s="41">
        <v>0</v>
      </c>
      <c r="L1351" s="41">
        <v>55</v>
      </c>
      <c r="M1351" s="41">
        <v>-1</v>
      </c>
      <c r="N1351" s="41">
        <v>4</v>
      </c>
      <c r="O1351" s="111" t="s">
        <v>2022</v>
      </c>
      <c r="P1351" s="109">
        <v>193042</v>
      </c>
      <c r="Q1351" s="41"/>
      <c r="R1351" s="111"/>
      <c r="S1351" s="110">
        <v>1184121</v>
      </c>
    </row>
    <row r="1352" spans="1:19">
      <c r="A1352" s="105">
        <v>1351</v>
      </c>
      <c r="B1352" s="41">
        <v>120000000</v>
      </c>
      <c r="C1352" s="41">
        <v>4.8999999999999998E-3</v>
      </c>
      <c r="D1352" s="41">
        <v>10.374700000000001</v>
      </c>
      <c r="E1352" s="41">
        <v>30</v>
      </c>
      <c r="F1352" s="41">
        <v>0</v>
      </c>
      <c r="G1352" s="41" t="s">
        <v>103</v>
      </c>
      <c r="H1352" s="41">
        <v>1</v>
      </c>
      <c r="I1352" s="41">
        <v>1</v>
      </c>
      <c r="J1352" s="108">
        <v>0</v>
      </c>
      <c r="K1352" s="41">
        <v>0</v>
      </c>
      <c r="L1352" s="41">
        <v>55</v>
      </c>
      <c r="M1352" s="41">
        <v>-1</v>
      </c>
      <c r="N1352" s="41">
        <v>4</v>
      </c>
      <c r="O1352" s="111" t="s">
        <v>2023</v>
      </c>
      <c r="P1352" s="109">
        <v>193042</v>
      </c>
      <c r="Q1352" s="41"/>
      <c r="R1352" s="111"/>
      <c r="S1352" s="110">
        <v>1184121</v>
      </c>
    </row>
    <row r="1353" spans="1:19">
      <c r="A1353" s="105">
        <v>1352</v>
      </c>
      <c r="B1353" s="41">
        <v>120000000</v>
      </c>
      <c r="C1353" s="41">
        <v>4.8999999999999998E-3</v>
      </c>
      <c r="D1353" s="41">
        <v>11.313700000000001</v>
      </c>
      <c r="E1353" s="41">
        <v>30</v>
      </c>
      <c r="F1353" s="41">
        <v>0</v>
      </c>
      <c r="G1353" s="41" t="s">
        <v>103</v>
      </c>
      <c r="H1353" s="41">
        <v>1</v>
      </c>
      <c r="I1353" s="41">
        <v>1</v>
      </c>
      <c r="J1353" s="108">
        <v>0</v>
      </c>
      <c r="K1353" s="41">
        <v>0</v>
      </c>
      <c r="L1353" s="41">
        <v>55</v>
      </c>
      <c r="M1353" s="41">
        <v>-1</v>
      </c>
      <c r="N1353" s="41">
        <v>4</v>
      </c>
      <c r="O1353" s="111" t="s">
        <v>2024</v>
      </c>
      <c r="P1353" s="109">
        <v>193042</v>
      </c>
      <c r="Q1353" s="41"/>
      <c r="R1353" s="111"/>
      <c r="S1353" s="110">
        <v>1184121</v>
      </c>
    </row>
    <row r="1354" spans="1:19">
      <c r="A1354" s="105">
        <v>1353</v>
      </c>
      <c r="B1354" s="41">
        <v>120000000</v>
      </c>
      <c r="C1354" s="41">
        <v>4.8999999999999998E-3</v>
      </c>
      <c r="D1354" s="41">
        <v>12.3377</v>
      </c>
      <c r="E1354" s="41">
        <v>30</v>
      </c>
      <c r="F1354" s="41">
        <v>0</v>
      </c>
      <c r="G1354" s="41" t="s">
        <v>103</v>
      </c>
      <c r="H1354" s="41">
        <v>1</v>
      </c>
      <c r="I1354" s="41">
        <v>1</v>
      </c>
      <c r="J1354" s="108">
        <v>0</v>
      </c>
      <c r="K1354" s="41">
        <v>0</v>
      </c>
      <c r="L1354" s="41">
        <v>55</v>
      </c>
      <c r="M1354" s="41">
        <v>-1</v>
      </c>
      <c r="N1354" s="41">
        <v>4</v>
      </c>
      <c r="O1354" s="111" t="s">
        <v>2025</v>
      </c>
      <c r="P1354" s="109">
        <v>193042</v>
      </c>
      <c r="Q1354" s="41"/>
      <c r="R1354" s="111"/>
      <c r="S1354" s="110">
        <v>1184121</v>
      </c>
    </row>
    <row r="1355" spans="1:19">
      <c r="A1355" s="105">
        <v>1354</v>
      </c>
      <c r="B1355" s="41">
        <v>120000000</v>
      </c>
      <c r="C1355" s="41">
        <v>4.8999999999999998E-3</v>
      </c>
      <c r="D1355" s="41">
        <v>13.4543</v>
      </c>
      <c r="E1355" s="41">
        <v>30</v>
      </c>
      <c r="F1355" s="41">
        <v>0</v>
      </c>
      <c r="G1355" s="41" t="s">
        <v>103</v>
      </c>
      <c r="H1355" s="41">
        <v>1</v>
      </c>
      <c r="I1355" s="41">
        <v>1</v>
      </c>
      <c r="J1355" s="108">
        <v>0</v>
      </c>
      <c r="K1355" s="41">
        <v>0</v>
      </c>
      <c r="L1355" s="41">
        <v>55</v>
      </c>
      <c r="M1355" s="41">
        <v>-1</v>
      </c>
      <c r="N1355" s="41">
        <v>4</v>
      </c>
      <c r="O1355" s="111" t="s">
        <v>2026</v>
      </c>
      <c r="P1355" s="109">
        <v>193042</v>
      </c>
      <c r="Q1355" s="41"/>
      <c r="R1355" s="111"/>
      <c r="S1355" s="110">
        <v>1184121</v>
      </c>
    </row>
    <row r="1356" spans="1:19">
      <c r="A1356" s="105">
        <v>1355</v>
      </c>
      <c r="B1356" s="41">
        <v>120000000</v>
      </c>
      <c r="C1356" s="41">
        <v>4.8999999999999998E-3</v>
      </c>
      <c r="D1356" s="41">
        <v>14.6721</v>
      </c>
      <c r="E1356" s="41">
        <v>30</v>
      </c>
      <c r="F1356" s="41">
        <v>0</v>
      </c>
      <c r="G1356" s="41" t="s">
        <v>103</v>
      </c>
      <c r="H1356" s="41">
        <v>1</v>
      </c>
      <c r="I1356" s="41">
        <v>1</v>
      </c>
      <c r="J1356" s="108">
        <v>0</v>
      </c>
      <c r="K1356" s="41">
        <v>0</v>
      </c>
      <c r="L1356" s="41">
        <v>55</v>
      </c>
      <c r="M1356" s="41">
        <v>-1</v>
      </c>
      <c r="N1356" s="41">
        <v>4</v>
      </c>
      <c r="O1356" s="111" t="s">
        <v>2027</v>
      </c>
      <c r="P1356" s="109">
        <v>193042</v>
      </c>
      <c r="Q1356" s="41"/>
      <c r="R1356" s="111"/>
      <c r="S1356" s="110">
        <v>1184121</v>
      </c>
    </row>
    <row r="1357" spans="1:19">
      <c r="A1357" s="105">
        <v>1356</v>
      </c>
      <c r="B1357" s="41">
        <v>120000000</v>
      </c>
      <c r="C1357" s="41">
        <v>4.8999999999999998E-3</v>
      </c>
      <c r="D1357" s="41">
        <v>16</v>
      </c>
      <c r="E1357" s="41">
        <v>30</v>
      </c>
      <c r="F1357" s="41">
        <v>0</v>
      </c>
      <c r="G1357" s="41" t="s">
        <v>103</v>
      </c>
      <c r="H1357" s="41">
        <v>1</v>
      </c>
      <c r="I1357" s="41">
        <v>1</v>
      </c>
      <c r="J1357" s="108">
        <v>0</v>
      </c>
      <c r="K1357" s="41">
        <v>0</v>
      </c>
      <c r="L1357" s="41">
        <v>55</v>
      </c>
      <c r="M1357" s="41">
        <v>-1</v>
      </c>
      <c r="N1357" s="41">
        <v>4</v>
      </c>
      <c r="O1357" s="111" t="s">
        <v>2028</v>
      </c>
      <c r="P1357" s="109">
        <v>193042</v>
      </c>
      <c r="Q1357" s="41"/>
      <c r="R1357" s="111"/>
      <c r="S1357" s="110">
        <v>1184121</v>
      </c>
    </row>
    <row r="1358" spans="1:19">
      <c r="A1358" s="105">
        <v>1357</v>
      </c>
      <c r="B1358" s="41">
        <v>120000000</v>
      </c>
      <c r="C1358" s="41">
        <v>4.8999999999999998E-3</v>
      </c>
      <c r="D1358" s="41">
        <v>17.4481</v>
      </c>
      <c r="E1358" s="41">
        <v>30</v>
      </c>
      <c r="F1358" s="41">
        <v>0</v>
      </c>
      <c r="G1358" s="41" t="s">
        <v>103</v>
      </c>
      <c r="H1358" s="41">
        <v>1</v>
      </c>
      <c r="I1358" s="41">
        <v>1</v>
      </c>
      <c r="J1358" s="108">
        <v>0</v>
      </c>
      <c r="K1358" s="41">
        <v>0</v>
      </c>
      <c r="L1358" s="41">
        <v>55</v>
      </c>
      <c r="M1358" s="41">
        <v>-1</v>
      </c>
      <c r="N1358" s="41">
        <v>4</v>
      </c>
      <c r="O1358" s="111" t="s">
        <v>2029</v>
      </c>
      <c r="P1358" s="109">
        <v>193042</v>
      </c>
      <c r="Q1358" s="41"/>
      <c r="R1358" s="111"/>
      <c r="S1358" s="110">
        <v>1184121</v>
      </c>
    </row>
    <row r="1359" spans="1:19">
      <c r="A1359" s="105">
        <v>1358</v>
      </c>
      <c r="B1359" s="41">
        <v>120000000</v>
      </c>
      <c r="C1359" s="41">
        <v>4.8999999999999998E-3</v>
      </c>
      <c r="D1359" s="41">
        <v>19.0273</v>
      </c>
      <c r="E1359" s="41">
        <v>30</v>
      </c>
      <c r="F1359" s="41">
        <v>0</v>
      </c>
      <c r="G1359" s="41" t="s">
        <v>103</v>
      </c>
      <c r="H1359" s="41">
        <v>1</v>
      </c>
      <c r="I1359" s="41">
        <v>1</v>
      </c>
      <c r="J1359" s="108">
        <v>0</v>
      </c>
      <c r="K1359" s="41">
        <v>0</v>
      </c>
      <c r="L1359" s="41">
        <v>55</v>
      </c>
      <c r="M1359" s="41">
        <v>-1</v>
      </c>
      <c r="N1359" s="41">
        <v>4</v>
      </c>
      <c r="O1359" s="111" t="s">
        <v>2030</v>
      </c>
      <c r="P1359" s="109">
        <v>193042</v>
      </c>
      <c r="Q1359" s="41"/>
      <c r="R1359" s="111"/>
      <c r="S1359" s="110">
        <v>1184121</v>
      </c>
    </row>
    <row r="1360" spans="1:19">
      <c r="A1360" s="105">
        <v>1359</v>
      </c>
      <c r="B1360" s="41">
        <v>120000000</v>
      </c>
      <c r="C1360" s="41">
        <v>5.4000000000000003E-3</v>
      </c>
      <c r="D1360" s="41">
        <v>9.5137</v>
      </c>
      <c r="E1360" s="41">
        <v>30</v>
      </c>
      <c r="F1360" s="41">
        <v>0</v>
      </c>
      <c r="G1360" s="41" t="s">
        <v>103</v>
      </c>
      <c r="H1360" s="41">
        <v>1</v>
      </c>
      <c r="I1360" s="41">
        <v>1</v>
      </c>
      <c r="J1360" s="108">
        <v>0</v>
      </c>
      <c r="K1360" s="41">
        <v>0</v>
      </c>
      <c r="L1360" s="41">
        <v>55</v>
      </c>
      <c r="M1360" s="41">
        <v>-1</v>
      </c>
      <c r="N1360" s="41">
        <v>4</v>
      </c>
      <c r="O1360" s="111" t="s">
        <v>2031</v>
      </c>
      <c r="P1360" s="109">
        <v>193042</v>
      </c>
      <c r="Q1360" s="41"/>
      <c r="R1360" s="111"/>
      <c r="S1360" s="110">
        <v>1184121</v>
      </c>
    </row>
    <row r="1361" spans="1:19">
      <c r="A1361" s="105">
        <v>1360</v>
      </c>
      <c r="B1361" s="41">
        <v>120000000</v>
      </c>
      <c r="C1361" s="41">
        <v>5.4000000000000003E-3</v>
      </c>
      <c r="D1361" s="41">
        <v>10.374700000000001</v>
      </c>
      <c r="E1361" s="41">
        <v>30</v>
      </c>
      <c r="F1361" s="41">
        <v>0</v>
      </c>
      <c r="G1361" s="41" t="s">
        <v>103</v>
      </c>
      <c r="H1361" s="41">
        <v>1</v>
      </c>
      <c r="I1361" s="41">
        <v>1</v>
      </c>
      <c r="J1361" s="108">
        <v>0</v>
      </c>
      <c r="K1361" s="41">
        <v>0</v>
      </c>
      <c r="L1361" s="41">
        <v>55</v>
      </c>
      <c r="M1361" s="41">
        <v>-1</v>
      </c>
      <c r="N1361" s="41">
        <v>4</v>
      </c>
      <c r="O1361" s="111" t="s">
        <v>2032</v>
      </c>
      <c r="P1361" s="109">
        <v>193042</v>
      </c>
      <c r="Q1361" s="41"/>
      <c r="R1361" s="111"/>
      <c r="S1361" s="110">
        <v>1184121</v>
      </c>
    </row>
    <row r="1362" spans="1:19">
      <c r="A1362" s="105">
        <v>1361</v>
      </c>
      <c r="B1362" s="41">
        <v>120000000</v>
      </c>
      <c r="C1362" s="41">
        <v>5.4000000000000003E-3</v>
      </c>
      <c r="D1362" s="41">
        <v>11.313700000000001</v>
      </c>
      <c r="E1362" s="41">
        <v>30</v>
      </c>
      <c r="F1362" s="41">
        <v>0</v>
      </c>
      <c r="G1362" s="41" t="s">
        <v>103</v>
      </c>
      <c r="H1362" s="41">
        <v>1</v>
      </c>
      <c r="I1362" s="41">
        <v>1</v>
      </c>
      <c r="J1362" s="108">
        <v>0</v>
      </c>
      <c r="K1362" s="41">
        <v>0</v>
      </c>
      <c r="L1362" s="41">
        <v>55</v>
      </c>
      <c r="M1362" s="41">
        <v>-1</v>
      </c>
      <c r="N1362" s="41">
        <v>4</v>
      </c>
      <c r="O1362" s="111" t="s">
        <v>2033</v>
      </c>
      <c r="P1362" s="109">
        <v>193042</v>
      </c>
      <c r="Q1362" s="41"/>
      <c r="R1362" s="111"/>
      <c r="S1362" s="110">
        <v>1184121</v>
      </c>
    </row>
    <row r="1363" spans="1:19">
      <c r="A1363" s="105">
        <v>1362</v>
      </c>
      <c r="B1363" s="41">
        <v>120000000</v>
      </c>
      <c r="C1363" s="41">
        <v>5.4000000000000003E-3</v>
      </c>
      <c r="D1363" s="41">
        <v>12.3377</v>
      </c>
      <c r="E1363" s="41">
        <v>30</v>
      </c>
      <c r="F1363" s="41">
        <v>0</v>
      </c>
      <c r="G1363" s="41" t="s">
        <v>103</v>
      </c>
      <c r="H1363" s="41">
        <v>1</v>
      </c>
      <c r="I1363" s="41">
        <v>1</v>
      </c>
      <c r="J1363" s="108">
        <v>0</v>
      </c>
      <c r="K1363" s="41">
        <v>0</v>
      </c>
      <c r="L1363" s="41">
        <v>55</v>
      </c>
      <c r="M1363" s="41">
        <v>-1</v>
      </c>
      <c r="N1363" s="41">
        <v>4</v>
      </c>
      <c r="O1363" s="111" t="s">
        <v>2034</v>
      </c>
      <c r="P1363" s="109">
        <v>193042</v>
      </c>
      <c r="Q1363" s="41"/>
      <c r="R1363" s="111"/>
      <c r="S1363" s="110">
        <v>1184121</v>
      </c>
    </row>
    <row r="1364" spans="1:19">
      <c r="A1364" s="105">
        <v>1363</v>
      </c>
      <c r="B1364" s="41">
        <v>120000000</v>
      </c>
      <c r="C1364" s="41">
        <v>5.4000000000000003E-3</v>
      </c>
      <c r="D1364" s="41">
        <v>13.4543</v>
      </c>
      <c r="E1364" s="41">
        <v>30</v>
      </c>
      <c r="F1364" s="41">
        <v>0</v>
      </c>
      <c r="G1364" s="41" t="s">
        <v>103</v>
      </c>
      <c r="H1364" s="41">
        <v>1</v>
      </c>
      <c r="I1364" s="41">
        <v>1</v>
      </c>
      <c r="J1364" s="108">
        <v>0</v>
      </c>
      <c r="K1364" s="41">
        <v>0</v>
      </c>
      <c r="L1364" s="41">
        <v>55</v>
      </c>
      <c r="M1364" s="41">
        <v>-1</v>
      </c>
      <c r="N1364" s="41">
        <v>4</v>
      </c>
      <c r="O1364" s="111" t="s">
        <v>2035</v>
      </c>
      <c r="P1364" s="109">
        <v>193042</v>
      </c>
      <c r="Q1364" s="41"/>
      <c r="R1364" s="111"/>
      <c r="S1364" s="110">
        <v>1184121</v>
      </c>
    </row>
    <row r="1365" spans="1:19">
      <c r="A1365" s="105">
        <v>1364</v>
      </c>
      <c r="B1365" s="41">
        <v>120000000</v>
      </c>
      <c r="C1365" s="41">
        <v>5.4000000000000003E-3</v>
      </c>
      <c r="D1365" s="41">
        <v>14.6721</v>
      </c>
      <c r="E1365" s="41">
        <v>30</v>
      </c>
      <c r="F1365" s="41">
        <v>0</v>
      </c>
      <c r="G1365" s="41" t="s">
        <v>103</v>
      </c>
      <c r="H1365" s="41">
        <v>1</v>
      </c>
      <c r="I1365" s="41">
        <v>1</v>
      </c>
      <c r="J1365" s="108">
        <v>0</v>
      </c>
      <c r="K1365" s="41">
        <v>0</v>
      </c>
      <c r="L1365" s="41">
        <v>55</v>
      </c>
      <c r="M1365" s="41">
        <v>-1</v>
      </c>
      <c r="N1365" s="41">
        <v>4</v>
      </c>
      <c r="O1365" s="111" t="s">
        <v>2036</v>
      </c>
      <c r="P1365" s="109">
        <v>193042</v>
      </c>
      <c r="Q1365" s="41"/>
      <c r="R1365" s="111"/>
      <c r="S1365" s="110">
        <v>1184121</v>
      </c>
    </row>
    <row r="1366" spans="1:19">
      <c r="A1366" s="105">
        <v>1365</v>
      </c>
      <c r="B1366" s="41">
        <v>120000000</v>
      </c>
      <c r="C1366" s="41">
        <v>5.4000000000000003E-3</v>
      </c>
      <c r="D1366" s="41">
        <v>16</v>
      </c>
      <c r="E1366" s="41">
        <v>30</v>
      </c>
      <c r="F1366" s="41">
        <v>0</v>
      </c>
      <c r="G1366" s="41" t="s">
        <v>103</v>
      </c>
      <c r="H1366" s="41">
        <v>1</v>
      </c>
      <c r="I1366" s="41">
        <v>1</v>
      </c>
      <c r="J1366" s="108">
        <v>0</v>
      </c>
      <c r="K1366" s="41">
        <v>0</v>
      </c>
      <c r="L1366" s="41">
        <v>55</v>
      </c>
      <c r="M1366" s="41">
        <v>-1</v>
      </c>
      <c r="N1366" s="41">
        <v>4</v>
      </c>
      <c r="O1366" s="111" t="s">
        <v>2037</v>
      </c>
      <c r="P1366" s="109">
        <v>193042</v>
      </c>
      <c r="Q1366" s="41"/>
      <c r="R1366" s="111"/>
      <c r="S1366" s="110">
        <v>1184121</v>
      </c>
    </row>
    <row r="1367" spans="1:19">
      <c r="A1367" s="105">
        <v>1366</v>
      </c>
      <c r="B1367" s="41">
        <v>120000000</v>
      </c>
      <c r="C1367" s="41">
        <v>5.4000000000000003E-3</v>
      </c>
      <c r="D1367" s="41">
        <v>17.4481</v>
      </c>
      <c r="E1367" s="41">
        <v>30</v>
      </c>
      <c r="F1367" s="41">
        <v>0</v>
      </c>
      <c r="G1367" s="41" t="s">
        <v>103</v>
      </c>
      <c r="H1367" s="41">
        <v>1</v>
      </c>
      <c r="I1367" s="41">
        <v>1</v>
      </c>
      <c r="J1367" s="108">
        <v>0</v>
      </c>
      <c r="K1367" s="41">
        <v>0</v>
      </c>
      <c r="L1367" s="41">
        <v>55</v>
      </c>
      <c r="M1367" s="41">
        <v>-1</v>
      </c>
      <c r="N1367" s="41">
        <v>4</v>
      </c>
      <c r="O1367" s="111" t="s">
        <v>2038</v>
      </c>
      <c r="P1367" s="109">
        <v>193042</v>
      </c>
      <c r="Q1367" s="41"/>
      <c r="R1367" s="111"/>
      <c r="S1367" s="110">
        <v>1184121</v>
      </c>
    </row>
    <row r="1368" spans="1:19">
      <c r="A1368" s="105">
        <v>1367</v>
      </c>
      <c r="B1368" s="41">
        <v>120000000</v>
      </c>
      <c r="C1368" s="41">
        <v>5.4000000000000003E-3</v>
      </c>
      <c r="D1368" s="41">
        <v>19.0273</v>
      </c>
      <c r="E1368" s="41">
        <v>30</v>
      </c>
      <c r="F1368" s="41">
        <v>0</v>
      </c>
      <c r="G1368" s="41" t="s">
        <v>103</v>
      </c>
      <c r="H1368" s="41">
        <v>1</v>
      </c>
      <c r="I1368" s="41">
        <v>1</v>
      </c>
      <c r="J1368" s="108">
        <v>0</v>
      </c>
      <c r="K1368" s="41">
        <v>0</v>
      </c>
      <c r="L1368" s="41">
        <v>55</v>
      </c>
      <c r="M1368" s="41">
        <v>-1</v>
      </c>
      <c r="N1368" s="41">
        <v>4</v>
      </c>
      <c r="O1368" s="111" t="s">
        <v>2039</v>
      </c>
      <c r="P1368" s="109">
        <v>193042</v>
      </c>
      <c r="Q1368" s="41"/>
      <c r="R1368" s="111"/>
      <c r="S1368" s="110">
        <v>1184121</v>
      </c>
    </row>
    <row r="1369" spans="1:19">
      <c r="A1369" s="105">
        <v>1368</v>
      </c>
      <c r="B1369" s="41">
        <v>120000000</v>
      </c>
      <c r="C1369" s="41">
        <v>5.8999999999999999E-3</v>
      </c>
      <c r="D1369" s="41">
        <v>11.313700000000001</v>
      </c>
      <c r="E1369" s="41">
        <v>30</v>
      </c>
      <c r="F1369" s="41">
        <v>0</v>
      </c>
      <c r="G1369" s="41" t="s">
        <v>103</v>
      </c>
      <c r="H1369" s="41">
        <v>1</v>
      </c>
      <c r="I1369" s="41">
        <v>1</v>
      </c>
      <c r="J1369" s="108">
        <v>0</v>
      </c>
      <c r="K1369" s="41">
        <v>0</v>
      </c>
      <c r="L1369" s="41">
        <v>55</v>
      </c>
      <c r="M1369" s="41">
        <v>-1</v>
      </c>
      <c r="N1369" s="41">
        <v>4</v>
      </c>
      <c r="O1369" s="111" t="s">
        <v>2040</v>
      </c>
      <c r="P1369" s="109">
        <v>193042</v>
      </c>
      <c r="Q1369" s="41"/>
      <c r="R1369" s="111"/>
      <c r="S1369" s="110">
        <v>1184121</v>
      </c>
    </row>
    <row r="1370" spans="1:19">
      <c r="A1370" s="105">
        <v>1369</v>
      </c>
      <c r="B1370" s="41">
        <v>120000000</v>
      </c>
      <c r="C1370" s="41">
        <v>5.8999999999999999E-3</v>
      </c>
      <c r="D1370" s="41">
        <v>12.3377</v>
      </c>
      <c r="E1370" s="41">
        <v>30</v>
      </c>
      <c r="F1370" s="41">
        <v>0</v>
      </c>
      <c r="G1370" s="41" t="s">
        <v>103</v>
      </c>
      <c r="H1370" s="41">
        <v>1</v>
      </c>
      <c r="I1370" s="41">
        <v>1</v>
      </c>
      <c r="J1370" s="108">
        <v>0</v>
      </c>
      <c r="K1370" s="41">
        <v>0</v>
      </c>
      <c r="L1370" s="41">
        <v>55</v>
      </c>
      <c r="M1370" s="41">
        <v>-1</v>
      </c>
      <c r="N1370" s="41">
        <v>4</v>
      </c>
      <c r="O1370" s="111" t="s">
        <v>2041</v>
      </c>
      <c r="P1370" s="109">
        <v>193042</v>
      </c>
      <c r="Q1370" s="41"/>
      <c r="R1370" s="111"/>
      <c r="S1370" s="110">
        <v>1184121</v>
      </c>
    </row>
    <row r="1371" spans="1:19">
      <c r="A1371" s="105">
        <v>1370</v>
      </c>
      <c r="B1371" s="41">
        <v>120000000</v>
      </c>
      <c r="C1371" s="41">
        <v>5.8999999999999999E-3</v>
      </c>
      <c r="D1371" s="41">
        <v>13.4543</v>
      </c>
      <c r="E1371" s="41">
        <v>30</v>
      </c>
      <c r="F1371" s="41">
        <v>0</v>
      </c>
      <c r="G1371" s="41" t="s">
        <v>103</v>
      </c>
      <c r="H1371" s="41">
        <v>1</v>
      </c>
      <c r="I1371" s="41">
        <v>1</v>
      </c>
      <c r="J1371" s="108">
        <v>0</v>
      </c>
      <c r="K1371" s="41">
        <v>0</v>
      </c>
      <c r="L1371" s="41">
        <v>55</v>
      </c>
      <c r="M1371" s="41">
        <v>-1</v>
      </c>
      <c r="N1371" s="41">
        <v>4</v>
      </c>
      <c r="O1371" s="111" t="s">
        <v>2042</v>
      </c>
      <c r="P1371" s="109">
        <v>193042</v>
      </c>
      <c r="Q1371" s="41"/>
      <c r="R1371" s="111"/>
      <c r="S1371" s="110">
        <v>1184121</v>
      </c>
    </row>
    <row r="1372" spans="1:19">
      <c r="A1372" s="105">
        <v>1371</v>
      </c>
      <c r="B1372" s="41">
        <v>120000000</v>
      </c>
      <c r="C1372" s="41">
        <v>5.8999999999999999E-3</v>
      </c>
      <c r="D1372" s="41">
        <v>14.6721</v>
      </c>
      <c r="E1372" s="41">
        <v>30</v>
      </c>
      <c r="F1372" s="41">
        <v>0</v>
      </c>
      <c r="G1372" s="41" t="s">
        <v>103</v>
      </c>
      <c r="H1372" s="41">
        <v>1</v>
      </c>
      <c r="I1372" s="41">
        <v>1</v>
      </c>
      <c r="J1372" s="108">
        <v>0</v>
      </c>
      <c r="K1372" s="41">
        <v>0</v>
      </c>
      <c r="L1372" s="41">
        <v>55</v>
      </c>
      <c r="M1372" s="41">
        <v>-1</v>
      </c>
      <c r="N1372" s="41">
        <v>4</v>
      </c>
      <c r="O1372" s="111" t="s">
        <v>2043</v>
      </c>
      <c r="P1372" s="109">
        <v>193042</v>
      </c>
      <c r="Q1372" s="41"/>
      <c r="R1372" s="111"/>
      <c r="S1372" s="110">
        <v>1184121</v>
      </c>
    </row>
    <row r="1373" spans="1:19">
      <c r="A1373" s="105">
        <v>1372</v>
      </c>
      <c r="B1373" s="41">
        <v>120000000</v>
      </c>
      <c r="C1373" s="41">
        <v>5.8999999999999999E-3</v>
      </c>
      <c r="D1373" s="41">
        <v>16</v>
      </c>
      <c r="E1373" s="41">
        <v>30</v>
      </c>
      <c r="F1373" s="41">
        <v>0</v>
      </c>
      <c r="G1373" s="41" t="s">
        <v>103</v>
      </c>
      <c r="H1373" s="41">
        <v>1</v>
      </c>
      <c r="I1373" s="41">
        <v>1</v>
      </c>
      <c r="J1373" s="108">
        <v>0</v>
      </c>
      <c r="K1373" s="41">
        <v>0</v>
      </c>
      <c r="L1373" s="41">
        <v>55</v>
      </c>
      <c r="M1373" s="41">
        <v>-1</v>
      </c>
      <c r="N1373" s="41">
        <v>4</v>
      </c>
      <c r="O1373" s="111" t="s">
        <v>2044</v>
      </c>
      <c r="P1373" s="109">
        <v>193042</v>
      </c>
      <c r="Q1373" s="41"/>
      <c r="R1373" s="111"/>
      <c r="S1373" s="110">
        <v>1184121</v>
      </c>
    </row>
    <row r="1374" spans="1:19">
      <c r="A1374" s="105">
        <v>1373</v>
      </c>
      <c r="B1374" s="41">
        <v>120000000</v>
      </c>
      <c r="C1374" s="41">
        <v>5.8999999999999999E-3</v>
      </c>
      <c r="D1374" s="41">
        <v>17.4481</v>
      </c>
      <c r="E1374" s="41">
        <v>30</v>
      </c>
      <c r="F1374" s="41">
        <v>0</v>
      </c>
      <c r="G1374" s="41" t="s">
        <v>103</v>
      </c>
      <c r="H1374" s="41">
        <v>1</v>
      </c>
      <c r="I1374" s="41">
        <v>1</v>
      </c>
      <c r="J1374" s="108">
        <v>0</v>
      </c>
      <c r="K1374" s="41">
        <v>0</v>
      </c>
      <c r="L1374" s="41">
        <v>55</v>
      </c>
      <c r="M1374" s="41">
        <v>-1</v>
      </c>
      <c r="N1374" s="41">
        <v>4</v>
      </c>
      <c r="O1374" s="111" t="s">
        <v>2045</v>
      </c>
      <c r="P1374" s="109">
        <v>193042</v>
      </c>
      <c r="Q1374" s="41"/>
      <c r="R1374" s="111"/>
      <c r="S1374" s="110">
        <v>1184121</v>
      </c>
    </row>
    <row r="1375" spans="1:19">
      <c r="A1375" s="105">
        <v>1374</v>
      </c>
      <c r="B1375" s="41">
        <v>120000000</v>
      </c>
      <c r="C1375" s="41">
        <v>5.8999999999999999E-3</v>
      </c>
      <c r="D1375" s="41">
        <v>19.0273</v>
      </c>
      <c r="E1375" s="41">
        <v>30</v>
      </c>
      <c r="F1375" s="41">
        <v>0</v>
      </c>
      <c r="G1375" s="41" t="s">
        <v>103</v>
      </c>
      <c r="H1375" s="41">
        <v>1</v>
      </c>
      <c r="I1375" s="41">
        <v>1</v>
      </c>
      <c r="J1375" s="108">
        <v>0</v>
      </c>
      <c r="K1375" s="41">
        <v>0</v>
      </c>
      <c r="L1375" s="41">
        <v>55</v>
      </c>
      <c r="M1375" s="41">
        <v>-1</v>
      </c>
      <c r="N1375" s="41">
        <v>4</v>
      </c>
      <c r="O1375" s="111" t="s">
        <v>2046</v>
      </c>
      <c r="P1375" s="109">
        <v>193042</v>
      </c>
      <c r="Q1375" s="41"/>
      <c r="R1375" s="111"/>
      <c r="S1375" s="110">
        <v>1184121</v>
      </c>
    </row>
    <row r="1376" spans="1:19">
      <c r="A1376" s="105">
        <v>1375</v>
      </c>
      <c r="B1376" s="41">
        <v>120000000</v>
      </c>
      <c r="C1376" s="41">
        <v>6.4000000000000003E-3</v>
      </c>
      <c r="D1376" s="41">
        <v>13.4543</v>
      </c>
      <c r="E1376" s="41">
        <v>30</v>
      </c>
      <c r="F1376" s="41">
        <v>0</v>
      </c>
      <c r="G1376" s="41" t="s">
        <v>103</v>
      </c>
      <c r="H1376" s="41">
        <v>1</v>
      </c>
      <c r="I1376" s="41">
        <v>1</v>
      </c>
      <c r="J1376" s="108">
        <v>0</v>
      </c>
      <c r="K1376" s="41">
        <v>0</v>
      </c>
      <c r="L1376" s="41">
        <v>55</v>
      </c>
      <c r="M1376" s="41">
        <v>-1</v>
      </c>
      <c r="N1376" s="41">
        <v>4</v>
      </c>
      <c r="O1376" s="111" t="s">
        <v>2047</v>
      </c>
      <c r="P1376" s="109">
        <v>193159</v>
      </c>
      <c r="Q1376" s="41"/>
      <c r="R1376" s="111"/>
      <c r="S1376" s="110">
        <v>1184121</v>
      </c>
    </row>
    <row r="1377" spans="1:19">
      <c r="A1377" s="105">
        <v>1376</v>
      </c>
      <c r="B1377" s="41">
        <v>120000000</v>
      </c>
      <c r="C1377" s="41">
        <v>6.4000000000000003E-3</v>
      </c>
      <c r="D1377" s="41">
        <v>14.6721</v>
      </c>
      <c r="E1377" s="41">
        <v>30</v>
      </c>
      <c r="F1377" s="41">
        <v>0</v>
      </c>
      <c r="G1377" s="41" t="s">
        <v>103</v>
      </c>
      <c r="H1377" s="41">
        <v>1</v>
      </c>
      <c r="I1377" s="41">
        <v>1</v>
      </c>
      <c r="J1377" s="108">
        <v>0</v>
      </c>
      <c r="K1377" s="41">
        <v>0</v>
      </c>
      <c r="L1377" s="41">
        <v>55</v>
      </c>
      <c r="M1377" s="41">
        <v>-1</v>
      </c>
      <c r="N1377" s="41">
        <v>4</v>
      </c>
      <c r="O1377" s="111" t="s">
        <v>2048</v>
      </c>
      <c r="P1377" s="109">
        <v>193159</v>
      </c>
      <c r="Q1377" s="41"/>
      <c r="R1377" s="111"/>
      <c r="S1377" s="110">
        <v>1184121</v>
      </c>
    </row>
    <row r="1378" spans="1:19">
      <c r="A1378" s="105">
        <v>1377</v>
      </c>
      <c r="B1378" s="41">
        <v>120000000</v>
      </c>
      <c r="C1378" s="41">
        <v>6.4000000000000003E-3</v>
      </c>
      <c r="D1378" s="41">
        <v>16</v>
      </c>
      <c r="E1378" s="41">
        <v>30</v>
      </c>
      <c r="F1378" s="41">
        <v>0</v>
      </c>
      <c r="G1378" s="41" t="s">
        <v>103</v>
      </c>
      <c r="H1378" s="41">
        <v>1</v>
      </c>
      <c r="I1378" s="41">
        <v>1</v>
      </c>
      <c r="J1378" s="108">
        <v>0</v>
      </c>
      <c r="K1378" s="41">
        <v>0</v>
      </c>
      <c r="L1378" s="41">
        <v>55</v>
      </c>
      <c r="M1378" s="41">
        <v>-1</v>
      </c>
      <c r="N1378" s="41">
        <v>4</v>
      </c>
      <c r="O1378" s="111" t="s">
        <v>2049</v>
      </c>
      <c r="P1378" s="109">
        <v>193159</v>
      </c>
      <c r="Q1378" s="41"/>
      <c r="R1378" s="111"/>
      <c r="S1378" s="110">
        <v>1184121</v>
      </c>
    </row>
    <row r="1379" spans="1:19">
      <c r="A1379" s="105">
        <v>1378</v>
      </c>
      <c r="B1379" s="41">
        <v>120000000</v>
      </c>
      <c r="C1379" s="41">
        <v>6.4000000000000003E-3</v>
      </c>
      <c r="D1379" s="41">
        <v>17.4481</v>
      </c>
      <c r="E1379" s="41">
        <v>30</v>
      </c>
      <c r="F1379" s="41">
        <v>0</v>
      </c>
      <c r="G1379" s="41" t="s">
        <v>103</v>
      </c>
      <c r="H1379" s="41">
        <v>1</v>
      </c>
      <c r="I1379" s="41">
        <v>1</v>
      </c>
      <c r="J1379" s="108">
        <v>0</v>
      </c>
      <c r="K1379" s="41">
        <v>0</v>
      </c>
      <c r="L1379" s="41">
        <v>55</v>
      </c>
      <c r="M1379" s="41">
        <v>-1</v>
      </c>
      <c r="N1379" s="41">
        <v>4</v>
      </c>
      <c r="O1379" s="111" t="s">
        <v>2050</v>
      </c>
      <c r="P1379" s="109">
        <v>193159</v>
      </c>
      <c r="Q1379" s="41"/>
      <c r="R1379" s="111"/>
      <c r="S1379" s="110">
        <v>1184121</v>
      </c>
    </row>
    <row r="1380" spans="1:19">
      <c r="A1380" s="105">
        <v>1379</v>
      </c>
      <c r="B1380" s="41">
        <v>120000000</v>
      </c>
      <c r="C1380" s="41">
        <v>6.4000000000000003E-3</v>
      </c>
      <c r="D1380" s="41">
        <v>19.0273</v>
      </c>
      <c r="E1380" s="41">
        <v>30</v>
      </c>
      <c r="F1380" s="41">
        <v>0</v>
      </c>
      <c r="G1380" s="41" t="s">
        <v>103</v>
      </c>
      <c r="H1380" s="41">
        <v>1</v>
      </c>
      <c r="I1380" s="41">
        <v>1</v>
      </c>
      <c r="J1380" s="108">
        <v>0</v>
      </c>
      <c r="K1380" s="41">
        <v>0</v>
      </c>
      <c r="L1380" s="41">
        <v>55</v>
      </c>
      <c r="M1380" s="41">
        <v>-1</v>
      </c>
      <c r="N1380" s="41">
        <v>4</v>
      </c>
      <c r="O1380" s="111" t="s">
        <v>2051</v>
      </c>
      <c r="P1380" s="109">
        <v>193159</v>
      </c>
      <c r="Q1380" s="41"/>
      <c r="R1380" s="111"/>
      <c r="S1380" s="110">
        <v>1184121</v>
      </c>
    </row>
    <row r="1381" spans="1:19">
      <c r="A1381" s="105">
        <v>1380</v>
      </c>
      <c r="B1381" s="41">
        <v>120000000</v>
      </c>
      <c r="C1381" s="41">
        <v>7.0000000000000001E-3</v>
      </c>
      <c r="D1381" s="41">
        <v>16</v>
      </c>
      <c r="E1381" s="41">
        <v>30</v>
      </c>
      <c r="F1381" s="41">
        <v>0</v>
      </c>
      <c r="G1381" s="41" t="s">
        <v>103</v>
      </c>
      <c r="H1381" s="41">
        <v>1</v>
      </c>
      <c r="I1381" s="41">
        <v>1</v>
      </c>
      <c r="J1381" s="108">
        <v>0</v>
      </c>
      <c r="K1381" s="41">
        <v>0</v>
      </c>
      <c r="L1381" s="41">
        <v>55</v>
      </c>
      <c r="M1381" s="41">
        <v>-1</v>
      </c>
      <c r="N1381" s="41">
        <v>4</v>
      </c>
      <c r="O1381" s="111" t="s">
        <v>2052</v>
      </c>
      <c r="P1381" s="109">
        <v>193159</v>
      </c>
      <c r="Q1381" s="41"/>
      <c r="R1381" s="111"/>
      <c r="S1381" s="110">
        <v>1184121</v>
      </c>
    </row>
    <row r="1382" spans="1:19">
      <c r="A1382" s="105">
        <v>1381</v>
      </c>
      <c r="B1382" s="41">
        <v>120000000</v>
      </c>
      <c r="C1382" s="41">
        <v>7.0000000000000001E-3</v>
      </c>
      <c r="D1382" s="41">
        <v>17.4481</v>
      </c>
      <c r="E1382" s="41">
        <v>30</v>
      </c>
      <c r="F1382" s="41">
        <v>0</v>
      </c>
      <c r="G1382" s="41" t="s">
        <v>103</v>
      </c>
      <c r="H1382" s="41">
        <v>1</v>
      </c>
      <c r="I1382" s="41">
        <v>1</v>
      </c>
      <c r="J1382" s="108">
        <v>0</v>
      </c>
      <c r="K1382" s="41">
        <v>0</v>
      </c>
      <c r="L1382" s="41">
        <v>55</v>
      </c>
      <c r="M1382" s="41">
        <v>-1</v>
      </c>
      <c r="N1382" s="41">
        <v>4</v>
      </c>
      <c r="O1382" s="111" t="s">
        <v>2053</v>
      </c>
      <c r="P1382" s="109">
        <v>193159</v>
      </c>
      <c r="Q1382" s="41"/>
      <c r="R1382" s="111"/>
      <c r="S1382" s="110">
        <v>1184121</v>
      </c>
    </row>
    <row r="1383" spans="1:19">
      <c r="A1383" s="105">
        <v>1382</v>
      </c>
      <c r="B1383" s="41">
        <v>120000000</v>
      </c>
      <c r="C1383" s="41">
        <v>7.0000000000000001E-3</v>
      </c>
      <c r="D1383" s="41">
        <v>19.0273</v>
      </c>
      <c r="E1383" s="41">
        <v>30</v>
      </c>
      <c r="F1383" s="41">
        <v>0</v>
      </c>
      <c r="G1383" s="41" t="s">
        <v>103</v>
      </c>
      <c r="H1383" s="41">
        <v>1</v>
      </c>
      <c r="I1383" s="41">
        <v>1</v>
      </c>
      <c r="J1383" s="108">
        <v>0</v>
      </c>
      <c r="K1383" s="41">
        <v>0</v>
      </c>
      <c r="L1383" s="41">
        <v>55</v>
      </c>
      <c r="M1383" s="41">
        <v>-1</v>
      </c>
      <c r="N1383" s="41">
        <v>4</v>
      </c>
      <c r="O1383" s="111" t="s">
        <v>2054</v>
      </c>
      <c r="P1383" s="109">
        <v>193159</v>
      </c>
      <c r="Q1383" s="41"/>
      <c r="R1383" s="111"/>
      <c r="S1383" s="110">
        <v>1184121</v>
      </c>
    </row>
    <row r="1384" spans="1:19">
      <c r="A1384" s="105">
        <v>1383</v>
      </c>
      <c r="B1384" s="41">
        <v>120000000</v>
      </c>
      <c r="C1384" s="41">
        <v>7.6E-3</v>
      </c>
      <c r="D1384" s="41">
        <v>19.0273</v>
      </c>
      <c r="E1384" s="41">
        <v>30</v>
      </c>
      <c r="F1384" s="41">
        <v>0</v>
      </c>
      <c r="G1384" s="41" t="s">
        <v>103</v>
      </c>
      <c r="H1384" s="41">
        <v>1</v>
      </c>
      <c r="I1384" s="41">
        <v>1</v>
      </c>
      <c r="J1384" s="108">
        <v>0</v>
      </c>
      <c r="K1384" s="41">
        <v>0</v>
      </c>
      <c r="L1384" s="41">
        <v>55</v>
      </c>
      <c r="M1384" s="41">
        <v>-1</v>
      </c>
      <c r="N1384" s="41">
        <v>4</v>
      </c>
      <c r="O1384" s="111" t="s">
        <v>2055</v>
      </c>
      <c r="P1384" s="109">
        <v>193159</v>
      </c>
      <c r="Q1384" s="41"/>
      <c r="R1384" s="111"/>
      <c r="S1384" s="110">
        <v>1184121</v>
      </c>
    </row>
  </sheetData>
  <sheetProtection sheet="1" objects="1" scenarios="1"/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H53"/>
  <sheetViews>
    <sheetView topLeftCell="A11" zoomScaleNormal="100" workbookViewId="0">
      <selection activeCell="C24" sqref="C24"/>
    </sheetView>
  </sheetViews>
  <sheetFormatPr defaultColWidth="0" defaultRowHeight="14.4" zeroHeight="1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>
      <c r="A1" t="s">
        <v>240</v>
      </c>
      <c r="B1" t="s">
        <v>340</v>
      </c>
      <c r="C1" t="s">
        <v>1155</v>
      </c>
      <c r="D1" s="143" t="s">
        <v>1154</v>
      </c>
      <c r="E1" t="s">
        <v>104</v>
      </c>
      <c r="F1" t="s">
        <v>109</v>
      </c>
      <c r="G1" s="43" t="s">
        <v>108</v>
      </c>
    </row>
    <row r="2" spans="1:7" hidden="1">
      <c r="A2" t="s">
        <v>243</v>
      </c>
      <c r="B2" t="s">
        <v>105</v>
      </c>
      <c r="D2" s="143" t="e">
        <f>VALUE(LEFT(RIGHT(Table4[[#This Row],[Position History]],5),FIND(CHAR(34),RIGHT(Table4[[#This Row],[Position History]],5))-1))</f>
        <v>#VALUE!</v>
      </c>
      <c r="F2" t="s">
        <v>106</v>
      </c>
      <c r="G2" s="43" t="s">
        <v>246</v>
      </c>
    </row>
    <row r="3" spans="1:7" hidden="1">
      <c r="A3" t="s">
        <v>243</v>
      </c>
      <c r="D3" s="143" t="e">
        <f>VALUE(LEFT(RIGHT(Table4[[#This Row],[Position History]],5),FIND(CHAR(34),RIGHT(Table4[[#This Row],[Position History]],5))-1))</f>
        <v>#VALUE!</v>
      </c>
      <c r="G3" s="43"/>
    </row>
    <row r="4" spans="1:7" hidden="1">
      <c r="A4" t="s">
        <v>243</v>
      </c>
      <c r="D4" s="143" t="e">
        <f>VALUE(LEFT(RIGHT(Table4[[#This Row],[Position History]],5),FIND(CHAR(34),RIGHT(Table4[[#This Row],[Position History]],5))-1))</f>
        <v>#VALUE!</v>
      </c>
      <c r="G4" s="43"/>
    </row>
    <row r="5" spans="1:7" hidden="1">
      <c r="A5" t="s">
        <v>243</v>
      </c>
      <c r="D5" s="143" t="e">
        <f>VALUE(LEFT(RIGHT(Table4[[#This Row],[Position History]],5),FIND(CHAR(34),RIGHT(Table4[[#This Row],[Position History]],5))-1))</f>
        <v>#VALUE!</v>
      </c>
      <c r="G5" s="43"/>
    </row>
    <row r="6" spans="1:7" hidden="1">
      <c r="A6" s="102" t="s">
        <v>243</v>
      </c>
      <c r="B6" s="102" t="s">
        <v>107</v>
      </c>
      <c r="C6" s="102"/>
      <c r="D6" s="144" t="e">
        <f>VALUE(LEFT(RIGHT(Table4[[#This Row],[Position History]],5),FIND(CHAR(34),RIGHT(Table4[[#This Row],[Position History]],5))-1))</f>
        <v>#VALUE!</v>
      </c>
      <c r="E6" s="102" t="s">
        <v>329</v>
      </c>
      <c r="F6" s="102" t="s">
        <v>106</v>
      </c>
      <c r="G6" s="103" t="s">
        <v>110</v>
      </c>
    </row>
    <row r="7" spans="1:7" hidden="1">
      <c r="A7" s="102"/>
      <c r="B7" s="102"/>
      <c r="C7" s="102"/>
      <c r="D7" s="144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>
      <c r="A8" s="102" t="s">
        <v>241</v>
      </c>
      <c r="B8" s="102" t="s">
        <v>316</v>
      </c>
      <c r="C8" s="141" t="s">
        <v>1160</v>
      </c>
      <c r="D8" s="145">
        <f>VALUE(LEFT(RIGHT(Table4[[#This Row],[Position History]],5),FIND(CHAR(34),RIGHT(Table4[[#This Row],[Position History]],5))-1))</f>
        <v>0</v>
      </c>
      <c r="E8" s="102" t="s">
        <v>330</v>
      </c>
      <c r="F8" s="102" t="s">
        <v>330</v>
      </c>
      <c r="G8" s="103" t="s">
        <v>359</v>
      </c>
    </row>
    <row r="9" spans="1:7">
      <c r="A9" s="102" t="s">
        <v>241</v>
      </c>
      <c r="B9" s="102" t="s">
        <v>111</v>
      </c>
      <c r="C9" s="141" t="s">
        <v>1151</v>
      </c>
      <c r="D9" s="145">
        <f>VALUE(LEFT(RIGHT(Table4[[#This Row],[Position History]],5),FIND(CHAR(34),RIGHT(Table4[[#This Row],[Position History]],5))-1))</f>
        <v>1</v>
      </c>
      <c r="E9" s="102" t="s">
        <v>330</v>
      </c>
      <c r="F9" s="102" t="s">
        <v>330</v>
      </c>
      <c r="G9" s="103" t="s">
        <v>360</v>
      </c>
    </row>
    <row r="10" spans="1:7">
      <c r="A10" s="102" t="s">
        <v>241</v>
      </c>
      <c r="B10" s="102" t="s">
        <v>98</v>
      </c>
      <c r="C10" s="141" t="s">
        <v>1150</v>
      </c>
      <c r="D10" s="145">
        <f>VALUE(LEFT(RIGHT(Table4[[#This Row],[Position History]],5),FIND(CHAR(34),RIGHT(Table4[[#This Row],[Position History]],5))-1))</f>
        <v>2</v>
      </c>
      <c r="E10" s="102" t="s">
        <v>330</v>
      </c>
      <c r="F10" s="102" t="s">
        <v>330</v>
      </c>
      <c r="G10" s="103" t="s">
        <v>361</v>
      </c>
    </row>
    <row r="11" spans="1:7">
      <c r="A11" s="102" t="s">
        <v>241</v>
      </c>
      <c r="B11" s="102" t="s">
        <v>317</v>
      </c>
      <c r="C11" s="141" t="s">
        <v>1149</v>
      </c>
      <c r="D11" s="145">
        <f>VALUE(LEFT(RIGHT(Table4[[#This Row],[Position History]],5),FIND(CHAR(34),RIGHT(Table4[[#This Row],[Position History]],5))-1))</f>
        <v>3</v>
      </c>
      <c r="E11" s="102" t="s">
        <v>330</v>
      </c>
      <c r="F11" s="102" t="s">
        <v>330</v>
      </c>
      <c r="G11" s="103" t="s">
        <v>364</v>
      </c>
    </row>
    <row r="12" spans="1:7">
      <c r="A12" s="102" t="s">
        <v>241</v>
      </c>
      <c r="B12" s="102" t="s">
        <v>318</v>
      </c>
      <c r="C12" s="141" t="s">
        <v>1146</v>
      </c>
      <c r="D12" s="145">
        <f>VALUE(LEFT(RIGHT(Table4[[#This Row],[Position History]],5),FIND(CHAR(34),RIGHT(Table4[[#This Row],[Position History]],5))-1))</f>
        <v>4</v>
      </c>
      <c r="E12" s="102" t="s">
        <v>330</v>
      </c>
      <c r="F12" s="102" t="s">
        <v>330</v>
      </c>
      <c r="G12" s="103" t="s">
        <v>365</v>
      </c>
    </row>
    <row r="13" spans="1:7">
      <c r="A13" s="102" t="s">
        <v>241</v>
      </c>
      <c r="B13" s="102" t="s">
        <v>99</v>
      </c>
      <c r="C13" s="141" t="s">
        <v>1145</v>
      </c>
      <c r="D13" s="145">
        <f>VALUE(LEFT(RIGHT(Table4[[#This Row],[Position History]],5),FIND(CHAR(34),RIGHT(Table4[[#This Row],[Position History]],5))-1))</f>
        <v>5</v>
      </c>
      <c r="E13" s="102" t="s">
        <v>330</v>
      </c>
      <c r="F13" s="102" t="s">
        <v>330</v>
      </c>
      <c r="G13" s="104" t="s">
        <v>362</v>
      </c>
    </row>
    <row r="14" spans="1:7">
      <c r="A14" s="102" t="s">
        <v>241</v>
      </c>
      <c r="B14" s="102" t="s">
        <v>100</v>
      </c>
      <c r="C14" s="141" t="s">
        <v>1148</v>
      </c>
      <c r="D14" s="145">
        <f>VALUE(LEFT(RIGHT(Table4[[#This Row],[Position History]],5),FIND(CHAR(34),RIGHT(Table4[[#This Row],[Position History]],5))-1))</f>
        <v>6</v>
      </c>
      <c r="E14" s="102" t="s">
        <v>330</v>
      </c>
      <c r="F14" s="102" t="s">
        <v>330</v>
      </c>
      <c r="G14" s="103" t="s">
        <v>357</v>
      </c>
    </row>
    <row r="15" spans="1:7">
      <c r="A15" s="102" t="s">
        <v>241</v>
      </c>
      <c r="B15" s="102" t="s">
        <v>319</v>
      </c>
      <c r="C15" s="141" t="s">
        <v>1152</v>
      </c>
      <c r="D15" s="145">
        <f>VALUE(LEFT(RIGHT(Table4[[#This Row],[Position History]],5),FIND(CHAR(34),RIGHT(Table4[[#This Row],[Position History]],5))-1))</f>
        <v>7</v>
      </c>
      <c r="E15" s="102" t="s">
        <v>330</v>
      </c>
      <c r="F15" s="102" t="s">
        <v>330</v>
      </c>
      <c r="G15" s="103" t="s">
        <v>363</v>
      </c>
    </row>
    <row r="16" spans="1:7">
      <c r="A16" s="102" t="s">
        <v>241</v>
      </c>
      <c r="B16" s="102" t="s">
        <v>320</v>
      </c>
      <c r="C16" s="141" t="s">
        <v>1147</v>
      </c>
      <c r="D16" s="145">
        <f>VALUE(LEFT(RIGHT(Table4[[#This Row],[Position History]],5),FIND(CHAR(34),RIGHT(Table4[[#This Row],[Position History]],5))-1))</f>
        <v>8</v>
      </c>
      <c r="E16" s="102" t="s">
        <v>330</v>
      </c>
      <c r="F16" s="102" t="s">
        <v>330</v>
      </c>
      <c r="G16" s="103" t="s">
        <v>341</v>
      </c>
    </row>
    <row r="17" spans="1:7">
      <c r="A17" s="102" t="s">
        <v>241</v>
      </c>
      <c r="B17" s="102" t="s">
        <v>321</v>
      </c>
      <c r="C17" s="141" t="s">
        <v>1153</v>
      </c>
      <c r="D17" s="145">
        <f>VALUE(LEFT(RIGHT(Table4[[#This Row],[Position History]],5),FIND(CHAR(34),RIGHT(Table4[[#This Row],[Position History]],5))-1))</f>
        <v>9</v>
      </c>
      <c r="E17" s="102" t="s">
        <v>330</v>
      </c>
      <c r="F17" s="102" t="s">
        <v>330</v>
      </c>
      <c r="G17" s="103" t="s">
        <v>1158</v>
      </c>
    </row>
    <row r="18" spans="1:7">
      <c r="A18" s="102" t="s">
        <v>241</v>
      </c>
      <c r="B18" s="102" t="s">
        <v>322</v>
      </c>
      <c r="C18" s="141" t="s">
        <v>1140</v>
      </c>
      <c r="D18" s="145">
        <f>VALUE(LEFT(RIGHT(Table4[[#This Row],[Position History]],5),FIND(CHAR(34),RIGHT(Table4[[#This Row],[Position History]],5))-1))</f>
        <v>10</v>
      </c>
      <c r="E18" s="102" t="s">
        <v>330</v>
      </c>
      <c r="F18" s="102" t="s">
        <v>330</v>
      </c>
      <c r="G18" s="103" t="s">
        <v>356</v>
      </c>
    </row>
    <row r="19" spans="1:7">
      <c r="A19" s="102" t="s">
        <v>241</v>
      </c>
      <c r="B19" s="102" t="s">
        <v>323</v>
      </c>
      <c r="C19" s="141" t="s">
        <v>1141</v>
      </c>
      <c r="D19" s="145">
        <f>VALUE(LEFT(RIGHT(Table4[[#This Row],[Position History]],5),FIND(CHAR(34),RIGHT(Table4[[#This Row],[Position History]],5))-1))</f>
        <v>11</v>
      </c>
      <c r="E19" s="102" t="s">
        <v>330</v>
      </c>
      <c r="F19" s="102" t="s">
        <v>330</v>
      </c>
      <c r="G19" s="103" t="s">
        <v>355</v>
      </c>
    </row>
    <row r="20" spans="1:7">
      <c r="A20" s="102" t="s">
        <v>241</v>
      </c>
      <c r="B20" s="102" t="s">
        <v>324</v>
      </c>
      <c r="C20" s="141" t="s">
        <v>1139</v>
      </c>
      <c r="D20" s="145">
        <f>VALUE(LEFT(RIGHT(Table4[[#This Row],[Position History]],5),FIND(CHAR(34),RIGHT(Table4[[#This Row],[Position History]],5))-1))</f>
        <v>12</v>
      </c>
      <c r="E20" s="102" t="s">
        <v>330</v>
      </c>
      <c r="F20" s="102" t="s">
        <v>330</v>
      </c>
      <c r="G20" s="103" t="s">
        <v>358</v>
      </c>
    </row>
    <row r="21" spans="1:7">
      <c r="A21" s="102" t="s">
        <v>242</v>
      </c>
      <c r="B21" s="102" t="s">
        <v>1143</v>
      </c>
      <c r="C21" s="141" t="s">
        <v>1161</v>
      </c>
      <c r="D21" s="145">
        <f>VALUE(LEFT(RIGHT(Table4[[#This Row],[Position History]],5),FIND(CHAR(34),RIGHT(Table4[[#This Row],[Position History]],5))-1))</f>
        <v>0</v>
      </c>
      <c r="E21" s="102" t="s">
        <v>330</v>
      </c>
      <c r="F21" s="102" t="s">
        <v>330</v>
      </c>
      <c r="G21" s="103" t="s">
        <v>1159</v>
      </c>
    </row>
    <row r="22" spans="1:7">
      <c r="A22" s="102" t="s">
        <v>242</v>
      </c>
      <c r="B22" s="102" t="s">
        <v>111</v>
      </c>
      <c r="C22" s="141" t="s">
        <v>1162</v>
      </c>
      <c r="D22" s="145">
        <f>VALUE(LEFT(RIGHT(Table4[[#This Row],[Position History]],5),FIND(CHAR(34),RIGHT(Table4[[#This Row],[Position History]],5))-1))</f>
        <v>1</v>
      </c>
      <c r="E22" s="102" t="s">
        <v>330</v>
      </c>
      <c r="F22" s="102" t="s">
        <v>330</v>
      </c>
      <c r="G22" s="103" t="s">
        <v>1157</v>
      </c>
    </row>
    <row r="23" spans="1:7">
      <c r="A23" s="102" t="s">
        <v>242</v>
      </c>
      <c r="B23" s="102" t="s">
        <v>333</v>
      </c>
      <c r="C23" s="141" t="s">
        <v>1163</v>
      </c>
      <c r="D23" s="145">
        <f>VALUE(LEFT(RIGHT(Table4[[#This Row],[Position History]],5),FIND(CHAR(34),RIGHT(Table4[[#This Row],[Position History]],5))-1))</f>
        <v>2</v>
      </c>
      <c r="E23" s="102" t="s">
        <v>330</v>
      </c>
      <c r="F23" s="102" t="s">
        <v>330</v>
      </c>
      <c r="G23" s="103" t="s">
        <v>346</v>
      </c>
    </row>
    <row r="24" spans="1:7">
      <c r="A24" s="102" t="s">
        <v>242</v>
      </c>
      <c r="B24" s="102" t="s">
        <v>334</v>
      </c>
      <c r="C24" s="141" t="s">
        <v>1164</v>
      </c>
      <c r="D24" s="145">
        <f>VALUE(LEFT(RIGHT(Table4[[#This Row],[Position History]],5),FIND(CHAR(34),RIGHT(Table4[[#This Row],[Position History]],5))-1))</f>
        <v>3</v>
      </c>
      <c r="E24" s="102" t="s">
        <v>330</v>
      </c>
      <c r="F24" s="102" t="s">
        <v>330</v>
      </c>
      <c r="G24" s="103" t="s">
        <v>347</v>
      </c>
    </row>
    <row r="25" spans="1:7">
      <c r="A25" s="102" t="s">
        <v>242</v>
      </c>
      <c r="B25" s="102" t="s">
        <v>1142</v>
      </c>
      <c r="C25" s="141" t="s">
        <v>1165</v>
      </c>
      <c r="D25" s="145">
        <f>VALUE(LEFT(RIGHT(Table4[[#This Row],[Position History]],5),FIND(CHAR(34),RIGHT(Table4[[#This Row],[Position History]],5))-1))</f>
        <v>4</v>
      </c>
      <c r="E25" s="102" t="s">
        <v>330</v>
      </c>
      <c r="F25" s="102" t="s">
        <v>330</v>
      </c>
      <c r="G25" s="103" t="s">
        <v>1156</v>
      </c>
    </row>
    <row r="26" spans="1:7">
      <c r="A26" s="102" t="s">
        <v>242</v>
      </c>
      <c r="B26" s="102" t="s">
        <v>335</v>
      </c>
      <c r="C26" s="141" t="s">
        <v>1166</v>
      </c>
      <c r="D26" s="145">
        <f>VALUE(LEFT(RIGHT(Table4[[#This Row],[Position History]],5),FIND(CHAR(34),RIGHT(Table4[[#This Row],[Position History]],5))-1))</f>
        <v>5</v>
      </c>
      <c r="E26" s="102" t="s">
        <v>330</v>
      </c>
      <c r="F26" s="102" t="s">
        <v>330</v>
      </c>
      <c r="G26" s="103" t="s">
        <v>351</v>
      </c>
    </row>
    <row r="27" spans="1:7">
      <c r="A27" s="102" t="s">
        <v>242</v>
      </c>
      <c r="B27" s="102" t="s">
        <v>336</v>
      </c>
      <c r="C27" s="141" t="s">
        <v>1167</v>
      </c>
      <c r="D27" s="145">
        <f>VALUE(LEFT(RIGHT(Table4[[#This Row],[Position History]],5),FIND(CHAR(34),RIGHT(Table4[[#This Row],[Position History]],5))-1))</f>
        <v>6</v>
      </c>
      <c r="E27" s="102" t="s">
        <v>330</v>
      </c>
      <c r="F27" s="102" t="s">
        <v>330</v>
      </c>
      <c r="G27" s="103" t="s">
        <v>349</v>
      </c>
    </row>
    <row r="28" spans="1:7">
      <c r="A28" s="102" t="s">
        <v>242</v>
      </c>
      <c r="B28" s="102" t="s">
        <v>337</v>
      </c>
      <c r="C28" s="141" t="s">
        <v>1168</v>
      </c>
      <c r="D28" s="145">
        <f>VALUE(LEFT(RIGHT(Table4[[#This Row],[Position History]],5),FIND(CHAR(34),RIGHT(Table4[[#This Row],[Position History]],5))-1))</f>
        <v>7</v>
      </c>
      <c r="E28" s="102" t="s">
        <v>330</v>
      </c>
      <c r="F28" s="102" t="s">
        <v>330</v>
      </c>
      <c r="G28" s="103" t="s">
        <v>342</v>
      </c>
    </row>
    <row r="29" spans="1:7">
      <c r="A29" s="102" t="s">
        <v>242</v>
      </c>
      <c r="B29" s="102" t="s">
        <v>338</v>
      </c>
      <c r="C29" s="141" t="s">
        <v>1169</v>
      </c>
      <c r="D29" s="145">
        <f>VALUE(LEFT(RIGHT(Table4[[#This Row],[Position History]],5),FIND(CHAR(34),RIGHT(Table4[[#This Row],[Position History]],5))-1))</f>
        <v>8</v>
      </c>
      <c r="E29" s="102" t="s">
        <v>330</v>
      </c>
      <c r="F29" s="102" t="s">
        <v>330</v>
      </c>
      <c r="G29" s="103" t="s">
        <v>348</v>
      </c>
    </row>
    <row r="30" spans="1:7">
      <c r="A30" s="102" t="s">
        <v>242</v>
      </c>
      <c r="B30" s="102" t="s">
        <v>339</v>
      </c>
      <c r="C30" s="141" t="s">
        <v>1170</v>
      </c>
      <c r="D30" s="145">
        <f>VALUE(LEFT(RIGHT(Table4[[#This Row],[Position History]],5),FIND(CHAR(34),RIGHT(Table4[[#This Row],[Position History]],5))-1))</f>
        <v>9</v>
      </c>
      <c r="E30" s="102" t="s">
        <v>330</v>
      </c>
      <c r="F30" s="102" t="s">
        <v>330</v>
      </c>
      <c r="G30" s="103" t="s">
        <v>343</v>
      </c>
    </row>
    <row r="31" spans="1:7">
      <c r="A31" s="102" t="s">
        <v>242</v>
      </c>
      <c r="B31" s="102" t="s">
        <v>112</v>
      </c>
      <c r="C31" s="141" t="s">
        <v>1171</v>
      </c>
      <c r="D31" s="145">
        <f>VALUE(LEFT(RIGHT(Table4[[#This Row],[Position History]],5),FIND(CHAR(34),RIGHT(Table4[[#This Row],[Position History]],5))-1))</f>
        <v>10</v>
      </c>
      <c r="E31" s="102" t="s">
        <v>203</v>
      </c>
      <c r="F31" s="102"/>
      <c r="G31" s="103" t="s">
        <v>344</v>
      </c>
    </row>
    <row r="32" spans="1:7">
      <c r="A32" s="102" t="s">
        <v>242</v>
      </c>
      <c r="B32" s="102" t="s">
        <v>327</v>
      </c>
      <c r="C32" s="141" t="s">
        <v>1172</v>
      </c>
      <c r="D32" s="145">
        <f>VALUE(LEFT(RIGHT(Table4[[#This Row],[Position History]],5),FIND(CHAR(34),RIGHT(Table4[[#This Row],[Position History]],5))-1))</f>
        <v>11</v>
      </c>
      <c r="E32" s="102" t="s">
        <v>330</v>
      </c>
      <c r="F32" s="102" t="s">
        <v>330</v>
      </c>
      <c r="G32" s="103" t="s">
        <v>345</v>
      </c>
    </row>
    <row r="33" spans="1:7">
      <c r="A33" s="102" t="s">
        <v>242</v>
      </c>
      <c r="B33" s="102" t="s">
        <v>326</v>
      </c>
      <c r="C33" s="141" t="s">
        <v>1173</v>
      </c>
      <c r="D33" s="145">
        <f>VALUE(LEFT(RIGHT(Table4[[#This Row],[Position History]],5),FIND(CHAR(34),RIGHT(Table4[[#This Row],[Position History]],5))-1))</f>
        <v>12</v>
      </c>
      <c r="E33" s="102" t="s">
        <v>330</v>
      </c>
      <c r="F33" s="102" t="s">
        <v>330</v>
      </c>
      <c r="G33" s="103" t="s">
        <v>352</v>
      </c>
    </row>
    <row r="34" spans="1:7">
      <c r="A34" s="102" t="s">
        <v>242</v>
      </c>
      <c r="B34" s="102" t="s">
        <v>328</v>
      </c>
      <c r="C34" s="141" t="s">
        <v>1174</v>
      </c>
      <c r="D34" s="145">
        <f>VALUE(LEFT(RIGHT(Table4[[#This Row],[Position History]],5),FIND(CHAR(34),RIGHT(Table4[[#This Row],[Position History]],5))-1))</f>
        <v>13</v>
      </c>
      <c r="E34" s="102" t="s">
        <v>330</v>
      </c>
      <c r="F34" s="102" t="s">
        <v>330</v>
      </c>
      <c r="G34" s="103" t="s">
        <v>354</v>
      </c>
    </row>
    <row r="35" spans="1:7">
      <c r="A35" s="102" t="s">
        <v>242</v>
      </c>
      <c r="B35" s="102" t="s">
        <v>325</v>
      </c>
      <c r="C35" s="141" t="s">
        <v>1175</v>
      </c>
      <c r="D35" s="145">
        <f>VALUE(LEFT(RIGHT(Table4[[#This Row],[Position History]],5),FIND(CHAR(34),RIGHT(Table4[[#This Row],[Position History]],5))-1))</f>
        <v>14</v>
      </c>
      <c r="E35" s="102" t="s">
        <v>330</v>
      </c>
      <c r="F35" s="102" t="s">
        <v>330</v>
      </c>
      <c r="G35" s="103" t="s">
        <v>353</v>
      </c>
    </row>
    <row r="36" spans="1:7">
      <c r="A36" s="102" t="s">
        <v>242</v>
      </c>
      <c r="B36" s="102" t="s">
        <v>331</v>
      </c>
      <c r="C36" s="141" t="s">
        <v>1176</v>
      </c>
      <c r="D36" s="145">
        <f>VALUE(LEFT(RIGHT(Table4[[#This Row],[Position History]],5),FIND(CHAR(34),RIGHT(Table4[[#This Row],[Position History]],5))-1))</f>
        <v>15</v>
      </c>
      <c r="E36" s="102"/>
      <c r="F36" s="102"/>
      <c r="G36" s="103" t="s">
        <v>366</v>
      </c>
    </row>
    <row r="37" spans="1:7">
      <c r="A37" s="102" t="s">
        <v>242</v>
      </c>
      <c r="B37" s="102" t="s">
        <v>332</v>
      </c>
      <c r="C37" s="141" t="s">
        <v>1177</v>
      </c>
      <c r="D37" s="145">
        <f>VALUE(LEFT(RIGHT(Table4[[#This Row],[Position History]],5),FIND(CHAR(34),RIGHT(Table4[[#This Row],[Position History]],5))-1))</f>
        <v>16</v>
      </c>
      <c r="E37" s="102" t="s">
        <v>330</v>
      </c>
      <c r="F37" s="102" t="s">
        <v>330</v>
      </c>
      <c r="G37" s="103" t="s">
        <v>350</v>
      </c>
    </row>
    <row r="38" spans="1:7">
      <c r="A38" s="102" t="s">
        <v>242</v>
      </c>
      <c r="B38" s="102" t="s">
        <v>113</v>
      </c>
      <c r="C38" s="141" t="s">
        <v>1178</v>
      </c>
      <c r="D38" s="145">
        <f>VALUE(LEFT(RIGHT(Table4[[#This Row],[Position History]],5),FIND(CHAR(34),RIGHT(Table4[[#This Row],[Position History]],5))-1))</f>
        <v>17</v>
      </c>
      <c r="E38" s="102" t="s">
        <v>330</v>
      </c>
      <c r="F38" s="102" t="s">
        <v>330</v>
      </c>
      <c r="G38" s="103" t="s">
        <v>341</v>
      </c>
    </row>
    <row r="39" spans="1:7" hidden="1">
      <c r="A39" s="102"/>
      <c r="B39" s="102"/>
      <c r="C39" s="102"/>
      <c r="D39" s="144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>
      <c r="A40" s="102"/>
      <c r="B40" s="102"/>
      <c r="C40" s="102"/>
      <c r="D40" s="144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>
      <c r="A41" s="102"/>
      <c r="B41" s="102"/>
      <c r="C41" s="102"/>
      <c r="D41" s="144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>
      <c r="A42" s="102"/>
      <c r="B42" s="102"/>
      <c r="C42" s="102"/>
      <c r="D42" s="144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>
      <c r="A43" s="102"/>
      <c r="B43" s="102"/>
      <c r="C43" s="102"/>
      <c r="D43" s="144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>
      <c r="A44" s="102"/>
      <c r="B44" s="102"/>
      <c r="C44" s="102"/>
      <c r="D44" s="144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>
      <c r="A45" s="102"/>
      <c r="B45" s="102"/>
      <c r="C45" s="102"/>
      <c r="D45" s="144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>
      <c r="A46" s="102"/>
      <c r="B46" s="102"/>
      <c r="C46" s="102"/>
      <c r="D46" s="144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>
      <c r="A47" s="102"/>
      <c r="B47" s="102"/>
      <c r="C47" s="102"/>
      <c r="D47" s="144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>
      <c r="A48" s="102"/>
      <c r="B48" s="102"/>
      <c r="C48" s="102"/>
      <c r="D48" s="144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>
      <c r="H49" s="43"/>
    </row>
    <row r="50" spans="8:8" hidden="1">
      <c r="H50" s="43"/>
    </row>
    <row r="51" spans="8:8" hidden="1">
      <c r="H51" s="43"/>
    </row>
    <row r="52" spans="8:8" hidden="1"/>
    <row r="53" spans="8:8" hidden="1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>
      <c r="A2" s="98" t="s">
        <v>234</v>
      </c>
      <c r="B2" s="99" t="s">
        <v>235</v>
      </c>
      <c r="C2" s="100">
        <v>128</v>
      </c>
      <c r="D2" s="97">
        <v>1</v>
      </c>
      <c r="E2" s="99" t="s">
        <v>236</v>
      </c>
    </row>
    <row r="3" spans="1:5">
      <c r="A3" s="98" t="s">
        <v>234</v>
      </c>
      <c r="B3" s="99" t="s">
        <v>235</v>
      </c>
      <c r="C3" s="100">
        <v>129</v>
      </c>
      <c r="D3" s="97">
        <v>1</v>
      </c>
      <c r="E3" s="99" t="s">
        <v>237</v>
      </c>
    </row>
    <row r="4" spans="1:5">
      <c r="A4" s="98" t="s">
        <v>234</v>
      </c>
      <c r="B4" s="99" t="s">
        <v>235</v>
      </c>
      <c r="C4" s="100">
        <v>137</v>
      </c>
      <c r="D4" s="97">
        <v>1</v>
      </c>
      <c r="E4" s="99" t="s">
        <v>238</v>
      </c>
    </row>
    <row r="5" spans="1:5">
      <c r="A5" s="98" t="s">
        <v>234</v>
      </c>
      <c r="B5" s="99" t="s">
        <v>235</v>
      </c>
      <c r="C5" s="100">
        <v>139</v>
      </c>
      <c r="D5" s="97">
        <v>1</v>
      </c>
      <c r="E5" s="99" t="s">
        <v>239</v>
      </c>
    </row>
    <row r="6" spans="1:5">
      <c r="A6" s="98" t="s">
        <v>234</v>
      </c>
      <c r="B6" s="99" t="s">
        <v>244</v>
      </c>
      <c r="C6" s="100">
        <v>508</v>
      </c>
      <c r="D6" s="97">
        <v>1</v>
      </c>
      <c r="E6" s="99" t="s">
        <v>245</v>
      </c>
    </row>
    <row r="7" spans="1:5">
      <c r="A7" s="98" t="s">
        <v>234</v>
      </c>
      <c r="B7" s="99" t="s">
        <v>244</v>
      </c>
      <c r="C7" s="100">
        <v>510</v>
      </c>
      <c r="D7" s="97">
        <v>1</v>
      </c>
      <c r="E7" s="99" t="s">
        <v>311</v>
      </c>
    </row>
    <row r="8" spans="1:5">
      <c r="A8" s="98" t="s">
        <v>234</v>
      </c>
      <c r="B8" s="99" t="s">
        <v>244</v>
      </c>
      <c r="C8" s="100">
        <v>529</v>
      </c>
      <c r="D8" s="97">
        <v>1</v>
      </c>
      <c r="E8" s="99" t="s">
        <v>247</v>
      </c>
    </row>
    <row r="9" spans="1:5">
      <c r="A9" s="98" t="s">
        <v>234</v>
      </c>
      <c r="B9" s="99" t="s">
        <v>244</v>
      </c>
      <c r="C9" s="100">
        <v>533</v>
      </c>
      <c r="D9" s="97">
        <v>1</v>
      </c>
      <c r="E9" s="99" t="s">
        <v>296</v>
      </c>
    </row>
    <row r="10" spans="1:5">
      <c r="A10" s="98" t="s">
        <v>234</v>
      </c>
      <c r="B10" s="99" t="s">
        <v>244</v>
      </c>
      <c r="C10" s="100">
        <v>548</v>
      </c>
      <c r="D10" s="97">
        <v>1</v>
      </c>
      <c r="E10" s="99" t="s">
        <v>249</v>
      </c>
    </row>
    <row r="11" spans="1:5">
      <c r="A11" s="98" t="s">
        <v>234</v>
      </c>
      <c r="B11" s="99" t="s">
        <v>251</v>
      </c>
      <c r="C11" s="100">
        <v>576</v>
      </c>
      <c r="D11" s="97">
        <v>1</v>
      </c>
      <c r="E11" s="99" t="s">
        <v>250</v>
      </c>
    </row>
    <row r="12" spans="1:5">
      <c r="A12" s="98" t="s">
        <v>234</v>
      </c>
      <c r="B12" s="99" t="s">
        <v>251</v>
      </c>
      <c r="C12" s="100">
        <v>656</v>
      </c>
      <c r="D12" s="97">
        <v>1</v>
      </c>
      <c r="E12" s="99" t="s">
        <v>252</v>
      </c>
    </row>
    <row r="13" spans="1:5">
      <c r="A13" s="98" t="s">
        <v>234</v>
      </c>
      <c r="B13" s="99" t="s">
        <v>251</v>
      </c>
      <c r="C13" s="100">
        <v>658</v>
      </c>
      <c r="D13" s="97">
        <v>1</v>
      </c>
      <c r="E13" s="99" t="s">
        <v>253</v>
      </c>
    </row>
    <row r="14" spans="1:5">
      <c r="A14" s="98" t="s">
        <v>234</v>
      </c>
      <c r="B14" s="99" t="s">
        <v>251</v>
      </c>
      <c r="C14" s="100">
        <v>696</v>
      </c>
      <c r="D14" s="97">
        <v>1</v>
      </c>
      <c r="E14" s="99" t="s">
        <v>254</v>
      </c>
    </row>
    <row r="15" spans="1:5">
      <c r="A15" s="98" t="s">
        <v>234</v>
      </c>
      <c r="B15" s="99" t="s">
        <v>251</v>
      </c>
      <c r="C15" s="100">
        <v>697</v>
      </c>
      <c r="D15" s="97">
        <v>1</v>
      </c>
      <c r="E15" s="99" t="s">
        <v>297</v>
      </c>
    </row>
    <row r="16" spans="1:5">
      <c r="A16" s="98" t="s">
        <v>234</v>
      </c>
      <c r="B16" s="99" t="s">
        <v>251</v>
      </c>
      <c r="C16" s="100">
        <v>731</v>
      </c>
      <c r="D16" s="97">
        <v>1</v>
      </c>
      <c r="E16" s="99" t="s">
        <v>255</v>
      </c>
    </row>
    <row r="17" spans="1:5">
      <c r="A17" s="98" t="s">
        <v>234</v>
      </c>
      <c r="B17" s="99" t="s">
        <v>251</v>
      </c>
      <c r="C17" s="100">
        <v>766</v>
      </c>
      <c r="D17" s="97">
        <v>1</v>
      </c>
      <c r="E17" s="99" t="s">
        <v>301</v>
      </c>
    </row>
    <row r="18" spans="1:5">
      <c r="A18" s="98" t="s">
        <v>234</v>
      </c>
      <c r="B18" s="99" t="s">
        <v>251</v>
      </c>
      <c r="C18" s="100">
        <v>839</v>
      </c>
      <c r="D18" s="97">
        <v>1</v>
      </c>
      <c r="E18" s="99" t="s">
        <v>305</v>
      </c>
    </row>
    <row r="19" spans="1:5">
      <c r="A19" s="98" t="s">
        <v>234</v>
      </c>
      <c r="B19" s="99" t="s">
        <v>251</v>
      </c>
      <c r="C19" s="100">
        <v>856</v>
      </c>
      <c r="D19" s="97">
        <v>1</v>
      </c>
      <c r="E19" s="99" t="s">
        <v>309</v>
      </c>
    </row>
    <row r="20" spans="1:5">
      <c r="A20" s="98" t="s">
        <v>234</v>
      </c>
      <c r="B20" s="99" t="s">
        <v>256</v>
      </c>
      <c r="C20" s="100">
        <v>888</v>
      </c>
      <c r="D20" s="97">
        <v>1</v>
      </c>
      <c r="E20" s="99" t="s">
        <v>257</v>
      </c>
    </row>
    <row r="21" spans="1:5">
      <c r="A21" s="98" t="s">
        <v>234</v>
      </c>
      <c r="B21" s="99" t="s">
        <v>256</v>
      </c>
      <c r="C21" s="100">
        <v>898</v>
      </c>
      <c r="D21" s="97">
        <v>1</v>
      </c>
      <c r="E21" s="99" t="s">
        <v>302</v>
      </c>
    </row>
    <row r="22" spans="1:5">
      <c r="A22" s="98" t="s">
        <v>234</v>
      </c>
      <c r="B22" s="99" t="s">
        <v>256</v>
      </c>
      <c r="C22" s="100">
        <v>913</v>
      </c>
      <c r="D22" s="97">
        <v>1</v>
      </c>
      <c r="E22" s="99" t="s">
        <v>258</v>
      </c>
    </row>
    <row r="23" spans="1:5">
      <c r="A23" s="98" t="s">
        <v>234</v>
      </c>
      <c r="B23" s="99" t="s">
        <v>256</v>
      </c>
      <c r="C23" s="100">
        <v>937</v>
      </c>
      <c r="D23" s="98">
        <v>1</v>
      </c>
      <c r="E23" s="99" t="s">
        <v>259</v>
      </c>
    </row>
    <row r="24" spans="1:5">
      <c r="A24" s="98" t="s">
        <v>234</v>
      </c>
      <c r="B24" s="99" t="s">
        <v>256</v>
      </c>
      <c r="C24" s="100">
        <v>1008</v>
      </c>
      <c r="D24" s="98">
        <v>1</v>
      </c>
      <c r="E24" s="99" t="s">
        <v>260</v>
      </c>
    </row>
    <row r="25" spans="1:5">
      <c r="A25" s="98" t="s">
        <v>234</v>
      </c>
      <c r="B25" s="99" t="s">
        <v>263</v>
      </c>
      <c r="C25" s="100">
        <v>1095</v>
      </c>
      <c r="D25" s="98">
        <v>1</v>
      </c>
      <c r="E25" s="99" t="s">
        <v>264</v>
      </c>
    </row>
    <row r="26" spans="1:5">
      <c r="A26" s="98" t="s">
        <v>234</v>
      </c>
      <c r="B26" s="99" t="s">
        <v>263</v>
      </c>
      <c r="C26" s="100">
        <v>1096</v>
      </c>
      <c r="D26" s="98">
        <v>1</v>
      </c>
      <c r="E26" s="99" t="s">
        <v>304</v>
      </c>
    </row>
    <row r="27" spans="1:5">
      <c r="A27" s="98" t="s">
        <v>234</v>
      </c>
      <c r="B27" s="99" t="s">
        <v>263</v>
      </c>
      <c r="C27" s="100">
        <v>1097</v>
      </c>
      <c r="D27" s="98">
        <v>1</v>
      </c>
      <c r="E27" s="99" t="s">
        <v>265</v>
      </c>
    </row>
    <row r="28" spans="1:5">
      <c r="A28" s="98" t="s">
        <v>234</v>
      </c>
      <c r="B28" s="99" t="s">
        <v>263</v>
      </c>
      <c r="C28" s="100">
        <v>1119</v>
      </c>
      <c r="D28" s="97">
        <v>1</v>
      </c>
      <c r="E28" s="99" t="s">
        <v>303</v>
      </c>
    </row>
    <row r="29" spans="1:5">
      <c r="A29" s="98" t="s">
        <v>234</v>
      </c>
      <c r="B29" s="99" t="s">
        <v>266</v>
      </c>
      <c r="C29" s="100">
        <v>1157</v>
      </c>
      <c r="D29" s="97">
        <v>1</v>
      </c>
      <c r="E29" s="99" t="s">
        <v>257</v>
      </c>
    </row>
    <row r="30" spans="1:5">
      <c r="A30" s="98" t="s">
        <v>234</v>
      </c>
      <c r="B30" s="99" t="s">
        <v>266</v>
      </c>
      <c r="C30" s="100">
        <v>1176</v>
      </c>
      <c r="D30" s="97">
        <v>1</v>
      </c>
      <c r="E30" s="99" t="s">
        <v>267</v>
      </c>
    </row>
    <row r="31" spans="1:5">
      <c r="A31" s="98" t="s">
        <v>234</v>
      </c>
      <c r="B31" s="99" t="s">
        <v>266</v>
      </c>
      <c r="C31" s="100">
        <v>1178</v>
      </c>
      <c r="D31" s="97">
        <v>1</v>
      </c>
      <c r="E31" s="99" t="s">
        <v>268</v>
      </c>
    </row>
    <row r="32" spans="1:5">
      <c r="A32" s="98" t="s">
        <v>234</v>
      </c>
      <c r="B32" s="99" t="s">
        <v>266</v>
      </c>
      <c r="C32" s="100">
        <v>1218</v>
      </c>
      <c r="D32" s="97">
        <v>1</v>
      </c>
      <c r="E32" s="99" t="s">
        <v>269</v>
      </c>
    </row>
    <row r="33" spans="1:5">
      <c r="A33" s="98" t="s">
        <v>234</v>
      </c>
      <c r="B33" s="99" t="s">
        <v>271</v>
      </c>
      <c r="C33" s="100">
        <v>1271</v>
      </c>
      <c r="D33" s="97">
        <v>1</v>
      </c>
      <c r="E33" s="99" t="s">
        <v>270</v>
      </c>
    </row>
    <row r="34" spans="1:5">
      <c r="A34" s="98" t="s">
        <v>234</v>
      </c>
      <c r="B34" s="99" t="s">
        <v>271</v>
      </c>
      <c r="C34" s="100">
        <v>1290</v>
      </c>
      <c r="D34" s="97">
        <v>1</v>
      </c>
      <c r="E34" s="99" t="s">
        <v>267</v>
      </c>
    </row>
    <row r="35" spans="1:5">
      <c r="A35" s="98" t="s">
        <v>234</v>
      </c>
      <c r="B35" s="99" t="s">
        <v>271</v>
      </c>
      <c r="C35" s="100">
        <v>1292</v>
      </c>
      <c r="D35" s="97">
        <v>1</v>
      </c>
      <c r="E35" s="99" t="s">
        <v>268</v>
      </c>
    </row>
    <row r="36" spans="1:5">
      <c r="A36" s="98" t="s">
        <v>234</v>
      </c>
      <c r="B36" s="99" t="s">
        <v>271</v>
      </c>
      <c r="C36" s="100">
        <v>1312</v>
      </c>
      <c r="D36" s="97">
        <v>1</v>
      </c>
      <c r="E36" s="99" t="s">
        <v>272</v>
      </c>
    </row>
    <row r="37" spans="1:5">
      <c r="A37" s="98" t="s">
        <v>234</v>
      </c>
      <c r="B37" s="99" t="s">
        <v>274</v>
      </c>
      <c r="C37" s="100">
        <v>1351</v>
      </c>
      <c r="D37" s="97">
        <v>1</v>
      </c>
      <c r="E37" s="99" t="s">
        <v>273</v>
      </c>
    </row>
    <row r="38" spans="1:5">
      <c r="A38" s="98" t="s">
        <v>234</v>
      </c>
      <c r="B38" s="99" t="s">
        <v>274</v>
      </c>
      <c r="C38" s="100">
        <v>1353</v>
      </c>
      <c r="D38" s="97">
        <v>1</v>
      </c>
      <c r="E38" s="99" t="s">
        <v>275</v>
      </c>
    </row>
    <row r="39" spans="1:5">
      <c r="A39" s="98" t="s">
        <v>234</v>
      </c>
      <c r="B39" s="99" t="s">
        <v>285</v>
      </c>
      <c r="C39" s="100">
        <v>1377</v>
      </c>
      <c r="D39" s="97">
        <v>1</v>
      </c>
      <c r="E39" s="99" t="s">
        <v>276</v>
      </c>
    </row>
    <row r="40" spans="1:5">
      <c r="A40" s="98" t="s">
        <v>234</v>
      </c>
      <c r="B40" s="99" t="s">
        <v>285</v>
      </c>
      <c r="C40" s="100">
        <v>1378</v>
      </c>
      <c r="D40" s="97">
        <v>1</v>
      </c>
      <c r="E40" s="99" t="s">
        <v>277</v>
      </c>
    </row>
    <row r="41" spans="1:5">
      <c r="A41" s="98" t="s">
        <v>234</v>
      </c>
      <c r="B41" s="99" t="s">
        <v>285</v>
      </c>
      <c r="C41" s="100">
        <v>1379</v>
      </c>
      <c r="D41" s="97">
        <v>1</v>
      </c>
      <c r="E41" s="99" t="s">
        <v>278</v>
      </c>
    </row>
    <row r="42" spans="1:5">
      <c r="A42" s="98" t="s">
        <v>234</v>
      </c>
      <c r="B42" s="99" t="s">
        <v>285</v>
      </c>
      <c r="C42" s="100">
        <v>1381</v>
      </c>
      <c r="D42" s="97">
        <v>1</v>
      </c>
      <c r="E42" s="99" t="s">
        <v>310</v>
      </c>
    </row>
    <row r="43" spans="1:5">
      <c r="A43" s="98" t="s">
        <v>234</v>
      </c>
      <c r="B43" s="99" t="s">
        <v>285</v>
      </c>
      <c r="C43" s="100">
        <v>1382</v>
      </c>
      <c r="D43" s="97">
        <v>1</v>
      </c>
      <c r="E43" s="99" t="s">
        <v>279</v>
      </c>
    </row>
    <row r="44" spans="1:5">
      <c r="A44" s="98" t="s">
        <v>234</v>
      </c>
      <c r="B44" s="99" t="s">
        <v>285</v>
      </c>
      <c r="C44" s="100">
        <v>1383</v>
      </c>
      <c r="D44" s="97">
        <v>1</v>
      </c>
      <c r="E44" s="99" t="s">
        <v>280</v>
      </c>
    </row>
    <row r="45" spans="1:5">
      <c r="A45" s="98" t="s">
        <v>234</v>
      </c>
      <c r="B45" s="99" t="s">
        <v>285</v>
      </c>
      <c r="C45" s="100">
        <v>1384</v>
      </c>
      <c r="D45" s="97">
        <v>1</v>
      </c>
      <c r="E45" s="99" t="s">
        <v>281</v>
      </c>
    </row>
    <row r="46" spans="1:5">
      <c r="A46" s="98" t="s">
        <v>234</v>
      </c>
      <c r="B46" s="99" t="s">
        <v>285</v>
      </c>
      <c r="C46" s="100">
        <v>1385</v>
      </c>
      <c r="D46" s="97">
        <v>1</v>
      </c>
      <c r="E46" s="99" t="s">
        <v>282</v>
      </c>
    </row>
    <row r="47" spans="1:5">
      <c r="A47" s="98" t="s">
        <v>234</v>
      </c>
      <c r="B47" s="99" t="s">
        <v>285</v>
      </c>
      <c r="C47" s="100">
        <v>1386</v>
      </c>
      <c r="D47" s="97">
        <v>1</v>
      </c>
      <c r="E47" s="99" t="s">
        <v>283</v>
      </c>
    </row>
    <row r="48" spans="1:5">
      <c r="A48" s="98" t="s">
        <v>234</v>
      </c>
      <c r="B48" s="99" t="s">
        <v>285</v>
      </c>
      <c r="C48" s="100">
        <v>1387</v>
      </c>
      <c r="D48" s="97">
        <v>1</v>
      </c>
      <c r="E48" s="99" t="s">
        <v>300</v>
      </c>
    </row>
    <row r="49" spans="1:5">
      <c r="A49" s="98" t="s">
        <v>234</v>
      </c>
      <c r="B49" s="99" t="s">
        <v>285</v>
      </c>
      <c r="C49" s="100">
        <v>1388</v>
      </c>
      <c r="D49" s="97">
        <v>1</v>
      </c>
      <c r="E49" s="99" t="s">
        <v>284</v>
      </c>
    </row>
    <row r="50" spans="1:5">
      <c r="A50" s="98" t="s">
        <v>234</v>
      </c>
      <c r="B50" s="99" t="s">
        <v>287</v>
      </c>
      <c r="C50" s="100">
        <v>2298</v>
      </c>
      <c r="D50" s="97">
        <v>1</v>
      </c>
      <c r="E50" s="99" t="s">
        <v>286</v>
      </c>
    </row>
    <row r="51" spans="1:5">
      <c r="A51" s="98" t="s">
        <v>234</v>
      </c>
      <c r="B51" s="99" t="s">
        <v>287</v>
      </c>
      <c r="C51" s="100">
        <v>2308</v>
      </c>
      <c r="D51" s="97">
        <v>1</v>
      </c>
      <c r="E51" s="99" t="s">
        <v>288</v>
      </c>
    </row>
    <row r="52" spans="1:5">
      <c r="A52" s="98" t="s">
        <v>234</v>
      </c>
      <c r="B52" s="99" t="s">
        <v>289</v>
      </c>
      <c r="C52" s="100" t="s">
        <v>203</v>
      </c>
      <c r="D52" s="97">
        <v>1</v>
      </c>
      <c r="E52" s="99"/>
    </row>
    <row r="53" spans="1:5">
      <c r="A53" s="98" t="s">
        <v>234</v>
      </c>
      <c r="B53" s="99" t="s">
        <v>290</v>
      </c>
      <c r="C53" s="100" t="s">
        <v>203</v>
      </c>
      <c r="D53" s="97">
        <v>1</v>
      </c>
      <c r="E53" s="99"/>
    </row>
    <row r="54" spans="1:5">
      <c r="A54" s="98" t="s">
        <v>234</v>
      </c>
      <c r="B54" s="99" t="s">
        <v>306</v>
      </c>
      <c r="C54" s="98" t="s">
        <v>203</v>
      </c>
      <c r="D54" s="97">
        <v>1</v>
      </c>
      <c r="E54" s="99"/>
    </row>
    <row r="55" spans="1:5">
      <c r="A55" s="98" t="s">
        <v>201</v>
      </c>
      <c r="B55" s="99" t="s">
        <v>201</v>
      </c>
      <c r="C55" s="98">
        <v>188</v>
      </c>
      <c r="D55" s="97">
        <v>1</v>
      </c>
      <c r="E55" s="99" t="s">
        <v>307</v>
      </c>
    </row>
    <row r="56" spans="1:5">
      <c r="A56" s="98" t="s">
        <v>201</v>
      </c>
      <c r="B56" s="99" t="s">
        <v>204</v>
      </c>
      <c r="C56" s="98">
        <v>271</v>
      </c>
      <c r="D56" s="97">
        <v>1</v>
      </c>
      <c r="E56" s="99" t="s">
        <v>205</v>
      </c>
    </row>
    <row r="57" spans="1:5">
      <c r="A57" s="98" t="s">
        <v>201</v>
      </c>
      <c r="B57" s="99" t="s">
        <v>204</v>
      </c>
      <c r="C57" s="98">
        <v>279</v>
      </c>
      <c r="D57" s="97">
        <v>1</v>
      </c>
      <c r="E57" s="99" t="s">
        <v>206</v>
      </c>
    </row>
    <row r="58" spans="1:5">
      <c r="A58" s="98" t="s">
        <v>201</v>
      </c>
      <c r="B58" s="99" t="s">
        <v>208</v>
      </c>
      <c r="C58" s="98">
        <v>394</v>
      </c>
      <c r="D58" s="97">
        <v>1</v>
      </c>
      <c r="E58" s="99" t="s">
        <v>209</v>
      </c>
    </row>
    <row r="59" spans="1:5">
      <c r="A59" s="98" t="s">
        <v>201</v>
      </c>
      <c r="B59" s="99" t="s">
        <v>208</v>
      </c>
      <c r="C59" s="98">
        <v>400</v>
      </c>
      <c r="D59" s="97">
        <v>1</v>
      </c>
      <c r="E59" s="99" t="s">
        <v>210</v>
      </c>
    </row>
    <row r="60" spans="1:5">
      <c r="A60" s="98" t="s">
        <v>201</v>
      </c>
      <c r="B60" s="99" t="s">
        <v>211</v>
      </c>
      <c r="C60" s="98">
        <v>423</v>
      </c>
      <c r="D60" s="97">
        <v>1</v>
      </c>
      <c r="E60" s="99" t="s">
        <v>212</v>
      </c>
    </row>
    <row r="61" spans="1:5">
      <c r="A61" s="98" t="s">
        <v>201</v>
      </c>
      <c r="B61" s="99" t="s">
        <v>211</v>
      </c>
      <c r="C61" s="98">
        <v>425</v>
      </c>
      <c r="D61" s="97">
        <v>1</v>
      </c>
      <c r="E61" s="99" t="s">
        <v>213</v>
      </c>
    </row>
    <row r="62" spans="1:5">
      <c r="A62" s="98" t="s">
        <v>201</v>
      </c>
      <c r="B62" s="99" t="s">
        <v>211</v>
      </c>
      <c r="C62" s="98">
        <v>428</v>
      </c>
      <c r="D62" s="97">
        <v>1</v>
      </c>
      <c r="E62" s="99" t="s">
        <v>214</v>
      </c>
    </row>
    <row r="63" spans="1:5">
      <c r="A63" s="98" t="s">
        <v>201</v>
      </c>
      <c r="B63" s="99" t="s">
        <v>217</v>
      </c>
      <c r="C63" s="98">
        <v>459</v>
      </c>
      <c r="D63" s="97">
        <v>1</v>
      </c>
      <c r="E63" s="99" t="s">
        <v>218</v>
      </c>
    </row>
    <row r="64" spans="1:5">
      <c r="A64" s="98" t="s">
        <v>201</v>
      </c>
      <c r="B64" s="99" t="s">
        <v>217</v>
      </c>
      <c r="C64" s="98">
        <v>470</v>
      </c>
      <c r="D64" s="97">
        <v>1</v>
      </c>
      <c r="E64" s="99" t="s">
        <v>215</v>
      </c>
    </row>
    <row r="65" spans="1:5">
      <c r="A65" s="98" t="s">
        <v>201</v>
      </c>
      <c r="B65" s="99" t="s">
        <v>217</v>
      </c>
      <c r="C65" s="98">
        <v>472</v>
      </c>
      <c r="D65" s="97">
        <v>1</v>
      </c>
      <c r="E65" s="99" t="s">
        <v>216</v>
      </c>
    </row>
    <row r="66" spans="1:5">
      <c r="A66" s="98" t="s">
        <v>201</v>
      </c>
      <c r="B66" s="99" t="s">
        <v>220</v>
      </c>
      <c r="C66" s="98">
        <v>598</v>
      </c>
      <c r="D66" s="97">
        <v>1</v>
      </c>
      <c r="E66" s="99" t="s">
        <v>221</v>
      </c>
    </row>
    <row r="67" spans="1:5">
      <c r="A67" s="98" t="s">
        <v>201</v>
      </c>
      <c r="B67" s="99" t="s">
        <v>220</v>
      </c>
      <c r="C67" s="98">
        <v>680</v>
      </c>
      <c r="D67" s="97">
        <v>1</v>
      </c>
      <c r="E67" s="99" t="s">
        <v>222</v>
      </c>
    </row>
    <row r="68" spans="1:5">
      <c r="A68" s="98" t="s">
        <v>201</v>
      </c>
      <c r="B68" s="99" t="s">
        <v>220</v>
      </c>
      <c r="C68" s="98">
        <v>708</v>
      </c>
      <c r="D68" s="97">
        <v>1</v>
      </c>
      <c r="E68" s="99" t="s">
        <v>223</v>
      </c>
    </row>
    <row r="69" spans="1:5">
      <c r="A69" s="98" t="s">
        <v>201</v>
      </c>
      <c r="B69" s="99" t="s">
        <v>224</v>
      </c>
      <c r="C69" s="98">
        <v>726</v>
      </c>
      <c r="D69" s="97">
        <v>1</v>
      </c>
      <c r="E69" s="99" t="s">
        <v>225</v>
      </c>
    </row>
    <row r="70" spans="1:5">
      <c r="A70" s="98" t="s">
        <v>201</v>
      </c>
      <c r="B70" s="99" t="s">
        <v>224</v>
      </c>
      <c r="C70" s="98">
        <v>739</v>
      </c>
      <c r="D70" s="97">
        <v>1</v>
      </c>
      <c r="E70" s="99" t="s">
        <v>226</v>
      </c>
    </row>
    <row r="71" spans="1:5">
      <c r="A71" s="98" t="s">
        <v>201</v>
      </c>
      <c r="B71" s="99" t="s">
        <v>224</v>
      </c>
      <c r="C71" s="98">
        <v>740</v>
      </c>
      <c r="D71" s="97">
        <v>1</v>
      </c>
      <c r="E71" s="99" t="s">
        <v>227</v>
      </c>
    </row>
    <row r="72" spans="1:5">
      <c r="A72" s="98" t="s">
        <v>201</v>
      </c>
      <c r="B72" s="99" t="s">
        <v>224</v>
      </c>
      <c r="C72" s="98">
        <v>754</v>
      </c>
      <c r="D72" s="97">
        <v>1</v>
      </c>
      <c r="E72" s="99" t="s">
        <v>228</v>
      </c>
    </row>
    <row r="73" spans="1:5">
      <c r="A73" s="98" t="s">
        <v>201</v>
      </c>
      <c r="B73" s="99" t="s">
        <v>224</v>
      </c>
      <c r="C73" s="98">
        <v>758</v>
      </c>
      <c r="D73" s="97">
        <v>1</v>
      </c>
      <c r="E73" s="99" t="s">
        <v>229</v>
      </c>
    </row>
    <row r="74" spans="1:5">
      <c r="A74" s="98" t="s">
        <v>201</v>
      </c>
      <c r="B74" s="99" t="s">
        <v>224</v>
      </c>
      <c r="C74" s="98">
        <v>779</v>
      </c>
      <c r="D74" s="97">
        <v>1</v>
      </c>
      <c r="E74" s="99" t="s">
        <v>230</v>
      </c>
    </row>
    <row r="75" spans="1:5">
      <c r="A75" s="98" t="s">
        <v>201</v>
      </c>
      <c r="B75" s="99" t="s">
        <v>224</v>
      </c>
      <c r="C75" s="98">
        <v>793</v>
      </c>
      <c r="D75" s="97">
        <v>1</v>
      </c>
      <c r="E75" s="99" t="s">
        <v>231</v>
      </c>
    </row>
    <row r="76" spans="1:5">
      <c r="A76" s="98" t="s">
        <v>201</v>
      </c>
      <c r="B76" s="99" t="s">
        <v>232</v>
      </c>
      <c r="C76" s="98">
        <v>898</v>
      </c>
      <c r="D76" s="97">
        <v>1</v>
      </c>
      <c r="E76" s="99" t="s">
        <v>223</v>
      </c>
    </row>
    <row r="77" spans="1:5">
      <c r="A77" s="98" t="s">
        <v>201</v>
      </c>
      <c r="B77" s="99" t="s">
        <v>232</v>
      </c>
      <c r="C77" s="98">
        <v>927</v>
      </c>
      <c r="D77" s="97">
        <v>1</v>
      </c>
      <c r="E77" s="99" t="s">
        <v>233</v>
      </c>
    </row>
    <row r="78" spans="1:5">
      <c r="A78" s="98" t="s">
        <v>201</v>
      </c>
      <c r="B78" s="99" t="s">
        <v>202</v>
      </c>
      <c r="C78" s="98" t="s">
        <v>203</v>
      </c>
      <c r="D78" s="97">
        <v>1</v>
      </c>
      <c r="E78" s="99"/>
    </row>
    <row r="79" spans="1:5">
      <c r="A79" s="98" t="s">
        <v>201</v>
      </c>
      <c r="B79" s="99" t="s">
        <v>207</v>
      </c>
      <c r="C79" s="98" t="s">
        <v>203</v>
      </c>
      <c r="D79" s="97">
        <v>1</v>
      </c>
      <c r="E79" s="99"/>
    </row>
    <row r="80" spans="1:5">
      <c r="A80" s="98" t="s">
        <v>201</v>
      </c>
      <c r="B80" s="99" t="s">
        <v>219</v>
      </c>
      <c r="C80" s="98" t="s">
        <v>203</v>
      </c>
      <c r="D80" s="97">
        <v>1</v>
      </c>
      <c r="E80" s="99"/>
    </row>
    <row r="81" spans="1:5">
      <c r="A81" s="98" t="s">
        <v>261</v>
      </c>
      <c r="B81" s="99" t="s">
        <v>294</v>
      </c>
      <c r="C81" s="100">
        <v>106</v>
      </c>
      <c r="D81" s="97">
        <v>1</v>
      </c>
      <c r="E81" s="99" t="s">
        <v>298</v>
      </c>
    </row>
    <row r="82" spans="1:5">
      <c r="A82" s="98" t="s">
        <v>261</v>
      </c>
      <c r="B82" s="99" t="s">
        <v>262</v>
      </c>
      <c r="C82" s="100">
        <v>107</v>
      </c>
      <c r="D82" s="97">
        <v>1</v>
      </c>
      <c r="E82" s="99" t="s">
        <v>298</v>
      </c>
    </row>
    <row r="83" spans="1:5">
      <c r="A83" s="98" t="s">
        <v>261</v>
      </c>
      <c r="B83" s="99" t="s">
        <v>295</v>
      </c>
      <c r="C83" s="100">
        <v>115</v>
      </c>
      <c r="D83" s="97">
        <v>1</v>
      </c>
      <c r="E83" s="99" t="s">
        <v>292</v>
      </c>
    </row>
    <row r="84" spans="1:5">
      <c r="A84" s="98" t="s">
        <v>261</v>
      </c>
      <c r="B84" s="99" t="s">
        <v>294</v>
      </c>
      <c r="C84" s="100">
        <v>120</v>
      </c>
      <c r="D84" s="97">
        <v>1</v>
      </c>
      <c r="E84" s="99" t="s">
        <v>291</v>
      </c>
    </row>
    <row r="85" spans="1:5">
      <c r="A85" s="98" t="s">
        <v>261</v>
      </c>
      <c r="B85" s="99" t="s">
        <v>262</v>
      </c>
      <c r="C85" s="100">
        <v>122</v>
      </c>
      <c r="D85" s="97">
        <v>1</v>
      </c>
      <c r="E85" s="99" t="s">
        <v>291</v>
      </c>
    </row>
    <row r="86" spans="1:5">
      <c r="A86" s="98" t="s">
        <v>261</v>
      </c>
      <c r="B86" s="99" t="s">
        <v>295</v>
      </c>
      <c r="C86" s="100">
        <v>131</v>
      </c>
      <c r="D86" s="97">
        <v>1</v>
      </c>
      <c r="E86" s="99" t="s">
        <v>291</v>
      </c>
    </row>
    <row r="87" spans="1:5">
      <c r="A87" s="98" t="s">
        <v>261</v>
      </c>
      <c r="B87" s="99" t="s">
        <v>262</v>
      </c>
      <c r="C87" s="100">
        <v>136</v>
      </c>
      <c r="D87" s="97">
        <v>1</v>
      </c>
      <c r="E87" s="99" t="s">
        <v>293</v>
      </c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>
      <c r="A1" t="s">
        <v>197</v>
      </c>
      <c r="B1" t="s">
        <v>198</v>
      </c>
      <c r="C1" t="s">
        <v>199</v>
      </c>
      <c r="D1" t="s">
        <v>200</v>
      </c>
      <c r="E1" s="43" t="s">
        <v>108</v>
      </c>
    </row>
    <row r="2" spans="1:5" hidden="1">
      <c r="A2" s="98" t="s">
        <v>234</v>
      </c>
      <c r="B2" s="99" t="s">
        <v>251</v>
      </c>
      <c r="C2" s="100">
        <v>577</v>
      </c>
      <c r="D2" s="97">
        <v>1</v>
      </c>
      <c r="E2" s="99" t="s">
        <v>383</v>
      </c>
    </row>
    <row r="3" spans="1:5">
      <c r="A3" s="98" t="s">
        <v>234</v>
      </c>
      <c r="B3" s="99" t="s">
        <v>251</v>
      </c>
      <c r="C3" s="100">
        <v>582</v>
      </c>
      <c r="D3" s="97"/>
      <c r="E3" s="99" t="s">
        <v>250</v>
      </c>
    </row>
    <row r="4" spans="1:5" hidden="1">
      <c r="A4" s="98" t="s">
        <v>234</v>
      </c>
      <c r="B4" s="99" t="s">
        <v>251</v>
      </c>
      <c r="C4" s="100">
        <v>628</v>
      </c>
      <c r="D4" s="97">
        <v>1</v>
      </c>
      <c r="E4" s="99" t="s">
        <v>384</v>
      </c>
    </row>
    <row r="5" spans="1:5">
      <c r="A5" s="98" t="s">
        <v>234</v>
      </c>
      <c r="B5" s="99" t="s">
        <v>251</v>
      </c>
      <c r="C5" s="100">
        <v>705</v>
      </c>
      <c r="D5" s="97"/>
      <c r="E5" s="99" t="s">
        <v>385</v>
      </c>
    </row>
    <row r="6" spans="1:5">
      <c r="A6" s="98" t="s">
        <v>234</v>
      </c>
      <c r="B6" s="99" t="s">
        <v>251</v>
      </c>
      <c r="C6" s="100">
        <v>770</v>
      </c>
      <c r="D6" s="98">
        <v>1</v>
      </c>
      <c r="E6" s="99" t="s">
        <v>386</v>
      </c>
    </row>
    <row r="7" spans="1:5">
      <c r="A7" s="98" t="s">
        <v>234</v>
      </c>
      <c r="B7" s="99" t="s">
        <v>251</v>
      </c>
      <c r="C7" s="100">
        <v>771</v>
      </c>
      <c r="D7" s="98">
        <v>1</v>
      </c>
      <c r="E7" s="99" t="s">
        <v>387</v>
      </c>
    </row>
    <row r="8" spans="1:5">
      <c r="A8" s="98" t="s">
        <v>234</v>
      </c>
      <c r="B8" s="99" t="s">
        <v>251</v>
      </c>
      <c r="C8" s="100">
        <v>772</v>
      </c>
      <c r="D8" s="98">
        <v>1</v>
      </c>
      <c r="E8" s="99" t="s">
        <v>388</v>
      </c>
    </row>
    <row r="9" spans="1:5" hidden="1">
      <c r="A9" s="98" t="s">
        <v>234</v>
      </c>
      <c r="B9" s="99" t="s">
        <v>251</v>
      </c>
      <c r="C9" s="100">
        <v>773</v>
      </c>
      <c r="D9" s="98">
        <v>0</v>
      </c>
      <c r="E9" s="99" t="s">
        <v>389</v>
      </c>
    </row>
    <row r="10" spans="1:5" hidden="1">
      <c r="A10" s="98" t="s">
        <v>234</v>
      </c>
      <c r="B10" s="99" t="s">
        <v>251</v>
      </c>
      <c r="C10" s="100">
        <v>863</v>
      </c>
      <c r="D10" s="98">
        <v>1</v>
      </c>
      <c r="E10" s="99" t="s">
        <v>390</v>
      </c>
    </row>
    <row r="11" spans="1:5" hidden="1">
      <c r="A11" s="98" t="s">
        <v>234</v>
      </c>
      <c r="B11" s="99" t="s">
        <v>256</v>
      </c>
      <c r="C11" s="100">
        <v>897</v>
      </c>
      <c r="D11" s="97">
        <v>1</v>
      </c>
      <c r="E11" s="99" t="s">
        <v>391</v>
      </c>
    </row>
    <row r="12" spans="1:5" hidden="1">
      <c r="A12" s="98" t="s">
        <v>234</v>
      </c>
      <c r="B12" s="99" t="s">
        <v>256</v>
      </c>
      <c r="C12" s="100">
        <v>906</v>
      </c>
      <c r="D12" s="97">
        <v>1</v>
      </c>
      <c r="E12" s="99" t="s">
        <v>392</v>
      </c>
    </row>
    <row r="13" spans="1:5" hidden="1">
      <c r="A13" s="98" t="s">
        <v>234</v>
      </c>
      <c r="B13" s="99" t="s">
        <v>235</v>
      </c>
      <c r="C13" s="100">
        <v>13</v>
      </c>
      <c r="D13" s="97">
        <v>1</v>
      </c>
      <c r="E13" s="99" t="s">
        <v>368</v>
      </c>
    </row>
    <row r="14" spans="1:5" hidden="1">
      <c r="A14" s="98" t="s">
        <v>234</v>
      </c>
      <c r="B14" s="99" t="s">
        <v>235</v>
      </c>
      <c r="C14" s="100">
        <v>14</v>
      </c>
      <c r="D14" s="97">
        <v>1</v>
      </c>
      <c r="E14" s="106" t="s">
        <v>369</v>
      </c>
    </row>
    <row r="15" spans="1:5" hidden="1">
      <c r="A15" s="98" t="s">
        <v>234</v>
      </c>
      <c r="B15" s="99" t="s">
        <v>235</v>
      </c>
      <c r="C15" s="100">
        <v>15</v>
      </c>
      <c r="D15" s="97">
        <v>1</v>
      </c>
      <c r="E15" s="106" t="s">
        <v>370</v>
      </c>
    </row>
    <row r="16" spans="1:5" hidden="1">
      <c r="A16" s="98" t="s">
        <v>234</v>
      </c>
      <c r="B16" s="99" t="s">
        <v>235</v>
      </c>
      <c r="C16" s="100">
        <v>16</v>
      </c>
      <c r="D16" s="97">
        <v>1</v>
      </c>
      <c r="E16" s="106" t="s">
        <v>371</v>
      </c>
    </row>
    <row r="17" spans="1:5" hidden="1">
      <c r="A17" s="98" t="s">
        <v>234</v>
      </c>
      <c r="B17" s="99" t="s">
        <v>235</v>
      </c>
      <c r="C17" s="100">
        <v>17</v>
      </c>
      <c r="D17" s="97">
        <v>1</v>
      </c>
      <c r="E17" s="106" t="s">
        <v>372</v>
      </c>
    </row>
    <row r="18" spans="1:5" hidden="1">
      <c r="A18" s="98" t="s">
        <v>234</v>
      </c>
      <c r="B18" s="99" t="s">
        <v>235</v>
      </c>
      <c r="C18" s="100">
        <v>18</v>
      </c>
      <c r="D18" s="97">
        <v>1</v>
      </c>
      <c r="E18" s="106" t="s">
        <v>373</v>
      </c>
    </row>
    <row r="19" spans="1:5" hidden="1">
      <c r="A19" s="98" t="s">
        <v>234</v>
      </c>
      <c r="B19" s="99" t="s">
        <v>235</v>
      </c>
      <c r="C19" s="100">
        <v>19</v>
      </c>
      <c r="D19" s="97">
        <v>1</v>
      </c>
      <c r="E19" s="106" t="s">
        <v>374</v>
      </c>
    </row>
    <row r="20" spans="1:5" hidden="1">
      <c r="A20" s="98" t="s">
        <v>234</v>
      </c>
      <c r="B20" s="99" t="s">
        <v>235</v>
      </c>
      <c r="C20" s="100">
        <v>20</v>
      </c>
      <c r="D20" s="97">
        <v>1</v>
      </c>
      <c r="E20" s="106" t="s">
        <v>375</v>
      </c>
    </row>
    <row r="21" spans="1:5" hidden="1">
      <c r="A21" s="98" t="s">
        <v>234</v>
      </c>
      <c r="B21" s="99" t="s">
        <v>235</v>
      </c>
      <c r="C21" s="100">
        <v>21</v>
      </c>
      <c r="D21" s="97">
        <v>1</v>
      </c>
      <c r="E21" s="106" t="s">
        <v>376</v>
      </c>
    </row>
    <row r="22" spans="1:5" hidden="1">
      <c r="A22" s="98" t="s">
        <v>234</v>
      </c>
      <c r="B22" s="99" t="s">
        <v>235</v>
      </c>
      <c r="C22" s="100">
        <v>22</v>
      </c>
      <c r="D22" s="97">
        <v>1</v>
      </c>
      <c r="E22" s="106" t="s">
        <v>377</v>
      </c>
    </row>
    <row r="23" spans="1:5" hidden="1">
      <c r="A23" s="98" t="s">
        <v>234</v>
      </c>
      <c r="B23" s="99" t="s">
        <v>235</v>
      </c>
      <c r="C23" s="100">
        <v>23</v>
      </c>
      <c r="D23" s="97">
        <v>1</v>
      </c>
      <c r="E23" s="106" t="s">
        <v>378</v>
      </c>
    </row>
    <row r="24" spans="1:5" hidden="1">
      <c r="A24" s="98" t="s">
        <v>234</v>
      </c>
      <c r="B24" s="99" t="s">
        <v>235</v>
      </c>
      <c r="C24" s="100">
        <v>24</v>
      </c>
      <c r="D24" s="97">
        <v>1</v>
      </c>
      <c r="E24" s="106" t="s">
        <v>379</v>
      </c>
    </row>
    <row r="25" spans="1:5">
      <c r="A25" s="98" t="s">
        <v>234</v>
      </c>
      <c r="B25" s="99" t="s">
        <v>235</v>
      </c>
      <c r="C25" s="100">
        <v>25</v>
      </c>
      <c r="D25" s="97">
        <v>1</v>
      </c>
      <c r="E25" s="106" t="s">
        <v>422</v>
      </c>
    </row>
    <row r="26" spans="1:5" hidden="1">
      <c r="A26" s="98" t="s">
        <v>234</v>
      </c>
      <c r="B26" s="99" t="s">
        <v>235</v>
      </c>
      <c r="C26" s="100">
        <v>37</v>
      </c>
      <c r="D26" s="97">
        <v>1</v>
      </c>
      <c r="E26" s="106" t="s">
        <v>380</v>
      </c>
    </row>
    <row r="27" spans="1:5" hidden="1">
      <c r="A27" s="98" t="s">
        <v>234</v>
      </c>
      <c r="B27" s="99" t="s">
        <v>235</v>
      </c>
      <c r="C27" s="100">
        <v>69</v>
      </c>
      <c r="D27" s="97">
        <v>1</v>
      </c>
      <c r="E27" s="99" t="s">
        <v>381</v>
      </c>
    </row>
    <row r="28" spans="1:5">
      <c r="A28" s="98" t="s">
        <v>234</v>
      </c>
      <c r="B28" s="99" t="s">
        <v>235</v>
      </c>
      <c r="C28" s="100">
        <v>71</v>
      </c>
      <c r="D28" s="97"/>
      <c r="E28" s="99" t="s">
        <v>382</v>
      </c>
    </row>
    <row r="29" spans="1:5">
      <c r="A29" s="98" t="s">
        <v>201</v>
      </c>
      <c r="B29" s="99" t="s">
        <v>201</v>
      </c>
      <c r="C29" s="100">
        <v>122</v>
      </c>
      <c r="D29" s="97"/>
      <c r="E29" s="99" t="s">
        <v>393</v>
      </c>
    </row>
    <row r="30" spans="1:5">
      <c r="A30" s="98" t="s">
        <v>201</v>
      </c>
      <c r="B30" s="99" t="s">
        <v>201</v>
      </c>
      <c r="C30" s="100">
        <v>151</v>
      </c>
      <c r="D30" s="97"/>
      <c r="E30" s="99" t="s">
        <v>394</v>
      </c>
    </row>
    <row r="31" spans="1:5">
      <c r="A31" s="98" t="s">
        <v>201</v>
      </c>
      <c r="B31" s="99" t="s">
        <v>220</v>
      </c>
      <c r="C31" s="100">
        <v>578</v>
      </c>
      <c r="D31" s="97"/>
      <c r="E31" s="99" t="s">
        <v>395</v>
      </c>
    </row>
    <row r="32" spans="1:5">
      <c r="A32" s="98" t="s">
        <v>201</v>
      </c>
      <c r="B32" s="99" t="s">
        <v>220</v>
      </c>
      <c r="C32" s="100">
        <v>579</v>
      </c>
      <c r="D32" s="97"/>
      <c r="E32" s="99" t="s">
        <v>396</v>
      </c>
    </row>
    <row r="33" spans="1:5">
      <c r="A33" s="98" t="s">
        <v>201</v>
      </c>
      <c r="B33" s="99" t="s">
        <v>220</v>
      </c>
      <c r="C33" s="100">
        <v>586</v>
      </c>
      <c r="D33" s="97"/>
      <c r="E33" s="99" t="s">
        <v>397</v>
      </c>
    </row>
    <row r="34" spans="1:5">
      <c r="A34" s="98" t="s">
        <v>201</v>
      </c>
      <c r="B34" s="99" t="s">
        <v>220</v>
      </c>
      <c r="C34" s="100">
        <v>599</v>
      </c>
      <c r="D34" s="97"/>
      <c r="E34" s="99" t="s">
        <v>398</v>
      </c>
    </row>
    <row r="35" spans="1:5">
      <c r="A35" s="98" t="s">
        <v>201</v>
      </c>
      <c r="B35" s="99" t="s">
        <v>220</v>
      </c>
      <c r="C35" s="100">
        <v>600</v>
      </c>
      <c r="D35" s="97"/>
      <c r="E35" s="99" t="s">
        <v>399</v>
      </c>
    </row>
    <row r="36" spans="1:5">
      <c r="A36" s="98" t="s">
        <v>201</v>
      </c>
      <c r="B36" s="99" t="s">
        <v>220</v>
      </c>
      <c r="C36" s="100">
        <v>608</v>
      </c>
      <c r="D36" s="97"/>
      <c r="E36" s="99" t="s">
        <v>400</v>
      </c>
    </row>
    <row r="37" spans="1:5">
      <c r="A37" s="98" t="s">
        <v>201</v>
      </c>
      <c r="B37" s="99" t="s">
        <v>224</v>
      </c>
      <c r="C37" s="100">
        <v>718</v>
      </c>
      <c r="D37" s="97"/>
      <c r="E37" s="99" t="s">
        <v>401</v>
      </c>
    </row>
    <row r="38" spans="1:5">
      <c r="A38" s="98"/>
      <c r="B38" s="99"/>
      <c r="C38" s="100"/>
      <c r="D38" s="97"/>
      <c r="E38" s="99"/>
    </row>
    <row r="39" spans="1:5">
      <c r="A39" s="98"/>
      <c r="B39" s="99"/>
      <c r="C39" s="100"/>
      <c r="D39" s="97"/>
      <c r="E39" s="99"/>
    </row>
    <row r="40" spans="1:5">
      <c r="A40" s="98"/>
      <c r="B40" s="99"/>
      <c r="C40" s="100"/>
      <c r="D40" s="97"/>
      <c r="E40" s="99"/>
    </row>
    <row r="41" spans="1:5">
      <c r="A41" s="98"/>
      <c r="B41" s="99"/>
      <c r="C41" s="100"/>
      <c r="D41" s="97"/>
      <c r="E41" s="99"/>
    </row>
    <row r="42" spans="1:5">
      <c r="A42" s="98"/>
      <c r="B42" s="99"/>
      <c r="C42" s="100"/>
      <c r="D42" s="97"/>
      <c r="E42" s="99"/>
    </row>
    <row r="43" spans="1:5">
      <c r="A43" s="98"/>
      <c r="B43" s="99"/>
      <c r="C43" s="100"/>
      <c r="D43" s="97"/>
      <c r="E43" s="99"/>
    </row>
    <row r="44" spans="1:5">
      <c r="A44" s="98"/>
      <c r="B44" s="99"/>
      <c r="C44" s="100"/>
      <c r="D44" s="97"/>
      <c r="E44" s="99"/>
    </row>
    <row r="45" spans="1:5">
      <c r="A45" s="98"/>
      <c r="B45" s="99"/>
      <c r="C45" s="100"/>
      <c r="D45" s="97"/>
      <c r="E45" s="99"/>
    </row>
    <row r="46" spans="1:5">
      <c r="A46" s="98"/>
      <c r="B46" s="99"/>
      <c r="C46" s="100"/>
      <c r="D46" s="97"/>
      <c r="E46" s="99"/>
    </row>
    <row r="47" spans="1:5">
      <c r="A47" s="98"/>
      <c r="B47" s="99"/>
      <c r="C47" s="100"/>
      <c r="D47" s="97"/>
      <c r="E47" s="99"/>
    </row>
    <row r="48" spans="1:5">
      <c r="A48" s="98"/>
      <c r="B48" s="99"/>
      <c r="C48" s="100"/>
      <c r="D48" s="97"/>
      <c r="E48" s="99"/>
    </row>
    <row r="49" spans="1:5">
      <c r="A49" s="98"/>
      <c r="B49" s="99"/>
      <c r="C49" s="100"/>
      <c r="D49" s="97"/>
      <c r="E49" s="99"/>
    </row>
    <row r="50" spans="1:5">
      <c r="A50" s="98"/>
      <c r="B50" s="99"/>
      <c r="C50" s="100"/>
      <c r="D50" s="97"/>
      <c r="E50" s="99"/>
    </row>
    <row r="51" spans="1:5">
      <c r="A51" s="98"/>
      <c r="B51" s="99"/>
      <c r="C51" s="100"/>
      <c r="D51" s="97"/>
      <c r="E51" s="99"/>
    </row>
    <row r="52" spans="1:5">
      <c r="A52" s="98"/>
      <c r="B52" s="99"/>
      <c r="C52" s="100"/>
      <c r="D52" s="97"/>
      <c r="E52" s="99"/>
    </row>
    <row r="53" spans="1:5">
      <c r="A53" s="98"/>
      <c r="B53" s="99"/>
      <c r="C53" s="100"/>
      <c r="D53" s="97"/>
      <c r="E53" s="99"/>
    </row>
    <row r="54" spans="1:5">
      <c r="A54" s="98"/>
      <c r="B54" s="99"/>
      <c r="C54" s="98"/>
      <c r="D54" s="97"/>
      <c r="E54" s="99"/>
    </row>
    <row r="55" spans="1:5">
      <c r="A55" s="98"/>
      <c r="B55" s="99"/>
      <c r="C55" s="98"/>
      <c r="D55" s="97"/>
      <c r="E55" s="99"/>
    </row>
    <row r="56" spans="1:5">
      <c r="A56" s="98"/>
      <c r="B56" s="99"/>
      <c r="C56" s="98"/>
      <c r="D56" s="97"/>
      <c r="E56" s="99"/>
    </row>
    <row r="57" spans="1:5">
      <c r="A57" s="98"/>
      <c r="B57" s="99"/>
      <c r="C57" s="98"/>
      <c r="D57" s="97"/>
      <c r="E57" s="99"/>
    </row>
    <row r="58" spans="1:5">
      <c r="A58" s="98"/>
      <c r="B58" s="99"/>
      <c r="C58" s="98"/>
      <c r="D58" s="97"/>
      <c r="E58" s="99"/>
    </row>
    <row r="59" spans="1:5">
      <c r="A59" s="98"/>
      <c r="B59" s="99"/>
      <c r="C59" s="98"/>
      <c r="D59" s="97"/>
      <c r="E59" s="99"/>
    </row>
    <row r="60" spans="1:5">
      <c r="A60" s="98"/>
      <c r="B60" s="99"/>
      <c r="C60" s="98"/>
      <c r="D60" s="97"/>
      <c r="E60" s="99"/>
    </row>
    <row r="61" spans="1:5">
      <c r="A61" s="98"/>
      <c r="B61" s="99"/>
      <c r="C61" s="98"/>
      <c r="D61" s="97"/>
      <c r="E61" s="99"/>
    </row>
    <row r="62" spans="1:5">
      <c r="A62" s="98"/>
      <c r="B62" s="99"/>
      <c r="C62" s="98"/>
      <c r="D62" s="97"/>
      <c r="E62" s="99"/>
    </row>
    <row r="63" spans="1:5">
      <c r="A63" s="98"/>
      <c r="B63" s="99"/>
      <c r="C63" s="98"/>
      <c r="D63" s="97"/>
      <c r="E63" s="99"/>
    </row>
    <row r="64" spans="1:5">
      <c r="A64" s="98"/>
      <c r="B64" s="99"/>
      <c r="C64" s="98"/>
      <c r="D64" s="97"/>
      <c r="E64" s="99"/>
    </row>
    <row r="65" spans="1:5">
      <c r="A65" s="98"/>
      <c r="B65" s="99"/>
      <c r="C65" s="98"/>
      <c r="D65" s="97"/>
      <c r="E65" s="99"/>
    </row>
    <row r="66" spans="1:5">
      <c r="A66" s="98"/>
      <c r="B66" s="99"/>
      <c r="C66" s="98"/>
      <c r="D66" s="97"/>
      <c r="E66" s="99"/>
    </row>
    <row r="67" spans="1:5">
      <c r="A67" s="98"/>
      <c r="B67" s="99"/>
      <c r="C67" s="98"/>
      <c r="D67" s="97"/>
      <c r="E67" s="99"/>
    </row>
    <row r="68" spans="1:5">
      <c r="A68" s="98"/>
      <c r="B68" s="99"/>
      <c r="C68" s="98"/>
      <c r="D68" s="97"/>
      <c r="E68" s="99"/>
    </row>
    <row r="69" spans="1:5">
      <c r="A69" s="98"/>
      <c r="B69" s="99"/>
      <c r="C69" s="98"/>
      <c r="D69" s="97"/>
      <c r="E69" s="99"/>
    </row>
    <row r="70" spans="1:5">
      <c r="A70" s="98"/>
      <c r="B70" s="99"/>
      <c r="C70" s="98"/>
      <c r="D70" s="97"/>
      <c r="E70" s="99"/>
    </row>
    <row r="71" spans="1:5">
      <c r="A71" s="98"/>
      <c r="B71" s="99"/>
      <c r="C71" s="98"/>
      <c r="D71" s="97"/>
      <c r="E71" s="99"/>
    </row>
    <row r="72" spans="1:5">
      <c r="A72" s="98"/>
      <c r="B72" s="99"/>
      <c r="C72" s="98"/>
      <c r="D72" s="97"/>
      <c r="E72" s="99"/>
    </row>
    <row r="73" spans="1:5">
      <c r="A73" s="98"/>
      <c r="B73" s="99"/>
      <c r="C73" s="98"/>
      <c r="D73" s="97"/>
      <c r="E73" s="99"/>
    </row>
    <row r="74" spans="1:5">
      <c r="A74" s="98"/>
      <c r="B74" s="99"/>
      <c r="C74" s="98"/>
      <c r="D74" s="97"/>
      <c r="E74" s="99"/>
    </row>
    <row r="75" spans="1:5">
      <c r="A75" s="98"/>
      <c r="B75" s="99"/>
      <c r="C75" s="98"/>
      <c r="D75" s="97"/>
      <c r="E75" s="99"/>
    </row>
    <row r="76" spans="1:5">
      <c r="A76" s="98"/>
      <c r="B76" s="99"/>
      <c r="C76" s="98"/>
      <c r="D76" s="97"/>
      <c r="E76" s="99"/>
    </row>
    <row r="77" spans="1:5">
      <c r="A77" s="98"/>
      <c r="B77" s="99"/>
      <c r="C77" s="98"/>
      <c r="D77" s="97"/>
      <c r="E77" s="99"/>
    </row>
    <row r="78" spans="1:5">
      <c r="A78" s="98"/>
      <c r="B78" s="99"/>
      <c r="C78" s="98"/>
      <c r="D78" s="97"/>
      <c r="E78" s="99"/>
    </row>
    <row r="79" spans="1:5">
      <c r="A79" s="98"/>
      <c r="B79" s="99"/>
      <c r="C79" s="98"/>
      <c r="D79" s="97"/>
      <c r="E79" s="99"/>
    </row>
    <row r="80" spans="1:5">
      <c r="A80" s="98"/>
      <c r="B80" s="99"/>
      <c r="C80" s="98"/>
      <c r="D80" s="97"/>
      <c r="E80" s="99"/>
    </row>
    <row r="81" spans="1:5">
      <c r="A81" s="98"/>
      <c r="B81" s="99"/>
      <c r="C81" s="100"/>
      <c r="D81" s="97"/>
      <c r="E81" s="99"/>
    </row>
    <row r="82" spans="1:5">
      <c r="A82" s="98"/>
      <c r="B82" s="99"/>
      <c r="C82" s="100"/>
      <c r="D82" s="97"/>
      <c r="E82" s="99"/>
    </row>
    <row r="83" spans="1:5">
      <c r="A83" s="98"/>
      <c r="B83" s="99"/>
      <c r="C83" s="100"/>
      <c r="D83" s="97"/>
      <c r="E83" s="99"/>
    </row>
    <row r="84" spans="1:5">
      <c r="A84" s="98"/>
      <c r="B84" s="99"/>
      <c r="C84" s="100"/>
      <c r="D84" s="97"/>
      <c r="E84" s="99"/>
    </row>
    <row r="85" spans="1:5">
      <c r="A85" s="98"/>
      <c r="B85" s="99"/>
      <c r="C85" s="100"/>
      <c r="D85" s="97"/>
      <c r="E85" s="99"/>
    </row>
    <row r="86" spans="1:5">
      <c r="A86" s="98"/>
      <c r="B86" s="99"/>
      <c r="C86" s="100"/>
      <c r="D86" s="97"/>
      <c r="E86" s="99"/>
    </row>
    <row r="87" spans="1:5">
      <c r="A87" s="98"/>
      <c r="B87" s="99"/>
      <c r="C87" s="100"/>
      <c r="D87" s="97"/>
      <c r="E87" s="99"/>
    </row>
    <row r="88" spans="1:5">
      <c r="A88" s="98"/>
      <c r="B88" s="99"/>
      <c r="C88" s="98"/>
      <c r="D88" s="97"/>
      <c r="E88" s="99"/>
    </row>
    <row r="89" spans="1:5">
      <c r="A89" s="98"/>
      <c r="B89" s="99"/>
      <c r="C89" s="98"/>
      <c r="D89" s="97"/>
      <c r="E89" s="99"/>
    </row>
    <row r="90" spans="1:5">
      <c r="A90" s="98"/>
      <c r="B90" s="99"/>
      <c r="C90" s="98"/>
      <c r="D90" s="97"/>
      <c r="E90" s="99"/>
    </row>
    <row r="91" spans="1:5">
      <c r="A91" s="98"/>
      <c r="B91" s="99"/>
      <c r="C91" s="98"/>
      <c r="D91" s="97"/>
      <c r="E91" s="99"/>
    </row>
    <row r="92" spans="1:5">
      <c r="A92" s="98"/>
      <c r="B92" s="99"/>
      <c r="C92" s="100"/>
      <c r="D92" s="97"/>
      <c r="E92" s="99"/>
    </row>
    <row r="93" spans="1:5">
      <c r="A93" s="98"/>
      <c r="B93" s="99"/>
      <c r="C93" s="100"/>
      <c r="D93" s="97"/>
      <c r="E93" s="99"/>
    </row>
    <row r="94" spans="1:5">
      <c r="A94" s="98"/>
      <c r="B94" s="99"/>
      <c r="C94" s="100"/>
      <c r="D94" s="97"/>
      <c r="E94" s="99"/>
    </row>
    <row r="95" spans="1:5">
      <c r="A95" s="98"/>
      <c r="B95" s="99"/>
      <c r="C95" s="100"/>
      <c r="D95" s="97"/>
      <c r="E95" s="99"/>
    </row>
    <row r="96" spans="1:5">
      <c r="A96" s="98"/>
      <c r="B96" s="99"/>
      <c r="C96" s="100"/>
      <c r="D96" s="97"/>
      <c r="E96" s="99"/>
    </row>
    <row r="97" spans="1:5">
      <c r="A97" s="98"/>
      <c r="B97" s="99"/>
      <c r="C97" s="100"/>
      <c r="D97" s="97"/>
      <c r="E97" s="99"/>
    </row>
    <row r="98" spans="1:5">
      <c r="A98" s="98"/>
      <c r="B98" s="99"/>
      <c r="C98" s="100"/>
      <c r="D98" s="97"/>
      <c r="E98" s="99"/>
    </row>
    <row r="99" spans="1:5">
      <c r="A99" s="98"/>
      <c r="B99" s="99"/>
      <c r="C99" s="100"/>
      <c r="D99" s="97"/>
      <c r="E99" s="99"/>
    </row>
    <row r="100" spans="1:5">
      <c r="A100" s="98"/>
      <c r="B100" s="99"/>
      <c r="C100" s="100"/>
      <c r="D100" s="97"/>
      <c r="E100" s="99"/>
    </row>
    <row r="101" spans="1:5">
      <c r="A101" s="98"/>
      <c r="B101" s="99"/>
      <c r="C101" s="100"/>
      <c r="D101" s="97"/>
      <c r="E101" s="99"/>
    </row>
    <row r="102" spans="1:5">
      <c r="A102" s="98"/>
      <c r="B102" s="99"/>
      <c r="C102" s="100"/>
      <c r="D102" s="97"/>
      <c r="E102" s="99"/>
    </row>
    <row r="103" spans="1:5">
      <c r="A103" s="98"/>
      <c r="B103" s="99"/>
      <c r="C103" s="100"/>
      <c r="D103" s="97"/>
      <c r="E103" s="99"/>
    </row>
    <row r="104" spans="1:5">
      <c r="A104" s="98"/>
      <c r="B104" s="99"/>
      <c r="C104" s="100"/>
      <c r="D104" s="97"/>
      <c r="E104" s="99"/>
    </row>
    <row r="105" spans="1:5">
      <c r="A105" s="98"/>
      <c r="B105" s="99"/>
      <c r="C105" s="100"/>
      <c r="D105" s="97"/>
      <c r="E105" s="99"/>
    </row>
    <row r="106" spans="1:5">
      <c r="A106" s="98"/>
      <c r="B106" s="99"/>
      <c r="C106" s="100"/>
      <c r="D106" s="97"/>
      <c r="E106" s="99"/>
    </row>
    <row r="107" spans="1:5">
      <c r="A107" s="98"/>
      <c r="B107" s="99"/>
      <c r="C107" s="100"/>
      <c r="D107" s="97"/>
      <c r="E107" s="99"/>
    </row>
    <row r="108" spans="1:5">
      <c r="A108" s="98"/>
      <c r="B108" s="99"/>
      <c r="C108" s="100"/>
      <c r="D108" s="97"/>
      <c r="E108" s="99"/>
    </row>
    <row r="109" spans="1:5">
      <c r="A109" s="98"/>
      <c r="B109" s="99"/>
      <c r="C109" s="100"/>
      <c r="D109" s="97"/>
      <c r="E109" s="99"/>
    </row>
    <row r="110" spans="1:5">
      <c r="A110" s="98"/>
      <c r="B110" s="99"/>
      <c r="C110" s="100"/>
      <c r="D110" s="97"/>
      <c r="E110" s="99"/>
    </row>
    <row r="111" spans="1:5">
      <c r="A111" s="98"/>
      <c r="B111" s="99"/>
      <c r="C111" s="100"/>
      <c r="D111" s="97"/>
      <c r="E111" s="99"/>
    </row>
    <row r="112" spans="1:5">
      <c r="A112" s="98"/>
      <c r="B112" s="99"/>
      <c r="C112" s="100"/>
      <c r="D112" s="97"/>
      <c r="E112" s="99"/>
    </row>
    <row r="113" spans="1:5">
      <c r="A113" s="98"/>
      <c r="B113" s="99"/>
      <c r="C113" s="100"/>
      <c r="D113" s="97"/>
      <c r="E113" s="99"/>
    </row>
    <row r="114" spans="1:5">
      <c r="A114" s="98"/>
      <c r="B114" s="99"/>
      <c r="C114" s="100"/>
      <c r="D114" s="97"/>
      <c r="E114" s="99"/>
    </row>
    <row r="115" spans="1:5">
      <c r="A115" s="98"/>
      <c r="B115" s="99"/>
      <c r="C115" s="100"/>
      <c r="D115" s="97"/>
      <c r="E115" s="99"/>
    </row>
    <row r="116" spans="1:5">
      <c r="A116" s="98"/>
      <c r="B116" s="99"/>
      <c r="C116" s="100"/>
      <c r="D116" s="97"/>
      <c r="E116" s="99"/>
    </row>
    <row r="117" spans="1:5">
      <c r="A117" s="98"/>
      <c r="B117" s="99"/>
      <c r="C117" s="100"/>
      <c r="D117" s="97"/>
      <c r="E117" s="99"/>
    </row>
    <row r="118" spans="1:5" hidden="1">
      <c r="E118" s="43"/>
    </row>
    <row r="119" spans="1:5" hidden="1">
      <c r="E119" s="43"/>
    </row>
    <row r="120" spans="1:5" hidden="1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28"/>
  <sheetViews>
    <sheetView workbookViewId="0">
      <selection activeCell="B7" sqref="B7"/>
    </sheetView>
  </sheetViews>
  <sheetFormatPr defaultColWidth="0" defaultRowHeight="14.4" zeroHeight="1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>
      <c r="A1" t="s">
        <v>552</v>
      </c>
      <c r="B1" t="s">
        <v>108</v>
      </c>
      <c r="C1" t="s">
        <v>560</v>
      </c>
    </row>
    <row r="2" spans="1:3" ht="43.2">
      <c r="A2" s="132" t="s">
        <v>561</v>
      </c>
      <c r="B2" s="133" t="s">
        <v>554</v>
      </c>
      <c r="C2" s="132" t="s">
        <v>553</v>
      </c>
    </row>
    <row r="3" spans="1:3">
      <c r="A3" s="132" t="s">
        <v>555</v>
      </c>
      <c r="B3" s="133" t="s">
        <v>556</v>
      </c>
      <c r="C3" s="132" t="s">
        <v>557</v>
      </c>
    </row>
    <row r="4" spans="1:3">
      <c r="A4" s="132" t="s">
        <v>558</v>
      </c>
      <c r="B4" s="133" t="s">
        <v>559</v>
      </c>
      <c r="C4" s="132" t="s">
        <v>557</v>
      </c>
    </row>
    <row r="5" spans="1:3">
      <c r="A5" s="132" t="s">
        <v>562</v>
      </c>
      <c r="B5" s="133"/>
      <c r="C5" s="132"/>
    </row>
    <row r="6" spans="1:3">
      <c r="A6" s="132"/>
      <c r="B6" s="133"/>
      <c r="C6" s="132"/>
    </row>
    <row r="7" spans="1:3">
      <c r="A7" s="132"/>
      <c r="B7" s="133"/>
      <c r="C7" s="132"/>
    </row>
    <row r="8" spans="1:3">
      <c r="A8" s="132"/>
      <c r="B8" s="133"/>
      <c r="C8" s="132"/>
    </row>
    <row r="9" spans="1:3">
      <c r="A9" s="132"/>
      <c r="B9" s="133"/>
      <c r="C9" s="132"/>
    </row>
    <row r="10" spans="1:3">
      <c r="A10" s="132"/>
      <c r="B10" s="133"/>
      <c r="C10" s="132"/>
    </row>
    <row r="11" spans="1:3">
      <c r="A11" s="132"/>
      <c r="B11" s="133"/>
      <c r="C11" s="132"/>
    </row>
    <row r="12" spans="1:3">
      <c r="A12" s="132"/>
      <c r="B12" s="133"/>
      <c r="C12" s="132"/>
    </row>
    <row r="13" spans="1:3">
      <c r="A13" s="132"/>
      <c r="B13" s="133"/>
      <c r="C13" s="132"/>
    </row>
    <row r="14" spans="1:3">
      <c r="A14" s="132"/>
      <c r="B14" s="133"/>
      <c r="C14" s="132"/>
    </row>
    <row r="15" spans="1:3">
      <c r="A15" s="132"/>
      <c r="B15" s="133"/>
      <c r="C15" s="132"/>
    </row>
    <row r="16" spans="1:3">
      <c r="A16" s="132"/>
      <c r="B16" s="133"/>
      <c r="C16" s="132"/>
    </row>
    <row r="17" spans="1:3">
      <c r="A17" s="132"/>
      <c r="B17" s="133"/>
      <c r="C17" s="132"/>
    </row>
    <row r="18" spans="1:3">
      <c r="A18" s="132"/>
      <c r="B18" s="133"/>
      <c r="C18" s="132"/>
    </row>
    <row r="19" spans="1:3">
      <c r="A19" s="132"/>
      <c r="B19" s="133"/>
      <c r="C19" s="132"/>
    </row>
    <row r="20" spans="1:3">
      <c r="A20" s="132"/>
      <c r="B20" s="133"/>
      <c r="C20" s="132"/>
    </row>
    <row r="21" spans="1:3">
      <c r="A21" s="132"/>
      <c r="B21" s="133"/>
      <c r="C21" s="132"/>
    </row>
    <row r="22" spans="1:3">
      <c r="A22" s="132"/>
      <c r="B22" s="133"/>
      <c r="C22" s="132"/>
    </row>
    <row r="23" spans="1:3">
      <c r="A23" s="132"/>
      <c r="B23" s="133"/>
      <c r="C23" s="132"/>
    </row>
    <row r="24" spans="1:3">
      <c r="A24" s="132"/>
      <c r="B24" s="133"/>
      <c r="C24" s="132"/>
    </row>
    <row r="25" spans="1:3">
      <c r="A25" s="132"/>
      <c r="B25" s="133"/>
      <c r="C25" s="132"/>
    </row>
    <row r="26" spans="1:3">
      <c r="A26" s="132"/>
      <c r="B26" s="133"/>
      <c r="C26" s="132"/>
    </row>
    <row r="27" spans="1:3">
      <c r="A27" s="132"/>
      <c r="B27" s="133"/>
      <c r="C27" s="132"/>
    </row>
    <row r="28" spans="1:3">
      <c r="A28" s="132"/>
      <c r="B28" s="133"/>
      <c r="C28" s="132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Project Planner</vt:lpstr>
      <vt:lpstr>Task List</vt:lpstr>
      <vt:lpstr>Writing Tasks</vt:lpstr>
      <vt:lpstr>Batch Schedule</vt:lpstr>
      <vt:lpstr>Run Schedule</vt:lpstr>
      <vt:lpstr>Initial Runs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2018-09-13T01:37:02Z</dcterms:modified>
</cp:coreProperties>
</file>