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B135" i="3" l="1"/>
  <c r="B136" i="3"/>
  <c r="B137" i="3"/>
  <c r="B138" i="3"/>
  <c r="B139" i="3"/>
  <c r="B140" i="3"/>
  <c r="B141" i="3"/>
  <c r="B142" i="3"/>
  <c r="B143" i="3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<sst xmlns="http://schemas.openxmlformats.org/spreadsheetml/2006/main" count="1397" uniqueCount="763">
  <si>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</si>
  <si>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</si>
  <si>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</si>
  <si>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</si>
  <si>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</si>
  <si>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</si>
  <si>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</si>
  <si>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</si>
  <si>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</si>
  <si>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</si>
  <si>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</si>
  <si>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</si>
  <si>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</si>
  <si>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</si>
  <si>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</si>
  <si>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</si>
  <si>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</si>
  <si>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</si>
  <si>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</si>
  <si>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</si>
  <si>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</si>
  <si>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</si>
  <si>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</si>
  <si>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</si>
  <si>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</si>
  <si>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</si>
  <si>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</si>
  <si>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</si>
  <si>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</si>
  <si>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</si>
  <si>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</si>
  <si>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</si>
  <si>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</si>
  <si>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</si>
  <si>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</si>
  <si>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</si>
  <si>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</si>
  <si>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</si>
  <si>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</si>
  <si>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</si>
  <si>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</si>
  <si>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</si>
  <si>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</si>
  <si>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</si>
  <si>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</si>
  <si>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</si>
  <si>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</si>
  <si>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</si>
  <si>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</si>
  <si>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</si>
  <si>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</si>
  <si>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</si>
  <si>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</si>
  <si>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</si>
  <si>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</si>
  <si>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</si>
  <si>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</si>
  <si>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</si>
  <si>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</si>
  <si>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</si>
  <si>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</si>
  <si>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</si>
  <si>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</si>
  <si>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</si>
  <si>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</si>
  <si>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</si>
  <si>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</si>
  <si>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</si>
  <si>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</si>
  <si>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</si>
  <si>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</si>
  <si>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</si>
  <si>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</si>
  <si>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</si>
  <si>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</si>
  <si>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</si>
  <si>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</si>
  <si>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</si>
  <si>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</si>
  <si>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</si>
  <si>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</si>
  <si>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</si>
  <si>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</si>
  <si>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</si>
  <si>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</si>
  <si>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</si>
  <si>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</si>
  <si>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</si>
  <si>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</si>
  <si>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</si>
  <si>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</si>
  <si>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</si>
  <si>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</si>
  <si>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</si>
  <si>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</si>
  <si>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</si>
  <si>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</si>
  <si>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</si>
  <si>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</si>
  <si>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</si>
  <si>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</si>
  <si>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</si>
  <si>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</si>
  <si>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</si>
  <si>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</si>
  <si>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</si>
  <si>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</si>
  <si>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</si>
  <si>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</si>
  <si>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</si>
  <si>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</si>
  <si>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</si>
  <si>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</si>
  <si>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</si>
  <si>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</si>
  <si>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</si>
  <si>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</si>
  <si>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</si>
  <si>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</si>
  <si>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</si>
  <si>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</si>
  <si>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</si>
  <si>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</si>
  <si>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</si>
  <si>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</si>
  <si>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</si>
  <si>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</si>
  <si>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</si>
  <si>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</si>
  <si>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</si>
  <si>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</si>
  <si>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</si>
  <si>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</si>
  <si>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</si>
  <si>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</si>
  <si>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</si>
  <si>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</si>
  <si>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</si>
  <si>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</si>
  <si>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</si>
  <si>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</si>
  <si>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</si>
  <si>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</si>
  <si>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</si>
  <si>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</si>
  <si>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</si>
  <si>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</si>
  <si>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</si>
  <si>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</si>
  <si>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</si>
  <si>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</si>
  <si>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</si>
  <si>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</si>
  <si>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</si>
  <si>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</si>
  <si>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</si>
  <si>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</si>
  <si>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</si>
  <si>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</si>
  <si>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</si>
  <si>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</si>
  <si>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</si>
  <si>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</si>
  <si>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</si>
  <si>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</si>
  <si>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</si>
  <si>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</si>
  <si>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</si>
  <si>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</si>
  <si>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</si>
  <si>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</si>
  <si>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</si>
  <si>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</si>
  <si>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</si>
  <si>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</si>
  <si>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</si>
  <si>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</si>
  <si>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</si>
  <si>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</si>
  <si>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</si>
  <si>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</si>
  <si>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</si>
  <si>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</si>
  <si>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</si>
  <si>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</si>
  <si>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</si>
  <si>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</si>
  <si>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</si>
  <si>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</si>
  <si>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</si>
  <si>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</si>
  <si>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</si>
  <si>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</si>
  <si>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</si>
  <si>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</si>
  <si>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</si>
  <si>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</si>
  <si>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</si>
  <si>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</si>
  <si>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</si>
  <si>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</si>
  <si>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</si>
  <si>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</si>
  <si>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</si>
  <si>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</si>
  <si>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</si>
  <si>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</si>
  <si>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</si>
  <si>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</si>
  <si>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</si>
  <si>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</si>
  <si>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</si>
  <si>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</si>
  <si>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</si>
  <si>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</si>
  <si>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</si>
  <si>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</si>
  <si>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</si>
  <si>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</si>
  <si>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</si>
  <si>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</si>
  <si>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</si>
  <si>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</si>
  <si>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</si>
  <si>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</si>
  <si>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</si>
  <si>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</si>
  <si>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</si>
  <si>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</si>
  <si>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</si>
  <si>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</si>
  <si>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</si>
  <si>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</si>
  <si>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</si>
  <si>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</si>
  <si>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</si>
  <si>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</si>
  <si>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</si>
  <si>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</si>
  <si>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</si>
  <si>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</si>
  <si>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</si>
  <si>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</si>
  <si>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</si>
  <si>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</si>
  <si>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</si>
  <si>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</si>
  <si>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</si>
  <si>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</si>
  <si>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</si>
  <si>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</si>
  <si>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</si>
  <si>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</si>
  <si>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</si>
  <si>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</si>
  <si>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</si>
  <si>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</si>
  <si>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</si>
  <si>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</si>
  <si>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</si>
  <si>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</si>
  <si>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</si>
  <si>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</si>
  <si>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</si>
  <si>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</si>
  <si>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</si>
  <si>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</si>
  <si>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</si>
  <si>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</si>
  <si>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</si>
  <si>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</si>
  <si>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</si>
  <si>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</si>
  <si>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</si>
  <si>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</si>
  <si>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</si>
  <si>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</si>
  <si>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</si>
  <si>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</si>
  <si>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</si>
  <si>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</si>
  <si>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</si>
  <si>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</si>
  <si>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</si>
  <si>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</si>
  <si>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</si>
  <si>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</si>
  <si>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</si>
  <si>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</si>
  <si>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</si>
  <si>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</si>
  <si>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</si>
  <si>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</si>
  <si>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</si>
  <si>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</si>
  <si>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</si>
  <si>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</si>
  <si>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</si>
  <si>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</si>
  <si>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</si>
  <si>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</si>
  <si>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</si>
  <si>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</si>
  <si>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</si>
  <si>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</si>
  <si>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</si>
  <si>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</si>
  <si>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</si>
  <si>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</si>
  <si>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</si>
  <si>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</si>
  <si>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</si>
  <si>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</si>
  <si>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</si>
  <si>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</si>
  <si>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</si>
  <si>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</si>
  <si>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</si>
  <si>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</si>
  <si>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</si>
  <si>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</si>
  <si>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</si>
  <si>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</si>
  <si>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</si>
  <si>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</si>
  <si>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</si>
  <si>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</si>
  <si>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</si>
  <si>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</si>
  <si>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</si>
  <si>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</si>
  <si>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</si>
  <si>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</si>
  <si>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</si>
  <si>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</si>
  <si>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</si>
  <si>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</si>
  <si>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</si>
  <si>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</si>
  <si>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</si>
  <si>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</si>
  <si>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</si>
  <si>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</si>
  <si>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</si>
  <si>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</si>
  <si>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</si>
  <si>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</si>
  <si>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</si>
  <si>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</si>
  <si>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</si>
  <si>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</si>
  <si>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</si>
  <si>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</si>
  <si>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</si>
  <si>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</si>
  <si>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</si>
  <si>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</si>
  <si>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</si>
  <si>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</si>
  <si>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</si>
  <si>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</si>
  <si>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</si>
  <si>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</si>
  <si>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</si>
  <si>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</si>
  <si>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</si>
  <si>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</si>
  <si>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</si>
  <si>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</si>
  <si>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</si>
  <si>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</si>
  <si>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</si>
  <si>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</si>
  <si>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</si>
  <si>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</si>
  <si>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</si>
  <si>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</si>
  <si>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</si>
  <si>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</si>
  <si>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</si>
  <si>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</si>
  <si>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</si>
  <si>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</si>
  <si>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</si>
  <si>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</si>
  <si>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</si>
  <si>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</si>
  <si>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</si>
  <si>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</si>
  <si>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</si>
  <si>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</si>
  <si>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</si>
  <si>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</si>
  <si>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</si>
  <si>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</si>
  <si>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</si>
  <si>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</si>
  <si>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</si>
  <si>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</si>
  <si>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</si>
  <si>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</si>
  <si>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</si>
  <si>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</si>
  <si>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</si>
  <si>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</si>
  <si>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</si>
  <si>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</si>
  <si>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</si>
  <si>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</si>
  <si>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</si>
  <si>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</si>
  <si>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</si>
  <si>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</si>
  <si>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</si>
  <si>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</si>
  <si>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</si>
  <si>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</si>
  <si>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</si>
  <si>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</si>
  <si>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</si>
  <si>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</si>
  <si>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</si>
  <si>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</si>
  <si>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</si>
  <si>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</si>
  <si>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</si>
  <si>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</si>
  <si>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</si>
  <si>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</si>
  <si>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a4181f5</t>
  </si>
  <si>
    <t>a4181f6</t>
  </si>
  <si>
    <t>a4181f7</t>
  </si>
  <si>
    <t>a4181f8</t>
  </si>
  <si>
    <t>a4181f9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</si>
  <si>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</si>
  <si>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</si>
  <si>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</si>
  <si>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</si>
  <si>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</si>
  <si>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</si>
  <si>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</si>
  <si>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</si>
  <si>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</si>
  <si>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</si>
  <si>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</si>
  <si>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</si>
  <si>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</si>
  <si>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</si>
  <si>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</si>
  <si>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</si>
  <si>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</si>
  <si>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</si>
  <si>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</si>
  <si>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</si>
  <si>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</si>
  <si>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</si>
  <si>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</si>
  <si>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</si>
  <si>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</si>
  <si>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</si>
  <si>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</si>
  <si>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</si>
  <si>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</si>
  <si>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</si>
  <si>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</si>
  <si>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</si>
  <si>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</si>
  <si>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</si>
  <si>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</si>
  <si>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</si>
  <si>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</si>
  <si>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</si>
  <si>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</si>
  <si>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</si>
  <si>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</si>
  <si>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</si>
  <si>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</si>
  <si>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a2ef205</t>
  </si>
  <si>
    <t>a2ef206</t>
  </si>
  <si>
    <t>a2ef207</t>
  </si>
  <si>
    <t>a2ef208</t>
  </si>
  <si>
    <t>Fix n_iter</t>
  </si>
  <si>
    <t>a2ef209</t>
  </si>
  <si>
    <t>a2ef210</t>
  </si>
  <si>
    <t>a2ef211</t>
  </si>
  <si>
    <t>a2ef212</t>
  </si>
  <si>
    <t>a2ef213</t>
  </si>
  <si>
    <t>a2ef214</t>
  </si>
  <si>
    <t>a2ef215</t>
  </si>
  <si>
    <t>a2ef216</t>
  </si>
  <si>
    <t>a2ef217</t>
  </si>
  <si>
    <t>a2ef218</t>
  </si>
  <si>
    <t>a2ef219</t>
  </si>
  <si>
    <t>a2ef220</t>
  </si>
  <si>
    <t>a2ef221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</si>
  <si>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</si>
  <si>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</si>
  <si>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</si>
  <si>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</si>
  <si>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</si>
  <si>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</si>
  <si>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</si>
  <si>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a2ef222</t>
  </si>
  <si>
    <t>a2ef223</t>
  </si>
  <si>
    <t>a2ef224</t>
  </si>
  <si>
    <t>a2ef225</t>
  </si>
  <si>
    <t>a2ef226</t>
  </si>
  <si>
    <t>a2ef227</t>
  </si>
  <si>
    <t>a2ef228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</si>
  <si>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</si>
  <si>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</si>
  <si>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</si>
  <si>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</si>
  <si>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</si>
  <si>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</si>
  <si>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</si>
  <si>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</si>
  <si>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a2ef229</t>
  </si>
  <si>
    <t>a2ef230</t>
  </si>
  <si>
    <t>a2ef231</t>
  </si>
  <si>
    <t>a2ef232</t>
  </si>
  <si>
    <t>a2ef233</t>
  </si>
  <si>
    <t>a2ef234</t>
  </si>
  <si>
    <t>a2ef235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</si>
  <si>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</si>
  <si>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</si>
  <si>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</si>
  <si>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</si>
  <si>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</si>
  <si>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</si>
  <si>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</si>
  <si>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</si>
  <si>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</si>
  <si>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</si>
  <si>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</si>
  <si>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</si>
  <si>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</si>
  <si>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</si>
  <si>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a2ef236</t>
  </si>
  <si>
    <t>a2ef237</t>
  </si>
  <si>
    <t>a2ef238</t>
  </si>
  <si>
    <t>a2ef239</t>
  </si>
  <si>
    <t>a2ef240</t>
  </si>
  <si>
    <t>a2ef241</t>
  </si>
  <si>
    <t>a2ef242</t>
  </si>
  <si>
    <t>a2ef243</t>
  </si>
  <si>
    <t>a2ef244</t>
  </si>
  <si>
    <t>a2ef245</t>
  </si>
  <si>
    <t>a2ef246</t>
  </si>
  <si>
    <t>a2ef247</t>
  </si>
  <si>
    <t>a2ef248</t>
  </si>
  <si>
    <t>a2ef249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</si>
  <si>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</si>
  <si>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</si>
  <si>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</si>
  <si>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</si>
  <si>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</si>
  <si>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</si>
  <si>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</si>
  <si>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</si>
  <si>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</si>
  <si>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</si>
  <si>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</si>
  <si>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</si>
  <si>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</si>
  <si>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</si>
  <si>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</si>
  <si>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</si>
  <si>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835c9d3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</si>
  <si>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</si>
  <si>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</si>
  <si>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</si>
  <si>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</si>
  <si>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</si>
  <si>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</si>
  <si>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</si>
  <si>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</si>
  <si>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</si>
  <si>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2f717daf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</si>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</sst>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87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75" fillId="0" borderId="0" applyNumberFormat="0" applyFill="0" applyBorder="0" applyAlignment="0" applyProtection="0"/>
    <xf numFmtId="0" fontId="69" fillId="0" borderId="0" applyFill="0" applyBorder="0" applyProtection="0">
      <alignment horizontal="left" wrapText="1"/>
    </xf>
    <xf numFmtId="3" fontId="77" fillId="0" borderId="2" applyFill="0" applyProtection="0">
      <alignment horizontal="center"/>
    </xf>
    <xf numFmtId="0" fontId="77" fillId="0" borderId="0" applyFill="0" applyBorder="0" applyProtection="0">
      <alignment horizontal="center" wrapText="1"/>
    </xf>
    <xf numFmtId="0" fontId="68" fillId="0" borderId="0" applyNumberFormat="0" applyFill="0" applyBorder="0" applyProtection="0">
      <alignment horizontal="left" vertical="center"/>
    </xf>
    <xf numFmtId="9" fontId="70" fillId="0" borderId="0" applyFill="0" applyBorder="0" applyProtection="0">
      <alignment horizontal="center" vertical="center"/>
    </xf>
    <xf numFmtId="0" fontId="76" fillId="6" borderId="1" applyNumberFormat="0" applyProtection="0">
      <alignment horizontal="left" vertical="center"/>
    </xf>
    <xf numFmtId="0" fontId="75" fillId="0" borderId="0" applyNumberFormat="0" applyFill="0" applyBorder="0" applyProtection="0">
      <alignment vertical="center"/>
    </xf>
    <xf numFmtId="0" fontId="77" fillId="0" borderId="0" applyFill="0" applyProtection="0">
      <alignment vertical="center"/>
    </xf>
    <xf numFmtId="0" fontId="77" fillId="0" borderId="0" applyFill="0" applyProtection="0">
      <alignment horizontal="center" vertical="center" wrapText="1"/>
    </xf>
    <xf numFmtId="0" fontId="77" fillId="0" borderId="0" applyFill="0" applyProtection="0">
      <alignment horizontal="left"/>
    </xf>
    <xf numFmtId="0" fontId="79" fillId="0" borderId="0" applyNumberFormat="0" applyFill="0" applyBorder="0" applyProtection="0">
      <alignment vertical="center"/>
    </xf>
    <xf numFmtId="1" fontId="80" fillId="6" borderId="1">
      <alignment horizontal="center" vertical="center"/>
    </xf>
    <xf numFmtId="0" fontId="78" fillId="2" borderId="4" applyNumberFormat="0" applyFont="0" applyAlignment="0">
      <alignment horizontal="center"/>
    </xf>
    <xf numFmtId="0" fontId="78" fillId="3" borderId="3" applyNumberFormat="0" applyFont="0" applyAlignment="0">
      <alignment horizontal="center"/>
    </xf>
    <xf numFmtId="0" fontId="78" fillId="4" borderId="3" applyNumberFormat="0" applyFont="0" applyAlignment="0">
      <alignment horizontal="center"/>
    </xf>
    <xf numFmtId="0" fontId="78" fillId="5" borderId="3" applyNumberFormat="0" applyFont="0" applyAlignment="0">
      <alignment horizontal="center"/>
    </xf>
    <xf numFmtId="0" fontId="78" fillId="7" borderId="3" applyNumberFormat="0" applyFont="0" applyAlignment="0">
      <alignment horizontal="center"/>
    </xf>
    <xf numFmtId="0" fontId="67" fillId="0" borderId="0"/>
  </cellStyleXfs>
  <cellXfs count="152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69" fillId="0" borderId="0" xfId="2">
      <alignment horizontal="left" wrapText="1"/>
    </xf>
    <xf numFmtId="3" fontId="77" fillId="0" borderId="2" xfId="3">
      <alignment horizontal="center"/>
    </xf>
    <xf numFmtId="9" fontId="70" fillId="0" borderId="0" xfId="6">
      <alignment horizontal="center" vertical="center"/>
    </xf>
    <xf numFmtId="0" fontId="76" fillId="6" borderId="1" xfId="7">
      <alignment horizontal="left" vertical="center"/>
    </xf>
    <xf numFmtId="0" fontId="71" fillId="0" borderId="0" xfId="2" applyFont="1">
      <alignment horizontal="left" wrapText="1"/>
    </xf>
    <xf numFmtId="0" fontId="72" fillId="0" borderId="0" xfId="0" applyFont="1" applyAlignment="1">
      <alignment horizontal="center"/>
    </xf>
    <xf numFmtId="9" fontId="73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75" fillId="0" borderId="0" xfId="1" applyAlignment="1">
      <alignment horizontal="center"/>
    </xf>
    <xf numFmtId="0" fontId="75" fillId="0" borderId="0" xfId="8">
      <alignment vertical="center"/>
    </xf>
    <xf numFmtId="1" fontId="80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77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67" fillId="0" borderId="0" xfId="19"/>
    <xf numFmtId="0" fontId="67" fillId="0" borderId="0" xfId="19" applyAlignment="1">
      <alignment horizontal="center"/>
    </xf>
    <xf numFmtId="165" fontId="67" fillId="0" borderId="0" xfId="19" applyNumberFormat="1" applyAlignment="1">
      <alignment horizontal="center"/>
    </xf>
    <xf numFmtId="0" fontId="67" fillId="0" borderId="0" xfId="19" applyNumberFormat="1" applyAlignment="1">
      <alignment horizontal="center"/>
    </xf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7" fillId="0" borderId="0" xfId="19" applyFont="1"/>
    <xf numFmtId="0" fontId="56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81" fillId="0" borderId="0" xfId="0" applyFont="1" applyAlignment="1">
      <alignment horizontal="center" vertical="center" textRotation="90"/>
    </xf>
    <xf numFmtId="0" fontId="81" fillId="0" borderId="0" xfId="0" applyFont="1">
      <alignment horizontal="center" vertical="center"/>
    </xf>
    <xf numFmtId="0" fontId="81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0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49" fillId="0" borderId="0" xfId="19" applyFont="1" applyAlignment="1">
      <alignment horizontal="left"/>
    </xf>
    <xf numFmtId="0" fontId="50" fillId="0" borderId="0" xfId="19" applyFont="1" applyAlignment="1">
      <alignment horizontal="left"/>
    </xf>
    <xf numFmtId="0" fontId="62" fillId="0" borderId="0" xfId="19" applyFont="1" applyAlignment="1">
      <alignment horizontal="left"/>
    </xf>
    <xf numFmtId="0" fontId="67" fillId="0" borderId="0" xfId="19" applyAlignment="1">
      <alignment horizontal="left"/>
    </xf>
    <xf numFmtId="0" fontId="65" fillId="0" borderId="0" xfId="19" applyFont="1" applyAlignment="1">
      <alignment horizontal="left"/>
    </xf>
    <xf numFmtId="0" fontId="58" fillId="0" borderId="0" xfId="19" applyFont="1" applyAlignment="1">
      <alignment horizontal="left"/>
    </xf>
    <xf numFmtId="0" fontId="46" fillId="0" borderId="0" xfId="19" applyFont="1" applyAlignment="1">
      <alignment horizontal="left"/>
    </xf>
    <xf numFmtId="18" fontId="58" fillId="0" borderId="0" xfId="19" applyNumberFormat="1" applyFont="1" applyAlignment="1">
      <alignment horizontal="left"/>
    </xf>
    <xf numFmtId="0" fontId="40" fillId="0" borderId="0" xfId="19" applyFont="1" applyAlignment="1">
      <alignment horizontal="left"/>
    </xf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7" fillId="0" borderId="0" xfId="19" applyFont="1" applyAlignment="1">
      <alignment horizontal="left"/>
    </xf>
    <xf numFmtId="0" fontId="36" fillId="0" borderId="0" xfId="19" applyFont="1"/>
    <xf numFmtId="0" fontId="35" fillId="0" borderId="0" xfId="19" applyFont="1"/>
    <xf numFmtId="0" fontId="35" fillId="0" borderId="0" xfId="19" applyFont="1" applyAlignment="1">
      <alignment horizontal="left"/>
    </xf>
    <xf numFmtId="0" fontId="34" fillId="0" borderId="0" xfId="19" applyNumberFormat="1" applyFont="1" applyAlignment="1">
      <alignment horizontal="center"/>
    </xf>
    <xf numFmtId="0" fontId="34" fillId="0" borderId="0" xfId="19" applyFont="1"/>
    <xf numFmtId="0" fontId="34" fillId="0" borderId="0" xfId="19" applyFont="1" applyAlignment="1">
      <alignment horizontal="left"/>
    </xf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165" fontId="28" fillId="0" borderId="0" xfId="19" applyNumberFormat="1" applyFont="1" applyAlignment="1">
      <alignment horizontal="center"/>
    </xf>
    <xf numFmtId="0" fontId="28" fillId="0" borderId="0" xfId="19" applyFont="1" applyAlignment="1">
      <alignment horizontal="left"/>
    </xf>
    <xf numFmtId="0" fontId="27" fillId="0" borderId="0" xfId="19" applyFont="1"/>
    <xf numFmtId="0" fontId="27" fillId="0" borderId="0" xfId="19" applyFont="1" applyAlignment="1">
      <alignment horizontal="left"/>
    </xf>
    <xf numFmtId="0" fontId="26" fillId="0" borderId="0" xfId="19" applyFont="1"/>
    <xf numFmtId="0" fontId="25" fillId="0" borderId="0" xfId="19" applyFont="1"/>
    <xf numFmtId="0" fontId="25" fillId="0" borderId="0" xfId="19" applyFont="1" applyAlignment="1">
      <alignment horizontal="left"/>
    </xf>
    <xf numFmtId="0" fontId="24" fillId="0" borderId="0" xfId="19" applyFont="1"/>
    <xf numFmtId="0" fontId="24" fillId="0" borderId="0" xfId="19" applyFont="1" applyAlignment="1">
      <alignment horizontal="left"/>
    </xf>
    <xf numFmtId="0" fontId="23" fillId="0" borderId="0" xfId="19" applyFont="1"/>
    <xf numFmtId="165" fontId="23" fillId="0" borderId="0" xfId="19" applyNumberFormat="1" applyFont="1" applyAlignment="1">
      <alignment horizontal="center"/>
    </xf>
    <xf numFmtId="0" fontId="22" fillId="0" borderId="0" xfId="19" applyFont="1"/>
    <xf numFmtId="0" fontId="21" fillId="0" borderId="0" xfId="19" applyFont="1"/>
    <xf numFmtId="0" fontId="21" fillId="0" borderId="0" xfId="19" applyFont="1" applyAlignment="1">
      <alignment horizontal="left"/>
    </xf>
    <xf numFmtId="0" fontId="20" fillId="0" borderId="0" xfId="19" applyFont="1"/>
    <xf numFmtId="0" fontId="19" fillId="0" borderId="0" xfId="19" applyFont="1" applyAlignment="1">
      <alignment horizontal="left"/>
    </xf>
    <xf numFmtId="0" fontId="19" fillId="0" borderId="0" xfId="19" applyFont="1"/>
    <xf numFmtId="0" fontId="82" fillId="0" borderId="0" xfId="0" applyFont="1">
      <alignment horizontal="center" vertical="center"/>
    </xf>
    <xf numFmtId="0" fontId="83" fillId="0" borderId="0" xfId="0" applyFont="1">
      <alignment horizontal="center" vertical="center"/>
    </xf>
    <xf numFmtId="0" fontId="83" fillId="0" borderId="0" xfId="0" applyFont="1" applyAlignment="1">
      <alignment horizontal="left" vertical="center"/>
    </xf>
    <xf numFmtId="1" fontId="83" fillId="0" borderId="0" xfId="0" applyNumberFormat="1" applyFont="1">
      <alignment horizontal="center" vertical="center"/>
    </xf>
    <xf numFmtId="0" fontId="18" fillId="0" borderId="0" xfId="19" applyFont="1"/>
    <xf numFmtId="0" fontId="86" fillId="0" borderId="0" xfId="0" applyFont="1">
      <alignment horizontal="center" vertical="center"/>
    </xf>
    <xf numFmtId="0" fontId="86" fillId="0" borderId="0" xfId="0" applyFont="1" applyAlignment="1">
      <alignment horizontal="left" vertical="center"/>
    </xf>
    <xf numFmtId="0" fontId="86" fillId="0" borderId="0" xfId="0" quotePrefix="1" applyFont="1" applyAlignment="1">
      <alignment horizontal="left" vertical="center"/>
    </xf>
    <xf numFmtId="166" fontId="76" fillId="0" borderId="0" xfId="0" applyNumberFormat="1" applyFont="1">
      <alignment horizontal="center" vertical="center"/>
    </xf>
    <xf numFmtId="0" fontId="83" fillId="0" borderId="0" xfId="0" quotePrefix="1" applyFont="1" applyAlignment="1">
      <alignment horizontal="left" vertical="center"/>
    </xf>
    <xf numFmtId="16" fontId="81" fillId="0" borderId="0" xfId="0" applyNumberFormat="1" applyFont="1">
      <alignment horizontal="center" vertical="center"/>
    </xf>
    <xf numFmtId="167" fontId="81" fillId="0" borderId="0" xfId="0" applyNumberFormat="1" applyFont="1">
      <alignment horizontal="center" vertical="center"/>
    </xf>
    <xf numFmtId="1" fontId="81" fillId="0" borderId="0" xfId="0" applyNumberFormat="1" applyFont="1">
      <alignment horizontal="center" vertical="center"/>
    </xf>
    <xf numFmtId="0" fontId="81" fillId="0" borderId="0" xfId="0" applyFont="1" applyAlignment="1">
      <alignment horizontal="center" vertical="center"/>
    </xf>
    <xf numFmtId="168" fontId="81" fillId="0" borderId="0" xfId="0" applyNumberFormat="1" applyFont="1">
      <alignment horizontal="center" vertical="center"/>
    </xf>
    <xf numFmtId="0" fontId="17" fillId="0" borderId="0" xfId="19" applyFont="1"/>
    <xf numFmtId="0" fontId="16" fillId="0" borderId="0" xfId="19" applyFont="1"/>
    <xf numFmtId="165" fontId="16" fillId="0" borderId="0" xfId="19" applyNumberFormat="1" applyFont="1" applyAlignment="1">
      <alignment horizontal="center"/>
    </xf>
    <xf numFmtId="0" fontId="16" fillId="0" borderId="0" xfId="19" applyFont="1" applyAlignment="1">
      <alignment horizontal="left"/>
    </xf>
    <xf numFmtId="0" fontId="71" fillId="0" borderId="0" xfId="2" applyFont="1" applyAlignment="1">
      <alignment horizontal="left" vertical="center" wrapText="1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/>
    <xf numFmtId="0" fontId="9" fillId="0" borderId="0" xfId="19" applyFont="1" applyAlignment="1">
      <alignment horizontal="left"/>
    </xf>
    <xf numFmtId="0" fontId="8" fillId="0" borderId="0" xfId="19" applyFont="1" applyAlignment="1">
      <alignment horizontal="left"/>
    </xf>
    <xf numFmtId="0" fontId="7" fillId="0" borderId="0" xfId="19" applyFont="1"/>
    <xf numFmtId="165" fontId="7" fillId="0" borderId="0" xfId="19" applyNumberFormat="1" applyFont="1" applyAlignment="1">
      <alignment horizontal="center"/>
    </xf>
    <xf numFmtId="0" fontId="6" fillId="0" borderId="0" xfId="19" applyFont="1"/>
    <xf numFmtId="0" fontId="5" fillId="0" borderId="0" xfId="19" applyFont="1"/>
    <xf numFmtId="0" fontId="4" fillId="0" borderId="0" xfId="19" applyFont="1"/>
    <xf numFmtId="0" fontId="3" fillId="0" borderId="0" xfId="19" applyFont="1"/>
    <xf numFmtId="0" fontId="2" fillId="0" borderId="0" xfId="19" applyFont="1"/>
    <xf numFmtId="49" fontId="82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79" fillId="0" borderId="0" xfId="12">
      <alignment vertical="center"/>
    </xf>
    <xf numFmtId="0" fontId="77" fillId="0" borderId="0" xfId="9">
      <alignment vertical="center"/>
    </xf>
    <xf numFmtId="0" fontId="77" fillId="0" borderId="2" xfId="9" applyBorder="1">
      <alignment vertical="center"/>
    </xf>
    <xf numFmtId="0" fontId="77" fillId="0" borderId="0" xfId="10">
      <alignment horizontal="center" vertical="center" wrapText="1"/>
    </xf>
    <xf numFmtId="0" fontId="77" fillId="0" borderId="2" xfId="10" applyBorder="1">
      <alignment horizontal="center" vertical="center" wrapText="1"/>
    </xf>
    <xf numFmtId="0" fontId="77" fillId="0" borderId="5" xfId="10" applyBorder="1">
      <alignment horizontal="center" vertical="center" wrapText="1"/>
    </xf>
    <xf numFmtId="0" fontId="74" fillId="0" borderId="6" xfId="5" applyFont="1" applyBorder="1">
      <alignment horizontal="left" vertical="center"/>
    </xf>
    <xf numFmtId="0" fontId="74" fillId="0" borderId="0" xfId="5" applyFont="1">
      <alignment horizontal="left" vertical="center"/>
    </xf>
    <xf numFmtId="0" fontId="74" fillId="0" borderId="7" xfId="5" applyFont="1" applyBorder="1">
      <alignment horizontal="left" vertical="center"/>
    </xf>
    <xf numFmtId="0" fontId="74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9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49" totalsRowShown="0">
  <autoFilter ref="A1:F149">
    <filterColumn colId="3">
      <filters blank="1">
        <filter val="0"/>
        <filter val="0.25"/>
        <filter val="0.75"/>
      </filters>
    </filterColumn>
  </autoFilter>
  <sortState ref="A30:F149">
    <sortCondition descending="1" ref="C1:C149"/>
  </sortState>
  <tableColumns count="6">
    <tableColumn id="1" name="Task"/>
    <tableColumn id="2" name="Assigned"/>
    <tableColumn id="3" name="Due"/>
    <tableColumn id="6" name=" " dataDxfId="38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439" totalsRowShown="0" headerRowDxfId="37" dataDxfId="36">
  <autoFilter ref="A1:S439"/>
  <tableColumns count="19">
    <tableColumn id="1" name="Run ID" dataDxfId="35"/>
    <tableColumn id="18" name="n_iter" dataDxfId="34"/>
    <tableColumn id="2" name="log10(mv)" dataDxfId="33"/>
    <tableColumn id="3" name="mh" dataDxfId="32"/>
    <tableColumn id="4" name="kmax" dataDxfId="31"/>
    <tableColumn id="19" name="gamma" dataDxfId="30"/>
    <tableColumn id="8" name="measure" dataDxfId="29"/>
    <tableColumn id="9" name="n_tunnel_max" dataDxfId="28"/>
    <tableColumn id="5" name="lambda_screen" dataDxfId="27"/>
    <tableColumn id="6" name="rho_Lambda_thres" dataDxfId="26"/>
    <tableColumn id="20" name="fixQ" dataDxfId="25"/>
    <tableColumn id="21" name="Nafter" dataDxfId="24"/>
    <tableColumn id="22" name="seed" dataDxfId="23"/>
    <tableColumn id="7" name="n_recycle" dataDxfId="22"/>
    <tableColumn id="10" name="Job ID" dataDxfId="21"/>
    <tableColumn id="24" name="End Date2" dataDxfId="20"/>
    <tableColumn id="11" name="Runtime" dataDxfId="19"/>
    <tableColumn id="14" name="Input File Path" dataDxfId="18"/>
    <tableColumn id="12" name="Git Hash" dataDxfId="17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6">
  <autoFilter ref="A1:E117"/>
  <sortState ref="A2:E117">
    <sortCondition ref="A1:A117"/>
  </sortState>
  <tableColumns count="5">
    <tableColumn id="1" name="Class" dataDxfId="15"/>
    <tableColumn id="2" name="Function" dataDxfId="14"/>
    <tableColumn id="3" name="Line" dataDxfId="13"/>
    <tableColumn id="5" name="Checked" dataDxfId="12"/>
    <tableColumn id="4" name="Description" dataDxfId="11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1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9">
  <autoFilter ref="A1:E117">
    <filterColumn colId="3">
      <filters blank="1"/>
    </filterColumn>
  </autoFilter>
  <sortState ref="A2:E117">
    <sortCondition ref="A1:A117"/>
  </sortState>
  <tableColumns count="5">
    <tableColumn id="1" name="Class" dataDxfId="8"/>
    <tableColumn id="2" name="Function" dataDxfId="7"/>
    <tableColumn id="3" name="Line" dataDxfId="6"/>
    <tableColumn id="5" name="Checked" dataDxfId="5"/>
    <tableColumn id="4" name="Description" dataDxfId="4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3">
  <autoFilter ref="A1:C28"/>
  <tableColumns count="3">
    <tableColumn id="1" name="Code" dataDxfId="2"/>
    <tableColumn id="2" name="Description" dataDxfId="1"/>
    <tableColumn id="3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2"/>
  <sheetViews>
    <sheetView showGridLines="0" zoomScale="85" zoomScaleNormal="85" zoomScaleSheetLayoutView="80" workbookViewId="0">
      <selection activeCell="H10" sqref="H10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67" ht="21" customHeight="1" thickTop="1" thickBot="1" x14ac:dyDescent="0.35">
      <c r="B2" s="138" t="s">
        <v>28</v>
      </c>
      <c r="C2" s="138"/>
      <c r="D2" s="138"/>
      <c r="E2" s="138"/>
      <c r="F2" s="138"/>
      <c r="G2" s="5" t="s">
        <v>20</v>
      </c>
      <c r="H2" s="12">
        <v>8</v>
      </c>
      <c r="J2" s="13"/>
      <c r="K2" s="144" t="s">
        <v>27</v>
      </c>
      <c r="L2" s="145"/>
      <c r="M2" s="145"/>
      <c r="N2" s="145"/>
      <c r="O2" s="146"/>
      <c r="P2" s="14"/>
      <c r="Q2" s="144" t="s">
        <v>26</v>
      </c>
      <c r="R2" s="147"/>
      <c r="S2" s="147"/>
      <c r="T2" s="146"/>
      <c r="U2" s="15"/>
      <c r="V2" s="136" t="s">
        <v>17</v>
      </c>
      <c r="W2" s="137"/>
      <c r="X2" s="137"/>
      <c r="Y2" s="148"/>
      <c r="Z2" s="16"/>
      <c r="AA2" s="149" t="s">
        <v>18</v>
      </c>
      <c r="AB2" s="150"/>
      <c r="AC2" s="150"/>
      <c r="AD2" s="150"/>
      <c r="AE2" s="150"/>
      <c r="AF2" s="150"/>
      <c r="AG2" s="151"/>
      <c r="AH2" s="17"/>
      <c r="AI2" s="136" t="s">
        <v>19</v>
      </c>
      <c r="AJ2" s="137"/>
      <c r="AK2" s="137"/>
      <c r="AL2" s="137"/>
      <c r="AM2" s="137"/>
      <c r="AN2" s="137"/>
      <c r="AO2" s="137"/>
      <c r="AP2" s="137"/>
    </row>
    <row r="3" spans="2:67" s="9" customFormat="1" ht="39.9" customHeight="1" thickTop="1" x14ac:dyDescent="0.3">
      <c r="B3" s="139" t="s">
        <v>0</v>
      </c>
      <c r="C3" s="141" t="s">
        <v>21</v>
      </c>
      <c r="D3" s="141" t="s">
        <v>22</v>
      </c>
      <c r="E3" s="141" t="s">
        <v>23</v>
      </c>
      <c r="F3" s="141" t="s">
        <v>24</v>
      </c>
      <c r="G3" s="143" t="s">
        <v>25</v>
      </c>
      <c r="H3" s="18">
        <v>43164</v>
      </c>
      <c r="I3" s="18">
        <v>43171</v>
      </c>
      <c r="J3" s="18">
        <v>43178</v>
      </c>
      <c r="K3" s="18">
        <v>43185</v>
      </c>
      <c r="L3" s="18">
        <v>43192</v>
      </c>
      <c r="M3" s="18">
        <v>43199</v>
      </c>
      <c r="N3" s="18">
        <v>43206</v>
      </c>
      <c r="O3" s="18">
        <v>43213</v>
      </c>
      <c r="P3" s="18">
        <v>43220</v>
      </c>
      <c r="Q3" s="18">
        <v>43227</v>
      </c>
      <c r="R3" s="18">
        <v>43234</v>
      </c>
      <c r="S3" s="18">
        <v>43241</v>
      </c>
      <c r="T3" s="18">
        <v>43248</v>
      </c>
      <c r="U3" s="18">
        <v>43255</v>
      </c>
      <c r="V3" s="18">
        <v>43262</v>
      </c>
      <c r="W3" s="18">
        <v>43269</v>
      </c>
      <c r="X3" s="18">
        <v>43276</v>
      </c>
      <c r="Y3" s="18">
        <v>43283</v>
      </c>
      <c r="Z3" s="18">
        <v>43290</v>
      </c>
      <c r="AA3" s="18">
        <v>43297</v>
      </c>
      <c r="AB3" s="18">
        <v>43304</v>
      </c>
      <c r="AC3" s="18">
        <v>43311</v>
      </c>
      <c r="AD3" s="18">
        <v>43318</v>
      </c>
      <c r="AE3" s="18">
        <v>43325</v>
      </c>
      <c r="AF3" s="18">
        <v>43332</v>
      </c>
      <c r="AG3" s="18">
        <v>43339</v>
      </c>
      <c r="AH3" s="18">
        <v>43346</v>
      </c>
      <c r="AI3" s="18">
        <v>43353</v>
      </c>
      <c r="AJ3" s="18">
        <v>43360</v>
      </c>
      <c r="AK3" s="18">
        <v>43367</v>
      </c>
      <c r="AL3" s="18">
        <v>43374</v>
      </c>
      <c r="AM3" s="18">
        <v>43381</v>
      </c>
      <c r="AN3" s="18">
        <v>43388</v>
      </c>
      <c r="AO3" s="18">
        <v>43395</v>
      </c>
      <c r="AP3" s="18">
        <v>43402</v>
      </c>
      <c r="AQ3" s="18">
        <v>43409</v>
      </c>
      <c r="AR3" s="18">
        <v>43416</v>
      </c>
      <c r="AS3" s="18">
        <v>43423</v>
      </c>
      <c r="AT3" s="18">
        <v>43430</v>
      </c>
      <c r="AU3" s="18">
        <v>43437</v>
      </c>
      <c r="AV3" s="18">
        <v>43444</v>
      </c>
      <c r="AW3" s="18"/>
    </row>
    <row r="4" spans="2:67" ht="15.75" customHeight="1" x14ac:dyDescent="0.3">
      <c r="B4" s="140"/>
      <c r="C4" s="142"/>
      <c r="D4" s="142"/>
      <c r="E4" s="142"/>
      <c r="F4" s="142"/>
      <c r="G4" s="142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">
      <c r="B5" s="116" t="s">
        <v>443</v>
      </c>
      <c r="C5" s="7">
        <v>1</v>
      </c>
      <c r="D5" s="7">
        <v>2</v>
      </c>
      <c r="E5" s="7">
        <v>1</v>
      </c>
      <c r="F5" s="7">
        <v>0</v>
      </c>
      <c r="G5" s="8">
        <v>1</v>
      </c>
      <c r="W5" s="19"/>
      <c r="X5" s="19"/>
      <c r="Y5" s="19"/>
    </row>
    <row r="6" spans="2:67" ht="30" customHeight="1" x14ac:dyDescent="0.3">
      <c r="B6" s="116" t="s">
        <v>446</v>
      </c>
      <c r="C6" s="7">
        <v>1</v>
      </c>
      <c r="D6" s="7">
        <v>3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67" ht="30" customHeight="1" x14ac:dyDescent="0.3">
      <c r="B7" s="116" t="s">
        <v>445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67" ht="30" customHeight="1" x14ac:dyDescent="0.3">
      <c r="B8" s="116" t="s">
        <v>444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67" ht="30" customHeight="1" x14ac:dyDescent="0.3">
      <c r="B9" s="116" t="s">
        <v>447</v>
      </c>
      <c r="C9" s="7">
        <v>5</v>
      </c>
      <c r="D9" s="7">
        <v>3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">
      <c r="B11" s="116" t="s">
        <v>448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67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67" ht="30" customHeight="1" x14ac:dyDescent="0.3">
      <c r="B14" s="116" t="s">
        <v>30</v>
      </c>
      <c r="C14" s="7">
        <v>9</v>
      </c>
      <c r="D14" s="7">
        <v>6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67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48" priority="1">
      <formula>PercentComplete</formula>
    </cfRule>
    <cfRule type="expression" dxfId="47" priority="3">
      <formula>PercentCompleteBeyond</formula>
    </cfRule>
    <cfRule type="expression" dxfId="46" priority="4">
      <formula>Actual</formula>
    </cfRule>
    <cfRule type="expression" dxfId="45" priority="5">
      <formula>ActualBeyond</formula>
    </cfRule>
    <cfRule type="expression" dxfId="44" priority="6">
      <formula>Plan</formula>
    </cfRule>
    <cfRule type="expression" dxfId="43" priority="7">
      <formula>H$4=period_selected</formula>
    </cfRule>
    <cfRule type="expression" dxfId="42" priority="11">
      <formula>MOD(COLUMN(),2)</formula>
    </cfRule>
    <cfRule type="expression" dxfId="41" priority="12">
      <formula>MOD(COLUMN(),2)=0</formula>
    </cfRule>
  </conditionalFormatting>
  <conditionalFormatting sqref="B33:BO33">
    <cfRule type="expression" dxfId="40" priority="2">
      <formula>TRUE</formula>
    </cfRule>
  </conditionalFormatting>
  <conditionalFormatting sqref="H4:BO4">
    <cfRule type="expression" dxfId="39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3"/>
  <sheetViews>
    <sheetView zoomScaleNormal="100" workbookViewId="0">
      <selection activeCell="B139" sqref="B139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117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197</v>
      </c>
      <c r="B30" s="22">
        <v>43140</v>
      </c>
      <c r="C30" s="80">
        <v>43159</v>
      </c>
      <c r="D30" s="23">
        <v>0.5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148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147</v>
      </c>
    </row>
    <row r="34" spans="1:6" hidden="1" x14ac:dyDescent="0.3">
      <c r="A34" s="68" t="s">
        <v>146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145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124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133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123</v>
      </c>
    </row>
    <row r="39" spans="1:6" hidden="1" x14ac:dyDescent="0.3">
      <c r="A39" s="65" t="s">
        <v>138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118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140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119</v>
      </c>
      <c r="B42" s="22">
        <f ca="1">TODAY()</f>
        <v>43236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141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142</v>
      </c>
    </row>
    <row r="44" spans="1:6" hidden="1" x14ac:dyDescent="0.3">
      <c r="A44" s="47" t="s">
        <v>121</v>
      </c>
      <c r="B44" s="22">
        <f ca="1">TODAY()</f>
        <v>43236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122</v>
      </c>
      <c r="B45" s="22">
        <f ca="1">TODAY()</f>
        <v>43236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143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125</v>
      </c>
      <c r="B47" s="22">
        <f ca="1">TODAY()</f>
        <v>43236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126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127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128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129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130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131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132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120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135</v>
      </c>
    </row>
    <row r="56" spans="1:6" hidden="1" x14ac:dyDescent="0.3">
      <c r="A56" s="53" t="s">
        <v>134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136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137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154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150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151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144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153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idden="1" x14ac:dyDescent="0.3">
      <c r="A67" s="68" t="s">
        <v>152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155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156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149</v>
      </c>
    </row>
    <row r="70" spans="1:6" hidden="1" x14ac:dyDescent="0.3">
      <c r="A70" s="65" t="s">
        <v>139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157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158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159</v>
      </c>
    </row>
    <row r="74" spans="1:6" hidden="1" x14ac:dyDescent="0.3">
      <c r="A74" s="75" t="s">
        <v>160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161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162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163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164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165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166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167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171</v>
      </c>
    </row>
    <row r="83" spans="1:6" hidden="1" x14ac:dyDescent="0.3">
      <c r="A83" s="79" t="s">
        <v>168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169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170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188</v>
      </c>
    </row>
    <row r="86" spans="1:6" hidden="1" x14ac:dyDescent="0.3">
      <c r="A86" s="82" t="s">
        <v>172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173</v>
      </c>
    </row>
    <row r="87" spans="1:6" hidden="1" x14ac:dyDescent="0.3">
      <c r="A87" s="82" t="s">
        <v>174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175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176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177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186</v>
      </c>
    </row>
    <row r="91" spans="1:6" hidden="1" x14ac:dyDescent="0.3">
      <c r="A91" s="84" t="s">
        <v>178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187</v>
      </c>
    </row>
    <row r="92" spans="1:6" hidden="1" x14ac:dyDescent="0.3">
      <c r="A92" s="85" t="s">
        <v>179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180</v>
      </c>
    </row>
    <row r="93" spans="1:6" hidden="1" x14ac:dyDescent="0.3">
      <c r="A93" s="85" t="s">
        <v>181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182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189</v>
      </c>
    </row>
    <row r="95" spans="1:6" hidden="1" x14ac:dyDescent="0.3">
      <c r="A95" s="87" t="s">
        <v>183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184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185</v>
      </c>
    </row>
    <row r="97" spans="1:6" hidden="1" x14ac:dyDescent="0.3">
      <c r="A97" s="89" t="s">
        <v>190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191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193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192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194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195</v>
      </c>
    </row>
    <row r="102" spans="1:6" hidden="1" x14ac:dyDescent="0.3">
      <c r="A102" s="92" t="s">
        <v>196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198</v>
      </c>
    </row>
    <row r="103" spans="1:6" x14ac:dyDescent="0.3">
      <c r="A103" s="117" t="s">
        <v>449</v>
      </c>
      <c r="B103" s="22">
        <v>43140</v>
      </c>
      <c r="C103" s="80">
        <v>43145</v>
      </c>
      <c r="D103" s="23">
        <v>0.25</v>
      </c>
      <c r="E103" s="22">
        <v>43228</v>
      </c>
      <c r="F103" s="88"/>
    </row>
    <row r="104" spans="1:6" hidden="1" x14ac:dyDescent="0.3">
      <c r="A104" s="101" t="s">
        <v>316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116</v>
      </c>
    </row>
    <row r="105" spans="1:6" hidden="1" x14ac:dyDescent="0.3">
      <c r="A105" s="96" t="s">
        <v>199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idden="1" x14ac:dyDescent="0.3">
      <c r="A106" s="101" t="s">
        <v>317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251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302</v>
      </c>
    </row>
    <row r="108" spans="1:6" hidden="1" x14ac:dyDescent="0.3">
      <c r="A108" s="96" t="s">
        <v>311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315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318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372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426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509</v>
      </c>
    </row>
    <row r="113" spans="1:6" hidden="1" x14ac:dyDescent="0.3">
      <c r="A113" s="117" t="s">
        <v>450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441</v>
      </c>
      <c r="B114" s="22">
        <v>43160</v>
      </c>
      <c r="C114" s="114">
        <v>43160</v>
      </c>
      <c r="D114" s="23">
        <v>0.75</v>
      </c>
      <c r="E114" s="22">
        <v>43228</v>
      </c>
      <c r="F114" s="115" t="s">
        <v>442</v>
      </c>
    </row>
    <row r="115" spans="1:6" hidden="1" x14ac:dyDescent="0.3">
      <c r="A115" s="117" t="s">
        <v>451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452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453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454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 x14ac:dyDescent="0.3">
      <c r="A119" s="120" t="s">
        <v>455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456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x14ac:dyDescent="0.3">
      <c r="A121" s="121" t="s">
        <v>457</v>
      </c>
      <c r="B121" s="22">
        <v>43221</v>
      </c>
      <c r="C121" s="80">
        <v>43223</v>
      </c>
      <c r="D121" s="23">
        <v>0</v>
      </c>
      <c r="E121" s="22">
        <v>43228</v>
      </c>
      <c r="F121" s="95"/>
    </row>
    <row r="122" spans="1:6" hidden="1" x14ac:dyDescent="0.3">
      <c r="A122" s="122" t="s">
        <v>458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481</v>
      </c>
    </row>
    <row r="123" spans="1:6" hidden="1" x14ac:dyDescent="0.3">
      <c r="A123" s="123" t="s">
        <v>459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460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552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553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554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555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558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559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577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x14ac:dyDescent="0.3">
      <c r="A132" s="131" t="s">
        <v>579</v>
      </c>
      <c r="B132" s="22">
        <v>43228</v>
      </c>
      <c r="C132" s="80">
        <v>43230</v>
      </c>
      <c r="D132" s="23">
        <v>0</v>
      </c>
      <c r="E132" s="22">
        <v>43230</v>
      </c>
      <c r="F132" s="59"/>
    </row>
    <row r="133" spans="1:6" hidden="1" x14ac:dyDescent="0.3">
      <c r="A133" s="132" t="s">
        <v>608</v>
      </c>
      <c r="B133" s="22">
        <v>43229</v>
      </c>
      <c r="C133" s="80">
        <v>43231</v>
      </c>
      <c r="D133" s="23">
        <v>0.5</v>
      </c>
      <c r="E133" s="22">
        <v>43231</v>
      </c>
      <c r="F133" s="59"/>
    </row>
    <row r="134" spans="1:6" x14ac:dyDescent="0.3">
      <c r="A134" s="135" t="s">
        <v>762</v>
      </c>
      <c r="B134" s="22">
        <v>43231</v>
      </c>
      <c r="C134" s="80"/>
      <c r="D134" s="23">
        <v>0.25</v>
      </c>
      <c r="E134" s="22"/>
      <c r="F134" s="59"/>
    </row>
    <row r="135" spans="1:6" x14ac:dyDescent="0.3">
      <c r="A135" s="135"/>
      <c r="B135" s="22" t="str">
        <f t="shared" ref="B135:B143" ca="1" si="0">IF(COUNTA($A135)=1,TODAY(),"")</f>
        <v/>
      </c>
      <c r="C135" s="80"/>
      <c r="D135" s="23"/>
      <c r="E135" s="22"/>
      <c r="F135" s="59"/>
    </row>
    <row r="136" spans="1:6" x14ac:dyDescent="0.3">
      <c r="A136" s="123"/>
      <c r="B136" s="22" t="str">
        <f t="shared" ca="1" si="0"/>
        <v/>
      </c>
      <c r="C136" s="80"/>
      <c r="D136" s="23"/>
      <c r="E136" s="22"/>
      <c r="F136" s="59"/>
    </row>
    <row r="137" spans="1:6" x14ac:dyDescent="0.3">
      <c r="A137" s="123"/>
      <c r="B137" s="22" t="str">
        <f t="shared" ca="1" si="0"/>
        <v/>
      </c>
      <c r="C137" s="80"/>
      <c r="D137" s="23"/>
      <c r="E137" s="22"/>
      <c r="F137" s="59"/>
    </row>
    <row r="138" spans="1:6" x14ac:dyDescent="0.3">
      <c r="A138" s="123"/>
      <c r="B138" s="22" t="str">
        <f t="shared" ca="1" si="0"/>
        <v/>
      </c>
      <c r="C138" s="80"/>
      <c r="D138" s="23"/>
      <c r="E138" s="22"/>
      <c r="F138" s="59"/>
    </row>
    <row r="139" spans="1:6" x14ac:dyDescent="0.3">
      <c r="A139" s="123"/>
      <c r="B139" s="22" t="str">
        <f t="shared" ca="1" si="0"/>
        <v/>
      </c>
      <c r="C139" s="80"/>
      <c r="D139" s="23"/>
      <c r="E139" s="22"/>
      <c r="F139" s="59"/>
    </row>
    <row r="140" spans="1:6" x14ac:dyDescent="0.3">
      <c r="A140" s="123"/>
      <c r="B140" s="22" t="str">
        <f t="shared" ca="1" si="0"/>
        <v/>
      </c>
      <c r="C140" s="80"/>
      <c r="D140" s="23"/>
      <c r="E140" s="22"/>
      <c r="F140" s="59"/>
    </row>
    <row r="141" spans="1:6" x14ac:dyDescent="0.3">
      <c r="A141" s="123"/>
      <c r="B141" s="22" t="str">
        <f t="shared" ca="1" si="0"/>
        <v/>
      </c>
      <c r="C141" s="80"/>
      <c r="D141" s="23"/>
      <c r="E141" s="22"/>
      <c r="F141" s="59"/>
    </row>
    <row r="142" spans="1:6" x14ac:dyDescent="0.3">
      <c r="A142" s="123"/>
      <c r="B142" s="22" t="str">
        <f t="shared" ca="1" si="0"/>
        <v/>
      </c>
      <c r="C142" s="80"/>
      <c r="D142" s="23"/>
      <c r="E142" s="22"/>
      <c r="F142" s="59"/>
    </row>
    <row r="143" spans="1:6" x14ac:dyDescent="0.3">
      <c r="A143" s="123"/>
      <c r="B143" s="22" t="str">
        <f t="shared" ca="1" si="0"/>
        <v/>
      </c>
      <c r="C143" s="80"/>
      <c r="D143" s="23"/>
      <c r="E143" s="22"/>
      <c r="F143" s="59"/>
    </row>
    <row r="144" spans="1:6" x14ac:dyDescent="0.3">
      <c r="A144" s="123"/>
      <c r="B144" s="22"/>
      <c r="C144" s="80"/>
      <c r="D144" s="23"/>
      <c r="E144" s="22"/>
      <c r="F144" s="59"/>
    </row>
    <row r="145" spans="1:6" x14ac:dyDescent="0.3">
      <c r="A145" s="123"/>
      <c r="B145" s="22"/>
      <c r="C145" s="80"/>
      <c r="D145" s="23"/>
      <c r="E145" s="22"/>
      <c r="F145" s="59"/>
    </row>
    <row r="146" spans="1:6" x14ac:dyDescent="0.3">
      <c r="A146" s="123"/>
      <c r="B146" s="22"/>
      <c r="C146" s="80"/>
      <c r="D146" s="23"/>
      <c r="E146" s="22"/>
      <c r="F146" s="59"/>
    </row>
    <row r="147" spans="1:6" x14ac:dyDescent="0.3">
      <c r="A147" s="123"/>
      <c r="B147" s="22"/>
      <c r="C147" s="80"/>
      <c r="D147" s="23"/>
      <c r="E147" s="22"/>
      <c r="F147" s="59"/>
    </row>
    <row r="148" spans="1:6" x14ac:dyDescent="0.3">
      <c r="A148" s="123"/>
      <c r="B148" s="22"/>
      <c r="C148" s="80"/>
      <c r="D148" s="23"/>
      <c r="E148" s="22"/>
      <c r="F148" s="59"/>
    </row>
    <row r="149" spans="1:6" x14ac:dyDescent="0.3">
      <c r="B149" s="22"/>
      <c r="C149" s="22"/>
      <c r="D149" s="23"/>
      <c r="E149" s="22"/>
      <c r="F149" s="57"/>
    </row>
    <row r="150" spans="1:6" hidden="1" x14ac:dyDescent="0.3"/>
    <row r="151" spans="1:6" ht="14.4" hidden="1" customHeight="1" x14ac:dyDescent="0.3"/>
    <row r="152" spans="1:6" ht="14.4" hidden="1" customHeight="1" x14ac:dyDescent="0.3"/>
    <row r="153" spans="1:6" ht="14.4" hidden="1" customHeight="1" x14ac:dyDescent="0.3"/>
  </sheetData>
  <conditionalFormatting sqref="D2:D149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39"/>
  <sheetViews>
    <sheetView tabSelected="1" topLeftCell="A220" zoomScale="85" zoomScaleNormal="85" workbookViewId="0">
      <selection activeCell="O235" sqref="O235"/>
    </sheetView>
  </sheetViews>
  <sheetFormatPr defaultColWidth="0" defaultRowHeight="14.4" zeroHeight="1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8.109375" customWidth="1"/>
    <col min="16" max="16" width="8.109375" hidden="1" customWidth="1"/>
    <col min="17" max="17" width="8.44140625" hidden="1" customWidth="1"/>
    <col min="18" max="18" width="24.6640625" customWidth="1"/>
    <col min="19" max="19" width="11" style="41" customWidth="1"/>
    <col min="20" max="21" width="11.109375" style="41" hidden="1" customWidth="1"/>
    <col min="22" max="16384" width="8.88671875" hidden="1"/>
  </cols>
  <sheetData>
    <row r="1" spans="1:21" ht="89.4" x14ac:dyDescent="0.3">
      <c r="A1" s="40" t="s">
        <v>576</v>
      </c>
      <c r="B1" s="40" t="s">
        <v>319</v>
      </c>
      <c r="C1" s="40" t="s">
        <v>104</v>
      </c>
      <c r="D1" s="40" t="s">
        <v>99</v>
      </c>
      <c r="E1" s="40" t="s">
        <v>320</v>
      </c>
      <c r="F1" s="40" t="s">
        <v>321</v>
      </c>
      <c r="G1" s="40" t="s">
        <v>100</v>
      </c>
      <c r="H1" s="40" t="s">
        <v>101</v>
      </c>
      <c r="I1" s="40" t="s">
        <v>103</v>
      </c>
      <c r="J1" s="40" t="s">
        <v>323</v>
      </c>
      <c r="K1" s="40" t="s">
        <v>324</v>
      </c>
      <c r="L1" s="40" t="s">
        <v>325</v>
      </c>
      <c r="M1" s="40" t="s">
        <v>326</v>
      </c>
      <c r="N1" s="40" t="s">
        <v>327</v>
      </c>
      <c r="O1" s="42" t="s">
        <v>408</v>
      </c>
      <c r="P1" s="42" t="s">
        <v>407</v>
      </c>
      <c r="Q1" s="42" t="s">
        <v>102</v>
      </c>
      <c r="R1" s="42" t="s">
        <v>409</v>
      </c>
      <c r="S1" s="42" t="s">
        <v>425</v>
      </c>
      <c r="T1"/>
      <c r="U1"/>
    </row>
    <row r="2" spans="1:21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105</v>
      </c>
      <c r="H2" s="41">
        <v>3</v>
      </c>
      <c r="I2" s="41">
        <v>1</v>
      </c>
      <c r="J2" s="108">
        <f>POWER(POWER(Table2[[#This Row],[log10(mv)]],4)/10,0.25)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09">
        <v>186999</v>
      </c>
      <c r="P2" s="107">
        <v>43145</v>
      </c>
      <c r="Q2" s="111"/>
      <c r="R2" s="110" t="s">
        <v>410</v>
      </c>
      <c r="S2" s="110" t="s">
        <v>424</v>
      </c>
      <c r="T2"/>
      <c r="U2"/>
    </row>
    <row r="3" spans="1:21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105</v>
      </c>
      <c r="H3" s="41">
        <v>3</v>
      </c>
      <c r="I3" s="41">
        <v>1</v>
      </c>
      <c r="J3" s="108">
        <f>POWER(POWER(Table2[[#This Row],[log10(mv)]],4)/10,0.25)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09">
        <v>187000</v>
      </c>
      <c r="P3" s="107">
        <v>43145</v>
      </c>
      <c r="Q3" s="111"/>
      <c r="R3" s="110" t="s">
        <v>411</v>
      </c>
      <c r="S3" s="110" t="s">
        <v>424</v>
      </c>
      <c r="T3"/>
      <c r="U3"/>
    </row>
    <row r="4" spans="1:21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105</v>
      </c>
      <c r="H4" s="41">
        <v>3</v>
      </c>
      <c r="I4" s="41">
        <v>1</v>
      </c>
      <c r="J4" s="108">
        <f>POWER(POWER(Table2[[#This Row],[log10(mv)]],4)/10,0.25)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09">
        <v>187010</v>
      </c>
      <c r="P4" s="107">
        <v>43145</v>
      </c>
      <c r="Q4" s="111">
        <v>8.0173611111111112E-2</v>
      </c>
      <c r="R4" s="110" t="s">
        <v>412</v>
      </c>
      <c r="S4" s="110" t="s">
        <v>424</v>
      </c>
      <c r="T4"/>
      <c r="U4"/>
    </row>
    <row r="5" spans="1:21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105</v>
      </c>
      <c r="H5" s="41">
        <v>3</v>
      </c>
      <c r="I5" s="41">
        <v>1</v>
      </c>
      <c r="J5" s="108">
        <f>POWER(POWER(Table2[[#This Row],[log10(mv)]],4)/10,0.25)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09">
        <v>187008</v>
      </c>
      <c r="P5" s="107">
        <v>43145</v>
      </c>
      <c r="Q5" s="111">
        <v>9.3761574074074081E-2</v>
      </c>
      <c r="R5" s="110" t="s">
        <v>413</v>
      </c>
      <c r="S5" s="110" t="s">
        <v>424</v>
      </c>
      <c r="T5"/>
      <c r="U5"/>
    </row>
    <row r="6" spans="1:21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105</v>
      </c>
      <c r="H6" s="41">
        <v>3</v>
      </c>
      <c r="I6" s="41">
        <v>1</v>
      </c>
      <c r="J6" s="108">
        <f>POWER(POWER(Table2[[#This Row],[log10(mv)]],4)/10,0.25)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09">
        <v>187011</v>
      </c>
      <c r="P6" s="107">
        <v>43145</v>
      </c>
      <c r="Q6" s="111">
        <v>7.9756944444444436E-2</v>
      </c>
      <c r="R6" s="110" t="s">
        <v>414</v>
      </c>
      <c r="S6" s="110" t="s">
        <v>424</v>
      </c>
      <c r="T6"/>
      <c r="U6"/>
    </row>
    <row r="7" spans="1:21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105</v>
      </c>
      <c r="H7" s="41">
        <v>3</v>
      </c>
      <c r="I7" s="41">
        <v>1</v>
      </c>
      <c r="J7" s="108">
        <f>POWER(POWER(Table2[[#This Row],[log10(mv)]],4)/10,0.25)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09">
        <v>187012</v>
      </c>
      <c r="P7" s="107">
        <v>43145</v>
      </c>
      <c r="Q7" s="111">
        <v>6.6076388888888893E-2</v>
      </c>
      <c r="R7" s="110" t="s">
        <v>415</v>
      </c>
      <c r="S7" s="110" t="s">
        <v>424</v>
      </c>
      <c r="T7"/>
      <c r="U7"/>
    </row>
    <row r="8" spans="1:21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105</v>
      </c>
      <c r="H8" s="41">
        <v>3</v>
      </c>
      <c r="I8" s="41">
        <v>1</v>
      </c>
      <c r="J8" s="108">
        <f>POWER(POWER(Table2[[#This Row],[log10(mv)]],4)/10,0.25)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09">
        <v>187053</v>
      </c>
      <c r="P8" s="107">
        <v>43145</v>
      </c>
      <c r="Q8" s="111">
        <v>5.7604166666666672E-2</v>
      </c>
      <c r="R8" s="110" t="s">
        <v>416</v>
      </c>
      <c r="S8" s="110" t="s">
        <v>424</v>
      </c>
      <c r="T8"/>
      <c r="U8"/>
    </row>
    <row r="9" spans="1:21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105</v>
      </c>
      <c r="H9" s="41">
        <v>3</v>
      </c>
      <c r="I9" s="41">
        <v>1</v>
      </c>
      <c r="J9" s="108">
        <f>POWER(POWER(Table2[[#This Row],[log10(mv)]],4)/10,0.25)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09">
        <v>187042</v>
      </c>
      <c r="P9" s="107">
        <v>43158</v>
      </c>
      <c r="Q9" s="111">
        <v>3.2245370370370369E-2</v>
      </c>
      <c r="R9" s="110" t="s">
        <v>417</v>
      </c>
      <c r="S9" s="110" t="s">
        <v>428</v>
      </c>
      <c r="T9"/>
      <c r="U9"/>
    </row>
    <row r="10" spans="1:21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105</v>
      </c>
      <c r="H10" s="41">
        <v>3</v>
      </c>
      <c r="I10" s="41">
        <v>1</v>
      </c>
      <c r="J10" s="108">
        <f>POWER(POWER(Table2[[#This Row],[log10(mv)]],4)/10,0.25)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09">
        <v>187835</v>
      </c>
      <c r="P10" s="107">
        <v>43159</v>
      </c>
      <c r="Q10" s="111">
        <v>0.24395833333333336</v>
      </c>
      <c r="R10" s="110" t="s">
        <v>418</v>
      </c>
      <c r="S10" s="110" t="s">
        <v>428</v>
      </c>
      <c r="T10"/>
      <c r="U10"/>
    </row>
    <row r="11" spans="1:21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105</v>
      </c>
      <c r="H11" s="41">
        <v>3</v>
      </c>
      <c r="I11" s="41">
        <v>1</v>
      </c>
      <c r="J11" s="108">
        <f>POWER(POWER(Table2[[#This Row],[log10(mv)]],4)/10,0.25)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09">
        <v>187835</v>
      </c>
      <c r="P11" s="107">
        <v>43159</v>
      </c>
      <c r="Q11" s="111"/>
      <c r="R11" s="110" t="s">
        <v>419</v>
      </c>
      <c r="S11" s="110" t="s">
        <v>429</v>
      </c>
      <c r="T11"/>
      <c r="U11"/>
    </row>
    <row r="12" spans="1:21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105</v>
      </c>
      <c r="H12" s="41">
        <v>3</v>
      </c>
      <c r="I12" s="41">
        <v>1</v>
      </c>
      <c r="J12" s="108">
        <f>POWER(POWER(Table2[[#This Row],[log10(mv)]],4)/10,0.25)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09">
        <v>187835</v>
      </c>
      <c r="P12" s="107">
        <v>43159</v>
      </c>
      <c r="Q12" s="111"/>
      <c r="R12" s="110" t="s">
        <v>420</v>
      </c>
      <c r="S12" s="110" t="s">
        <v>430</v>
      </c>
      <c r="T12"/>
      <c r="U12"/>
    </row>
    <row r="13" spans="1:21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105</v>
      </c>
      <c r="H13" s="41">
        <v>3</v>
      </c>
      <c r="I13" s="41">
        <v>1</v>
      </c>
      <c r="J13" s="108">
        <f>POWER(POWER(Table2[[#This Row],[log10(mv)]],4)/10,0.25)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09">
        <v>187836</v>
      </c>
      <c r="P13" s="107">
        <v>43159</v>
      </c>
      <c r="Q13" s="111">
        <v>0.23957175925925925</v>
      </c>
      <c r="R13" s="110" t="s">
        <v>421</v>
      </c>
      <c r="S13" s="110" t="s">
        <v>431</v>
      </c>
      <c r="T13"/>
      <c r="U13"/>
    </row>
    <row r="14" spans="1:21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105</v>
      </c>
      <c r="H14" s="41">
        <v>3</v>
      </c>
      <c r="I14" s="41">
        <v>1</v>
      </c>
      <c r="J14" s="108">
        <f>POWER(POWER(Table2[[#This Row],[log10(mv)]],4)/10,0.25)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09">
        <v>187858</v>
      </c>
      <c r="P14" s="107">
        <v>43159</v>
      </c>
      <c r="Q14" s="111">
        <v>3.7581018518518521E-2</v>
      </c>
      <c r="R14" s="110" t="s">
        <v>422</v>
      </c>
      <c r="S14" s="110" t="s">
        <v>432</v>
      </c>
      <c r="T14"/>
      <c r="U14"/>
    </row>
    <row r="15" spans="1:21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105</v>
      </c>
      <c r="H15" s="41">
        <v>3</v>
      </c>
      <c r="I15" s="41">
        <v>1</v>
      </c>
      <c r="J15" s="108">
        <f>POWER(POWER(Table2[[#This Row],[log10(mv)]],4)/10,0.25)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09">
        <v>187836</v>
      </c>
      <c r="P15" s="107">
        <v>43159</v>
      </c>
      <c r="Q15" s="111"/>
      <c r="R15" s="110" t="s">
        <v>423</v>
      </c>
      <c r="S15" s="110" t="s">
        <v>433</v>
      </c>
      <c r="T15"/>
      <c r="U15"/>
    </row>
    <row r="16" spans="1:21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105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09">
        <v>190575</v>
      </c>
      <c r="P16" s="107">
        <v>43221</v>
      </c>
      <c r="Q16" s="111"/>
      <c r="R16" s="111" t="s">
        <v>434</v>
      </c>
      <c r="S16" s="110" t="s">
        <v>461</v>
      </c>
      <c r="T16"/>
      <c r="U16"/>
    </row>
    <row r="17" spans="1:21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105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09">
        <v>190575</v>
      </c>
      <c r="P17" s="107">
        <v>43221</v>
      </c>
      <c r="Q17" s="111">
        <v>2.5717592592592594E-2</v>
      </c>
      <c r="R17" s="111" t="s">
        <v>435</v>
      </c>
      <c r="S17" s="110" t="s">
        <v>461</v>
      </c>
      <c r="T17"/>
      <c r="U17"/>
    </row>
    <row r="18" spans="1:21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105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09">
        <v>190571</v>
      </c>
      <c r="P18" s="107">
        <v>43221</v>
      </c>
      <c r="Q18" s="111"/>
      <c r="R18" s="111" t="s">
        <v>436</v>
      </c>
      <c r="S18" s="110" t="s">
        <v>461</v>
      </c>
      <c r="T18"/>
      <c r="U18"/>
    </row>
    <row r="19" spans="1:21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105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09">
        <v>190628</v>
      </c>
      <c r="P19" s="107">
        <v>43221</v>
      </c>
      <c r="Q19" s="111"/>
      <c r="R19" s="111" t="s">
        <v>437</v>
      </c>
      <c r="S19" s="110" t="s">
        <v>476</v>
      </c>
      <c r="T19"/>
      <c r="U19"/>
    </row>
    <row r="20" spans="1:21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105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09">
        <v>190628</v>
      </c>
      <c r="P20" s="107">
        <v>43221</v>
      </c>
      <c r="Q20" s="111">
        <v>7.1319444444444449E-2</v>
      </c>
      <c r="R20" s="111" t="s">
        <v>438</v>
      </c>
      <c r="S20" s="110" t="s">
        <v>477</v>
      </c>
      <c r="T20"/>
      <c r="U20"/>
    </row>
    <row r="21" spans="1:21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105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09">
        <v>190623</v>
      </c>
      <c r="P21" s="107">
        <v>43222</v>
      </c>
      <c r="Q21" s="111"/>
      <c r="R21" s="111" t="s">
        <v>439</v>
      </c>
      <c r="S21" s="110" t="s">
        <v>478</v>
      </c>
      <c r="T21"/>
      <c r="U21"/>
    </row>
    <row r="22" spans="1:21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105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09">
        <v>190623</v>
      </c>
      <c r="P22" s="107">
        <v>43222</v>
      </c>
      <c r="Q22" s="111"/>
      <c r="R22" s="111" t="s">
        <v>440</v>
      </c>
      <c r="S22" s="110" t="s">
        <v>479</v>
      </c>
      <c r="T22"/>
      <c r="U22"/>
    </row>
    <row r="23" spans="1:21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105</v>
      </c>
      <c r="H23" s="41">
        <v>1</v>
      </c>
      <c r="I23" s="41">
        <v>1</v>
      </c>
      <c r="J23" s="108">
        <f>POWER(POWER(Table2[[#This Row],[log10(mv)]],4)/10,0.25)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09">
        <v>190624</v>
      </c>
      <c r="P23" s="107">
        <v>43222</v>
      </c>
      <c r="Q23" s="111"/>
      <c r="R23" s="110" t="s">
        <v>462</v>
      </c>
      <c r="S23" s="110" t="s">
        <v>480</v>
      </c>
      <c r="T23"/>
      <c r="U23"/>
    </row>
    <row r="24" spans="1:21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105</v>
      </c>
      <c r="H24" s="41">
        <v>1</v>
      </c>
      <c r="I24" s="41">
        <v>1</v>
      </c>
      <c r="J24" s="108">
        <f>POWER(POWER(Table2[[#This Row],[log10(mv)]],4)/10,0.25)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09">
        <v>190657</v>
      </c>
      <c r="P24" s="107">
        <v>43223</v>
      </c>
      <c r="Q24" s="111"/>
      <c r="R24" s="110" t="s">
        <v>463</v>
      </c>
      <c r="S24" s="110" t="s">
        <v>482</v>
      </c>
      <c r="T24"/>
      <c r="U24"/>
    </row>
    <row r="25" spans="1:21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105</v>
      </c>
      <c r="H25" s="41">
        <v>1</v>
      </c>
      <c r="I25" s="41">
        <v>1</v>
      </c>
      <c r="J25" s="108">
        <f>POWER(POWER(Table2[[#This Row],[log10(mv)]],4)/10,0.25)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09">
        <v>190629</v>
      </c>
      <c r="P25" s="107">
        <v>43222</v>
      </c>
      <c r="Q25" s="111"/>
      <c r="R25" s="110" t="s">
        <v>464</v>
      </c>
      <c r="S25" s="110" t="s">
        <v>483</v>
      </c>
      <c r="T25"/>
      <c r="U25"/>
    </row>
    <row r="26" spans="1:21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105</v>
      </c>
      <c r="H26" s="41">
        <v>1</v>
      </c>
      <c r="I26" s="41">
        <v>1</v>
      </c>
      <c r="J26" s="108">
        <f>POWER(POWER(Table2[[#This Row],[log10(mv)]],4)/10,0.25)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09">
        <v>190629</v>
      </c>
      <c r="P26" s="107">
        <v>43222</v>
      </c>
      <c r="Q26" s="111"/>
      <c r="R26" s="110" t="s">
        <v>465</v>
      </c>
      <c r="S26" s="110" t="s">
        <v>484</v>
      </c>
      <c r="T26"/>
      <c r="U26"/>
    </row>
    <row r="27" spans="1:21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105</v>
      </c>
      <c r="H27" s="41">
        <v>1</v>
      </c>
      <c r="I27" s="41">
        <v>1</v>
      </c>
      <c r="J27" s="108">
        <f>POWER(POWER(Table2[[#This Row],[log10(mv)]],4)/10,0.25)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09">
        <v>190629</v>
      </c>
      <c r="P27" s="107">
        <v>43222</v>
      </c>
      <c r="Q27" s="111"/>
      <c r="R27" s="110" t="s">
        <v>466</v>
      </c>
      <c r="S27" s="110" t="s">
        <v>485</v>
      </c>
      <c r="T27"/>
      <c r="U27"/>
    </row>
    <row r="28" spans="1:21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105</v>
      </c>
      <c r="H28" s="41">
        <v>1</v>
      </c>
      <c r="I28" s="41">
        <v>1</v>
      </c>
      <c r="J28" s="108">
        <f>POWER(POWER(Table2[[#This Row],[log10(mv)]],4)/10,0.25)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09">
        <v>190629</v>
      </c>
      <c r="P28" s="107">
        <v>43222</v>
      </c>
      <c r="Q28" s="111"/>
      <c r="R28" s="110" t="s">
        <v>467</v>
      </c>
      <c r="S28" s="110" t="s">
        <v>486</v>
      </c>
      <c r="T28"/>
      <c r="U28"/>
    </row>
    <row r="29" spans="1:21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105</v>
      </c>
      <c r="H29" s="41">
        <v>1</v>
      </c>
      <c r="I29" s="41">
        <v>1</v>
      </c>
      <c r="J29" s="108">
        <f>POWER(POWER(Table2[[#This Row],[log10(mv)]],4)/10,0.25)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09">
        <v>190629</v>
      </c>
      <c r="P29" s="107">
        <v>43222</v>
      </c>
      <c r="Q29" s="111"/>
      <c r="R29" s="110" t="s">
        <v>468</v>
      </c>
      <c r="S29" s="110" t="s">
        <v>487</v>
      </c>
      <c r="T29"/>
      <c r="U29"/>
    </row>
    <row r="30" spans="1:21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105</v>
      </c>
      <c r="H30" s="41">
        <v>1</v>
      </c>
      <c r="I30" s="41">
        <v>1</v>
      </c>
      <c r="J30" s="108">
        <f>POWER(POWER(Table2[[#This Row],[log10(mv)]],4)/10,0.25)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09">
        <v>190631</v>
      </c>
      <c r="P30" s="107">
        <v>43222</v>
      </c>
      <c r="Q30" s="111"/>
      <c r="R30" s="110" t="s">
        <v>469</v>
      </c>
      <c r="S30" s="110" t="s">
        <v>488</v>
      </c>
      <c r="T30"/>
      <c r="U30"/>
    </row>
    <row r="31" spans="1:21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105</v>
      </c>
      <c r="H31" s="41">
        <v>1</v>
      </c>
      <c r="I31" s="41">
        <v>1</v>
      </c>
      <c r="J31" s="108">
        <f>POWER(POWER(Table2[[#This Row],[log10(mv)]],4)/10,0.25)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09">
        <v>190631</v>
      </c>
      <c r="P31" s="107">
        <v>43222</v>
      </c>
      <c r="Q31" s="111"/>
      <c r="R31" s="110" t="s">
        <v>470</v>
      </c>
      <c r="S31" s="110" t="s">
        <v>489</v>
      </c>
      <c r="T31"/>
      <c r="U31"/>
    </row>
    <row r="32" spans="1:21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105</v>
      </c>
      <c r="H32" s="41">
        <v>1</v>
      </c>
      <c r="I32" s="41">
        <v>1</v>
      </c>
      <c r="J32" s="108">
        <f>POWER(POWER(Table2[[#This Row],[log10(mv)]],4)/10,0.25)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09">
        <v>190631</v>
      </c>
      <c r="P32" s="107">
        <v>43222</v>
      </c>
      <c r="Q32" s="111"/>
      <c r="R32" s="110" t="s">
        <v>471</v>
      </c>
      <c r="S32" s="110" t="s">
        <v>490</v>
      </c>
      <c r="T32"/>
      <c r="U32"/>
    </row>
    <row r="33" spans="1:21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105</v>
      </c>
      <c r="H33" s="41">
        <v>1</v>
      </c>
      <c r="I33" s="41">
        <v>1</v>
      </c>
      <c r="J33" s="108">
        <f>POWER(POWER(Table2[[#This Row],[log10(mv)]],4)/10,0.25)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09">
        <v>190631</v>
      </c>
      <c r="P33" s="107">
        <v>43222</v>
      </c>
      <c r="Q33" s="111"/>
      <c r="R33" s="110" t="s">
        <v>472</v>
      </c>
      <c r="S33" s="110" t="s">
        <v>491</v>
      </c>
      <c r="T33"/>
      <c r="U33"/>
    </row>
    <row r="34" spans="1:21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105</v>
      </c>
      <c r="H34" s="41">
        <v>1</v>
      </c>
      <c r="I34" s="41">
        <v>1</v>
      </c>
      <c r="J34" s="108">
        <f>POWER(POWER(Table2[[#This Row],[log10(mv)]],4)/10,0.25)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09">
        <v>190631</v>
      </c>
      <c r="P34" s="107">
        <v>43222</v>
      </c>
      <c r="Q34" s="111"/>
      <c r="R34" s="110" t="s">
        <v>473</v>
      </c>
      <c r="S34" s="110" t="s">
        <v>492</v>
      </c>
      <c r="T34"/>
      <c r="U34"/>
    </row>
    <row r="35" spans="1:21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105</v>
      </c>
      <c r="H35" s="41">
        <v>1</v>
      </c>
      <c r="I35" s="41">
        <v>1</v>
      </c>
      <c r="J35" s="108">
        <f>POWER(POWER(Table2[[#This Row],[log10(mv)]],4)/10,0.25)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09">
        <v>190631</v>
      </c>
      <c r="P35" s="107">
        <v>43222</v>
      </c>
      <c r="Q35" s="111"/>
      <c r="R35" s="110" t="s">
        <v>474</v>
      </c>
      <c r="S35" s="110" t="s">
        <v>493</v>
      </c>
      <c r="T35"/>
      <c r="U35"/>
    </row>
    <row r="36" spans="1:21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105</v>
      </c>
      <c r="H36" s="41">
        <v>1</v>
      </c>
      <c r="I36" s="41">
        <v>1</v>
      </c>
      <c r="J36" s="108">
        <f>POWER(POWER(Table2[[#This Row],[log10(mv)]],4)/10,0.25)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09">
        <v>190631</v>
      </c>
      <c r="P36" s="107">
        <v>43222</v>
      </c>
      <c r="Q36" s="111"/>
      <c r="R36" s="110" t="s">
        <v>475</v>
      </c>
      <c r="S36" s="110" t="s">
        <v>494</v>
      </c>
      <c r="T36"/>
      <c r="U36"/>
    </row>
    <row r="37" spans="1:21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105</v>
      </c>
      <c r="H37" s="41">
        <v>1</v>
      </c>
      <c r="I37" s="41">
        <v>1</v>
      </c>
      <c r="J37" s="108">
        <f>POWER(POWER(Table2[[#This Row],[log10(mv)]],4)/10,0.25)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09">
        <v>190647</v>
      </c>
      <c r="P37" s="107">
        <v>43222</v>
      </c>
      <c r="Q37" s="111"/>
      <c r="R37" s="110" t="s">
        <v>495</v>
      </c>
      <c r="S37" s="110" t="s">
        <v>502</v>
      </c>
      <c r="T37"/>
      <c r="U37"/>
    </row>
    <row r="38" spans="1:21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105</v>
      </c>
      <c r="H38" s="41">
        <v>1</v>
      </c>
      <c r="I38" s="41">
        <v>1</v>
      </c>
      <c r="J38" s="108">
        <f>POWER(POWER(Table2[[#This Row],[log10(mv)]],4)/10,0.25)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09">
        <v>190647</v>
      </c>
      <c r="P38" s="107">
        <v>43222</v>
      </c>
      <c r="Q38" s="111"/>
      <c r="R38" s="110" t="s">
        <v>496</v>
      </c>
      <c r="S38" s="110" t="s">
        <v>503</v>
      </c>
      <c r="T38"/>
      <c r="U38"/>
    </row>
    <row r="39" spans="1:21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105</v>
      </c>
      <c r="H39" s="41">
        <v>1</v>
      </c>
      <c r="I39" s="41">
        <v>1</v>
      </c>
      <c r="J39" s="108">
        <f>POWER(POWER(Table2[[#This Row],[log10(mv)]],4)/10,0.25)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09">
        <v>190647</v>
      </c>
      <c r="P39" s="107">
        <v>43222</v>
      </c>
      <c r="Q39" s="111"/>
      <c r="R39" s="110" t="s">
        <v>497</v>
      </c>
      <c r="S39" s="110" t="s">
        <v>504</v>
      </c>
      <c r="T39"/>
      <c r="U39"/>
    </row>
    <row r="40" spans="1:21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105</v>
      </c>
      <c r="H40" s="41">
        <v>1</v>
      </c>
      <c r="I40" s="41">
        <v>1</v>
      </c>
      <c r="J40" s="108">
        <f>POWER(POWER(Table2[[#This Row],[log10(mv)]],4)/10,0.25)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09">
        <v>190647</v>
      </c>
      <c r="P40" s="107">
        <v>43222</v>
      </c>
      <c r="Q40" s="111"/>
      <c r="R40" s="110" t="s">
        <v>498</v>
      </c>
      <c r="S40" s="110" t="s">
        <v>505</v>
      </c>
      <c r="T40"/>
      <c r="U40"/>
    </row>
    <row r="41" spans="1:21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105</v>
      </c>
      <c r="H41" s="41">
        <v>1</v>
      </c>
      <c r="I41" s="41">
        <v>1</v>
      </c>
      <c r="J41" s="108">
        <f>POWER(POWER(Table2[[#This Row],[log10(mv)]],4)/10,0.25)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09">
        <v>190647</v>
      </c>
      <c r="P41" s="107">
        <v>43222</v>
      </c>
      <c r="Q41" s="111"/>
      <c r="R41" s="110" t="s">
        <v>499</v>
      </c>
      <c r="S41" s="110" t="s">
        <v>506</v>
      </c>
      <c r="T41"/>
      <c r="U41"/>
    </row>
    <row r="42" spans="1:21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105</v>
      </c>
      <c r="H42" s="41">
        <v>1</v>
      </c>
      <c r="I42" s="41">
        <v>1</v>
      </c>
      <c r="J42" s="108">
        <f>POWER(POWER(Table2[[#This Row],[log10(mv)]],4)/10,0.25)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09">
        <v>190647</v>
      </c>
      <c r="P42" s="107">
        <v>43222</v>
      </c>
      <c r="Q42" s="111"/>
      <c r="R42" s="110" t="s">
        <v>500</v>
      </c>
      <c r="S42" s="110" t="s">
        <v>507</v>
      </c>
      <c r="T42"/>
      <c r="U42"/>
    </row>
    <row r="43" spans="1:21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105</v>
      </c>
      <c r="H43" s="41">
        <v>1</v>
      </c>
      <c r="I43" s="41">
        <v>1</v>
      </c>
      <c r="J43" s="108">
        <f>POWER(POWER(Table2[[#This Row],[log10(mv)]],4)/10,0.25)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09">
        <v>190647</v>
      </c>
      <c r="P43" s="107">
        <v>43222</v>
      </c>
      <c r="Q43" s="111"/>
      <c r="R43" s="110" t="s">
        <v>501</v>
      </c>
      <c r="S43" s="110" t="s">
        <v>508</v>
      </c>
      <c r="T43"/>
      <c r="U43"/>
    </row>
    <row r="44" spans="1:21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105</v>
      </c>
      <c r="H44" s="41">
        <v>1</v>
      </c>
      <c r="I44" s="41">
        <v>1</v>
      </c>
      <c r="J44" s="108">
        <f>POWER(POWER(Table2[[#This Row],[log10(mv)]],4)/10,0.25)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09">
        <v>190648</v>
      </c>
      <c r="P44" s="107">
        <v>43222</v>
      </c>
      <c r="Q44" s="111"/>
      <c r="R44" s="110" t="s">
        <v>510</v>
      </c>
      <c r="S44" s="110" t="s">
        <v>517</v>
      </c>
      <c r="T44"/>
      <c r="U44"/>
    </row>
    <row r="45" spans="1:21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105</v>
      </c>
      <c r="H45" s="41">
        <v>1</v>
      </c>
      <c r="I45" s="41">
        <v>1</v>
      </c>
      <c r="J45" s="108">
        <f>POWER(POWER(Table2[[#This Row],[log10(mv)]],4)/10,0.25)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09">
        <v>190648</v>
      </c>
      <c r="P45" s="107">
        <v>43222</v>
      </c>
      <c r="Q45" s="111"/>
      <c r="R45" s="110" t="s">
        <v>511</v>
      </c>
      <c r="S45" s="110" t="s">
        <v>518</v>
      </c>
      <c r="T45"/>
      <c r="U45"/>
    </row>
    <row r="46" spans="1:21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105</v>
      </c>
      <c r="H46" s="41">
        <v>1</v>
      </c>
      <c r="I46" s="41">
        <v>1</v>
      </c>
      <c r="J46" s="108">
        <f>POWER(POWER(Table2[[#This Row],[log10(mv)]],4)/10,0.25)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09">
        <v>190648</v>
      </c>
      <c r="P46" s="107">
        <v>43222</v>
      </c>
      <c r="Q46" s="111"/>
      <c r="R46" s="110" t="s">
        <v>512</v>
      </c>
      <c r="S46" s="110" t="s">
        <v>519</v>
      </c>
      <c r="T46"/>
      <c r="U46"/>
    </row>
    <row r="47" spans="1:21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105</v>
      </c>
      <c r="H47" s="41">
        <v>1</v>
      </c>
      <c r="I47" s="41">
        <v>1</v>
      </c>
      <c r="J47" s="108">
        <f>POWER(POWER(Table2[[#This Row],[log10(mv)]],4)/10,0.25)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09">
        <v>190648</v>
      </c>
      <c r="P47" s="107">
        <v>43222</v>
      </c>
      <c r="Q47" s="111"/>
      <c r="R47" s="110" t="s">
        <v>513</v>
      </c>
      <c r="S47" s="110" t="s">
        <v>520</v>
      </c>
      <c r="T47"/>
      <c r="U47"/>
    </row>
    <row r="48" spans="1:21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105</v>
      </c>
      <c r="H48" s="41">
        <v>1</v>
      </c>
      <c r="I48" s="41">
        <v>1</v>
      </c>
      <c r="J48" s="108">
        <f>POWER(POWER(Table2[[#This Row],[log10(mv)]],4)/10,0.25)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09">
        <v>190648</v>
      </c>
      <c r="P48" s="107">
        <v>43222</v>
      </c>
      <c r="Q48" s="111"/>
      <c r="R48" s="110" t="s">
        <v>514</v>
      </c>
      <c r="S48" s="110" t="s">
        <v>521</v>
      </c>
      <c r="T48"/>
      <c r="U48"/>
    </row>
    <row r="49" spans="1:21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105</v>
      </c>
      <c r="H49" s="41">
        <v>1</v>
      </c>
      <c r="I49" s="41">
        <v>1</v>
      </c>
      <c r="J49" s="108">
        <f>POWER(POWER(Table2[[#This Row],[log10(mv)]],4)/10,0.25)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09">
        <v>190648</v>
      </c>
      <c r="P49" s="107">
        <v>43222</v>
      </c>
      <c r="Q49" s="111"/>
      <c r="R49" s="110" t="s">
        <v>515</v>
      </c>
      <c r="S49" s="110" t="s">
        <v>522</v>
      </c>
      <c r="T49"/>
      <c r="U49"/>
    </row>
    <row r="50" spans="1:21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105</v>
      </c>
      <c r="H50" s="41">
        <v>1</v>
      </c>
      <c r="I50" s="41">
        <v>1</v>
      </c>
      <c r="J50" s="108">
        <f>POWER(POWER(Table2[[#This Row],[log10(mv)]],4)/10,0.25)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09">
        <v>190648</v>
      </c>
      <c r="P50" s="107">
        <v>43222</v>
      </c>
      <c r="Q50" s="111"/>
      <c r="R50" s="110" t="s">
        <v>516</v>
      </c>
      <c r="S50" s="110" t="s">
        <v>523</v>
      </c>
      <c r="T50"/>
      <c r="U50"/>
    </row>
    <row r="51" spans="1:21" x14ac:dyDescent="0.3">
      <c r="A51" s="105">
        <v>50</v>
      </c>
      <c r="B51" s="41">
        <v>24000000</v>
      </c>
      <c r="C51" s="41">
        <f>0.007/POWER(8,0.25)</f>
        <v>4.1622249025095237E-3</v>
      </c>
      <c r="D51" s="41">
        <v>0.2</v>
      </c>
      <c r="E51" s="41">
        <v>30</v>
      </c>
      <c r="F51" s="41">
        <v>0</v>
      </c>
      <c r="G51" s="41" t="s">
        <v>105</v>
      </c>
      <c r="H51" s="41">
        <v>1</v>
      </c>
      <c r="I51" s="41">
        <v>1</v>
      </c>
      <c r="J51" s="108">
        <f>POWER(POWER(Table2[[#This Row],[log10(mv)]],4)/10,0.25)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09">
        <v>190649</v>
      </c>
      <c r="P51" s="107">
        <v>43223</v>
      </c>
      <c r="Q51" s="111"/>
      <c r="R51" s="110" t="s">
        <v>524</v>
      </c>
      <c r="S51" s="110" t="s">
        <v>538</v>
      </c>
      <c r="T51"/>
      <c r="U51"/>
    </row>
    <row r="52" spans="1:21" x14ac:dyDescent="0.3">
      <c r="A52" s="105">
        <v>51</v>
      </c>
      <c r="B52" s="41">
        <v>24000000</v>
      </c>
      <c r="C52" s="41">
        <f t="shared" ref="C52:C57" si="0">0.007/POWER(8,0.25)</f>
        <v>4.1622249025095237E-3</v>
      </c>
      <c r="D52" s="41">
        <v>0.5</v>
      </c>
      <c r="E52" s="41">
        <v>30</v>
      </c>
      <c r="F52" s="41">
        <v>0</v>
      </c>
      <c r="G52" s="41" t="s">
        <v>105</v>
      </c>
      <c r="H52" s="41">
        <v>1</v>
      </c>
      <c r="I52" s="41">
        <v>1</v>
      </c>
      <c r="J52" s="108">
        <f>POWER(POWER(Table2[[#This Row],[log10(mv)]],4)/10,0.25)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09">
        <v>190649</v>
      </c>
      <c r="P52" s="107">
        <v>43223</v>
      </c>
      <c r="Q52" s="111"/>
      <c r="R52" s="110" t="s">
        <v>525</v>
      </c>
      <c r="S52" s="110" t="s">
        <v>539</v>
      </c>
      <c r="T52"/>
      <c r="U52"/>
    </row>
    <row r="53" spans="1:21" x14ac:dyDescent="0.3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105</v>
      </c>
      <c r="H53" s="41">
        <v>1</v>
      </c>
      <c r="I53" s="41">
        <v>1</v>
      </c>
      <c r="J53" s="108">
        <f>POWER(POWER(Table2[[#This Row],[log10(mv)]],4)/10,0.25)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09">
        <v>190649</v>
      </c>
      <c r="P53" s="107">
        <v>43223</v>
      </c>
      <c r="Q53" s="111"/>
      <c r="R53" s="110" t="s">
        <v>526</v>
      </c>
      <c r="S53" s="110" t="s">
        <v>540</v>
      </c>
      <c r="T53"/>
      <c r="U53"/>
    </row>
    <row r="54" spans="1:21" x14ac:dyDescent="0.3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105</v>
      </c>
      <c r="H54" s="41">
        <v>1</v>
      </c>
      <c r="I54" s="41">
        <v>1</v>
      </c>
      <c r="J54" s="108">
        <f>POWER(POWER(Table2[[#This Row],[log10(mv)]],4)/10,0.25)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09">
        <v>190649</v>
      </c>
      <c r="P54" s="107">
        <v>43223</v>
      </c>
      <c r="Q54" s="111"/>
      <c r="R54" s="110" t="s">
        <v>527</v>
      </c>
      <c r="S54" s="110" t="s">
        <v>541</v>
      </c>
      <c r="T54"/>
      <c r="U54"/>
    </row>
    <row r="55" spans="1:21" x14ac:dyDescent="0.3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105</v>
      </c>
      <c r="H55" s="41">
        <v>1</v>
      </c>
      <c r="I55" s="41">
        <v>1</v>
      </c>
      <c r="J55" s="108">
        <f>POWER(POWER(Table2[[#This Row],[log10(mv)]],4)/10,0.25)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09">
        <v>190649</v>
      </c>
      <c r="P55" s="107">
        <v>43223</v>
      </c>
      <c r="Q55" s="111"/>
      <c r="R55" s="110" t="s">
        <v>528</v>
      </c>
      <c r="S55" s="110" t="s">
        <v>542</v>
      </c>
      <c r="T55"/>
      <c r="U55"/>
    </row>
    <row r="56" spans="1:21" x14ac:dyDescent="0.3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105</v>
      </c>
      <c r="H56" s="41">
        <v>1</v>
      </c>
      <c r="I56" s="41">
        <v>1</v>
      </c>
      <c r="J56" s="108">
        <f>POWER(POWER(Table2[[#This Row],[log10(mv)]],4)/10,0.25)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09">
        <v>190649</v>
      </c>
      <c r="P56" s="107">
        <v>43223</v>
      </c>
      <c r="Q56" s="111"/>
      <c r="R56" s="110" t="s">
        <v>529</v>
      </c>
      <c r="S56" s="110" t="s">
        <v>543</v>
      </c>
      <c r="T56"/>
      <c r="U56"/>
    </row>
    <row r="57" spans="1:21" x14ac:dyDescent="0.3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105</v>
      </c>
      <c r="H57" s="41">
        <v>1</v>
      </c>
      <c r="I57" s="41">
        <v>1</v>
      </c>
      <c r="J57" s="108">
        <f>POWER(POWER(Table2[[#This Row],[log10(mv)]],4)/10,0.25)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09">
        <v>190649</v>
      </c>
      <c r="P57" s="107">
        <v>43223</v>
      </c>
      <c r="Q57" s="111"/>
      <c r="R57" s="110" t="s">
        <v>530</v>
      </c>
      <c r="S57" s="110" t="s">
        <v>544</v>
      </c>
      <c r="T57"/>
      <c r="U57"/>
    </row>
    <row r="58" spans="1:21" x14ac:dyDescent="0.3">
      <c r="A58" s="105">
        <v>57</v>
      </c>
      <c r="B58" s="41">
        <v>24000000</v>
      </c>
      <c r="C58" s="41">
        <f>0.007*POWER(8,0.25)</f>
        <v>1.1772549813552004E-2</v>
      </c>
      <c r="D58" s="41">
        <v>0.2</v>
      </c>
      <c r="E58" s="41">
        <v>30</v>
      </c>
      <c r="F58" s="41">
        <v>0</v>
      </c>
      <c r="G58" s="41" t="s">
        <v>105</v>
      </c>
      <c r="H58" s="41">
        <v>1</v>
      </c>
      <c r="I58" s="41">
        <v>1</v>
      </c>
      <c r="J58" s="108">
        <f>POWER(POWER(Table2[[#This Row],[log10(mv)]],4)/10,0.25)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09">
        <v>190649</v>
      </c>
      <c r="P58" s="107">
        <v>43223</v>
      </c>
      <c r="Q58" s="111"/>
      <c r="R58" s="110" t="s">
        <v>531</v>
      </c>
      <c r="S58" s="110" t="s">
        <v>545</v>
      </c>
      <c r="T58"/>
      <c r="U58"/>
    </row>
    <row r="59" spans="1:21" x14ac:dyDescent="0.3">
      <c r="A59" s="105">
        <v>58</v>
      </c>
      <c r="B59" s="41">
        <v>24000000</v>
      </c>
      <c r="C59" s="41">
        <f t="shared" ref="C59:C66" si="1">0.007*POWER(8,0.25)</f>
        <v>1.1772549813552004E-2</v>
      </c>
      <c r="D59" s="41">
        <v>0.5</v>
      </c>
      <c r="E59" s="41">
        <v>30</v>
      </c>
      <c r="F59" s="41">
        <v>0</v>
      </c>
      <c r="G59" s="41" t="s">
        <v>105</v>
      </c>
      <c r="H59" s="41">
        <v>1</v>
      </c>
      <c r="I59" s="41">
        <v>1</v>
      </c>
      <c r="J59" s="108">
        <f>POWER(POWER(Table2[[#This Row],[log10(mv)]],4)/10,0.25)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09">
        <v>190649</v>
      </c>
      <c r="P59" s="107">
        <v>43223</v>
      </c>
      <c r="Q59" s="111"/>
      <c r="R59" s="110" t="s">
        <v>532</v>
      </c>
      <c r="S59" s="110" t="s">
        <v>546</v>
      </c>
      <c r="T59"/>
      <c r="U59"/>
    </row>
    <row r="60" spans="1:21" x14ac:dyDescent="0.3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105</v>
      </c>
      <c r="H60" s="41">
        <v>1</v>
      </c>
      <c r="I60" s="41">
        <v>1</v>
      </c>
      <c r="J60" s="108">
        <f>POWER(POWER(Table2[[#This Row],[log10(mv)]],4)/10,0.25)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09">
        <v>190649</v>
      </c>
      <c r="P60" s="107">
        <v>43223</v>
      </c>
      <c r="Q60" s="111"/>
      <c r="R60" s="110" t="s">
        <v>533</v>
      </c>
      <c r="S60" s="110" t="s">
        <v>547</v>
      </c>
      <c r="T60"/>
      <c r="U60"/>
    </row>
    <row r="61" spans="1:21" x14ac:dyDescent="0.3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105</v>
      </c>
      <c r="H61" s="41">
        <v>1</v>
      </c>
      <c r="I61" s="41">
        <v>1</v>
      </c>
      <c r="J61" s="108">
        <f>POWER(POWER(Table2[[#This Row],[log10(mv)]],4)/10,0.25)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09">
        <v>190649</v>
      </c>
      <c r="P61" s="107">
        <v>43223</v>
      </c>
      <c r="Q61" s="111"/>
      <c r="R61" s="110" t="s">
        <v>534</v>
      </c>
      <c r="S61" s="110" t="s">
        <v>548</v>
      </c>
      <c r="T61"/>
      <c r="U61"/>
    </row>
    <row r="62" spans="1:21" x14ac:dyDescent="0.3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105</v>
      </c>
      <c r="H62" s="41">
        <v>1</v>
      </c>
      <c r="I62" s="41">
        <v>1</v>
      </c>
      <c r="J62" s="108">
        <f>POWER(POWER(Table2[[#This Row],[log10(mv)]],4)/10,0.25)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09">
        <v>190649</v>
      </c>
      <c r="P62" s="107">
        <v>43223</v>
      </c>
      <c r="Q62" s="111"/>
      <c r="R62" s="110" t="s">
        <v>535</v>
      </c>
      <c r="S62" s="110" t="s">
        <v>549</v>
      </c>
      <c r="T62"/>
      <c r="U62"/>
    </row>
    <row r="63" spans="1:21" x14ac:dyDescent="0.3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105</v>
      </c>
      <c r="H63" s="41">
        <v>1</v>
      </c>
      <c r="I63" s="41">
        <v>1</v>
      </c>
      <c r="J63" s="108">
        <f>POWER(POWER(Table2[[#This Row],[log10(mv)]],4)/10,0.25)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09">
        <v>190649</v>
      </c>
      <c r="P63" s="107">
        <v>43223</v>
      </c>
      <c r="Q63" s="111"/>
      <c r="R63" s="110" t="s">
        <v>536</v>
      </c>
      <c r="S63" s="110" t="s">
        <v>550</v>
      </c>
      <c r="T63"/>
      <c r="U63"/>
    </row>
    <row r="64" spans="1:21" x14ac:dyDescent="0.3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105</v>
      </c>
      <c r="H64" s="41">
        <v>1</v>
      </c>
      <c r="I64" s="41">
        <v>1</v>
      </c>
      <c r="J64" s="108">
        <f>POWER(POWER(Table2[[#This Row],[log10(mv)]],4)/10,0.25)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09">
        <v>190649</v>
      </c>
      <c r="P64" s="107">
        <v>43223</v>
      </c>
      <c r="Q64" s="111"/>
      <c r="R64" s="110" t="s">
        <v>537</v>
      </c>
      <c r="S64" s="110" t="s">
        <v>551</v>
      </c>
      <c r="T64"/>
      <c r="U64"/>
    </row>
    <row r="65" spans="1:21" x14ac:dyDescent="0.3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105</v>
      </c>
      <c r="H65" s="41">
        <v>1</v>
      </c>
      <c r="I65" s="41">
        <v>1</v>
      </c>
      <c r="J65" s="108">
        <f>POWER(POWER(Table2[[#This Row],[log10(mv)]],4)/10,0.25)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09"/>
      <c r="P65" s="107"/>
      <c r="Q65" s="111"/>
      <c r="R65" s="110" t="s">
        <v>556</v>
      </c>
      <c r="S65" s="110" t="s">
        <v>568</v>
      </c>
      <c r="T65"/>
      <c r="U65"/>
    </row>
    <row r="66" spans="1:21" x14ac:dyDescent="0.3">
      <c r="A66" s="105">
        <v>65</v>
      </c>
      <c r="B66" s="41">
        <v>24000000</v>
      </c>
      <c r="C66" s="41">
        <f t="shared" si="1"/>
        <v>1.1772549813552004E-2</v>
      </c>
      <c r="D66" s="41">
        <v>1</v>
      </c>
      <c r="E66" s="41">
        <v>30</v>
      </c>
      <c r="F66" s="41">
        <v>0</v>
      </c>
      <c r="G66" s="41" t="s">
        <v>105</v>
      </c>
      <c r="H66" s="41">
        <v>1</v>
      </c>
      <c r="I66" s="41">
        <v>1</v>
      </c>
      <c r="J66" s="108">
        <f>POWER(POWER(Table2[[#This Row],[log10(mv)]],4)/10,0.25)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09"/>
      <c r="P66" s="107"/>
      <c r="Q66" s="111"/>
      <c r="R66" s="110" t="s">
        <v>557</v>
      </c>
      <c r="S66" s="110" t="s">
        <v>568</v>
      </c>
      <c r="T66"/>
      <c r="U66"/>
    </row>
    <row r="67" spans="1:21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560</v>
      </c>
      <c r="H67" s="41">
        <v>1</v>
      </c>
      <c r="I67" s="41">
        <v>1</v>
      </c>
      <c r="J67" s="108">
        <f>POWER(POWER(Table2[[#This Row],[log10(mv)]],4)/10,0.25)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09">
        <v>191112</v>
      </c>
      <c r="P67" s="107"/>
      <c r="Q67" s="111"/>
      <c r="R67" s="110" t="s">
        <v>561</v>
      </c>
      <c r="S67" s="110" t="s">
        <v>578</v>
      </c>
      <c r="T67"/>
      <c r="U67"/>
    </row>
    <row r="68" spans="1:21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560</v>
      </c>
      <c r="H68" s="41">
        <v>1</v>
      </c>
      <c r="I68" s="41">
        <v>1</v>
      </c>
      <c r="J68" s="108">
        <f>POWER(POWER(Table2[[#This Row],[log10(mv)]],4)/10,0.25)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09">
        <v>191112</v>
      </c>
      <c r="P68" s="107"/>
      <c r="Q68" s="111"/>
      <c r="R68" s="110" t="s">
        <v>562</v>
      </c>
      <c r="S68" s="110" t="s">
        <v>578</v>
      </c>
      <c r="T68"/>
      <c r="U68"/>
    </row>
    <row r="69" spans="1:21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560</v>
      </c>
      <c r="H69" s="41">
        <v>1</v>
      </c>
      <c r="I69" s="41">
        <v>1</v>
      </c>
      <c r="J69" s="108">
        <f>POWER(POWER(Table2[[#This Row],[log10(mv)]],4)/10,0.25)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09">
        <v>191112</v>
      </c>
      <c r="P69" s="107"/>
      <c r="Q69" s="111"/>
      <c r="R69" s="110" t="s">
        <v>563</v>
      </c>
      <c r="S69" s="110" t="s">
        <v>578</v>
      </c>
      <c r="T69"/>
      <c r="U69"/>
    </row>
    <row r="70" spans="1:21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560</v>
      </c>
      <c r="H70" s="41">
        <v>1</v>
      </c>
      <c r="I70" s="41">
        <v>1</v>
      </c>
      <c r="J70" s="108">
        <f>POWER(POWER(Table2[[#This Row],[log10(mv)]],4)/10,0.25)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09">
        <v>191216</v>
      </c>
      <c r="P70" s="107"/>
      <c r="Q70" s="111"/>
      <c r="R70" s="110" t="s">
        <v>564</v>
      </c>
      <c r="S70" s="110" t="s">
        <v>578</v>
      </c>
      <c r="T70"/>
      <c r="U70"/>
    </row>
    <row r="71" spans="1:21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560</v>
      </c>
      <c r="H71" s="41">
        <v>1</v>
      </c>
      <c r="I71" s="41">
        <v>1</v>
      </c>
      <c r="J71" s="108">
        <f>POWER(POWER(Table2[[#This Row],[log10(mv)]],4)/10,0.25)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09">
        <v>191216</v>
      </c>
      <c r="P71" s="107"/>
      <c r="Q71" s="111"/>
      <c r="R71" s="110" t="s">
        <v>565</v>
      </c>
      <c r="S71" s="110" t="s">
        <v>578</v>
      </c>
      <c r="T71"/>
      <c r="U71"/>
    </row>
    <row r="72" spans="1:21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560</v>
      </c>
      <c r="H72" s="41">
        <v>1</v>
      </c>
      <c r="I72" s="41">
        <v>1</v>
      </c>
      <c r="J72" s="108">
        <f>POWER(POWER(Table2[[#This Row],[log10(mv)]],4)/10,0.25)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09">
        <v>191217</v>
      </c>
      <c r="P72" s="107"/>
      <c r="Q72" s="111"/>
      <c r="R72" s="110" t="s">
        <v>566</v>
      </c>
      <c r="S72" s="110" t="s">
        <v>578</v>
      </c>
      <c r="T72"/>
      <c r="U72"/>
    </row>
    <row r="73" spans="1:21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560</v>
      </c>
      <c r="H73" s="41">
        <v>1</v>
      </c>
      <c r="I73" s="41">
        <v>1</v>
      </c>
      <c r="J73" s="108">
        <f>POWER(POWER(Table2[[#This Row],[log10(mv)]],4)/10,0.25)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09">
        <v>191217</v>
      </c>
      <c r="P73" s="107"/>
      <c r="Q73" s="111"/>
      <c r="R73" s="110" t="s">
        <v>567</v>
      </c>
      <c r="S73" s="110" t="s">
        <v>578</v>
      </c>
      <c r="T73"/>
      <c r="U73"/>
    </row>
    <row r="74" spans="1:21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560</v>
      </c>
      <c r="H74" s="41">
        <v>1</v>
      </c>
      <c r="I74" s="41">
        <v>1</v>
      </c>
      <c r="J74" s="108">
        <f>POWER(POWER(Table2[[#This Row],[log10(mv)]],4)/10,0.25)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09">
        <v>191156</v>
      </c>
      <c r="P74" s="107"/>
      <c r="Q74" s="111"/>
      <c r="R74" s="110" t="s">
        <v>569</v>
      </c>
      <c r="S74" s="110" t="s">
        <v>578</v>
      </c>
      <c r="T74"/>
      <c r="U74"/>
    </row>
    <row r="75" spans="1:21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560</v>
      </c>
      <c r="H75" s="41">
        <v>1</v>
      </c>
      <c r="I75" s="41">
        <v>1</v>
      </c>
      <c r="J75" s="108">
        <f>POWER(POWER(Table2[[#This Row],[log10(mv)]],4)/10,0.25)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09">
        <v>191156</v>
      </c>
      <c r="P75" s="107"/>
      <c r="Q75" s="111"/>
      <c r="R75" s="110" t="s">
        <v>570</v>
      </c>
      <c r="S75" s="110" t="s">
        <v>578</v>
      </c>
      <c r="T75"/>
      <c r="U75"/>
    </row>
    <row r="76" spans="1:21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560</v>
      </c>
      <c r="H76" s="41">
        <v>1</v>
      </c>
      <c r="I76" s="41">
        <v>1</v>
      </c>
      <c r="J76" s="108">
        <f>POWER(POWER(Table2[[#This Row],[log10(mv)]],4)/10,0.25)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09">
        <v>191156</v>
      </c>
      <c r="P76" s="107"/>
      <c r="Q76" s="111"/>
      <c r="R76" s="110" t="s">
        <v>571</v>
      </c>
      <c r="S76" s="110" t="s">
        <v>578</v>
      </c>
      <c r="T76"/>
      <c r="U76"/>
    </row>
    <row r="77" spans="1:21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560</v>
      </c>
      <c r="H77" s="41">
        <v>1</v>
      </c>
      <c r="I77" s="41">
        <v>1</v>
      </c>
      <c r="J77" s="108">
        <f>POWER(POWER(Table2[[#This Row],[log10(mv)]],4)/10,0.25)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09">
        <v>191156</v>
      </c>
      <c r="P77" s="107"/>
      <c r="Q77" s="111"/>
      <c r="R77" s="110" t="s">
        <v>572</v>
      </c>
      <c r="S77" s="110" t="s">
        <v>578</v>
      </c>
      <c r="T77"/>
      <c r="U77"/>
    </row>
    <row r="78" spans="1:21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560</v>
      </c>
      <c r="H78" s="41">
        <v>1</v>
      </c>
      <c r="I78" s="41">
        <v>1</v>
      </c>
      <c r="J78" s="108">
        <f>POWER(POWER(Table2[[#This Row],[log10(mv)]],4)/10,0.25)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09">
        <v>191156</v>
      </c>
      <c r="P78" s="107"/>
      <c r="Q78" s="111"/>
      <c r="R78" s="110" t="s">
        <v>573</v>
      </c>
      <c r="S78" s="110" t="s">
        <v>578</v>
      </c>
      <c r="T78"/>
      <c r="U78"/>
    </row>
    <row r="79" spans="1:21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560</v>
      </c>
      <c r="H79" s="41">
        <v>1</v>
      </c>
      <c r="I79" s="41">
        <v>1</v>
      </c>
      <c r="J79" s="108">
        <f>POWER(POWER(Table2[[#This Row],[log10(mv)]],4)/10,0.25)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09">
        <v>191156</v>
      </c>
      <c r="P79" s="107"/>
      <c r="Q79" s="111"/>
      <c r="R79" s="110" t="s">
        <v>574</v>
      </c>
      <c r="S79" s="110" t="s">
        <v>578</v>
      </c>
      <c r="T79"/>
      <c r="U79"/>
    </row>
    <row r="80" spans="1:21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560</v>
      </c>
      <c r="H80" s="41">
        <v>1</v>
      </c>
      <c r="I80" s="41">
        <v>1</v>
      </c>
      <c r="J80" s="108">
        <f>POWER(POWER(Table2[[#This Row],[log10(mv)]],4)/10,0.25)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09">
        <v>191156</v>
      </c>
      <c r="P80" s="107"/>
      <c r="Q80" s="111"/>
      <c r="R80" s="110" t="s">
        <v>575</v>
      </c>
      <c r="S80" s="110" t="s">
        <v>578</v>
      </c>
      <c r="T80"/>
      <c r="U80"/>
    </row>
    <row r="81" spans="1:21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560</v>
      </c>
      <c r="H81" s="41">
        <v>1</v>
      </c>
      <c r="I81" s="41">
        <v>1</v>
      </c>
      <c r="J81" s="108">
        <f>POWER(POWER(Table2[[#This Row],[log10(mv)]],4)/10,0.25)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09">
        <v>191448</v>
      </c>
      <c r="P81" s="107"/>
      <c r="Q81" s="111"/>
      <c r="R81" s="110" t="s">
        <v>580</v>
      </c>
      <c r="S81" s="110" t="s">
        <v>578</v>
      </c>
      <c r="T81"/>
      <c r="U81"/>
    </row>
    <row r="82" spans="1:21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560</v>
      </c>
      <c r="H82" s="41">
        <v>1</v>
      </c>
      <c r="I82" s="41">
        <v>1</v>
      </c>
      <c r="J82" s="108">
        <f>POWER(POWER(Table2[[#This Row],[log10(mv)]],4)/10,0.25)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09">
        <v>191448</v>
      </c>
      <c r="P82" s="107"/>
      <c r="Q82" s="111"/>
      <c r="R82" s="110" t="s">
        <v>581</v>
      </c>
      <c r="S82" s="110" t="s">
        <v>578</v>
      </c>
      <c r="T82"/>
      <c r="U82"/>
    </row>
    <row r="83" spans="1:21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560</v>
      </c>
      <c r="H83" s="41">
        <v>1</v>
      </c>
      <c r="I83" s="41">
        <v>1</v>
      </c>
      <c r="J83" s="108">
        <f>POWER(POWER(Table2[[#This Row],[log10(mv)]],4)/10,0.25)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09">
        <v>191488</v>
      </c>
      <c r="P83" s="107"/>
      <c r="Q83" s="111"/>
      <c r="R83" s="110" t="s">
        <v>582</v>
      </c>
      <c r="S83" s="110" t="s">
        <v>578</v>
      </c>
      <c r="T83"/>
      <c r="U83"/>
    </row>
    <row r="84" spans="1:21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560</v>
      </c>
      <c r="H84" s="41">
        <v>1</v>
      </c>
      <c r="I84" s="41">
        <v>1</v>
      </c>
      <c r="J84" s="108">
        <f>POWER(POWER(Table2[[#This Row],[log10(mv)]],4)/10,0.25)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09">
        <v>191488</v>
      </c>
      <c r="P84" s="107"/>
      <c r="Q84" s="111"/>
      <c r="R84" s="110" t="s">
        <v>583</v>
      </c>
      <c r="S84" s="110" t="s">
        <v>578</v>
      </c>
      <c r="T84"/>
      <c r="U84"/>
    </row>
    <row r="85" spans="1:21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560</v>
      </c>
      <c r="H85" s="41">
        <v>1</v>
      </c>
      <c r="I85" s="41">
        <v>1</v>
      </c>
      <c r="J85" s="108">
        <f>POWER(POWER(Table2[[#This Row],[log10(mv)]],4)/10,0.25)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09">
        <v>191488</v>
      </c>
      <c r="P85" s="107"/>
      <c r="Q85" s="111"/>
      <c r="R85" s="110" t="s">
        <v>584</v>
      </c>
      <c r="S85" s="110" t="s">
        <v>578</v>
      </c>
      <c r="T85"/>
      <c r="U85"/>
    </row>
    <row r="86" spans="1:21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560</v>
      </c>
      <c r="H86" s="41">
        <v>1</v>
      </c>
      <c r="I86" s="41">
        <v>1</v>
      </c>
      <c r="J86" s="108">
        <f>POWER(POWER(Table2[[#This Row],[log10(mv)]],4)/10,0.25)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09">
        <v>191488</v>
      </c>
      <c r="P86" s="107"/>
      <c r="Q86" s="111"/>
      <c r="R86" s="110" t="s">
        <v>585</v>
      </c>
      <c r="S86" s="110" t="s">
        <v>578</v>
      </c>
      <c r="T86"/>
      <c r="U86"/>
    </row>
    <row r="87" spans="1:21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560</v>
      </c>
      <c r="H87" s="41">
        <v>1</v>
      </c>
      <c r="I87" s="41">
        <v>1</v>
      </c>
      <c r="J87" s="108">
        <f>POWER(POWER(Table2[[#This Row],[log10(mv)]],4)/10,0.25)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09">
        <v>191488</v>
      </c>
      <c r="P87" s="107"/>
      <c r="Q87" s="111"/>
      <c r="R87" s="110" t="s">
        <v>586</v>
      </c>
      <c r="S87" s="110" t="s">
        <v>578</v>
      </c>
      <c r="T87"/>
      <c r="U87"/>
    </row>
    <row r="88" spans="1:21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560</v>
      </c>
      <c r="H88" s="41">
        <v>1</v>
      </c>
      <c r="I88" s="41">
        <v>1</v>
      </c>
      <c r="J88" s="108">
        <f>POWER(POWER(Table2[[#This Row],[log10(mv)]],4)/10,0.25)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09">
        <v>191449</v>
      </c>
      <c r="P88" s="107"/>
      <c r="Q88" s="111"/>
      <c r="R88" s="110" t="s">
        <v>587</v>
      </c>
      <c r="S88" s="110" t="s">
        <v>578</v>
      </c>
      <c r="T88"/>
      <c r="U88"/>
    </row>
    <row r="89" spans="1:21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560</v>
      </c>
      <c r="H89" s="41">
        <v>1</v>
      </c>
      <c r="I89" s="41">
        <v>1</v>
      </c>
      <c r="J89" s="108">
        <f>POWER(POWER(Table2[[#This Row],[log10(mv)]],4)/10,0.25)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09">
        <v>191449</v>
      </c>
      <c r="P89" s="107"/>
      <c r="Q89" s="111"/>
      <c r="R89" s="110" t="s">
        <v>588</v>
      </c>
      <c r="S89" s="110" t="s">
        <v>578</v>
      </c>
      <c r="T89"/>
      <c r="U89"/>
    </row>
    <row r="90" spans="1:21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560</v>
      </c>
      <c r="H90" s="41">
        <v>1</v>
      </c>
      <c r="I90" s="41">
        <v>1</v>
      </c>
      <c r="J90" s="108">
        <f>POWER(POWER(Table2[[#This Row],[log10(mv)]],4)/10,0.25)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09">
        <v>191449</v>
      </c>
      <c r="P90" s="107"/>
      <c r="Q90" s="111"/>
      <c r="R90" s="110" t="s">
        <v>589</v>
      </c>
      <c r="S90" s="110" t="s">
        <v>578</v>
      </c>
      <c r="T90"/>
      <c r="U90"/>
    </row>
    <row r="91" spans="1:21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560</v>
      </c>
      <c r="H91" s="41">
        <v>1</v>
      </c>
      <c r="I91" s="41">
        <v>1</v>
      </c>
      <c r="J91" s="108">
        <f>POWER(POWER(Table2[[#This Row],[log10(mv)]],4)/10,0.25)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09">
        <v>191564</v>
      </c>
      <c r="P91" s="107"/>
      <c r="Q91" s="111"/>
      <c r="R91" s="110" t="s">
        <v>590</v>
      </c>
      <c r="S91" s="110" t="s">
        <v>578</v>
      </c>
      <c r="T91"/>
      <c r="U91"/>
    </row>
    <row r="92" spans="1:21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560</v>
      </c>
      <c r="H92" s="41">
        <v>1</v>
      </c>
      <c r="I92" s="41">
        <v>1</v>
      </c>
      <c r="J92" s="108">
        <f>POWER(POWER(Table2[[#This Row],[log10(mv)]],4)/10,0.25)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09">
        <v>191564</v>
      </c>
      <c r="P92" s="107"/>
      <c r="Q92" s="111"/>
      <c r="R92" s="110" t="s">
        <v>591</v>
      </c>
      <c r="S92" s="110" t="s">
        <v>578</v>
      </c>
      <c r="T92"/>
      <c r="U92"/>
    </row>
    <row r="93" spans="1:21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560</v>
      </c>
      <c r="H93" s="41">
        <v>1</v>
      </c>
      <c r="I93" s="41">
        <v>1</v>
      </c>
      <c r="J93" s="108">
        <f>POWER(POWER(Table2[[#This Row],[log10(mv)]],4)/10,0.25)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09"/>
      <c r="P93" s="107"/>
      <c r="Q93" s="111"/>
      <c r="R93" s="110" t="s">
        <v>592</v>
      </c>
      <c r="S93" s="110" t="s">
        <v>578</v>
      </c>
      <c r="T93"/>
      <c r="U93"/>
    </row>
    <row r="94" spans="1:21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560</v>
      </c>
      <c r="H94" s="41">
        <v>1</v>
      </c>
      <c r="I94" s="41">
        <v>1</v>
      </c>
      <c r="J94" s="108">
        <f>POWER(POWER(Table2[[#This Row],[log10(mv)]],4)/10,0.25)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09"/>
      <c r="P94" s="107"/>
      <c r="Q94" s="111"/>
      <c r="R94" s="110" t="s">
        <v>593</v>
      </c>
      <c r="S94" s="110" t="s">
        <v>578</v>
      </c>
      <c r="T94"/>
      <c r="U94"/>
    </row>
    <row r="95" spans="1:21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560</v>
      </c>
      <c r="H95" s="41">
        <v>1</v>
      </c>
      <c r="I95" s="41">
        <v>1</v>
      </c>
      <c r="J95" s="108">
        <f>POWER(POWER(Table2[[#This Row],[log10(mv)]],4)/10,0.25)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09"/>
      <c r="P95" s="107"/>
      <c r="Q95" s="111"/>
      <c r="R95" s="110" t="s">
        <v>594</v>
      </c>
      <c r="S95" s="110" t="s">
        <v>578</v>
      </c>
      <c r="T95"/>
      <c r="U95"/>
    </row>
    <row r="96" spans="1:21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560</v>
      </c>
      <c r="H96" s="41">
        <v>1</v>
      </c>
      <c r="I96" s="41">
        <v>1</v>
      </c>
      <c r="J96" s="108">
        <f>POWER(POWER(Table2[[#This Row],[log10(mv)]],4)/10,0.25)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09"/>
      <c r="P96" s="107"/>
      <c r="Q96" s="111"/>
      <c r="R96" s="110" t="s">
        <v>595</v>
      </c>
      <c r="S96" s="110" t="s">
        <v>578</v>
      </c>
      <c r="T96"/>
      <c r="U96"/>
    </row>
    <row r="97" spans="1:21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560</v>
      </c>
      <c r="H97" s="41">
        <v>1</v>
      </c>
      <c r="I97" s="41">
        <v>1</v>
      </c>
      <c r="J97" s="108">
        <f>POWER(POWER(Table2[[#This Row],[log10(mv)]],4)/10,0.25)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09"/>
      <c r="P97" s="107"/>
      <c r="Q97" s="111"/>
      <c r="R97" s="110" t="s">
        <v>596</v>
      </c>
      <c r="S97" s="110" t="s">
        <v>578</v>
      </c>
      <c r="T97"/>
      <c r="U97"/>
    </row>
    <row r="98" spans="1:21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560</v>
      </c>
      <c r="H98" s="41">
        <v>1</v>
      </c>
      <c r="I98" s="41">
        <v>1</v>
      </c>
      <c r="J98" s="108">
        <f>POWER(POWER(Table2[[#This Row],[log10(mv)]],4)/10,0.25)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09"/>
      <c r="P98" s="107"/>
      <c r="Q98" s="111"/>
      <c r="R98" s="110" t="s">
        <v>597</v>
      </c>
      <c r="S98" s="110" t="s">
        <v>578</v>
      </c>
      <c r="T98"/>
      <c r="U98"/>
    </row>
    <row r="99" spans="1:21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560</v>
      </c>
      <c r="H99" s="41">
        <v>1</v>
      </c>
      <c r="I99" s="41">
        <v>1</v>
      </c>
      <c r="J99" s="108">
        <f>POWER(POWER(Table2[[#This Row],[log10(mv)]],4)/10,0.25)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09"/>
      <c r="P99" s="107"/>
      <c r="Q99" s="111"/>
      <c r="R99" s="110" t="s">
        <v>598</v>
      </c>
      <c r="S99" s="110" t="s">
        <v>578</v>
      </c>
      <c r="T99"/>
      <c r="U99"/>
    </row>
    <row r="100" spans="1:21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560</v>
      </c>
      <c r="H100" s="41">
        <v>1</v>
      </c>
      <c r="I100" s="41">
        <v>1</v>
      </c>
      <c r="J100" s="108">
        <f>POWER(POWER(Table2[[#This Row],[log10(mv)]],4)/10,0.25)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09"/>
      <c r="P100" s="107"/>
      <c r="Q100" s="111"/>
      <c r="R100" s="110" t="s">
        <v>599</v>
      </c>
      <c r="S100" s="110" t="s">
        <v>578</v>
      </c>
      <c r="T100"/>
      <c r="U100"/>
    </row>
    <row r="101" spans="1:21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560</v>
      </c>
      <c r="H101" s="41">
        <v>1</v>
      </c>
      <c r="I101" s="41">
        <v>1</v>
      </c>
      <c r="J101" s="108">
        <f>POWER(POWER(Table2[[#This Row],[log10(mv)]],4)/10,0.25)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09"/>
      <c r="P101" s="107"/>
      <c r="Q101" s="111"/>
      <c r="R101" s="110" t="s">
        <v>600</v>
      </c>
      <c r="S101" s="110" t="s">
        <v>578</v>
      </c>
      <c r="T101"/>
      <c r="U101"/>
    </row>
    <row r="102" spans="1:21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560</v>
      </c>
      <c r="H102" s="41">
        <v>1</v>
      </c>
      <c r="I102" s="41">
        <v>1</v>
      </c>
      <c r="J102" s="108">
        <f>POWER(POWER(Table2[[#This Row],[log10(mv)]],4)/10,0.25)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09"/>
      <c r="P102" s="107"/>
      <c r="Q102" s="111"/>
      <c r="R102" s="110" t="s">
        <v>601</v>
      </c>
      <c r="S102" s="110" t="s">
        <v>578</v>
      </c>
      <c r="T102"/>
      <c r="U102"/>
    </row>
    <row r="103" spans="1:21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560</v>
      </c>
      <c r="H103" s="41">
        <v>1</v>
      </c>
      <c r="I103" s="41">
        <v>1</v>
      </c>
      <c r="J103" s="108">
        <f>POWER(POWER(Table2[[#This Row],[log10(mv)]],4)/10,0.25)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09"/>
      <c r="P103" s="107"/>
      <c r="Q103" s="111"/>
      <c r="R103" s="110" t="s">
        <v>602</v>
      </c>
      <c r="S103" s="110" t="s">
        <v>578</v>
      </c>
      <c r="T103"/>
      <c r="U103"/>
    </row>
    <row r="104" spans="1:21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560</v>
      </c>
      <c r="H104" s="41">
        <v>1</v>
      </c>
      <c r="I104" s="41">
        <v>1</v>
      </c>
      <c r="J104" s="108">
        <f>POWER(POWER(Table2[[#This Row],[log10(mv)]],4)/10,0.25)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09"/>
      <c r="P104" s="107"/>
      <c r="Q104" s="111"/>
      <c r="R104" s="110" t="s">
        <v>603</v>
      </c>
      <c r="S104" s="110" t="s">
        <v>578</v>
      </c>
      <c r="T104"/>
      <c r="U104"/>
    </row>
    <row r="105" spans="1:21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560</v>
      </c>
      <c r="H105" s="41">
        <v>1</v>
      </c>
      <c r="I105" s="41">
        <v>1</v>
      </c>
      <c r="J105" s="108">
        <f>POWER(POWER(Table2[[#This Row],[log10(mv)]],4)/10,0.25)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09"/>
      <c r="P105" s="107"/>
      <c r="Q105" s="111"/>
      <c r="R105" s="110" t="s">
        <v>604</v>
      </c>
      <c r="S105" s="110" t="s">
        <v>578</v>
      </c>
      <c r="T105"/>
      <c r="U105"/>
    </row>
    <row r="106" spans="1:21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560</v>
      </c>
      <c r="H106" s="41">
        <v>1</v>
      </c>
      <c r="I106" s="41">
        <v>1</v>
      </c>
      <c r="J106" s="108">
        <f>POWER(POWER(Table2[[#This Row],[log10(mv)]],4)/10,0.25)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09"/>
      <c r="P106" s="107"/>
      <c r="Q106" s="111"/>
      <c r="R106" s="110" t="s">
        <v>605</v>
      </c>
      <c r="S106" s="110" t="s">
        <v>578</v>
      </c>
      <c r="T106"/>
      <c r="U106"/>
    </row>
    <row r="107" spans="1:21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560</v>
      </c>
      <c r="H107" s="41">
        <v>1</v>
      </c>
      <c r="I107" s="41">
        <v>1</v>
      </c>
      <c r="J107" s="108">
        <f>POWER(POWER(Table2[[#This Row],[log10(mv)]],4)/10,0.25)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09"/>
      <c r="P107" s="107"/>
      <c r="Q107" s="111"/>
      <c r="R107" s="110" t="s">
        <v>606</v>
      </c>
      <c r="S107" s="110" t="s">
        <v>578</v>
      </c>
      <c r="T107"/>
      <c r="U107"/>
    </row>
    <row r="108" spans="1:21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560</v>
      </c>
      <c r="H108" s="41">
        <v>1</v>
      </c>
      <c r="I108" s="41">
        <v>1</v>
      </c>
      <c r="J108" s="108">
        <f>POWER(POWER(Table2[[#This Row],[log10(mv)]],4)/10,0.25)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09"/>
      <c r="P108" s="107"/>
      <c r="Q108" s="111"/>
      <c r="R108" s="110" t="s">
        <v>607</v>
      </c>
      <c r="S108" s="110" t="s">
        <v>578</v>
      </c>
      <c r="T108"/>
      <c r="U108"/>
    </row>
    <row r="109" spans="1:21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105</v>
      </c>
      <c r="H109" s="41">
        <v>1</v>
      </c>
      <c r="I109" s="41">
        <v>1</v>
      </c>
      <c r="J109" s="108">
        <f>POWER(POWER(Table2[[#This Row],[log10(mv)]],4)/10,0.25)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09">
        <v>191635</v>
      </c>
      <c r="P109" s="107"/>
      <c r="Q109" s="111"/>
      <c r="R109" s="110" t="s">
        <v>620</v>
      </c>
      <c r="S109" s="110"/>
      <c r="T109"/>
      <c r="U109"/>
    </row>
    <row r="110" spans="1:21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105</v>
      </c>
      <c r="H110" s="41">
        <v>1</v>
      </c>
      <c r="I110" s="41">
        <v>1</v>
      </c>
      <c r="J110" s="108">
        <f>POWER(POWER(Table2[[#This Row],[log10(mv)]],4)/10,0.25)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09">
        <v>191635</v>
      </c>
      <c r="P110" s="107"/>
      <c r="Q110" s="111"/>
      <c r="R110" s="110" t="s">
        <v>621</v>
      </c>
      <c r="S110" s="110"/>
      <c r="T110"/>
      <c r="U110"/>
    </row>
    <row r="111" spans="1:21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105</v>
      </c>
      <c r="H111" s="41">
        <v>1</v>
      </c>
      <c r="I111" s="41">
        <v>1</v>
      </c>
      <c r="J111" s="108">
        <f>POWER(POWER(Table2[[#This Row],[log10(mv)]],4)/10,0.25)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09">
        <v>191635</v>
      </c>
      <c r="P111" s="107"/>
      <c r="Q111" s="111"/>
      <c r="R111" s="110" t="s">
        <v>622</v>
      </c>
      <c r="S111" s="110"/>
      <c r="T111"/>
      <c r="U111"/>
    </row>
    <row r="112" spans="1:21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105</v>
      </c>
      <c r="H112" s="41">
        <v>1</v>
      </c>
      <c r="I112" s="41">
        <v>1</v>
      </c>
      <c r="J112" s="108">
        <f>POWER(POWER(Table2[[#This Row],[log10(mv)]],4)/10,0.25)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09">
        <v>191635</v>
      </c>
      <c r="P112" s="107"/>
      <c r="Q112" s="111"/>
      <c r="R112" s="110" t="s">
        <v>623</v>
      </c>
      <c r="S112" s="110"/>
      <c r="T112"/>
      <c r="U112"/>
    </row>
    <row r="113" spans="1:21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105</v>
      </c>
      <c r="H113" s="41">
        <v>1</v>
      </c>
      <c r="I113" s="41">
        <v>1</v>
      </c>
      <c r="J113" s="108">
        <f>POWER(POWER(Table2[[#This Row],[log10(mv)]],4)/10,0.25)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09">
        <v>191635</v>
      </c>
      <c r="P113" s="107"/>
      <c r="Q113" s="111"/>
      <c r="R113" s="110" t="s">
        <v>624</v>
      </c>
      <c r="S113" s="110"/>
      <c r="T113"/>
      <c r="U113"/>
    </row>
    <row r="114" spans="1:21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105</v>
      </c>
      <c r="H114" s="41">
        <v>1</v>
      </c>
      <c r="I114" s="41">
        <v>1</v>
      </c>
      <c r="J114" s="108">
        <f>POWER(POWER(Table2[[#This Row],[log10(mv)]],4)/10,0.25)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09">
        <v>191635</v>
      </c>
      <c r="P114" s="107"/>
      <c r="Q114" s="111"/>
      <c r="R114" s="110" t="s">
        <v>625</v>
      </c>
      <c r="S114" s="110"/>
      <c r="T114"/>
      <c r="U114"/>
    </row>
    <row r="115" spans="1:21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105</v>
      </c>
      <c r="H115" s="41">
        <v>1</v>
      </c>
      <c r="I115" s="41">
        <v>1</v>
      </c>
      <c r="J115" s="108">
        <f>POWER(POWER(Table2[[#This Row],[log10(mv)]],4)/10,0.25)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09">
        <v>191635</v>
      </c>
      <c r="P115" s="107"/>
      <c r="Q115" s="111"/>
      <c r="R115" s="110" t="s">
        <v>626</v>
      </c>
      <c r="S115" s="110"/>
      <c r="T115"/>
      <c r="U115"/>
    </row>
    <row r="116" spans="1:21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105</v>
      </c>
      <c r="H116" s="41">
        <v>1</v>
      </c>
      <c r="I116" s="41">
        <v>1</v>
      </c>
      <c r="J116" s="108">
        <f>POWER(POWER(Table2[[#This Row],[log10(mv)]],4)/10,0.25)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09">
        <v>191635</v>
      </c>
      <c r="P116" s="107"/>
      <c r="Q116" s="111"/>
      <c r="R116" s="110" t="s">
        <v>627</v>
      </c>
      <c r="S116" s="110"/>
      <c r="T116"/>
      <c r="U116"/>
    </row>
    <row r="117" spans="1:21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105</v>
      </c>
      <c r="H117" s="41">
        <v>1</v>
      </c>
      <c r="I117" s="41">
        <v>1</v>
      </c>
      <c r="J117" s="108">
        <f>POWER(POWER(Table2[[#This Row],[log10(mv)]],4)/10,0.25)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09">
        <v>191635</v>
      </c>
      <c r="P117" s="107"/>
      <c r="Q117" s="111"/>
      <c r="R117" s="110" t="s">
        <v>628</v>
      </c>
      <c r="S117" s="110"/>
      <c r="T117"/>
      <c r="U117"/>
    </row>
    <row r="118" spans="1:21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105</v>
      </c>
      <c r="H118" s="41">
        <v>1</v>
      </c>
      <c r="I118" s="41">
        <v>1</v>
      </c>
      <c r="J118" s="108">
        <f>POWER(POWER(Table2[[#This Row],[log10(mv)]],4)/10,0.25)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09">
        <v>191635</v>
      </c>
      <c r="P118" s="107"/>
      <c r="Q118" s="111"/>
      <c r="R118" s="110" t="s">
        <v>629</v>
      </c>
      <c r="S118" s="110"/>
      <c r="T118"/>
      <c r="U118"/>
    </row>
    <row r="119" spans="1:21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105</v>
      </c>
      <c r="H119" s="41">
        <v>1</v>
      </c>
      <c r="I119" s="41">
        <v>1</v>
      </c>
      <c r="J119" s="108">
        <f>POWER(POWER(Table2[[#This Row],[log10(mv)]],4)/10,0.25)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09">
        <v>191635</v>
      </c>
      <c r="P119" s="107"/>
      <c r="Q119" s="111"/>
      <c r="R119" s="110" t="s">
        <v>630</v>
      </c>
      <c r="S119" s="110"/>
      <c r="T119"/>
      <c r="U119"/>
    </row>
    <row r="120" spans="1:21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105</v>
      </c>
      <c r="H120" s="41">
        <v>1</v>
      </c>
      <c r="I120" s="41">
        <v>1</v>
      </c>
      <c r="J120" s="108">
        <f>POWER(POWER(Table2[[#This Row],[log10(mv)]],4)/10,0.25)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09">
        <v>191635</v>
      </c>
      <c r="P120" s="107"/>
      <c r="Q120" s="111"/>
      <c r="R120" s="110" t="s">
        <v>631</v>
      </c>
      <c r="S120" s="110"/>
      <c r="T120"/>
      <c r="U120"/>
    </row>
    <row r="121" spans="1:21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105</v>
      </c>
      <c r="H121" s="41">
        <v>1</v>
      </c>
      <c r="I121" s="41">
        <v>1</v>
      </c>
      <c r="J121" s="108">
        <f>POWER(POWER(Table2[[#This Row],[log10(mv)]],4)/10,0.25)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09">
        <v>191635</v>
      </c>
      <c r="P121" s="107"/>
      <c r="Q121" s="111"/>
      <c r="R121" s="110" t="s">
        <v>632</v>
      </c>
      <c r="S121" s="110"/>
      <c r="T121"/>
      <c r="U121"/>
    </row>
    <row r="122" spans="1:21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105</v>
      </c>
      <c r="H122" s="41">
        <v>1</v>
      </c>
      <c r="I122" s="41">
        <v>1</v>
      </c>
      <c r="J122" s="108">
        <f>POWER(POWER(Table2[[#This Row],[log10(mv)]],4)/10,0.25)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09">
        <v>191635</v>
      </c>
      <c r="P122" s="107"/>
      <c r="Q122" s="111"/>
      <c r="R122" s="110" t="s">
        <v>633</v>
      </c>
      <c r="S122" s="110"/>
      <c r="T122"/>
      <c r="U122"/>
    </row>
    <row r="123" spans="1:21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105</v>
      </c>
      <c r="H123" s="41">
        <v>1</v>
      </c>
      <c r="I123" s="41">
        <v>1</v>
      </c>
      <c r="J123" s="108">
        <f>POWER(POWER(Table2[[#This Row],[log10(mv)]],4)/10,0.25)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09">
        <v>191636</v>
      </c>
      <c r="P123" s="107"/>
      <c r="Q123" s="111"/>
      <c r="R123" s="110" t="s">
        <v>634</v>
      </c>
      <c r="S123" s="110"/>
      <c r="T123"/>
      <c r="U123"/>
    </row>
    <row r="124" spans="1:21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105</v>
      </c>
      <c r="H124" s="41">
        <v>1</v>
      </c>
      <c r="I124" s="41">
        <v>1</v>
      </c>
      <c r="J124" s="108">
        <f>POWER(POWER(Table2[[#This Row],[log10(mv)]],4)/10,0.25)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09">
        <v>191636</v>
      </c>
      <c r="P124" s="107"/>
      <c r="Q124" s="111"/>
      <c r="R124" s="110" t="s">
        <v>635</v>
      </c>
      <c r="S124" s="110"/>
      <c r="T124"/>
      <c r="U124"/>
    </row>
    <row r="125" spans="1:21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105</v>
      </c>
      <c r="H125" s="41">
        <v>1</v>
      </c>
      <c r="I125" s="41">
        <v>1</v>
      </c>
      <c r="J125" s="108">
        <f>POWER(POWER(Table2[[#This Row],[log10(mv)]],4)/10,0.25)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09">
        <v>191636</v>
      </c>
      <c r="P125" s="107"/>
      <c r="Q125" s="111"/>
      <c r="R125" s="110" t="s">
        <v>636</v>
      </c>
      <c r="S125" s="110"/>
      <c r="T125"/>
      <c r="U125"/>
    </row>
    <row r="126" spans="1:21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105</v>
      </c>
      <c r="H126" s="41">
        <v>1</v>
      </c>
      <c r="I126" s="41">
        <v>1</v>
      </c>
      <c r="J126" s="108">
        <f>POWER(POWER(Table2[[#This Row],[log10(mv)]],4)/10,0.25)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09">
        <v>191636</v>
      </c>
      <c r="P126" s="107"/>
      <c r="Q126" s="111"/>
      <c r="R126" s="110" t="s">
        <v>637</v>
      </c>
      <c r="S126" s="110"/>
      <c r="T126"/>
      <c r="U126"/>
    </row>
    <row r="127" spans="1:21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105</v>
      </c>
      <c r="H127" s="41">
        <v>1</v>
      </c>
      <c r="I127" s="41">
        <v>1</v>
      </c>
      <c r="J127" s="108">
        <f>POWER(POWER(Table2[[#This Row],[log10(mv)]],4)/10,0.25)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09">
        <v>191636</v>
      </c>
      <c r="P127" s="107"/>
      <c r="Q127" s="111"/>
      <c r="R127" s="110" t="s">
        <v>638</v>
      </c>
      <c r="S127" s="110"/>
      <c r="T127"/>
      <c r="U127"/>
    </row>
    <row r="128" spans="1:21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105</v>
      </c>
      <c r="H128" s="41">
        <v>1</v>
      </c>
      <c r="I128" s="41">
        <v>1</v>
      </c>
      <c r="J128" s="108">
        <f>POWER(POWER(Table2[[#This Row],[log10(mv)]],4)/10,0.25)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09">
        <v>191636</v>
      </c>
      <c r="P128" s="107"/>
      <c r="Q128" s="111"/>
      <c r="R128" s="110" t="s">
        <v>639</v>
      </c>
      <c r="S128" s="110"/>
      <c r="T128"/>
      <c r="U128"/>
    </row>
    <row r="129" spans="1:21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105</v>
      </c>
      <c r="H129" s="41">
        <v>1</v>
      </c>
      <c r="I129" s="41">
        <v>1</v>
      </c>
      <c r="J129" s="108">
        <f>POWER(POWER(Table2[[#This Row],[log10(mv)]],4)/10,0.25)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09">
        <v>191636</v>
      </c>
      <c r="P129" s="107"/>
      <c r="Q129" s="111"/>
      <c r="R129" s="110" t="s">
        <v>640</v>
      </c>
      <c r="S129" s="110"/>
      <c r="T129"/>
      <c r="U129"/>
    </row>
    <row r="130" spans="1:21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105</v>
      </c>
      <c r="H130" s="41">
        <v>1</v>
      </c>
      <c r="I130" s="41">
        <v>1</v>
      </c>
      <c r="J130" s="108">
        <f>POWER(POWER(Table2[[#This Row],[log10(mv)]],4)/10,0.25)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09">
        <v>191636</v>
      </c>
      <c r="P130" s="107"/>
      <c r="Q130" s="111"/>
      <c r="R130" s="110" t="s">
        <v>641</v>
      </c>
      <c r="S130" s="110"/>
      <c r="T130"/>
      <c r="U130"/>
    </row>
    <row r="131" spans="1:21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105</v>
      </c>
      <c r="H131" s="41">
        <v>1</v>
      </c>
      <c r="I131" s="41">
        <v>1</v>
      </c>
      <c r="J131" s="108">
        <f>POWER(POWER(Table2[[#This Row],[log10(mv)]],4)/10,0.25)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09">
        <v>191636</v>
      </c>
      <c r="P131" s="107"/>
      <c r="Q131" s="111"/>
      <c r="R131" s="110" t="s">
        <v>642</v>
      </c>
      <c r="S131" s="110"/>
      <c r="T131"/>
      <c r="U131"/>
    </row>
    <row r="132" spans="1:21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105</v>
      </c>
      <c r="H132" s="41">
        <v>1</v>
      </c>
      <c r="I132" s="41">
        <v>1</v>
      </c>
      <c r="J132" s="108">
        <f>POWER(POWER(Table2[[#This Row],[log10(mv)]],4)/10,0.25)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09">
        <v>191636</v>
      </c>
      <c r="P132" s="107"/>
      <c r="Q132" s="111"/>
      <c r="R132" s="110" t="s">
        <v>643</v>
      </c>
      <c r="S132" s="110"/>
      <c r="T132"/>
      <c r="U132"/>
    </row>
    <row r="133" spans="1:21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105</v>
      </c>
      <c r="H133" s="41">
        <v>1</v>
      </c>
      <c r="I133" s="41">
        <v>1</v>
      </c>
      <c r="J133" s="108">
        <f>POWER(POWER(Table2[[#This Row],[log10(mv)]],4)/10,0.25)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09">
        <v>191636</v>
      </c>
      <c r="P133" s="107"/>
      <c r="Q133" s="111"/>
      <c r="R133" s="110" t="s">
        <v>644</v>
      </c>
      <c r="S133" s="110"/>
      <c r="T133"/>
      <c r="U133"/>
    </row>
    <row r="134" spans="1:21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105</v>
      </c>
      <c r="H134" s="41">
        <v>1</v>
      </c>
      <c r="I134" s="41">
        <v>1</v>
      </c>
      <c r="J134" s="108">
        <f>POWER(POWER(Table2[[#This Row],[log10(mv)]],4)/10,0.25)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09">
        <v>191636</v>
      </c>
      <c r="P134" s="107"/>
      <c r="Q134" s="111"/>
      <c r="R134" s="110" t="s">
        <v>645</v>
      </c>
      <c r="S134" s="110"/>
      <c r="T134"/>
      <c r="U134"/>
    </row>
    <row r="135" spans="1:21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105</v>
      </c>
      <c r="H135" s="41">
        <v>1</v>
      </c>
      <c r="I135" s="41">
        <v>1</v>
      </c>
      <c r="J135" s="108">
        <f>POWER(POWER(Table2[[#This Row],[log10(mv)]],4)/10,0.25)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09">
        <v>191636</v>
      </c>
      <c r="P135" s="107"/>
      <c r="Q135" s="111"/>
      <c r="R135" s="110" t="s">
        <v>646</v>
      </c>
      <c r="S135" s="110"/>
      <c r="T135"/>
      <c r="U135"/>
    </row>
    <row r="136" spans="1:21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105</v>
      </c>
      <c r="H136" s="41">
        <v>1</v>
      </c>
      <c r="I136" s="41">
        <v>1</v>
      </c>
      <c r="J136" s="108">
        <f>POWER(POWER(Table2[[#This Row],[log10(mv)]],4)/10,0.25)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09">
        <v>191636</v>
      </c>
      <c r="P136" s="107"/>
      <c r="Q136" s="111"/>
      <c r="R136" s="110" t="s">
        <v>647</v>
      </c>
      <c r="S136" s="110"/>
      <c r="T136"/>
      <c r="U136"/>
    </row>
    <row r="137" spans="1:21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105</v>
      </c>
      <c r="H137" s="41">
        <v>1</v>
      </c>
      <c r="I137" s="41">
        <v>1</v>
      </c>
      <c r="J137" s="108">
        <f>POWER(POWER(Table2[[#This Row],[log10(mv)]],4)/10,0.25)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09">
        <v>191688</v>
      </c>
      <c r="P137" s="107"/>
      <c r="Q137" s="111"/>
      <c r="R137" s="110" t="s">
        <v>648</v>
      </c>
      <c r="S137" s="110"/>
      <c r="T137"/>
      <c r="U137"/>
    </row>
    <row r="138" spans="1:21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105</v>
      </c>
      <c r="H138" s="41">
        <v>1</v>
      </c>
      <c r="I138" s="41">
        <v>1</v>
      </c>
      <c r="J138" s="108">
        <f>POWER(POWER(Table2[[#This Row],[log10(mv)]],4)/10,0.25)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09">
        <v>191688</v>
      </c>
      <c r="P138" s="107"/>
      <c r="Q138" s="111"/>
      <c r="R138" s="110" t="s">
        <v>649</v>
      </c>
      <c r="S138" s="110"/>
      <c r="T138"/>
      <c r="U138"/>
    </row>
    <row r="139" spans="1:21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105</v>
      </c>
      <c r="H139" s="41">
        <v>1</v>
      </c>
      <c r="I139" s="41">
        <v>1</v>
      </c>
      <c r="J139" s="108">
        <f>POWER(POWER(Table2[[#This Row],[log10(mv)]],4)/10,0.25)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09">
        <v>191688</v>
      </c>
      <c r="P139" s="107"/>
      <c r="Q139" s="111"/>
      <c r="R139" s="110" t="s">
        <v>650</v>
      </c>
      <c r="S139" s="110"/>
      <c r="T139"/>
      <c r="U139"/>
    </row>
    <row r="140" spans="1:21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105</v>
      </c>
      <c r="H140" s="41">
        <v>1</v>
      </c>
      <c r="I140" s="41">
        <v>1</v>
      </c>
      <c r="J140" s="108">
        <f>POWER(POWER(Table2[[#This Row],[log10(mv)]],4)/10,0.25)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09">
        <v>191688</v>
      </c>
      <c r="P140" s="107"/>
      <c r="Q140" s="111"/>
      <c r="R140" s="110" t="s">
        <v>651</v>
      </c>
      <c r="S140" s="110"/>
      <c r="T140"/>
      <c r="U140"/>
    </row>
    <row r="141" spans="1:21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105</v>
      </c>
      <c r="H141" s="41">
        <v>1</v>
      </c>
      <c r="I141" s="41">
        <v>1</v>
      </c>
      <c r="J141" s="108">
        <f>POWER(POWER(Table2[[#This Row],[log10(mv)]],4)/10,0.25)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09">
        <v>191688</v>
      </c>
      <c r="P141" s="107"/>
      <c r="Q141" s="111"/>
      <c r="R141" s="110" t="s">
        <v>652</v>
      </c>
      <c r="S141" s="110"/>
      <c r="T141"/>
      <c r="U141"/>
    </row>
    <row r="142" spans="1:21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105</v>
      </c>
      <c r="H142" s="41">
        <v>1</v>
      </c>
      <c r="I142" s="41">
        <v>1</v>
      </c>
      <c r="J142" s="108">
        <f>POWER(POWER(Table2[[#This Row],[log10(mv)]],4)/10,0.25)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09">
        <v>191688</v>
      </c>
      <c r="P142" s="107"/>
      <c r="Q142" s="111"/>
      <c r="R142" s="110" t="s">
        <v>653</v>
      </c>
      <c r="S142" s="110"/>
      <c r="T142"/>
      <c r="U142"/>
    </row>
    <row r="143" spans="1:21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105</v>
      </c>
      <c r="H143" s="41">
        <v>1</v>
      </c>
      <c r="I143" s="41">
        <v>1</v>
      </c>
      <c r="J143" s="108">
        <f>POWER(POWER(Table2[[#This Row],[log10(mv)]],4)/10,0.25)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09">
        <v>191688</v>
      </c>
      <c r="P143" s="107"/>
      <c r="Q143" s="111"/>
      <c r="R143" s="110" t="s">
        <v>654</v>
      </c>
      <c r="S143" s="110"/>
      <c r="T143"/>
      <c r="U143"/>
    </row>
    <row r="144" spans="1:21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105</v>
      </c>
      <c r="H144" s="41">
        <v>1</v>
      </c>
      <c r="I144" s="41">
        <v>1</v>
      </c>
      <c r="J144" s="108">
        <f>POWER(POWER(Table2[[#This Row],[log10(mv)]],4)/10,0.25)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09">
        <v>191688</v>
      </c>
      <c r="P144" s="107"/>
      <c r="Q144" s="111"/>
      <c r="R144" s="110" t="s">
        <v>655</v>
      </c>
      <c r="S144" s="110"/>
      <c r="T144"/>
      <c r="U144"/>
    </row>
    <row r="145" spans="1:21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105</v>
      </c>
      <c r="H145" s="41">
        <v>1</v>
      </c>
      <c r="I145" s="41">
        <v>1</v>
      </c>
      <c r="J145" s="108">
        <f>POWER(POWER(Table2[[#This Row],[log10(mv)]],4)/10,0.25)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09">
        <v>191688</v>
      </c>
      <c r="P145" s="107"/>
      <c r="Q145" s="111"/>
      <c r="R145" s="110" t="s">
        <v>656</v>
      </c>
      <c r="S145" s="110"/>
      <c r="T145"/>
      <c r="U145"/>
    </row>
    <row r="146" spans="1:21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105</v>
      </c>
      <c r="H146" s="41">
        <v>1</v>
      </c>
      <c r="I146" s="41">
        <v>1</v>
      </c>
      <c r="J146" s="108">
        <f>POWER(POWER(Table2[[#This Row],[log10(mv)]],4)/10,0.25)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09">
        <v>191688</v>
      </c>
      <c r="P146" s="107"/>
      <c r="Q146" s="111"/>
      <c r="R146" s="110" t="s">
        <v>657</v>
      </c>
      <c r="S146" s="110"/>
      <c r="T146"/>
      <c r="U146"/>
    </row>
    <row r="147" spans="1:21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105</v>
      </c>
      <c r="H147" s="41">
        <v>1</v>
      </c>
      <c r="I147" s="41">
        <v>1</v>
      </c>
      <c r="J147" s="108">
        <f>POWER(POWER(Table2[[#This Row],[log10(mv)]],4)/10,0.25)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09">
        <v>191688</v>
      </c>
      <c r="P147" s="107"/>
      <c r="Q147" s="111"/>
      <c r="R147" s="110" t="s">
        <v>658</v>
      </c>
      <c r="S147" s="110"/>
      <c r="T147"/>
      <c r="U147"/>
    </row>
    <row r="148" spans="1:21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105</v>
      </c>
      <c r="H148" s="41">
        <v>1</v>
      </c>
      <c r="I148" s="41">
        <v>1</v>
      </c>
      <c r="J148" s="108">
        <f>POWER(POWER(Table2[[#This Row],[log10(mv)]],4)/10,0.25)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09">
        <v>191688</v>
      </c>
      <c r="P148" s="107"/>
      <c r="Q148" s="111"/>
      <c r="R148" s="110" t="s">
        <v>659</v>
      </c>
      <c r="S148" s="110"/>
      <c r="T148"/>
      <c r="U148"/>
    </row>
    <row r="149" spans="1:21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105</v>
      </c>
      <c r="H149" s="41">
        <v>1</v>
      </c>
      <c r="I149" s="41">
        <v>1</v>
      </c>
      <c r="J149" s="108">
        <f>POWER(POWER(Table2[[#This Row],[log10(mv)]],4)/10,0.25)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09">
        <v>191688</v>
      </c>
      <c r="P149" s="107"/>
      <c r="Q149" s="111"/>
      <c r="R149" s="110" t="s">
        <v>660</v>
      </c>
      <c r="S149" s="110"/>
      <c r="T149"/>
      <c r="U149"/>
    </row>
    <row r="150" spans="1:21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105</v>
      </c>
      <c r="H150" s="41">
        <v>1</v>
      </c>
      <c r="I150" s="41">
        <v>1</v>
      </c>
      <c r="J150" s="108">
        <f>POWER(POWER(Table2[[#This Row],[log10(mv)]],4)/10,0.25)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09">
        <v>191688</v>
      </c>
      <c r="P150" s="107"/>
      <c r="Q150" s="111"/>
      <c r="R150" s="110" t="s">
        <v>661</v>
      </c>
      <c r="S150" s="110"/>
      <c r="T150"/>
      <c r="U150"/>
    </row>
    <row r="151" spans="1:21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105</v>
      </c>
      <c r="H151" s="41">
        <v>1</v>
      </c>
      <c r="I151" s="41">
        <v>1</v>
      </c>
      <c r="J151" s="108">
        <f>POWER(POWER(Table2[[#This Row],[log10(mv)]],4)/10,0.25)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09">
        <v>191695</v>
      </c>
      <c r="P151" s="107"/>
      <c r="Q151" s="111"/>
      <c r="R151" s="110" t="s">
        <v>662</v>
      </c>
      <c r="S151" s="110"/>
      <c r="T151"/>
      <c r="U151"/>
    </row>
    <row r="152" spans="1:21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105</v>
      </c>
      <c r="H152" s="41">
        <v>1</v>
      </c>
      <c r="I152" s="41">
        <v>1</v>
      </c>
      <c r="J152" s="108">
        <f>POWER(POWER(Table2[[#This Row],[log10(mv)]],4)/10,0.25)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09">
        <v>191695</v>
      </c>
      <c r="P152" s="107"/>
      <c r="Q152" s="111"/>
      <c r="R152" s="110" t="s">
        <v>663</v>
      </c>
      <c r="S152" s="110"/>
      <c r="T152"/>
      <c r="U152"/>
    </row>
    <row r="153" spans="1:21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105</v>
      </c>
      <c r="H153" s="41">
        <v>1</v>
      </c>
      <c r="I153" s="41">
        <v>1</v>
      </c>
      <c r="J153" s="108">
        <f>POWER(POWER(Table2[[#This Row],[log10(mv)]],4)/10,0.25)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09">
        <v>191695</v>
      </c>
      <c r="P153" s="107"/>
      <c r="Q153" s="111"/>
      <c r="R153" s="110" t="s">
        <v>664</v>
      </c>
      <c r="S153" s="110"/>
      <c r="T153"/>
      <c r="U153"/>
    </row>
    <row r="154" spans="1:21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105</v>
      </c>
      <c r="H154" s="41">
        <v>1</v>
      </c>
      <c r="I154" s="41">
        <v>1</v>
      </c>
      <c r="J154" s="108">
        <f>POWER(POWER(Table2[[#This Row],[log10(mv)]],4)/10,0.25)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09">
        <v>191695</v>
      </c>
      <c r="P154" s="107"/>
      <c r="Q154" s="111"/>
      <c r="R154" s="110" t="s">
        <v>665</v>
      </c>
      <c r="S154" s="110"/>
      <c r="T154"/>
      <c r="U154"/>
    </row>
    <row r="155" spans="1:21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105</v>
      </c>
      <c r="H155" s="41">
        <v>1</v>
      </c>
      <c r="I155" s="41">
        <v>1</v>
      </c>
      <c r="J155" s="108">
        <f>POWER(POWER(Table2[[#This Row],[log10(mv)]],4)/10,0.25)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09">
        <v>191695</v>
      </c>
      <c r="P155" s="107"/>
      <c r="Q155" s="111"/>
      <c r="R155" s="110" t="s">
        <v>666</v>
      </c>
      <c r="S155" s="110"/>
      <c r="T155"/>
      <c r="U155"/>
    </row>
    <row r="156" spans="1:21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105</v>
      </c>
      <c r="H156" s="41">
        <v>1</v>
      </c>
      <c r="I156" s="41">
        <v>1</v>
      </c>
      <c r="J156" s="108">
        <f>POWER(POWER(Table2[[#This Row],[log10(mv)]],4)/10,0.25)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09">
        <v>191695</v>
      </c>
      <c r="P156" s="107"/>
      <c r="Q156" s="111"/>
      <c r="R156" s="110" t="s">
        <v>667</v>
      </c>
      <c r="S156" s="110"/>
      <c r="T156"/>
      <c r="U156"/>
    </row>
    <row r="157" spans="1:21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105</v>
      </c>
      <c r="H157" s="41">
        <v>1</v>
      </c>
      <c r="I157" s="41">
        <v>1</v>
      </c>
      <c r="J157" s="108">
        <f>POWER(POWER(Table2[[#This Row],[log10(mv)]],4)/10,0.25)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09">
        <v>191695</v>
      </c>
      <c r="P157" s="107"/>
      <c r="Q157" s="111"/>
      <c r="R157" s="110" t="s">
        <v>668</v>
      </c>
      <c r="S157" s="110"/>
      <c r="T157"/>
      <c r="U157"/>
    </row>
    <row r="158" spans="1:21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105</v>
      </c>
      <c r="H158" s="41">
        <v>1</v>
      </c>
      <c r="I158" s="41">
        <v>1</v>
      </c>
      <c r="J158" s="108">
        <f>POWER(POWER(Table2[[#This Row],[log10(mv)]],4)/10,0.25)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09">
        <v>191695</v>
      </c>
      <c r="P158" s="107"/>
      <c r="Q158" s="111"/>
      <c r="R158" s="110" t="s">
        <v>669</v>
      </c>
      <c r="S158" s="110"/>
      <c r="T158"/>
      <c r="U158"/>
    </row>
    <row r="159" spans="1:21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105</v>
      </c>
      <c r="H159" s="41">
        <v>1</v>
      </c>
      <c r="I159" s="41">
        <v>1</v>
      </c>
      <c r="J159" s="108">
        <f>POWER(POWER(Table2[[#This Row],[log10(mv)]],4)/10,0.25)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09">
        <v>191695</v>
      </c>
      <c r="P159" s="107"/>
      <c r="Q159" s="111"/>
      <c r="R159" s="110" t="s">
        <v>670</v>
      </c>
      <c r="S159" s="110"/>
      <c r="T159"/>
      <c r="U159"/>
    </row>
    <row r="160" spans="1:21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105</v>
      </c>
      <c r="H160" s="41">
        <v>1</v>
      </c>
      <c r="I160" s="41">
        <v>1</v>
      </c>
      <c r="J160" s="108">
        <f>POWER(POWER(Table2[[#This Row],[log10(mv)]],4)/10,0.25)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09">
        <v>191695</v>
      </c>
      <c r="P160" s="107"/>
      <c r="Q160" s="111"/>
      <c r="R160" s="110" t="s">
        <v>671</v>
      </c>
      <c r="S160" s="110"/>
      <c r="T160"/>
      <c r="U160"/>
    </row>
    <row r="161" spans="1:21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105</v>
      </c>
      <c r="H161" s="41">
        <v>1</v>
      </c>
      <c r="I161" s="41">
        <v>1</v>
      </c>
      <c r="J161" s="108">
        <f>POWER(POWER(Table2[[#This Row],[log10(mv)]],4)/10,0.25)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09">
        <v>191695</v>
      </c>
      <c r="P161" s="107"/>
      <c r="Q161" s="111"/>
      <c r="R161" s="110" t="s">
        <v>672</v>
      </c>
      <c r="S161" s="110"/>
      <c r="T161"/>
      <c r="U161"/>
    </row>
    <row r="162" spans="1:21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105</v>
      </c>
      <c r="H162" s="41">
        <v>1</v>
      </c>
      <c r="I162" s="41">
        <v>1</v>
      </c>
      <c r="J162" s="108">
        <f>POWER(POWER(Table2[[#This Row],[log10(mv)]],4)/10,0.25)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09">
        <v>191695</v>
      </c>
      <c r="P162" s="107"/>
      <c r="Q162" s="111"/>
      <c r="R162" s="110" t="s">
        <v>673</v>
      </c>
      <c r="S162" s="110"/>
      <c r="T162"/>
      <c r="U162"/>
    </row>
    <row r="163" spans="1:21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105</v>
      </c>
      <c r="H163" s="41">
        <v>1</v>
      </c>
      <c r="I163" s="41">
        <v>1</v>
      </c>
      <c r="J163" s="108">
        <f>POWER(POWER(Table2[[#This Row],[log10(mv)]],4)/10,0.25)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09">
        <v>191695</v>
      </c>
      <c r="P163" s="107"/>
      <c r="Q163" s="111"/>
      <c r="R163" s="110" t="s">
        <v>674</v>
      </c>
      <c r="S163" s="110"/>
      <c r="T163"/>
      <c r="U163"/>
    </row>
    <row r="164" spans="1:21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105</v>
      </c>
      <c r="H164" s="41">
        <v>1</v>
      </c>
      <c r="I164" s="41">
        <v>1</v>
      </c>
      <c r="J164" s="108">
        <f>POWER(POWER(Table2[[#This Row],[log10(mv)]],4)/10,0.25)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09">
        <v>191702</v>
      </c>
      <c r="P164" s="107"/>
      <c r="Q164" s="111"/>
      <c r="R164" s="110" t="s">
        <v>675</v>
      </c>
      <c r="S164" s="110"/>
      <c r="T164"/>
      <c r="U164"/>
    </row>
    <row r="165" spans="1:21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105</v>
      </c>
      <c r="H165" s="41">
        <v>1</v>
      </c>
      <c r="I165" s="41">
        <v>1</v>
      </c>
      <c r="J165" s="108">
        <f>POWER(POWER(Table2[[#This Row],[log10(mv)]],4)/10,0.25)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09">
        <v>191702</v>
      </c>
      <c r="P165" s="107"/>
      <c r="Q165" s="111"/>
      <c r="R165" s="110" t="s">
        <v>676</v>
      </c>
      <c r="S165" s="110"/>
      <c r="T165"/>
      <c r="U165"/>
    </row>
    <row r="166" spans="1:21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105</v>
      </c>
      <c r="H166" s="41">
        <v>1</v>
      </c>
      <c r="I166" s="41">
        <v>1</v>
      </c>
      <c r="J166" s="108">
        <f>POWER(POWER(Table2[[#This Row],[log10(mv)]],4)/10,0.25)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09">
        <v>191702</v>
      </c>
      <c r="P166" s="107"/>
      <c r="Q166" s="111"/>
      <c r="R166" s="110" t="s">
        <v>677</v>
      </c>
      <c r="S166" s="110"/>
      <c r="T166"/>
      <c r="U166"/>
    </row>
    <row r="167" spans="1:21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105</v>
      </c>
      <c r="H167" s="41">
        <v>1</v>
      </c>
      <c r="I167" s="41">
        <v>1</v>
      </c>
      <c r="J167" s="108">
        <f>POWER(POWER(Table2[[#This Row],[log10(mv)]],4)/10,0.25)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09">
        <v>191702</v>
      </c>
      <c r="P167" s="107"/>
      <c r="Q167" s="111"/>
      <c r="R167" s="110" t="s">
        <v>678</v>
      </c>
      <c r="S167" s="110"/>
      <c r="T167"/>
      <c r="U167"/>
    </row>
    <row r="168" spans="1:21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105</v>
      </c>
      <c r="H168" s="41">
        <v>1</v>
      </c>
      <c r="I168" s="41">
        <v>1</v>
      </c>
      <c r="J168" s="108">
        <f>POWER(POWER(Table2[[#This Row],[log10(mv)]],4)/10,0.25)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09">
        <v>191702</v>
      </c>
      <c r="P168" s="107"/>
      <c r="Q168" s="111"/>
      <c r="R168" s="110" t="s">
        <v>679</v>
      </c>
      <c r="S168" s="110"/>
      <c r="T168"/>
      <c r="U168"/>
    </row>
    <row r="169" spans="1:21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105</v>
      </c>
      <c r="H169" s="41">
        <v>1</v>
      </c>
      <c r="I169" s="41">
        <v>1</v>
      </c>
      <c r="J169" s="108">
        <f>POWER(POWER(Table2[[#This Row],[log10(mv)]],4)/10,0.25)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09">
        <v>191702</v>
      </c>
      <c r="P169" s="107"/>
      <c r="Q169" s="111"/>
      <c r="R169" s="110" t="s">
        <v>680</v>
      </c>
      <c r="S169" s="110"/>
      <c r="T169"/>
      <c r="U169"/>
    </row>
    <row r="170" spans="1:21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105</v>
      </c>
      <c r="H170" s="41">
        <v>1</v>
      </c>
      <c r="I170" s="41">
        <v>1</v>
      </c>
      <c r="J170" s="108">
        <f>POWER(POWER(Table2[[#This Row],[log10(mv)]],4)/10,0.25)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09">
        <v>191702</v>
      </c>
      <c r="P170" s="107"/>
      <c r="Q170" s="111"/>
      <c r="R170" s="110" t="s">
        <v>681</v>
      </c>
      <c r="S170" s="110"/>
      <c r="T170"/>
      <c r="U170"/>
    </row>
    <row r="171" spans="1:21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105</v>
      </c>
      <c r="H171" s="41">
        <v>1</v>
      </c>
      <c r="I171" s="41">
        <v>1</v>
      </c>
      <c r="J171" s="108">
        <f>POWER(POWER(Table2[[#This Row],[log10(mv)]],4)/10,0.25)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09">
        <v>191702</v>
      </c>
      <c r="P171" s="107"/>
      <c r="Q171" s="111"/>
      <c r="R171" s="110" t="s">
        <v>682</v>
      </c>
      <c r="S171" s="110"/>
      <c r="T171"/>
      <c r="U171"/>
    </row>
    <row r="172" spans="1:21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105</v>
      </c>
      <c r="H172" s="41">
        <v>1</v>
      </c>
      <c r="I172" s="41">
        <v>1</v>
      </c>
      <c r="J172" s="108">
        <f>POWER(POWER(Table2[[#This Row],[log10(mv)]],4)/10,0.25)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09">
        <v>191702</v>
      </c>
      <c r="P172" s="107"/>
      <c r="Q172" s="111"/>
      <c r="R172" s="110" t="s">
        <v>683</v>
      </c>
      <c r="S172" s="110"/>
      <c r="T172"/>
      <c r="U172"/>
    </row>
    <row r="173" spans="1:21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105</v>
      </c>
      <c r="H173" s="41">
        <v>1</v>
      </c>
      <c r="I173" s="41">
        <v>1</v>
      </c>
      <c r="J173" s="108">
        <f>POWER(POWER(Table2[[#This Row],[log10(mv)]],4)/10,0.25)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09">
        <v>191702</v>
      </c>
      <c r="P173" s="107"/>
      <c r="Q173" s="111"/>
      <c r="R173" s="110" t="s">
        <v>684</v>
      </c>
      <c r="S173" s="110"/>
      <c r="T173"/>
      <c r="U173"/>
    </row>
    <row r="174" spans="1:21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105</v>
      </c>
      <c r="H174" s="41">
        <v>1</v>
      </c>
      <c r="I174" s="41">
        <v>1</v>
      </c>
      <c r="J174" s="108">
        <f>POWER(POWER(Table2[[#This Row],[log10(mv)]],4)/10,0.25)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09">
        <v>191702</v>
      </c>
      <c r="P174" s="107"/>
      <c r="Q174" s="111"/>
      <c r="R174" s="110" t="s">
        <v>685</v>
      </c>
      <c r="S174" s="110"/>
      <c r="T174"/>
      <c r="U174"/>
    </row>
    <row r="175" spans="1:21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105</v>
      </c>
      <c r="H175" s="41">
        <v>1</v>
      </c>
      <c r="I175" s="41">
        <v>1</v>
      </c>
      <c r="J175" s="108">
        <f>POWER(POWER(Table2[[#This Row],[log10(mv)]],4)/10,0.25)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09">
        <v>191702</v>
      </c>
      <c r="P175" s="107"/>
      <c r="Q175" s="111"/>
      <c r="R175" s="110" t="s">
        <v>686</v>
      </c>
      <c r="S175" s="110"/>
      <c r="T175"/>
      <c r="U175"/>
    </row>
    <row r="176" spans="1:21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105</v>
      </c>
      <c r="H176" s="41">
        <v>1</v>
      </c>
      <c r="I176" s="41">
        <v>1</v>
      </c>
      <c r="J176" s="108">
        <f>POWER(POWER(Table2[[#This Row],[log10(mv)]],4)/10,0.25)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09">
        <v>191702</v>
      </c>
      <c r="P176" s="107"/>
      <c r="Q176" s="111"/>
      <c r="R176" s="110" t="s">
        <v>687</v>
      </c>
      <c r="S176" s="110"/>
      <c r="T176"/>
      <c r="U176"/>
    </row>
    <row r="177" spans="1:21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105</v>
      </c>
      <c r="H177" s="41">
        <v>1</v>
      </c>
      <c r="I177" s="41">
        <v>1</v>
      </c>
      <c r="J177" s="108">
        <f>POWER(POWER(Table2[[#This Row],[log10(mv)]],4)/10,0.25)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09">
        <v>191702</v>
      </c>
      <c r="P177" s="107"/>
      <c r="Q177" s="111"/>
      <c r="R177" s="110" t="s">
        <v>688</v>
      </c>
      <c r="S177" s="110"/>
      <c r="T177"/>
      <c r="U177"/>
    </row>
    <row r="178" spans="1:21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105</v>
      </c>
      <c r="H178" s="41">
        <v>1</v>
      </c>
      <c r="I178" s="41">
        <v>1</v>
      </c>
      <c r="J178" s="108">
        <f>POWER(POWER(Table2[[#This Row],[log10(mv)]],4)/10,0.25)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09">
        <v>191702</v>
      </c>
      <c r="P178" s="107"/>
      <c r="Q178" s="111"/>
      <c r="R178" s="110" t="s">
        <v>689</v>
      </c>
      <c r="S178" s="110"/>
      <c r="T178"/>
      <c r="U178"/>
    </row>
    <row r="179" spans="1:21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105</v>
      </c>
      <c r="H179" s="41">
        <v>1</v>
      </c>
      <c r="I179" s="41">
        <v>1</v>
      </c>
      <c r="J179" s="108">
        <f>POWER(POWER(Table2[[#This Row],[log10(mv)]],4)/10,0.25)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09">
        <v>191703</v>
      </c>
      <c r="P179" s="107"/>
      <c r="Q179" s="111"/>
      <c r="R179" s="110" t="s">
        <v>690</v>
      </c>
      <c r="S179" s="110"/>
      <c r="T179"/>
      <c r="U179"/>
    </row>
    <row r="180" spans="1:21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105</v>
      </c>
      <c r="H180" s="41">
        <v>1</v>
      </c>
      <c r="I180" s="41">
        <v>1</v>
      </c>
      <c r="J180" s="108">
        <f>POWER(POWER(Table2[[#This Row],[log10(mv)]],4)/10,0.25)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09">
        <v>191703</v>
      </c>
      <c r="P180" s="107"/>
      <c r="Q180" s="111"/>
      <c r="R180" s="110" t="s">
        <v>691</v>
      </c>
      <c r="S180" s="110"/>
      <c r="T180"/>
      <c r="U180"/>
    </row>
    <row r="181" spans="1:21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105</v>
      </c>
      <c r="H181" s="41">
        <v>1</v>
      </c>
      <c r="I181" s="41">
        <v>1</v>
      </c>
      <c r="J181" s="108">
        <f>POWER(POWER(Table2[[#This Row],[log10(mv)]],4)/10,0.25)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09">
        <v>191703</v>
      </c>
      <c r="P181" s="107"/>
      <c r="Q181" s="111"/>
      <c r="R181" s="110" t="s">
        <v>692</v>
      </c>
      <c r="S181" s="110"/>
      <c r="T181"/>
      <c r="U181"/>
    </row>
    <row r="182" spans="1:21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105</v>
      </c>
      <c r="H182" s="41">
        <v>1</v>
      </c>
      <c r="I182" s="41">
        <v>1</v>
      </c>
      <c r="J182" s="108">
        <f>POWER(POWER(Table2[[#This Row],[log10(mv)]],4)/10,0.25)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09">
        <v>191703</v>
      </c>
      <c r="P182" s="107"/>
      <c r="Q182" s="111"/>
      <c r="R182" s="110" t="s">
        <v>693</v>
      </c>
      <c r="S182" s="110"/>
      <c r="T182"/>
      <c r="U182"/>
    </row>
    <row r="183" spans="1:21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105</v>
      </c>
      <c r="H183" s="41">
        <v>1</v>
      </c>
      <c r="I183" s="41">
        <v>1</v>
      </c>
      <c r="J183" s="108">
        <f>POWER(POWER(Table2[[#This Row],[log10(mv)]],4)/10,0.25)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09">
        <v>191703</v>
      </c>
      <c r="P183" s="107"/>
      <c r="Q183" s="111"/>
      <c r="R183" s="110" t="s">
        <v>694</v>
      </c>
      <c r="S183" s="110"/>
      <c r="T183"/>
      <c r="U183"/>
    </row>
    <row r="184" spans="1:21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105</v>
      </c>
      <c r="H184" s="41">
        <v>1</v>
      </c>
      <c r="I184" s="41">
        <v>1</v>
      </c>
      <c r="J184" s="108">
        <f>POWER(POWER(Table2[[#This Row],[log10(mv)]],4)/10,0.25)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09">
        <v>191703</v>
      </c>
      <c r="P184" s="107"/>
      <c r="Q184" s="111"/>
      <c r="R184" s="110" t="s">
        <v>695</v>
      </c>
      <c r="S184" s="110"/>
      <c r="T184"/>
      <c r="U184"/>
    </row>
    <row r="185" spans="1:21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105</v>
      </c>
      <c r="H185" s="41">
        <v>1</v>
      </c>
      <c r="I185" s="41">
        <v>1</v>
      </c>
      <c r="J185" s="108">
        <f>POWER(POWER(Table2[[#This Row],[log10(mv)]],4)/10,0.25)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09">
        <v>191703</v>
      </c>
      <c r="P185" s="107"/>
      <c r="Q185" s="111"/>
      <c r="R185" s="110" t="s">
        <v>696</v>
      </c>
      <c r="S185" s="110"/>
      <c r="T185"/>
      <c r="U185"/>
    </row>
    <row r="186" spans="1:21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105</v>
      </c>
      <c r="H186" s="41">
        <v>1</v>
      </c>
      <c r="I186" s="41">
        <v>1</v>
      </c>
      <c r="J186" s="108">
        <f>POWER(POWER(Table2[[#This Row],[log10(mv)]],4)/10,0.25)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09">
        <v>191703</v>
      </c>
      <c r="P186" s="107"/>
      <c r="Q186" s="111"/>
      <c r="R186" s="110" t="s">
        <v>697</v>
      </c>
      <c r="S186" s="110"/>
      <c r="T186"/>
      <c r="U186"/>
    </row>
    <row r="187" spans="1:21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105</v>
      </c>
      <c r="H187" s="41">
        <v>1</v>
      </c>
      <c r="I187" s="41">
        <v>1</v>
      </c>
      <c r="J187" s="108">
        <f>POWER(POWER(Table2[[#This Row],[log10(mv)]],4)/10,0.25)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09">
        <v>191703</v>
      </c>
      <c r="P187" s="107"/>
      <c r="Q187" s="111"/>
      <c r="R187" s="110" t="s">
        <v>698</v>
      </c>
      <c r="S187" s="110"/>
      <c r="T187"/>
      <c r="U187"/>
    </row>
    <row r="188" spans="1:21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105</v>
      </c>
      <c r="H188" s="41">
        <v>1</v>
      </c>
      <c r="I188" s="41">
        <v>1</v>
      </c>
      <c r="J188" s="108">
        <f>POWER(POWER(Table2[[#This Row],[log10(mv)]],4)/10,0.25)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09">
        <v>191703</v>
      </c>
      <c r="P188" s="107"/>
      <c r="Q188" s="111"/>
      <c r="R188" s="110" t="s">
        <v>699</v>
      </c>
      <c r="S188" s="110"/>
      <c r="T188"/>
      <c r="U188"/>
    </row>
    <row r="189" spans="1:21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105</v>
      </c>
      <c r="H189" s="41">
        <v>1</v>
      </c>
      <c r="I189" s="41">
        <v>1</v>
      </c>
      <c r="J189" s="108">
        <f>POWER(POWER(Table2[[#This Row],[log10(mv)]],4)/10,0.25)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09">
        <v>191703</v>
      </c>
      <c r="P189" s="107"/>
      <c r="Q189" s="111"/>
      <c r="R189" s="110" t="s">
        <v>700</v>
      </c>
      <c r="S189" s="110"/>
      <c r="T189"/>
      <c r="U189"/>
    </row>
    <row r="190" spans="1:21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105</v>
      </c>
      <c r="H190" s="41">
        <v>1</v>
      </c>
      <c r="I190" s="41">
        <v>1</v>
      </c>
      <c r="J190" s="108">
        <f>POWER(POWER(Table2[[#This Row],[log10(mv)]],4)/10,0.25)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09">
        <v>191703</v>
      </c>
      <c r="P190" s="107"/>
      <c r="Q190" s="111"/>
      <c r="R190" s="110" t="s">
        <v>701</v>
      </c>
      <c r="S190" s="110"/>
      <c r="T190"/>
      <c r="U190"/>
    </row>
    <row r="191" spans="1:21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105</v>
      </c>
      <c r="H191" s="41">
        <v>1</v>
      </c>
      <c r="I191" s="41">
        <v>1</v>
      </c>
      <c r="J191" s="108">
        <f>POWER(POWER(Table2[[#This Row],[log10(mv)]],4)/10,0.25)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09">
        <v>191703</v>
      </c>
      <c r="P191" s="107"/>
      <c r="Q191" s="111"/>
      <c r="R191" s="110" t="s">
        <v>702</v>
      </c>
      <c r="S191" s="110"/>
      <c r="T191"/>
      <c r="U191"/>
    </row>
    <row r="192" spans="1:21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105</v>
      </c>
      <c r="H192" s="41">
        <v>1</v>
      </c>
      <c r="I192" s="41">
        <v>1</v>
      </c>
      <c r="J192" s="108">
        <f>POWER(POWER(Table2[[#This Row],[log10(mv)]],4)/10,0.25)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09">
        <v>191703</v>
      </c>
      <c r="P192" s="107"/>
      <c r="Q192" s="111"/>
      <c r="R192" s="110" t="s">
        <v>703</v>
      </c>
      <c r="S192" s="110"/>
      <c r="T192"/>
      <c r="U192"/>
    </row>
    <row r="193" spans="1:21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105</v>
      </c>
      <c r="H193" s="41">
        <v>1</v>
      </c>
      <c r="I193" s="41">
        <v>1</v>
      </c>
      <c r="J193" s="108">
        <f>POWER(POWER(Table2[[#This Row],[log10(mv)]],4)/10,0.25)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09">
        <v>191704</v>
      </c>
      <c r="P193" s="107"/>
      <c r="Q193" s="111"/>
      <c r="R193" s="110" t="s">
        <v>704</v>
      </c>
      <c r="S193" s="110"/>
      <c r="T193"/>
      <c r="U193"/>
    </row>
    <row r="194" spans="1:21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105</v>
      </c>
      <c r="H194" s="41">
        <v>1</v>
      </c>
      <c r="I194" s="41">
        <v>1</v>
      </c>
      <c r="J194" s="108">
        <f>POWER(POWER(Table2[[#This Row],[log10(mv)]],4)/10,0.25)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09">
        <v>191704</v>
      </c>
      <c r="P194" s="107"/>
      <c r="Q194" s="111"/>
      <c r="R194" s="110" t="s">
        <v>705</v>
      </c>
      <c r="S194" s="110"/>
      <c r="T194"/>
      <c r="U194"/>
    </row>
    <row r="195" spans="1:21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105</v>
      </c>
      <c r="H195" s="41">
        <v>1</v>
      </c>
      <c r="I195" s="41">
        <v>1</v>
      </c>
      <c r="J195" s="108">
        <f>POWER(POWER(Table2[[#This Row],[log10(mv)]],4)/10,0.25)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09">
        <v>191704</v>
      </c>
      <c r="P195" s="107"/>
      <c r="Q195" s="111"/>
      <c r="R195" s="110" t="s">
        <v>706</v>
      </c>
      <c r="S195" s="110"/>
      <c r="T195"/>
      <c r="U195"/>
    </row>
    <row r="196" spans="1:21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105</v>
      </c>
      <c r="H196" s="41">
        <v>1</v>
      </c>
      <c r="I196" s="41">
        <v>1</v>
      </c>
      <c r="J196" s="108">
        <f>POWER(POWER(Table2[[#This Row],[log10(mv)]],4)/10,0.25)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09">
        <v>191704</v>
      </c>
      <c r="P196" s="107"/>
      <c r="Q196" s="111"/>
      <c r="R196" s="110" t="s">
        <v>707</v>
      </c>
      <c r="S196" s="110"/>
      <c r="T196"/>
      <c r="U196"/>
    </row>
    <row r="197" spans="1:21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105</v>
      </c>
      <c r="H197" s="41">
        <v>1</v>
      </c>
      <c r="I197" s="41">
        <v>1</v>
      </c>
      <c r="J197" s="108">
        <f>POWER(POWER(Table2[[#This Row],[log10(mv)]],4)/10,0.25)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09">
        <v>191704</v>
      </c>
      <c r="P197" s="107"/>
      <c r="Q197" s="111"/>
      <c r="R197" s="110" t="s">
        <v>708</v>
      </c>
      <c r="S197" s="110"/>
      <c r="T197"/>
      <c r="U197"/>
    </row>
    <row r="198" spans="1:21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105</v>
      </c>
      <c r="H198" s="41">
        <v>1</v>
      </c>
      <c r="I198" s="41">
        <v>1</v>
      </c>
      <c r="J198" s="108">
        <f>POWER(POWER(Table2[[#This Row],[log10(mv)]],4)/10,0.25)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09">
        <v>191704</v>
      </c>
      <c r="P198" s="107"/>
      <c r="Q198" s="111"/>
      <c r="R198" s="110" t="s">
        <v>709</v>
      </c>
      <c r="S198" s="110"/>
      <c r="T198"/>
      <c r="U198"/>
    </row>
    <row r="199" spans="1:21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105</v>
      </c>
      <c r="H199" s="41">
        <v>1</v>
      </c>
      <c r="I199" s="41">
        <v>1</v>
      </c>
      <c r="J199" s="108">
        <f>POWER(POWER(Table2[[#This Row],[log10(mv)]],4)/10,0.25)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09">
        <v>191704</v>
      </c>
      <c r="P199" s="107"/>
      <c r="Q199" s="111"/>
      <c r="R199" s="110" t="s">
        <v>710</v>
      </c>
      <c r="S199" s="110"/>
      <c r="T199"/>
      <c r="U199"/>
    </row>
    <row r="200" spans="1:21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105</v>
      </c>
      <c r="H200" s="41">
        <v>1</v>
      </c>
      <c r="I200" s="41">
        <v>1</v>
      </c>
      <c r="J200" s="108">
        <f>POWER(POWER(Table2[[#This Row],[log10(mv)]],4)/10,0.25)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09">
        <v>191704</v>
      </c>
      <c r="P200" s="107"/>
      <c r="Q200" s="111"/>
      <c r="R200" s="110" t="s">
        <v>711</v>
      </c>
      <c r="S200" s="110"/>
      <c r="T200"/>
      <c r="U200"/>
    </row>
    <row r="201" spans="1:21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105</v>
      </c>
      <c r="H201" s="41">
        <v>1</v>
      </c>
      <c r="I201" s="41">
        <v>1</v>
      </c>
      <c r="J201" s="108">
        <f>POWER(POWER(Table2[[#This Row],[log10(mv)]],4)/10,0.25)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09">
        <v>191704</v>
      </c>
      <c r="P201" s="107"/>
      <c r="Q201" s="111"/>
      <c r="R201" s="110" t="s">
        <v>712</v>
      </c>
      <c r="S201" s="110"/>
      <c r="T201"/>
      <c r="U201"/>
    </row>
    <row r="202" spans="1:21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105</v>
      </c>
      <c r="H202" s="41">
        <v>1</v>
      </c>
      <c r="I202" s="41">
        <v>1</v>
      </c>
      <c r="J202" s="108">
        <f>POWER(POWER(Table2[[#This Row],[log10(mv)]],4)/10,0.25)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09">
        <v>191704</v>
      </c>
      <c r="P202" s="107"/>
      <c r="Q202" s="111"/>
      <c r="R202" s="110" t="s">
        <v>713</v>
      </c>
      <c r="S202" s="110"/>
      <c r="T202"/>
      <c r="U202"/>
    </row>
    <row r="203" spans="1:21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105</v>
      </c>
      <c r="H203" s="41">
        <v>1</v>
      </c>
      <c r="I203" s="41">
        <v>1</v>
      </c>
      <c r="J203" s="108">
        <f>POWER(POWER(Table2[[#This Row],[log10(mv)]],4)/10,0.25)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09">
        <v>191704</v>
      </c>
      <c r="P203" s="107"/>
      <c r="Q203" s="111"/>
      <c r="R203" s="110" t="s">
        <v>714</v>
      </c>
      <c r="S203" s="110"/>
      <c r="T203"/>
      <c r="U203"/>
    </row>
    <row r="204" spans="1:21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105</v>
      </c>
      <c r="H204" s="41">
        <v>1</v>
      </c>
      <c r="I204" s="41">
        <v>1</v>
      </c>
      <c r="J204" s="108">
        <f>POWER(POWER(Table2[[#This Row],[log10(mv)]],4)/10,0.25)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09">
        <v>191704</v>
      </c>
      <c r="P204" s="107"/>
      <c r="Q204" s="111"/>
      <c r="R204" s="110" t="s">
        <v>715</v>
      </c>
      <c r="S204" s="110"/>
      <c r="T204"/>
      <c r="U204"/>
    </row>
    <row r="205" spans="1:21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105</v>
      </c>
      <c r="H205" s="41">
        <v>1</v>
      </c>
      <c r="I205" s="41">
        <v>1</v>
      </c>
      <c r="J205" s="108">
        <f>POWER(POWER(Table2[[#This Row],[log10(mv)]],4)/10,0.25)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09">
        <v>191704</v>
      </c>
      <c r="P205" s="107"/>
      <c r="Q205" s="111"/>
      <c r="R205" s="110" t="s">
        <v>716</v>
      </c>
      <c r="S205" s="110"/>
      <c r="T205"/>
      <c r="U205"/>
    </row>
    <row r="206" spans="1:21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105</v>
      </c>
      <c r="H206" s="41">
        <v>1</v>
      </c>
      <c r="I206" s="41">
        <v>1</v>
      </c>
      <c r="J206" s="108">
        <f>POWER(POWER(Table2[[#This Row],[log10(mv)]],4)/10,0.25)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09">
        <v>191704</v>
      </c>
      <c r="P206" s="107"/>
      <c r="Q206" s="111"/>
      <c r="R206" s="110" t="s">
        <v>717</v>
      </c>
      <c r="S206" s="110"/>
      <c r="T206"/>
      <c r="U206"/>
    </row>
    <row r="207" spans="1:21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105</v>
      </c>
      <c r="H207" s="41">
        <v>1</v>
      </c>
      <c r="I207" s="41">
        <v>1</v>
      </c>
      <c r="J207" s="108">
        <f>POWER(POWER(Table2[[#This Row],[log10(mv)]],4)/10,0.25)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09">
        <v>191707</v>
      </c>
      <c r="P207" s="107"/>
      <c r="Q207" s="111"/>
      <c r="R207" s="110" t="s">
        <v>718</v>
      </c>
      <c r="S207" s="110"/>
      <c r="T207"/>
      <c r="U207"/>
    </row>
    <row r="208" spans="1:21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105</v>
      </c>
      <c r="H208" s="41">
        <v>1</v>
      </c>
      <c r="I208" s="41">
        <v>1</v>
      </c>
      <c r="J208" s="108">
        <f>POWER(POWER(Table2[[#This Row],[log10(mv)]],4)/10,0.25)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09">
        <v>191707</v>
      </c>
      <c r="P208" s="107"/>
      <c r="Q208" s="111"/>
      <c r="R208" s="110" t="s">
        <v>719</v>
      </c>
      <c r="S208" s="110"/>
      <c r="T208"/>
      <c r="U208"/>
    </row>
    <row r="209" spans="1:21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105</v>
      </c>
      <c r="H209" s="41">
        <v>1</v>
      </c>
      <c r="I209" s="41">
        <v>1</v>
      </c>
      <c r="J209" s="108">
        <f>POWER(POWER(Table2[[#This Row],[log10(mv)]],4)/10,0.25)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09">
        <v>191707</v>
      </c>
      <c r="P209" s="107"/>
      <c r="Q209" s="111"/>
      <c r="R209" s="110" t="s">
        <v>720</v>
      </c>
      <c r="S209" s="110"/>
      <c r="T209"/>
      <c r="U209"/>
    </row>
    <row r="210" spans="1:21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105</v>
      </c>
      <c r="H210" s="41">
        <v>1</v>
      </c>
      <c r="I210" s="41">
        <v>1</v>
      </c>
      <c r="J210" s="108">
        <f>POWER(POWER(Table2[[#This Row],[log10(mv)]],4)/10,0.25)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09">
        <v>191707</v>
      </c>
      <c r="P210" s="107"/>
      <c r="Q210" s="111"/>
      <c r="R210" s="110" t="s">
        <v>721</v>
      </c>
      <c r="S210" s="110"/>
      <c r="T210"/>
      <c r="U210"/>
    </row>
    <row r="211" spans="1:21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105</v>
      </c>
      <c r="H211" s="41">
        <v>1</v>
      </c>
      <c r="I211" s="41">
        <v>1</v>
      </c>
      <c r="J211" s="108">
        <f>POWER(POWER(Table2[[#This Row],[log10(mv)]],4)/10,0.25)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09">
        <v>191707</v>
      </c>
      <c r="P211" s="107"/>
      <c r="Q211" s="111"/>
      <c r="R211" s="110" t="s">
        <v>722</v>
      </c>
      <c r="S211" s="110"/>
      <c r="T211"/>
      <c r="U211"/>
    </row>
    <row r="212" spans="1:21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105</v>
      </c>
      <c r="H212" s="41">
        <v>1</v>
      </c>
      <c r="I212" s="41">
        <v>1</v>
      </c>
      <c r="J212" s="108">
        <f>POWER(POWER(Table2[[#This Row],[log10(mv)]],4)/10,0.25)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09">
        <v>191707</v>
      </c>
      <c r="P212" s="107"/>
      <c r="Q212" s="111"/>
      <c r="R212" s="110" t="s">
        <v>723</v>
      </c>
      <c r="S212" s="110"/>
      <c r="T212"/>
      <c r="U212"/>
    </row>
    <row r="213" spans="1:21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105</v>
      </c>
      <c r="H213" s="41">
        <v>1</v>
      </c>
      <c r="I213" s="41">
        <v>1</v>
      </c>
      <c r="J213" s="108">
        <f>POWER(POWER(Table2[[#This Row],[log10(mv)]],4)/10,0.25)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09">
        <v>191707</v>
      </c>
      <c r="P213" s="107"/>
      <c r="Q213" s="111"/>
      <c r="R213" s="110" t="s">
        <v>724</v>
      </c>
      <c r="S213" s="110"/>
      <c r="T213"/>
      <c r="U213"/>
    </row>
    <row r="214" spans="1:21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105</v>
      </c>
      <c r="H214" s="41">
        <v>1</v>
      </c>
      <c r="I214" s="41">
        <v>1</v>
      </c>
      <c r="J214" s="108">
        <f>POWER(POWER(Table2[[#This Row],[log10(mv)]],4)/10,0.25)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09">
        <v>191707</v>
      </c>
      <c r="P214" s="107"/>
      <c r="Q214" s="111"/>
      <c r="R214" s="110" t="s">
        <v>725</v>
      </c>
      <c r="S214" s="110"/>
      <c r="T214"/>
      <c r="U214"/>
    </row>
    <row r="215" spans="1:21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105</v>
      </c>
      <c r="H215" s="41">
        <v>1</v>
      </c>
      <c r="I215" s="41">
        <v>1</v>
      </c>
      <c r="J215" s="108">
        <f>POWER(POWER(Table2[[#This Row],[log10(mv)]],4)/10,0.25)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09">
        <v>191707</v>
      </c>
      <c r="P215" s="107"/>
      <c r="Q215" s="111"/>
      <c r="R215" s="110" t="s">
        <v>726</v>
      </c>
      <c r="S215" s="110"/>
      <c r="T215"/>
      <c r="U215"/>
    </row>
    <row r="216" spans="1:21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105</v>
      </c>
      <c r="H216" s="41">
        <v>1</v>
      </c>
      <c r="I216" s="41">
        <v>1</v>
      </c>
      <c r="J216" s="108">
        <f>POWER(POWER(Table2[[#This Row],[log10(mv)]],4)/10,0.25)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09">
        <v>191707</v>
      </c>
      <c r="P216" s="107"/>
      <c r="Q216" s="111"/>
      <c r="R216" s="110" t="s">
        <v>727</v>
      </c>
      <c r="S216" s="110"/>
      <c r="T216"/>
      <c r="U216"/>
    </row>
    <row r="217" spans="1:21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105</v>
      </c>
      <c r="H217" s="41">
        <v>1</v>
      </c>
      <c r="I217" s="41">
        <v>1</v>
      </c>
      <c r="J217" s="108">
        <f>POWER(POWER(Table2[[#This Row],[log10(mv)]],4)/10,0.25)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09">
        <v>191707</v>
      </c>
      <c r="P217" s="107"/>
      <c r="Q217" s="111"/>
      <c r="R217" s="110" t="s">
        <v>728</v>
      </c>
      <c r="S217" s="110"/>
      <c r="T217"/>
      <c r="U217"/>
    </row>
    <row r="218" spans="1:21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105</v>
      </c>
      <c r="H218" s="41">
        <v>1</v>
      </c>
      <c r="I218" s="41">
        <v>1</v>
      </c>
      <c r="J218" s="108">
        <f>POWER(POWER(Table2[[#This Row],[log10(mv)]],4)/10,0.25)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09">
        <v>191707</v>
      </c>
      <c r="P218" s="107"/>
      <c r="Q218" s="111"/>
      <c r="R218" s="110" t="s">
        <v>729</v>
      </c>
      <c r="S218" s="110"/>
      <c r="T218"/>
      <c r="U218"/>
    </row>
    <row r="219" spans="1:21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105</v>
      </c>
      <c r="H219" s="41">
        <v>1</v>
      </c>
      <c r="I219" s="41">
        <v>1</v>
      </c>
      <c r="J219" s="108">
        <f>POWER(POWER(Table2[[#This Row],[log10(mv)]],4)/10,0.25)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09">
        <v>191707</v>
      </c>
      <c r="P219" s="107"/>
      <c r="Q219" s="111"/>
      <c r="R219" s="110" t="s">
        <v>730</v>
      </c>
      <c r="S219" s="110"/>
      <c r="T219"/>
      <c r="U219"/>
    </row>
    <row r="220" spans="1:21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105</v>
      </c>
      <c r="H220" s="41">
        <v>1</v>
      </c>
      <c r="I220" s="41">
        <v>1</v>
      </c>
      <c r="J220" s="108">
        <f>POWER(POWER(Table2[[#This Row],[log10(mv)]],4)/10,0.25)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09">
        <v>191707</v>
      </c>
      <c r="P220" s="107"/>
      <c r="Q220" s="111"/>
      <c r="R220" s="110" t="s">
        <v>731</v>
      </c>
      <c r="S220" s="110"/>
      <c r="T220"/>
      <c r="U220"/>
    </row>
    <row r="221" spans="1:21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105</v>
      </c>
      <c r="H221" s="41">
        <v>1</v>
      </c>
      <c r="I221" s="41">
        <v>1</v>
      </c>
      <c r="J221" s="108">
        <f>POWER(POWER(Table2[[#This Row],[log10(mv)]],4)/10,0.25)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09">
        <v>191710</v>
      </c>
      <c r="P221" s="107"/>
      <c r="Q221" s="111"/>
      <c r="R221" s="110" t="s">
        <v>732</v>
      </c>
      <c r="S221" s="110"/>
      <c r="T221"/>
      <c r="U221"/>
    </row>
    <row r="222" spans="1:21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105</v>
      </c>
      <c r="H222" s="41">
        <v>1</v>
      </c>
      <c r="I222" s="41">
        <v>1</v>
      </c>
      <c r="J222" s="108">
        <f>POWER(POWER(Table2[[#This Row],[log10(mv)]],4)/10,0.25)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09">
        <v>191710</v>
      </c>
      <c r="P222" s="107"/>
      <c r="Q222" s="111"/>
      <c r="R222" s="110" t="s">
        <v>733</v>
      </c>
      <c r="S222" s="110"/>
      <c r="T222"/>
      <c r="U222"/>
    </row>
    <row r="223" spans="1:21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105</v>
      </c>
      <c r="H223" s="41">
        <v>1</v>
      </c>
      <c r="I223" s="41">
        <v>1</v>
      </c>
      <c r="J223" s="108">
        <f>POWER(POWER(Table2[[#This Row],[log10(mv)]],4)/10,0.25)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09">
        <v>191710</v>
      </c>
      <c r="P223" s="107"/>
      <c r="Q223" s="111"/>
      <c r="R223" s="110" t="s">
        <v>734</v>
      </c>
      <c r="S223" s="110"/>
      <c r="T223"/>
      <c r="U223"/>
    </row>
    <row r="224" spans="1:21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105</v>
      </c>
      <c r="H224" s="41">
        <v>1</v>
      </c>
      <c r="I224" s="41">
        <v>1</v>
      </c>
      <c r="J224" s="108">
        <f>POWER(POWER(Table2[[#This Row],[log10(mv)]],4)/10,0.25)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09">
        <v>191710</v>
      </c>
      <c r="P224" s="107"/>
      <c r="Q224" s="111"/>
      <c r="R224" s="110" t="s">
        <v>735</v>
      </c>
      <c r="S224" s="110"/>
      <c r="T224"/>
      <c r="U224"/>
    </row>
    <row r="225" spans="1:21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105</v>
      </c>
      <c r="H225" s="41">
        <v>1</v>
      </c>
      <c r="I225" s="41">
        <v>1</v>
      </c>
      <c r="J225" s="108">
        <f>POWER(POWER(Table2[[#This Row],[log10(mv)]],4)/10,0.25)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09">
        <v>191710</v>
      </c>
      <c r="P225" s="107"/>
      <c r="Q225" s="111"/>
      <c r="R225" s="110" t="s">
        <v>736</v>
      </c>
      <c r="S225" s="110"/>
      <c r="T225"/>
      <c r="U225"/>
    </row>
    <row r="226" spans="1:21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105</v>
      </c>
      <c r="H226" s="41">
        <v>1</v>
      </c>
      <c r="I226" s="41">
        <v>1</v>
      </c>
      <c r="J226" s="108">
        <f>POWER(POWER(Table2[[#This Row],[log10(mv)]],4)/10,0.25)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09">
        <v>191710</v>
      </c>
      <c r="P226" s="107"/>
      <c r="Q226" s="111"/>
      <c r="R226" s="110" t="s">
        <v>737</v>
      </c>
      <c r="S226" s="110"/>
      <c r="T226"/>
      <c r="U226"/>
    </row>
    <row r="227" spans="1:21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105</v>
      </c>
      <c r="H227" s="41">
        <v>1</v>
      </c>
      <c r="I227" s="41">
        <v>1</v>
      </c>
      <c r="J227" s="108">
        <f>POWER(POWER(Table2[[#This Row],[log10(mv)]],4)/10,0.25)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09">
        <v>191710</v>
      </c>
      <c r="P227" s="107"/>
      <c r="Q227" s="111"/>
      <c r="R227" s="110" t="s">
        <v>738</v>
      </c>
      <c r="S227" s="110"/>
      <c r="T227"/>
      <c r="U227"/>
    </row>
    <row r="228" spans="1:21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105</v>
      </c>
      <c r="H228" s="41">
        <v>1</v>
      </c>
      <c r="I228" s="41">
        <v>1</v>
      </c>
      <c r="J228" s="108">
        <f>POWER(POWER(Table2[[#This Row],[log10(mv)]],4)/10,0.25)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09">
        <v>191710</v>
      </c>
      <c r="P228" s="107"/>
      <c r="Q228" s="111"/>
      <c r="R228" s="110" t="s">
        <v>739</v>
      </c>
      <c r="S228" s="110"/>
      <c r="T228"/>
      <c r="U228"/>
    </row>
    <row r="229" spans="1:21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105</v>
      </c>
      <c r="H229" s="41">
        <v>1</v>
      </c>
      <c r="I229" s="41">
        <v>1</v>
      </c>
      <c r="J229" s="108">
        <f>POWER(POWER(Table2[[#This Row],[log10(mv)]],4)/10,0.25)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09">
        <v>191710</v>
      </c>
      <c r="P229" s="107"/>
      <c r="Q229" s="111"/>
      <c r="R229" s="110" t="s">
        <v>740</v>
      </c>
      <c r="S229" s="110"/>
      <c r="T229"/>
      <c r="U229"/>
    </row>
    <row r="230" spans="1:21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105</v>
      </c>
      <c r="H230" s="41">
        <v>1</v>
      </c>
      <c r="I230" s="41">
        <v>1</v>
      </c>
      <c r="J230" s="108">
        <f>POWER(POWER(Table2[[#This Row],[log10(mv)]],4)/10,0.25)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09">
        <v>191710</v>
      </c>
      <c r="P230" s="107"/>
      <c r="Q230" s="111"/>
      <c r="R230" s="110" t="s">
        <v>741</v>
      </c>
      <c r="S230" s="110"/>
      <c r="T230"/>
      <c r="U230"/>
    </row>
    <row r="231" spans="1:21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105</v>
      </c>
      <c r="H231" s="41">
        <v>1</v>
      </c>
      <c r="I231" s="41">
        <v>1</v>
      </c>
      <c r="J231" s="108">
        <f>POWER(POWER(Table2[[#This Row],[log10(mv)]],4)/10,0.25)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09">
        <v>191710</v>
      </c>
      <c r="P231" s="107"/>
      <c r="Q231" s="111"/>
      <c r="R231" s="110" t="s">
        <v>742</v>
      </c>
      <c r="S231" s="110"/>
      <c r="T231"/>
      <c r="U231"/>
    </row>
    <row r="232" spans="1:21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105</v>
      </c>
      <c r="H232" s="41">
        <v>1</v>
      </c>
      <c r="I232" s="41">
        <v>1</v>
      </c>
      <c r="J232" s="108">
        <f>POWER(POWER(Table2[[#This Row],[log10(mv)]],4)/10,0.25)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09">
        <v>191710</v>
      </c>
      <c r="P232" s="107"/>
      <c r="Q232" s="111"/>
      <c r="R232" s="110" t="s">
        <v>743</v>
      </c>
      <c r="S232" s="110"/>
      <c r="T232"/>
      <c r="U232"/>
    </row>
    <row r="233" spans="1:21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105</v>
      </c>
      <c r="H233" s="41">
        <v>1</v>
      </c>
      <c r="I233" s="41">
        <v>1</v>
      </c>
      <c r="J233" s="108">
        <f>POWER(POWER(Table2[[#This Row],[log10(mv)]],4)/10,0.25)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09">
        <v>191710</v>
      </c>
      <c r="P233" s="107"/>
      <c r="Q233" s="111"/>
      <c r="R233" s="110" t="s">
        <v>744</v>
      </c>
      <c r="S233" s="110"/>
      <c r="T233"/>
      <c r="U233"/>
    </row>
    <row r="234" spans="1:21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105</v>
      </c>
      <c r="H234" s="41">
        <v>1</v>
      </c>
      <c r="I234" s="41">
        <v>1</v>
      </c>
      <c r="J234" s="108">
        <f>POWER(POWER(Table2[[#This Row],[log10(mv)]],4)/10,0.25)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09">
        <v>191897</v>
      </c>
      <c r="P234" s="107"/>
      <c r="Q234" s="111"/>
      <c r="R234" s="110" t="s">
        <v>745</v>
      </c>
      <c r="S234" s="110"/>
      <c r="T234"/>
      <c r="U234"/>
    </row>
    <row r="235" spans="1:21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105</v>
      </c>
      <c r="H235" s="41">
        <v>1</v>
      </c>
      <c r="I235" s="41">
        <v>1</v>
      </c>
      <c r="J235" s="108">
        <f>POWER(POWER(Table2[[#This Row],[log10(mv)]],4)/10,0.25)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09">
        <v>191890</v>
      </c>
      <c r="P235" s="107"/>
      <c r="Q235" s="111"/>
      <c r="R235" s="110" t="s">
        <v>746</v>
      </c>
      <c r="S235" s="110"/>
      <c r="T235"/>
      <c r="U235"/>
    </row>
    <row r="236" spans="1:21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105</v>
      </c>
      <c r="H236" s="41">
        <v>1</v>
      </c>
      <c r="I236" s="41">
        <v>1</v>
      </c>
      <c r="J236" s="108">
        <f>POWER(POWER(Table2[[#This Row],[log10(mv)]],4)/10,0.25)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09">
        <v>191710</v>
      </c>
      <c r="P236" s="107"/>
      <c r="Q236" s="111"/>
      <c r="R236" s="110" t="s">
        <v>747</v>
      </c>
      <c r="S236" s="110"/>
      <c r="T236"/>
      <c r="U236"/>
    </row>
    <row r="237" spans="1:21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105</v>
      </c>
      <c r="H237" s="41">
        <v>1</v>
      </c>
      <c r="I237" s="41">
        <v>1</v>
      </c>
      <c r="J237" s="108">
        <f>POWER(POWER(Table2[[#This Row],[log10(mv)]],4)/10,0.25)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09">
        <v>191710</v>
      </c>
      <c r="P237" s="107"/>
      <c r="Q237" s="111"/>
      <c r="R237" s="110" t="s">
        <v>748</v>
      </c>
      <c r="S237" s="110"/>
      <c r="T237"/>
      <c r="U237"/>
    </row>
    <row r="238" spans="1:21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105</v>
      </c>
      <c r="H238" s="41">
        <v>1</v>
      </c>
      <c r="I238" s="41">
        <v>1</v>
      </c>
      <c r="J238" s="108">
        <f>POWER(POWER(Table2[[#This Row],[log10(mv)]],4)/10,0.25)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09">
        <v>191710</v>
      </c>
      <c r="P238" s="107"/>
      <c r="Q238" s="111"/>
      <c r="R238" s="110" t="s">
        <v>749</v>
      </c>
      <c r="S238" s="110"/>
      <c r="T238"/>
      <c r="U238"/>
    </row>
    <row r="239" spans="1:21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105</v>
      </c>
      <c r="H239" s="41">
        <v>1</v>
      </c>
      <c r="I239" s="41">
        <v>1</v>
      </c>
      <c r="J239" s="108">
        <f>POWER(POWER(Table2[[#This Row],[log10(mv)]],4)/10,0.25)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09">
        <v>191710</v>
      </c>
      <c r="P239" s="107"/>
      <c r="Q239" s="111"/>
      <c r="R239" s="110" t="s">
        <v>750</v>
      </c>
      <c r="S239" s="110"/>
      <c r="T239"/>
      <c r="U239"/>
    </row>
    <row r="240" spans="1:21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105</v>
      </c>
      <c r="H240" s="41">
        <v>1</v>
      </c>
      <c r="I240" s="41">
        <v>1</v>
      </c>
      <c r="J240" s="108">
        <f>POWER(POWER(Table2[[#This Row],[log10(mv)]],4)/10,0.25)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09">
        <v>191888</v>
      </c>
      <c r="P240" s="107"/>
      <c r="Q240" s="111"/>
      <c r="R240" s="110" t="s">
        <v>751</v>
      </c>
      <c r="S240" s="110"/>
      <c r="T240"/>
      <c r="U240"/>
    </row>
    <row r="241" spans="1:21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105</v>
      </c>
      <c r="H241" s="41">
        <v>1</v>
      </c>
      <c r="I241" s="41">
        <v>1</v>
      </c>
      <c r="J241" s="108">
        <f>POWER(POWER(Table2[[#This Row],[log10(mv)]],4)/10,0.25)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09">
        <v>191888</v>
      </c>
      <c r="P241" s="107"/>
      <c r="Q241" s="111"/>
      <c r="R241" s="110" t="s">
        <v>752</v>
      </c>
      <c r="S241" s="110"/>
      <c r="T241"/>
      <c r="U241"/>
    </row>
    <row r="242" spans="1:21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105</v>
      </c>
      <c r="H242" s="41">
        <v>1</v>
      </c>
      <c r="I242" s="41">
        <v>1</v>
      </c>
      <c r="J242" s="108">
        <f>POWER(POWER(Table2[[#This Row],[log10(mv)]],4)/10,0.25)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09">
        <v>191888</v>
      </c>
      <c r="P242" s="107"/>
      <c r="Q242" s="111"/>
      <c r="R242" s="110" t="s">
        <v>753</v>
      </c>
      <c r="S242" s="110"/>
      <c r="T242"/>
      <c r="U242"/>
    </row>
    <row r="243" spans="1:21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105</v>
      </c>
      <c r="H243" s="41">
        <v>1</v>
      </c>
      <c r="I243" s="41">
        <v>1</v>
      </c>
      <c r="J243" s="108">
        <f>POWER(POWER(Table2[[#This Row],[log10(mv)]],4)/10,0.25)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09">
        <v>191888</v>
      </c>
      <c r="P243" s="107"/>
      <c r="Q243" s="111"/>
      <c r="R243" s="110" t="s">
        <v>754</v>
      </c>
      <c r="S243" s="110"/>
      <c r="T243"/>
      <c r="U243"/>
    </row>
    <row r="244" spans="1:21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105</v>
      </c>
      <c r="H244" s="41">
        <v>1</v>
      </c>
      <c r="I244" s="41">
        <v>1</v>
      </c>
      <c r="J244" s="108">
        <f>POWER(POWER(Table2[[#This Row],[log10(mv)]],4)/10,0.25)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09">
        <v>191888</v>
      </c>
      <c r="P244" s="107"/>
      <c r="Q244" s="111"/>
      <c r="R244" s="110" t="s">
        <v>755</v>
      </c>
      <c r="S244" s="110"/>
      <c r="T244"/>
      <c r="U244"/>
    </row>
    <row r="245" spans="1:21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105</v>
      </c>
      <c r="H245" s="41">
        <v>1</v>
      </c>
      <c r="I245" s="41">
        <v>1</v>
      </c>
      <c r="J245" s="108">
        <f>POWER(POWER(Table2[[#This Row],[log10(mv)]],4)/10,0.25)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09">
        <v>191888</v>
      </c>
      <c r="P245" s="107"/>
      <c r="Q245" s="111"/>
      <c r="R245" s="110" t="s">
        <v>756</v>
      </c>
      <c r="S245" s="110"/>
      <c r="T245"/>
      <c r="U245"/>
    </row>
    <row r="246" spans="1:21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105</v>
      </c>
      <c r="H246" s="41">
        <v>1</v>
      </c>
      <c r="I246" s="41">
        <v>1</v>
      </c>
      <c r="J246" s="108">
        <f>POWER(POWER(Table2[[#This Row],[log10(mv)]],4)/10,0.25)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09">
        <v>191710</v>
      </c>
      <c r="P246" s="107"/>
      <c r="Q246" s="111"/>
      <c r="R246" s="110" t="s">
        <v>757</v>
      </c>
      <c r="S246" s="110"/>
      <c r="T246"/>
      <c r="U246"/>
    </row>
    <row r="247" spans="1:21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105</v>
      </c>
      <c r="H247" s="41">
        <v>1</v>
      </c>
      <c r="I247" s="41">
        <v>1</v>
      </c>
      <c r="J247" s="108">
        <f>POWER(POWER(Table2[[#This Row],[log10(mv)]],4)/10,0.25)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09">
        <v>191710</v>
      </c>
      <c r="P247" s="107"/>
      <c r="Q247" s="111"/>
      <c r="R247" s="110" t="s">
        <v>758</v>
      </c>
      <c r="S247" s="110"/>
      <c r="T247"/>
      <c r="U247"/>
    </row>
    <row r="248" spans="1:21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105</v>
      </c>
      <c r="H248" s="41">
        <v>1</v>
      </c>
      <c r="I248" s="41">
        <v>1</v>
      </c>
      <c r="J248" s="108">
        <f>POWER(POWER(Table2[[#This Row],[log10(mv)]],4)/10,0.25)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09">
        <v>191710</v>
      </c>
      <c r="P248" s="107"/>
      <c r="Q248" s="111"/>
      <c r="R248" s="110" t="s">
        <v>759</v>
      </c>
      <c r="S248" s="110"/>
      <c r="T248"/>
      <c r="U248"/>
    </row>
    <row r="249" spans="1:21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105</v>
      </c>
      <c r="H249" s="41">
        <v>1</v>
      </c>
      <c r="I249" s="41">
        <v>1</v>
      </c>
      <c r="J249" s="108">
        <f>POWER(POWER(Table2[[#This Row],[log10(mv)]],4)/10,0.25)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09">
        <v>191710</v>
      </c>
      <c r="P249" s="107"/>
      <c r="Q249" s="111"/>
      <c r="R249" s="110" t="s">
        <v>760</v>
      </c>
      <c r="S249" s="110"/>
      <c r="T249"/>
      <c r="U249"/>
    </row>
    <row r="250" spans="1:21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105</v>
      </c>
      <c r="H250" s="41">
        <v>1</v>
      </c>
      <c r="I250" s="41">
        <v>1</v>
      </c>
      <c r="J250" s="108">
        <f>POWER(POWER(Table2[[#This Row],[log10(mv)]],4)/10,0.25)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09">
        <v>191710</v>
      </c>
      <c r="P250" s="107"/>
      <c r="Q250" s="111"/>
      <c r="R250" s="110" t="s">
        <v>761</v>
      </c>
      <c r="S250" s="110"/>
      <c r="T250"/>
      <c r="U250"/>
    </row>
    <row r="251" spans="1:21" x14ac:dyDescent="0.3">
      <c r="A251" s="105"/>
      <c r="J251" s="108"/>
      <c r="O251" s="109"/>
      <c r="P251" s="107"/>
      <c r="Q251" s="111"/>
      <c r="R251" s="110"/>
      <c r="S251" s="110"/>
      <c r="T251"/>
      <c r="U251"/>
    </row>
    <row r="252" spans="1:21" x14ac:dyDescent="0.3">
      <c r="A252" s="105"/>
      <c r="J252" s="108"/>
      <c r="O252" s="109"/>
      <c r="P252" s="107"/>
      <c r="Q252" s="111"/>
      <c r="R252" s="110"/>
      <c r="S252" s="110"/>
      <c r="T252"/>
      <c r="U252"/>
    </row>
    <row r="253" spans="1:21" x14ac:dyDescent="0.3">
      <c r="A253" s="105"/>
      <c r="J253" s="108"/>
      <c r="O253" s="109"/>
      <c r="P253" s="107"/>
      <c r="Q253" s="111"/>
      <c r="R253" s="110"/>
      <c r="S253" s="110"/>
      <c r="T253"/>
      <c r="U253"/>
    </row>
    <row r="254" spans="1:21" x14ac:dyDescent="0.3">
      <c r="A254" s="105"/>
      <c r="J254" s="108"/>
      <c r="O254" s="109"/>
      <c r="P254" s="107"/>
      <c r="Q254" s="111"/>
      <c r="R254" s="110"/>
      <c r="S254" s="110"/>
      <c r="T254"/>
      <c r="U254"/>
    </row>
    <row r="255" spans="1:21" x14ac:dyDescent="0.3">
      <c r="A255" s="105"/>
      <c r="J255" s="108"/>
      <c r="O255" s="109"/>
      <c r="P255" s="107"/>
      <c r="Q255" s="111"/>
      <c r="R255" s="110"/>
      <c r="S255" s="110"/>
      <c r="T255"/>
      <c r="U255"/>
    </row>
    <row r="256" spans="1:21" x14ac:dyDescent="0.3">
      <c r="A256" s="105"/>
      <c r="J256" s="108"/>
      <c r="O256" s="109"/>
      <c r="P256" s="107"/>
      <c r="Q256" s="111"/>
      <c r="R256" s="110"/>
      <c r="S256" s="110"/>
      <c r="T256"/>
      <c r="U256"/>
    </row>
    <row r="257" spans="1:21" x14ac:dyDescent="0.3">
      <c r="A257" s="105"/>
      <c r="J257" s="108"/>
      <c r="O257" s="109"/>
      <c r="P257" s="107"/>
      <c r="Q257" s="111"/>
      <c r="R257" s="110"/>
      <c r="S257" s="110"/>
      <c r="T257"/>
      <c r="U257"/>
    </row>
    <row r="258" spans="1:21" x14ac:dyDescent="0.3">
      <c r="A258" s="105"/>
      <c r="J258" s="108"/>
      <c r="O258" s="109"/>
      <c r="P258" s="107"/>
      <c r="Q258" s="111"/>
      <c r="R258" s="110"/>
      <c r="S258" s="110"/>
      <c r="T258"/>
      <c r="U258"/>
    </row>
    <row r="259" spans="1:21" x14ac:dyDescent="0.3">
      <c r="A259" s="105"/>
      <c r="J259" s="108"/>
      <c r="O259" s="109"/>
      <c r="P259" s="107"/>
      <c r="Q259" s="111"/>
      <c r="R259" s="110"/>
      <c r="S259" s="110"/>
      <c r="T259"/>
      <c r="U259"/>
    </row>
    <row r="260" spans="1:21" x14ac:dyDescent="0.3">
      <c r="A260" s="105"/>
      <c r="J260" s="108"/>
      <c r="O260" s="109"/>
      <c r="P260" s="107"/>
      <c r="Q260" s="111"/>
      <c r="R260" s="110"/>
      <c r="S260" s="110"/>
      <c r="T260"/>
      <c r="U260"/>
    </row>
    <row r="261" spans="1:21" x14ac:dyDescent="0.3">
      <c r="A261" s="105"/>
      <c r="J261" s="108"/>
      <c r="O261" s="109"/>
      <c r="P261" s="107"/>
      <c r="Q261" s="111"/>
      <c r="R261" s="110"/>
      <c r="S261" s="110"/>
      <c r="T261"/>
      <c r="U261"/>
    </row>
    <row r="262" spans="1:21" x14ac:dyDescent="0.3">
      <c r="A262" s="105"/>
      <c r="J262" s="108"/>
      <c r="O262" s="109"/>
      <c r="P262" s="107"/>
      <c r="Q262" s="111"/>
      <c r="R262" s="110"/>
      <c r="S262" s="110"/>
      <c r="T262"/>
      <c r="U262"/>
    </row>
    <row r="263" spans="1:21" x14ac:dyDescent="0.3">
      <c r="A263" s="105"/>
      <c r="J263" s="108"/>
      <c r="O263" s="109"/>
      <c r="P263" s="107"/>
      <c r="Q263" s="111"/>
      <c r="R263" s="110"/>
      <c r="S263" s="110"/>
      <c r="T263"/>
      <c r="U263"/>
    </row>
    <row r="264" spans="1:21" x14ac:dyDescent="0.3">
      <c r="A264" s="105"/>
      <c r="J264" s="108"/>
      <c r="O264" s="109"/>
      <c r="P264" s="107"/>
      <c r="Q264" s="111"/>
      <c r="R264" s="110"/>
      <c r="S264" s="110"/>
      <c r="T264"/>
      <c r="U264"/>
    </row>
    <row r="265" spans="1:21" x14ac:dyDescent="0.3">
      <c r="A265" s="105"/>
      <c r="J265" s="108"/>
      <c r="O265" s="109"/>
      <c r="P265" s="107"/>
      <c r="Q265" s="111"/>
      <c r="R265" s="110"/>
      <c r="S265" s="110"/>
      <c r="T265"/>
      <c r="U265"/>
    </row>
    <row r="266" spans="1:21" x14ac:dyDescent="0.3">
      <c r="A266" s="105"/>
      <c r="J266" s="108"/>
      <c r="O266" s="109"/>
      <c r="P266" s="107"/>
      <c r="Q266" s="111"/>
      <c r="R266" s="110"/>
      <c r="S266" s="110"/>
      <c r="T266"/>
      <c r="U266"/>
    </row>
    <row r="267" spans="1:21" x14ac:dyDescent="0.3">
      <c r="A267" s="105"/>
      <c r="J267" s="108"/>
      <c r="O267" s="109"/>
      <c r="P267" s="107"/>
      <c r="Q267" s="111"/>
      <c r="R267" s="110"/>
      <c r="S267" s="110"/>
      <c r="T267"/>
      <c r="U267"/>
    </row>
    <row r="268" spans="1:21" x14ac:dyDescent="0.3">
      <c r="A268" s="105"/>
      <c r="J268" s="108"/>
      <c r="O268" s="109"/>
      <c r="P268" s="107"/>
      <c r="Q268" s="111"/>
      <c r="R268" s="110"/>
      <c r="S268" s="110"/>
      <c r="T268"/>
      <c r="U268"/>
    </row>
    <row r="269" spans="1:21" x14ac:dyDescent="0.3">
      <c r="A269" s="105"/>
      <c r="J269" s="108"/>
      <c r="O269" s="109"/>
      <c r="P269" s="107"/>
      <c r="Q269" s="111"/>
      <c r="R269" s="110"/>
      <c r="S269" s="110"/>
      <c r="T269"/>
      <c r="U269"/>
    </row>
    <row r="270" spans="1:21" x14ac:dyDescent="0.3">
      <c r="A270" s="105"/>
      <c r="J270" s="108"/>
      <c r="O270" s="109"/>
      <c r="P270" s="107"/>
      <c r="Q270" s="111"/>
      <c r="R270" s="110"/>
      <c r="S270" s="110"/>
      <c r="T270"/>
      <c r="U270"/>
    </row>
    <row r="271" spans="1:21" x14ac:dyDescent="0.3">
      <c r="A271" s="105"/>
      <c r="J271" s="108"/>
      <c r="O271" s="109"/>
      <c r="P271" s="107"/>
      <c r="Q271" s="111"/>
      <c r="R271" s="110"/>
      <c r="S271" s="110"/>
      <c r="T271"/>
      <c r="U271"/>
    </row>
    <row r="272" spans="1:21" x14ac:dyDescent="0.3">
      <c r="A272" s="105"/>
      <c r="J272" s="108"/>
      <c r="O272" s="109"/>
      <c r="P272" s="107"/>
      <c r="Q272" s="111"/>
      <c r="R272" s="110"/>
      <c r="S272" s="110"/>
      <c r="T272"/>
      <c r="U272"/>
    </row>
    <row r="273" spans="1:21" x14ac:dyDescent="0.3">
      <c r="A273" s="105"/>
      <c r="J273" s="108"/>
      <c r="O273" s="109"/>
      <c r="P273" s="107"/>
      <c r="Q273" s="111"/>
      <c r="R273" s="110"/>
      <c r="S273" s="110"/>
      <c r="T273"/>
      <c r="U273"/>
    </row>
    <row r="274" spans="1:21" x14ac:dyDescent="0.3">
      <c r="A274" s="105"/>
      <c r="J274" s="108"/>
      <c r="O274" s="109"/>
      <c r="P274" s="107"/>
      <c r="Q274" s="111"/>
      <c r="R274" s="110"/>
      <c r="S274" s="110"/>
      <c r="T274"/>
      <c r="U274"/>
    </row>
    <row r="275" spans="1:21" x14ac:dyDescent="0.3">
      <c r="A275" s="105"/>
      <c r="J275" s="108"/>
      <c r="O275" s="109"/>
      <c r="P275" s="107"/>
      <c r="Q275" s="111"/>
      <c r="R275" s="110"/>
      <c r="S275" s="110"/>
      <c r="T275"/>
      <c r="U275"/>
    </row>
    <row r="276" spans="1:21" x14ac:dyDescent="0.3">
      <c r="A276" s="105"/>
      <c r="J276" s="108"/>
      <c r="O276" s="109"/>
      <c r="P276" s="107"/>
      <c r="Q276" s="111"/>
      <c r="R276" s="110"/>
      <c r="S276" s="110"/>
      <c r="T276"/>
      <c r="U276"/>
    </row>
    <row r="277" spans="1:21" x14ac:dyDescent="0.3">
      <c r="A277" s="105"/>
      <c r="J277" s="108"/>
      <c r="O277" s="109"/>
      <c r="P277" s="107"/>
      <c r="Q277" s="111"/>
      <c r="R277" s="110"/>
      <c r="S277" s="110"/>
      <c r="T277"/>
      <c r="U277"/>
    </row>
    <row r="278" spans="1:21" x14ac:dyDescent="0.3">
      <c r="A278" s="105"/>
      <c r="J278" s="108"/>
      <c r="O278" s="109"/>
      <c r="P278" s="107"/>
      <c r="Q278" s="111"/>
      <c r="R278" s="110"/>
      <c r="S278" s="110"/>
      <c r="T278"/>
      <c r="U278"/>
    </row>
    <row r="279" spans="1:21" x14ac:dyDescent="0.3">
      <c r="A279" s="105"/>
      <c r="J279" s="108"/>
      <c r="O279" s="109"/>
      <c r="P279" s="107"/>
      <c r="Q279" s="111"/>
      <c r="R279" s="110"/>
      <c r="S279" s="110"/>
      <c r="T279"/>
      <c r="U279"/>
    </row>
    <row r="280" spans="1:21" x14ac:dyDescent="0.3">
      <c r="A280" s="105"/>
      <c r="J280" s="108"/>
      <c r="O280" s="109"/>
      <c r="P280" s="107"/>
      <c r="Q280" s="111"/>
      <c r="R280" s="110"/>
      <c r="S280" s="110"/>
      <c r="T280"/>
      <c r="U280"/>
    </row>
    <row r="281" spans="1:21" x14ac:dyDescent="0.3">
      <c r="A281" s="105"/>
      <c r="J281" s="108"/>
      <c r="O281" s="109"/>
      <c r="P281" s="107"/>
      <c r="Q281" s="111"/>
      <c r="R281" s="110"/>
      <c r="S281" s="110"/>
      <c r="T281"/>
      <c r="U281"/>
    </row>
    <row r="282" spans="1:21" x14ac:dyDescent="0.3">
      <c r="A282" s="105"/>
      <c r="J282" s="108"/>
      <c r="O282" s="109"/>
      <c r="P282" s="107"/>
      <c r="Q282" s="111"/>
      <c r="R282" s="110"/>
      <c r="S282" s="110"/>
      <c r="T282"/>
      <c r="U282"/>
    </row>
    <row r="283" spans="1:21" x14ac:dyDescent="0.3">
      <c r="A283" s="105"/>
      <c r="J283" s="108"/>
      <c r="O283" s="109"/>
      <c r="P283" s="107"/>
      <c r="Q283" s="111"/>
      <c r="R283" s="110"/>
      <c r="S283" s="110"/>
      <c r="T283"/>
      <c r="U283"/>
    </row>
    <row r="284" spans="1:21" x14ac:dyDescent="0.3">
      <c r="A284" s="105"/>
      <c r="J284" s="108"/>
      <c r="O284" s="109"/>
      <c r="P284" s="107"/>
      <c r="Q284" s="111"/>
      <c r="R284" s="110"/>
      <c r="S284" s="110"/>
      <c r="T284"/>
      <c r="U284"/>
    </row>
    <row r="285" spans="1:21" x14ac:dyDescent="0.3">
      <c r="A285" s="105"/>
      <c r="J285" s="108"/>
      <c r="O285" s="109"/>
      <c r="P285" s="107"/>
      <c r="Q285" s="111"/>
      <c r="R285" s="110"/>
      <c r="S285" s="110"/>
      <c r="T285"/>
      <c r="U285"/>
    </row>
    <row r="286" spans="1:21" x14ac:dyDescent="0.3">
      <c r="A286" s="105"/>
      <c r="J286" s="108"/>
      <c r="O286" s="109"/>
      <c r="P286" s="107"/>
      <c r="Q286" s="111"/>
      <c r="R286" s="110"/>
      <c r="S286" s="110"/>
      <c r="T286"/>
      <c r="U286"/>
    </row>
    <row r="287" spans="1:21" x14ac:dyDescent="0.3">
      <c r="A287" s="105"/>
      <c r="J287" s="108"/>
      <c r="O287" s="109"/>
      <c r="P287" s="107"/>
      <c r="Q287" s="111"/>
      <c r="R287" s="110"/>
      <c r="S287" s="110"/>
      <c r="T287"/>
      <c r="U287"/>
    </row>
    <row r="288" spans="1:21" x14ac:dyDescent="0.3">
      <c r="A288" s="105"/>
      <c r="J288" s="108"/>
      <c r="O288" s="109"/>
      <c r="P288" s="107"/>
      <c r="Q288" s="111"/>
      <c r="R288" s="110"/>
      <c r="S288" s="110"/>
      <c r="T288"/>
      <c r="U288"/>
    </row>
    <row r="289" spans="1:21" x14ac:dyDescent="0.3">
      <c r="A289" s="105"/>
      <c r="J289" s="108"/>
      <c r="O289" s="109"/>
      <c r="P289" s="107"/>
      <c r="Q289" s="111"/>
      <c r="R289" s="110"/>
      <c r="S289" s="110"/>
      <c r="T289"/>
      <c r="U289"/>
    </row>
    <row r="290" spans="1:21" x14ac:dyDescent="0.3">
      <c r="A290" s="105"/>
      <c r="J290" s="108"/>
      <c r="O290" s="109"/>
      <c r="P290" s="107"/>
      <c r="Q290" s="111"/>
      <c r="R290" s="110"/>
      <c r="S290" s="110"/>
      <c r="T290"/>
      <c r="U290"/>
    </row>
    <row r="291" spans="1:21" x14ac:dyDescent="0.3">
      <c r="A291" s="105"/>
      <c r="J291" s="108"/>
      <c r="O291" s="109"/>
      <c r="P291" s="107"/>
      <c r="Q291" s="111"/>
      <c r="R291" s="110"/>
      <c r="S291" s="110"/>
      <c r="T291"/>
      <c r="U291"/>
    </row>
    <row r="292" spans="1:21" x14ac:dyDescent="0.3">
      <c r="A292" s="105"/>
      <c r="J292" s="108"/>
      <c r="O292" s="109"/>
      <c r="P292" s="107"/>
      <c r="Q292" s="111"/>
      <c r="R292" s="110"/>
      <c r="S292" s="110"/>
      <c r="T292"/>
      <c r="U292"/>
    </row>
    <row r="293" spans="1:21" x14ac:dyDescent="0.3">
      <c r="A293" s="105"/>
      <c r="J293" s="108"/>
      <c r="O293" s="109"/>
      <c r="P293" s="107"/>
      <c r="Q293" s="111"/>
      <c r="R293" s="110"/>
      <c r="S293" s="110"/>
      <c r="T293"/>
      <c r="U293"/>
    </row>
    <row r="294" spans="1:21" x14ac:dyDescent="0.3">
      <c r="A294" s="105"/>
      <c r="J294" s="108"/>
      <c r="O294" s="109"/>
      <c r="P294" s="107"/>
      <c r="Q294" s="111"/>
      <c r="R294" s="110"/>
      <c r="S294" s="110"/>
      <c r="T294"/>
      <c r="U294"/>
    </row>
    <row r="295" spans="1:21" x14ac:dyDescent="0.3">
      <c r="A295" s="105"/>
      <c r="J295" s="108"/>
      <c r="O295" s="109"/>
      <c r="P295" s="107"/>
      <c r="Q295" s="111"/>
      <c r="R295" s="110"/>
      <c r="S295" s="110"/>
      <c r="T295"/>
      <c r="U295"/>
    </row>
    <row r="296" spans="1:21" x14ac:dyDescent="0.3">
      <c r="A296" s="105"/>
      <c r="J296" s="108"/>
      <c r="O296" s="109"/>
      <c r="P296" s="107"/>
      <c r="Q296" s="111"/>
      <c r="R296" s="110"/>
      <c r="S296" s="110"/>
      <c r="T296"/>
      <c r="U296"/>
    </row>
    <row r="297" spans="1:21" x14ac:dyDescent="0.3">
      <c r="A297" s="105"/>
      <c r="J297" s="108"/>
      <c r="O297" s="109"/>
      <c r="P297" s="107"/>
      <c r="Q297" s="111"/>
      <c r="R297" s="110"/>
      <c r="S297" s="110"/>
      <c r="T297"/>
      <c r="U297"/>
    </row>
    <row r="298" spans="1:21" x14ac:dyDescent="0.3">
      <c r="A298" s="105"/>
      <c r="J298" s="108"/>
      <c r="O298" s="109"/>
      <c r="P298" s="107"/>
      <c r="Q298" s="111"/>
      <c r="R298" s="110"/>
      <c r="S298" s="110"/>
      <c r="T298"/>
      <c r="U298"/>
    </row>
    <row r="299" spans="1:21" x14ac:dyDescent="0.3">
      <c r="A299" s="105"/>
      <c r="J299" s="108"/>
      <c r="O299" s="109"/>
      <c r="P299" s="107"/>
      <c r="Q299" s="111"/>
      <c r="R299" s="110"/>
      <c r="S299" s="110"/>
      <c r="T299"/>
      <c r="U299"/>
    </row>
    <row r="300" spans="1:21" x14ac:dyDescent="0.3">
      <c r="A300" s="105"/>
      <c r="J300" s="108"/>
      <c r="O300" s="109"/>
      <c r="P300" s="107"/>
      <c r="Q300" s="111"/>
      <c r="R300" s="110"/>
      <c r="S300" s="110"/>
      <c r="T300"/>
      <c r="U300"/>
    </row>
    <row r="301" spans="1:21" x14ac:dyDescent="0.3">
      <c r="A301" s="105"/>
      <c r="J301" s="108"/>
      <c r="O301" s="109"/>
      <c r="P301" s="107"/>
      <c r="Q301" s="111"/>
      <c r="R301" s="110"/>
      <c r="S301" s="110"/>
      <c r="T301"/>
      <c r="U301"/>
    </row>
    <row r="302" spans="1:21" x14ac:dyDescent="0.3">
      <c r="A302" s="105"/>
      <c r="J302" s="108"/>
      <c r="O302" s="109"/>
      <c r="P302" s="107"/>
      <c r="Q302" s="111"/>
      <c r="R302" s="110"/>
      <c r="S302" s="110"/>
      <c r="T302"/>
      <c r="U302"/>
    </row>
    <row r="303" spans="1:21" x14ac:dyDescent="0.3">
      <c r="A303" s="105"/>
      <c r="J303" s="108"/>
      <c r="O303" s="109"/>
      <c r="P303" s="107"/>
      <c r="Q303" s="111"/>
      <c r="R303" s="110"/>
      <c r="S303" s="110"/>
      <c r="T303"/>
      <c r="U303"/>
    </row>
    <row r="304" spans="1:21" x14ac:dyDescent="0.3">
      <c r="A304" s="105"/>
      <c r="J304" s="108"/>
      <c r="O304" s="109"/>
      <c r="P304" s="107"/>
      <c r="Q304" s="111"/>
      <c r="R304" s="110"/>
      <c r="S304" s="110"/>
      <c r="T304"/>
      <c r="U304"/>
    </row>
    <row r="305" spans="1:21" x14ac:dyDescent="0.3">
      <c r="A305" s="105"/>
      <c r="J305" s="108"/>
      <c r="O305" s="109"/>
      <c r="P305" s="107"/>
      <c r="Q305" s="111"/>
      <c r="R305" s="110"/>
      <c r="S305" s="110"/>
      <c r="T305"/>
      <c r="U305"/>
    </row>
    <row r="306" spans="1:21" x14ac:dyDescent="0.3">
      <c r="A306" s="105"/>
      <c r="J306" s="108"/>
      <c r="O306" s="109"/>
      <c r="P306" s="107"/>
      <c r="Q306" s="111"/>
      <c r="R306" s="110"/>
      <c r="S306" s="110"/>
      <c r="T306"/>
      <c r="U306"/>
    </row>
    <row r="307" spans="1:21" x14ac:dyDescent="0.3">
      <c r="A307" s="105"/>
      <c r="J307" s="108"/>
      <c r="O307" s="109"/>
      <c r="P307" s="107"/>
      <c r="Q307" s="111"/>
      <c r="R307" s="110"/>
      <c r="S307" s="110"/>
      <c r="T307"/>
      <c r="U307"/>
    </row>
    <row r="308" spans="1:21" x14ac:dyDescent="0.3">
      <c r="A308" s="105"/>
      <c r="J308" s="108"/>
      <c r="O308" s="109"/>
      <c r="P308" s="107"/>
      <c r="Q308" s="111"/>
      <c r="R308" s="110"/>
      <c r="S308" s="110"/>
      <c r="T308"/>
      <c r="U308"/>
    </row>
    <row r="309" spans="1:21" x14ac:dyDescent="0.3">
      <c r="A309" s="105"/>
      <c r="J309" s="108"/>
      <c r="O309" s="109"/>
      <c r="P309" s="107"/>
      <c r="Q309" s="111"/>
      <c r="R309" s="110"/>
      <c r="S309" s="110"/>
      <c r="T309"/>
      <c r="U309"/>
    </row>
    <row r="310" spans="1:21" x14ac:dyDescent="0.3">
      <c r="A310" s="105"/>
      <c r="J310" s="108"/>
      <c r="O310" s="109"/>
      <c r="P310" s="107"/>
      <c r="Q310" s="111"/>
      <c r="R310" s="110"/>
      <c r="S310" s="110"/>
      <c r="T310"/>
      <c r="U310"/>
    </row>
    <row r="311" spans="1:21" x14ac:dyDescent="0.3">
      <c r="A311" s="105"/>
      <c r="J311" s="108"/>
      <c r="O311" s="109"/>
      <c r="P311" s="107"/>
      <c r="Q311" s="111"/>
      <c r="R311" s="110"/>
      <c r="S311" s="110"/>
      <c r="T311"/>
      <c r="U311"/>
    </row>
    <row r="312" spans="1:21" x14ac:dyDescent="0.3">
      <c r="A312" s="105"/>
      <c r="J312" s="108"/>
      <c r="O312" s="109"/>
      <c r="P312" s="107"/>
      <c r="Q312" s="111"/>
      <c r="R312" s="110"/>
      <c r="S312" s="110"/>
      <c r="T312"/>
      <c r="U312"/>
    </row>
    <row r="313" spans="1:21" x14ac:dyDescent="0.3">
      <c r="A313" s="105"/>
      <c r="J313" s="108"/>
      <c r="O313" s="109"/>
      <c r="P313" s="107"/>
      <c r="Q313" s="111"/>
      <c r="R313" s="110"/>
      <c r="S313" s="110"/>
      <c r="T313"/>
      <c r="U313"/>
    </row>
    <row r="314" spans="1:21" x14ac:dyDescent="0.3">
      <c r="A314" s="105"/>
      <c r="J314" s="108"/>
      <c r="O314" s="109"/>
      <c r="P314" s="107"/>
      <c r="Q314" s="111"/>
      <c r="R314" s="110"/>
      <c r="S314" s="110"/>
      <c r="T314"/>
      <c r="U314"/>
    </row>
    <row r="315" spans="1:21" x14ac:dyDescent="0.3">
      <c r="A315" s="105"/>
      <c r="J315" s="108"/>
      <c r="O315" s="109"/>
      <c r="P315" s="107"/>
      <c r="Q315" s="111"/>
      <c r="R315" s="110"/>
      <c r="S315" s="110"/>
      <c r="T315"/>
      <c r="U315"/>
    </row>
    <row r="316" spans="1:21" x14ac:dyDescent="0.3">
      <c r="A316" s="105"/>
      <c r="J316" s="108"/>
      <c r="O316" s="109"/>
      <c r="P316" s="107"/>
      <c r="Q316" s="111"/>
      <c r="R316" s="110"/>
      <c r="S316" s="110"/>
      <c r="T316"/>
      <c r="U316"/>
    </row>
    <row r="317" spans="1:21" x14ac:dyDescent="0.3">
      <c r="A317" s="105"/>
      <c r="J317" s="108"/>
      <c r="O317" s="109"/>
      <c r="P317" s="107"/>
      <c r="Q317" s="111"/>
      <c r="R317" s="110"/>
      <c r="S317" s="110"/>
      <c r="T317"/>
      <c r="U317"/>
    </row>
    <row r="318" spans="1:21" x14ac:dyDescent="0.3">
      <c r="A318" s="105"/>
      <c r="J318" s="108"/>
      <c r="O318" s="109"/>
      <c r="P318" s="107"/>
      <c r="Q318" s="111"/>
      <c r="R318" s="110"/>
      <c r="S318" s="110"/>
      <c r="T318"/>
      <c r="U318"/>
    </row>
    <row r="319" spans="1:21" x14ac:dyDescent="0.3">
      <c r="A319" s="105"/>
      <c r="J319" s="108"/>
      <c r="O319" s="109"/>
      <c r="P319" s="107"/>
      <c r="Q319" s="111"/>
      <c r="R319" s="110"/>
      <c r="S319" s="110"/>
      <c r="T319"/>
      <c r="U319"/>
    </row>
    <row r="320" spans="1:21" x14ac:dyDescent="0.3">
      <c r="A320" s="105"/>
      <c r="J320" s="108"/>
      <c r="O320" s="109"/>
      <c r="P320" s="107"/>
      <c r="Q320" s="111"/>
      <c r="R320" s="110"/>
      <c r="S320" s="110"/>
      <c r="T320"/>
      <c r="U320"/>
    </row>
    <row r="321" spans="1:21" x14ac:dyDescent="0.3">
      <c r="A321" s="105"/>
      <c r="J321" s="108"/>
      <c r="O321" s="109"/>
      <c r="P321" s="107"/>
      <c r="Q321" s="111"/>
      <c r="R321" s="110"/>
      <c r="S321" s="110"/>
      <c r="T321"/>
      <c r="U321"/>
    </row>
    <row r="322" spans="1:21" x14ac:dyDescent="0.3">
      <c r="A322" s="105"/>
      <c r="J322" s="108"/>
      <c r="O322" s="109"/>
      <c r="P322" s="107"/>
      <c r="Q322" s="111"/>
      <c r="R322" s="110"/>
      <c r="S322" s="110"/>
      <c r="T322"/>
      <c r="U322"/>
    </row>
    <row r="323" spans="1:21" x14ac:dyDescent="0.3">
      <c r="A323" s="105"/>
      <c r="J323" s="108"/>
      <c r="O323" s="109"/>
      <c r="P323" s="107"/>
      <c r="Q323" s="111"/>
      <c r="R323" s="110"/>
      <c r="S323" s="110"/>
      <c r="T323"/>
      <c r="U323"/>
    </row>
    <row r="324" spans="1:21" x14ac:dyDescent="0.3">
      <c r="A324" s="105"/>
      <c r="J324" s="108"/>
      <c r="O324" s="109"/>
      <c r="P324" s="107"/>
      <c r="Q324" s="111"/>
      <c r="R324" s="110"/>
      <c r="S324" s="110"/>
      <c r="T324"/>
      <c r="U324"/>
    </row>
    <row r="325" spans="1:21" x14ac:dyDescent="0.3">
      <c r="A325" s="105"/>
      <c r="J325" s="108"/>
      <c r="O325" s="109"/>
      <c r="P325" s="107"/>
      <c r="Q325" s="111"/>
      <c r="R325" s="110"/>
      <c r="S325" s="110"/>
      <c r="T325"/>
      <c r="U325"/>
    </row>
    <row r="326" spans="1:21" x14ac:dyDescent="0.3">
      <c r="A326" s="105"/>
      <c r="J326" s="108"/>
      <c r="O326" s="109"/>
      <c r="P326" s="107"/>
      <c r="Q326" s="111"/>
      <c r="R326" s="110"/>
      <c r="S326" s="110"/>
      <c r="T326"/>
      <c r="U326"/>
    </row>
    <row r="327" spans="1:21" x14ac:dyDescent="0.3">
      <c r="A327" s="105"/>
      <c r="J327" s="108"/>
      <c r="O327" s="109"/>
      <c r="P327" s="107"/>
      <c r="Q327" s="111"/>
      <c r="R327" s="110"/>
      <c r="S327" s="110"/>
      <c r="T327"/>
      <c r="U327"/>
    </row>
    <row r="328" spans="1:21" x14ac:dyDescent="0.3">
      <c r="A328" s="105"/>
      <c r="J328" s="108"/>
      <c r="O328" s="109"/>
      <c r="P328" s="107"/>
      <c r="Q328" s="111"/>
      <c r="R328" s="110"/>
      <c r="S328" s="110"/>
      <c r="T328"/>
      <c r="U328"/>
    </row>
    <row r="329" spans="1:21" x14ac:dyDescent="0.3">
      <c r="A329" s="105"/>
      <c r="J329" s="108"/>
      <c r="O329" s="109"/>
      <c r="P329" s="107"/>
      <c r="Q329" s="111"/>
      <c r="R329" s="110"/>
      <c r="S329" s="110"/>
      <c r="T329"/>
      <c r="U329"/>
    </row>
    <row r="330" spans="1:21" x14ac:dyDescent="0.3">
      <c r="A330" s="105"/>
      <c r="J330" s="108"/>
      <c r="O330" s="109"/>
      <c r="P330" s="107"/>
      <c r="Q330" s="111"/>
      <c r="R330" s="110"/>
      <c r="S330" s="110"/>
      <c r="T330"/>
      <c r="U330"/>
    </row>
    <row r="331" spans="1:21" x14ac:dyDescent="0.3">
      <c r="A331" s="105"/>
      <c r="J331" s="108"/>
      <c r="O331" s="109"/>
      <c r="P331" s="107"/>
      <c r="Q331" s="111"/>
      <c r="R331" s="110"/>
      <c r="S331" s="110"/>
      <c r="T331"/>
      <c r="U331"/>
    </row>
    <row r="332" spans="1:21" x14ac:dyDescent="0.3">
      <c r="A332" s="105"/>
      <c r="J332" s="108"/>
      <c r="O332" s="109"/>
      <c r="P332" s="107"/>
      <c r="Q332" s="111"/>
      <c r="R332" s="110"/>
      <c r="S332" s="110"/>
      <c r="T332"/>
      <c r="U332"/>
    </row>
    <row r="333" spans="1:21" x14ac:dyDescent="0.3">
      <c r="A333" s="105"/>
      <c r="J333" s="108"/>
      <c r="O333" s="109"/>
      <c r="P333" s="107"/>
      <c r="Q333" s="111"/>
      <c r="R333" s="110"/>
      <c r="S333" s="110"/>
      <c r="T333"/>
      <c r="U333"/>
    </row>
    <row r="334" spans="1:21" x14ac:dyDescent="0.3">
      <c r="A334" s="105"/>
      <c r="J334" s="108"/>
      <c r="O334" s="109"/>
      <c r="P334" s="107"/>
      <c r="Q334" s="111"/>
      <c r="R334" s="110"/>
      <c r="S334" s="110"/>
      <c r="T334"/>
      <c r="U334"/>
    </row>
    <row r="335" spans="1:21" x14ac:dyDescent="0.3">
      <c r="A335" s="105"/>
      <c r="J335" s="108"/>
      <c r="O335" s="109"/>
      <c r="P335" s="107"/>
      <c r="Q335" s="111"/>
      <c r="R335" s="110"/>
      <c r="S335" s="110"/>
      <c r="T335"/>
      <c r="U335"/>
    </row>
    <row r="336" spans="1:21" x14ac:dyDescent="0.3">
      <c r="A336" s="105"/>
      <c r="J336" s="108"/>
      <c r="O336" s="109"/>
      <c r="P336" s="107"/>
      <c r="Q336" s="111"/>
      <c r="R336" s="110"/>
      <c r="S336" s="110"/>
      <c r="T336"/>
      <c r="U336"/>
    </row>
    <row r="337" spans="1:21" x14ac:dyDescent="0.3">
      <c r="A337" s="105"/>
      <c r="J337" s="108"/>
      <c r="O337" s="109"/>
      <c r="P337" s="107"/>
      <c r="Q337" s="111"/>
      <c r="R337" s="110"/>
      <c r="S337" s="110"/>
      <c r="T337"/>
      <c r="U337"/>
    </row>
    <row r="338" spans="1:21" x14ac:dyDescent="0.3">
      <c r="A338" s="105"/>
      <c r="J338" s="108"/>
      <c r="O338" s="109"/>
      <c r="P338" s="107"/>
      <c r="Q338" s="111"/>
      <c r="R338" s="110"/>
      <c r="S338" s="110"/>
      <c r="T338"/>
      <c r="U338"/>
    </row>
    <row r="339" spans="1:21" x14ac:dyDescent="0.3">
      <c r="A339" s="105"/>
      <c r="J339" s="108"/>
      <c r="O339" s="109"/>
      <c r="P339" s="107"/>
      <c r="Q339" s="111"/>
      <c r="R339" s="110"/>
      <c r="S339" s="110"/>
      <c r="T339"/>
      <c r="U339"/>
    </row>
    <row r="340" spans="1:21" x14ac:dyDescent="0.3">
      <c r="A340" s="105"/>
      <c r="J340" s="108"/>
      <c r="O340" s="109"/>
      <c r="P340" s="107"/>
      <c r="Q340" s="111"/>
      <c r="R340" s="110"/>
      <c r="S340" s="110"/>
      <c r="T340"/>
      <c r="U340"/>
    </row>
    <row r="341" spans="1:21" x14ac:dyDescent="0.3">
      <c r="A341" s="105"/>
      <c r="J341" s="108"/>
      <c r="O341" s="109"/>
      <c r="P341" s="107"/>
      <c r="Q341" s="111"/>
      <c r="R341" s="110"/>
      <c r="S341" s="110"/>
      <c r="T341"/>
      <c r="U341"/>
    </row>
    <row r="342" spans="1:21" x14ac:dyDescent="0.3">
      <c r="A342" s="105"/>
      <c r="J342" s="108"/>
      <c r="O342" s="109"/>
      <c r="P342" s="107"/>
      <c r="Q342" s="111"/>
      <c r="R342" s="110"/>
      <c r="S342" s="110"/>
      <c r="T342"/>
      <c r="U342"/>
    </row>
    <row r="343" spans="1:21" x14ac:dyDescent="0.3">
      <c r="A343" s="105"/>
      <c r="J343" s="108"/>
      <c r="O343" s="109"/>
      <c r="P343" s="107"/>
      <c r="Q343" s="111"/>
      <c r="R343" s="110"/>
      <c r="S343" s="110"/>
      <c r="T343"/>
      <c r="U343"/>
    </row>
    <row r="344" spans="1:21" x14ac:dyDescent="0.3">
      <c r="A344" s="105"/>
      <c r="J344" s="108"/>
      <c r="O344" s="109"/>
      <c r="P344" s="107"/>
      <c r="Q344" s="111"/>
      <c r="R344" s="110"/>
      <c r="S344" s="110"/>
      <c r="T344"/>
      <c r="U344"/>
    </row>
    <row r="345" spans="1:21" x14ac:dyDescent="0.3">
      <c r="A345" s="105"/>
      <c r="J345" s="108"/>
      <c r="O345" s="109"/>
      <c r="P345" s="107"/>
      <c r="Q345" s="111"/>
      <c r="R345" s="110"/>
      <c r="S345" s="110"/>
      <c r="T345"/>
      <c r="U345"/>
    </row>
    <row r="346" spans="1:21" x14ac:dyDescent="0.3">
      <c r="A346" s="105"/>
      <c r="J346" s="108"/>
      <c r="O346" s="109"/>
      <c r="P346" s="107"/>
      <c r="Q346" s="111"/>
      <c r="R346" s="110"/>
      <c r="S346" s="110"/>
      <c r="T346"/>
      <c r="U346"/>
    </row>
    <row r="347" spans="1:21" x14ac:dyDescent="0.3">
      <c r="A347" s="105"/>
      <c r="J347" s="108"/>
      <c r="O347" s="109"/>
      <c r="P347" s="107"/>
      <c r="Q347" s="111"/>
      <c r="R347" s="110"/>
      <c r="S347" s="110"/>
      <c r="T347"/>
      <c r="U347"/>
    </row>
    <row r="348" spans="1:21" x14ac:dyDescent="0.3">
      <c r="A348" s="105"/>
      <c r="J348" s="108"/>
      <c r="O348" s="109"/>
      <c r="P348" s="107"/>
      <c r="Q348" s="111"/>
      <c r="R348" s="110"/>
      <c r="S348" s="110"/>
      <c r="T348"/>
      <c r="U348"/>
    </row>
    <row r="349" spans="1:21" x14ac:dyDescent="0.3">
      <c r="A349" s="105"/>
      <c r="J349" s="108"/>
      <c r="O349" s="109"/>
      <c r="P349" s="107"/>
      <c r="Q349" s="111"/>
      <c r="R349" s="110"/>
      <c r="S349" s="110"/>
      <c r="T349"/>
      <c r="U349"/>
    </row>
    <row r="350" spans="1:21" x14ac:dyDescent="0.3">
      <c r="A350" s="105"/>
      <c r="J350" s="108"/>
      <c r="O350" s="109"/>
      <c r="P350" s="107"/>
      <c r="Q350" s="111"/>
      <c r="R350" s="110"/>
      <c r="S350" s="110"/>
      <c r="T350"/>
      <c r="U350"/>
    </row>
    <row r="351" spans="1:21" x14ac:dyDescent="0.3">
      <c r="A351" s="105"/>
      <c r="J351" s="108"/>
      <c r="O351" s="109"/>
      <c r="P351" s="107"/>
      <c r="Q351" s="111"/>
      <c r="R351" s="110"/>
      <c r="S351" s="110"/>
      <c r="T351"/>
      <c r="U351"/>
    </row>
    <row r="352" spans="1:21" x14ac:dyDescent="0.3">
      <c r="A352" s="105"/>
      <c r="J352" s="108"/>
      <c r="O352" s="109"/>
      <c r="P352" s="107"/>
      <c r="Q352" s="111"/>
      <c r="R352" s="110"/>
      <c r="S352" s="110"/>
      <c r="T352"/>
      <c r="U352"/>
    </row>
    <row r="353" spans="1:21" x14ac:dyDescent="0.3">
      <c r="A353" s="105"/>
      <c r="J353" s="108"/>
      <c r="O353" s="109"/>
      <c r="P353" s="107"/>
      <c r="Q353" s="111"/>
      <c r="R353" s="110"/>
      <c r="S353" s="110"/>
      <c r="T353"/>
      <c r="U353"/>
    </row>
    <row r="354" spans="1:21" x14ac:dyDescent="0.3">
      <c r="A354" s="105"/>
      <c r="J354" s="108"/>
      <c r="O354" s="109"/>
      <c r="P354" s="107"/>
      <c r="Q354" s="111"/>
      <c r="R354" s="110"/>
      <c r="S354" s="110"/>
      <c r="T354"/>
      <c r="U354"/>
    </row>
    <row r="355" spans="1:21" x14ac:dyDescent="0.3">
      <c r="A355" s="105"/>
      <c r="J355" s="108"/>
      <c r="O355" s="109"/>
      <c r="P355" s="107"/>
      <c r="Q355" s="111"/>
      <c r="R355" s="110"/>
      <c r="S355" s="110"/>
      <c r="T355"/>
      <c r="U355"/>
    </row>
    <row r="356" spans="1:21" x14ac:dyDescent="0.3">
      <c r="A356" s="105"/>
      <c r="J356" s="108"/>
      <c r="O356" s="109"/>
      <c r="P356" s="107"/>
      <c r="Q356" s="111"/>
      <c r="R356" s="110"/>
      <c r="S356" s="110"/>
      <c r="T356"/>
      <c r="U356"/>
    </row>
    <row r="357" spans="1:21" x14ac:dyDescent="0.3">
      <c r="A357" s="105"/>
      <c r="J357" s="108"/>
      <c r="O357" s="109"/>
      <c r="P357" s="107"/>
      <c r="Q357" s="111"/>
      <c r="R357" s="110"/>
      <c r="S357" s="110"/>
      <c r="T357"/>
      <c r="U357"/>
    </row>
    <row r="358" spans="1:21" x14ac:dyDescent="0.3">
      <c r="A358" s="105"/>
      <c r="J358" s="108"/>
      <c r="O358" s="109"/>
      <c r="P358" s="41"/>
      <c r="Q358" s="111"/>
      <c r="R358" s="111"/>
      <c r="S358" s="110"/>
      <c r="T358"/>
      <c r="U358"/>
    </row>
    <row r="359" spans="1:21" x14ac:dyDescent="0.3">
      <c r="A359" s="105"/>
      <c r="J359" s="108"/>
      <c r="O359" s="109"/>
      <c r="P359" s="41"/>
      <c r="Q359" s="111"/>
      <c r="R359" s="111"/>
      <c r="S359" s="110"/>
      <c r="T359"/>
      <c r="U359"/>
    </row>
    <row r="360" spans="1:21" x14ac:dyDescent="0.3">
      <c r="A360" s="105"/>
      <c r="J360" s="108"/>
      <c r="O360" s="109"/>
      <c r="P360" s="41"/>
      <c r="Q360" s="111"/>
      <c r="R360" s="111"/>
      <c r="S360" s="110"/>
      <c r="T360"/>
      <c r="U360"/>
    </row>
    <row r="361" spans="1:21" x14ac:dyDescent="0.3">
      <c r="A361" s="105"/>
      <c r="J361" s="108"/>
      <c r="O361" s="109"/>
      <c r="P361" s="41"/>
      <c r="Q361" s="111"/>
      <c r="R361" s="111"/>
      <c r="S361" s="110"/>
      <c r="T361"/>
      <c r="U361"/>
    </row>
    <row r="362" spans="1:21" hidden="1" x14ac:dyDescent="0.3">
      <c r="A362" s="105"/>
      <c r="C362" s="41">
        <v>3.8E-3</v>
      </c>
      <c r="J362" s="108"/>
      <c r="O362" s="109"/>
      <c r="P362" s="41"/>
      <c r="Q362" s="111"/>
      <c r="R362" s="111"/>
      <c r="S362" s="110"/>
    </row>
    <row r="363" spans="1:21" hidden="1" x14ac:dyDescent="0.3">
      <c r="A363" s="105"/>
      <c r="C363" s="41">
        <v>3.8E-3</v>
      </c>
      <c r="J363" s="108"/>
      <c r="O363" s="109"/>
      <c r="P363" s="41"/>
      <c r="Q363" s="111"/>
      <c r="R363" s="111"/>
      <c r="S363" s="110"/>
    </row>
    <row r="364" spans="1:21" hidden="1" x14ac:dyDescent="0.3">
      <c r="A364" s="105"/>
      <c r="C364" s="41">
        <v>3.8E-3</v>
      </c>
      <c r="J364" s="108"/>
      <c r="O364" s="109"/>
      <c r="P364" s="41"/>
      <c r="Q364" s="111"/>
      <c r="R364" s="111"/>
      <c r="S364" s="110"/>
    </row>
    <row r="365" spans="1:21" hidden="1" x14ac:dyDescent="0.3">
      <c r="A365" s="105"/>
      <c r="C365" s="41">
        <v>3.8E-3</v>
      </c>
      <c r="J365" s="108"/>
      <c r="O365" s="109"/>
      <c r="P365" s="41"/>
      <c r="Q365" s="111"/>
      <c r="R365" s="111"/>
      <c r="S365" s="110"/>
    </row>
    <row r="366" spans="1:21" hidden="1" x14ac:dyDescent="0.3">
      <c r="A366" s="105"/>
      <c r="C366" s="41">
        <v>3.8E-3</v>
      </c>
      <c r="J366" s="108"/>
      <c r="O366" s="109"/>
      <c r="P366" s="41"/>
      <c r="Q366" s="111"/>
      <c r="R366" s="111"/>
      <c r="S366" s="110"/>
    </row>
    <row r="367" spans="1:21" hidden="1" x14ac:dyDescent="0.3">
      <c r="A367" s="105"/>
      <c r="C367" s="41">
        <v>3.8E-3</v>
      </c>
      <c r="J367" s="108"/>
      <c r="O367" s="109"/>
      <c r="P367" s="41"/>
      <c r="Q367" s="111"/>
      <c r="R367" s="111"/>
      <c r="S367" s="110"/>
    </row>
    <row r="368" spans="1:21" hidden="1" x14ac:dyDescent="0.3">
      <c r="A368" s="105"/>
      <c r="C368" s="41">
        <v>3.8E-3</v>
      </c>
      <c r="J368" s="108"/>
      <c r="O368" s="109"/>
      <c r="P368" s="41"/>
      <c r="Q368" s="111"/>
      <c r="R368" s="111"/>
      <c r="S368" s="110"/>
    </row>
    <row r="369" spans="1:19" hidden="1" x14ac:dyDescent="0.3">
      <c r="A369" s="105"/>
      <c r="C369" s="41">
        <v>3.8E-3</v>
      </c>
      <c r="J369" s="108"/>
      <c r="O369" s="109"/>
      <c r="P369" s="41"/>
      <c r="Q369" s="111"/>
      <c r="R369" s="111"/>
      <c r="S369" s="110"/>
    </row>
    <row r="370" spans="1:19" hidden="1" x14ac:dyDescent="0.3">
      <c r="A370" s="105"/>
      <c r="C370" s="41">
        <v>3.8E-3</v>
      </c>
      <c r="J370" s="108"/>
      <c r="O370" s="109"/>
      <c r="P370" s="41"/>
      <c r="Q370" s="111"/>
      <c r="R370" s="111"/>
      <c r="S370" s="110"/>
    </row>
    <row r="371" spans="1:19" hidden="1" x14ac:dyDescent="0.3">
      <c r="A371" s="105"/>
      <c r="C371" s="41">
        <v>3.8E-3</v>
      </c>
      <c r="J371" s="108"/>
      <c r="O371" s="109"/>
      <c r="P371" s="41"/>
      <c r="Q371" s="111"/>
      <c r="R371" s="111"/>
      <c r="S371" s="110"/>
    </row>
    <row r="372" spans="1:19" hidden="1" x14ac:dyDescent="0.3">
      <c r="A372" s="105"/>
      <c r="C372" s="41">
        <v>3.8E-3</v>
      </c>
      <c r="J372" s="108"/>
      <c r="O372" s="109"/>
      <c r="P372" s="41"/>
      <c r="Q372" s="111"/>
      <c r="R372" s="111"/>
      <c r="S372" s="110"/>
    </row>
    <row r="373" spans="1:19" hidden="1" x14ac:dyDescent="0.3">
      <c r="A373" s="105"/>
      <c r="C373" s="41">
        <v>3.8E-3</v>
      </c>
      <c r="J373" s="108"/>
      <c r="O373" s="109"/>
      <c r="P373" s="41"/>
      <c r="Q373" s="111"/>
      <c r="R373" s="111"/>
      <c r="S373" s="110"/>
    </row>
    <row r="374" spans="1:19" hidden="1" x14ac:dyDescent="0.3">
      <c r="A374" s="105"/>
      <c r="C374" s="41">
        <v>3.8E-3</v>
      </c>
      <c r="J374" s="108"/>
      <c r="O374" s="109"/>
      <c r="P374" s="41"/>
      <c r="Q374" s="111"/>
      <c r="R374" s="111"/>
      <c r="S374" s="110"/>
    </row>
    <row r="375" spans="1:19" hidden="1" x14ac:dyDescent="0.3">
      <c r="A375" s="105"/>
      <c r="C375" s="41">
        <v>3.8E-3</v>
      </c>
      <c r="J375" s="108"/>
      <c r="O375" s="109"/>
      <c r="P375" s="41"/>
      <c r="Q375" s="111"/>
      <c r="R375" s="111"/>
      <c r="S375" s="110"/>
    </row>
    <row r="376" spans="1:19" hidden="1" x14ac:dyDescent="0.3">
      <c r="A376" s="105"/>
      <c r="C376" s="41">
        <v>4.1999999999999997E-3</v>
      </c>
      <c r="J376" s="108"/>
      <c r="O376" s="109"/>
      <c r="P376" s="41"/>
      <c r="Q376" s="111"/>
      <c r="R376" s="111"/>
      <c r="S376" s="110"/>
    </row>
    <row r="377" spans="1:19" hidden="1" x14ac:dyDescent="0.3">
      <c r="A377" s="105"/>
      <c r="C377" s="41">
        <v>4.1999999999999997E-3</v>
      </c>
      <c r="J377" s="108"/>
      <c r="O377" s="109"/>
      <c r="P377" s="41"/>
      <c r="Q377" s="111"/>
      <c r="R377" s="111"/>
      <c r="S377" s="110"/>
    </row>
    <row r="378" spans="1:19" hidden="1" x14ac:dyDescent="0.3">
      <c r="A378" s="105"/>
      <c r="C378" s="41">
        <v>4.1999999999999997E-3</v>
      </c>
      <c r="J378" s="108"/>
      <c r="O378" s="109"/>
      <c r="P378" s="41"/>
      <c r="Q378" s="111"/>
      <c r="R378" s="111"/>
      <c r="S378" s="110"/>
    </row>
    <row r="379" spans="1:19" hidden="1" x14ac:dyDescent="0.3">
      <c r="A379" s="105"/>
      <c r="C379" s="41">
        <v>4.1999999999999997E-3</v>
      </c>
      <c r="J379" s="108"/>
      <c r="O379" s="109"/>
      <c r="P379" s="41"/>
      <c r="Q379" s="111"/>
      <c r="R379" s="111"/>
      <c r="S379" s="110"/>
    </row>
    <row r="380" spans="1:19" hidden="1" x14ac:dyDescent="0.3">
      <c r="A380" s="105"/>
      <c r="C380" s="41">
        <v>4.1999999999999997E-3</v>
      </c>
      <c r="J380" s="108"/>
      <c r="O380" s="109"/>
      <c r="P380" s="41"/>
      <c r="Q380" s="111"/>
      <c r="R380" s="111"/>
      <c r="S380" s="110"/>
    </row>
    <row r="381" spans="1:19" hidden="1" x14ac:dyDescent="0.3">
      <c r="A381" s="105"/>
      <c r="C381" s="41">
        <v>4.1999999999999997E-3</v>
      </c>
      <c r="J381" s="108"/>
      <c r="O381" s="109"/>
      <c r="P381" s="41"/>
      <c r="Q381" s="111"/>
      <c r="R381" s="111"/>
      <c r="S381" s="110"/>
    </row>
    <row r="382" spans="1:19" hidden="1" x14ac:dyDescent="0.3">
      <c r="A382" s="105"/>
      <c r="C382" s="41">
        <v>4.1999999999999997E-3</v>
      </c>
      <c r="J382" s="108"/>
      <c r="O382" s="109"/>
      <c r="P382" s="41"/>
      <c r="Q382" s="111"/>
      <c r="R382" s="111"/>
      <c r="S382" s="110"/>
    </row>
    <row r="383" spans="1:19" hidden="1" x14ac:dyDescent="0.3">
      <c r="A383" s="105"/>
      <c r="C383" s="41">
        <v>4.1999999999999997E-3</v>
      </c>
      <c r="J383" s="108"/>
      <c r="O383" s="109"/>
      <c r="P383" s="41"/>
      <c r="Q383" s="111"/>
      <c r="R383" s="111"/>
      <c r="S383" s="110"/>
    </row>
    <row r="384" spans="1:19" hidden="1" x14ac:dyDescent="0.3">
      <c r="A384" s="105"/>
      <c r="C384" s="41">
        <v>4.1999999999999997E-3</v>
      </c>
      <c r="J384" s="108"/>
      <c r="O384" s="109"/>
      <c r="P384" s="41"/>
      <c r="Q384" s="111"/>
      <c r="R384" s="111"/>
      <c r="S384" s="110"/>
    </row>
    <row r="385" spans="1:19" hidden="1" x14ac:dyDescent="0.3">
      <c r="A385" s="105"/>
      <c r="C385" s="41">
        <v>4.1999999999999997E-3</v>
      </c>
      <c r="J385" s="108"/>
      <c r="O385" s="109"/>
      <c r="P385" s="41"/>
      <c r="Q385" s="111"/>
      <c r="R385" s="111"/>
      <c r="S385" s="110"/>
    </row>
    <row r="386" spans="1:19" hidden="1" x14ac:dyDescent="0.3">
      <c r="A386" s="105"/>
      <c r="C386" s="41">
        <v>4.1999999999999997E-3</v>
      </c>
      <c r="J386" s="108"/>
      <c r="O386" s="109"/>
      <c r="P386" s="41"/>
      <c r="Q386" s="111"/>
      <c r="R386" s="111"/>
      <c r="S386" s="110"/>
    </row>
    <row r="387" spans="1:19" hidden="1" x14ac:dyDescent="0.3">
      <c r="A387" s="105"/>
      <c r="C387" s="41">
        <v>4.1999999999999997E-3</v>
      </c>
      <c r="J387" s="108"/>
      <c r="O387" s="109"/>
      <c r="P387" s="41"/>
      <c r="Q387" s="111"/>
      <c r="R387" s="111"/>
      <c r="S387" s="110"/>
    </row>
    <row r="388" spans="1:19" hidden="1" x14ac:dyDescent="0.3">
      <c r="A388" s="105"/>
      <c r="C388" s="41">
        <v>4.1999999999999997E-3</v>
      </c>
      <c r="J388" s="108"/>
      <c r="O388" s="109"/>
      <c r="P388" s="41"/>
      <c r="Q388" s="111"/>
      <c r="R388" s="111"/>
      <c r="S388" s="110"/>
    </row>
    <row r="389" spans="1:19" hidden="1" x14ac:dyDescent="0.3">
      <c r="A389" s="105"/>
      <c r="C389" s="41">
        <v>4.1999999999999997E-3</v>
      </c>
      <c r="J389" s="108"/>
      <c r="O389" s="109"/>
      <c r="P389" s="41"/>
      <c r="Q389" s="111"/>
      <c r="R389" s="111"/>
      <c r="S389" s="110"/>
    </row>
    <row r="390" spans="1:19" hidden="1" x14ac:dyDescent="0.3">
      <c r="A390" s="105"/>
      <c r="C390" s="41">
        <v>4.1999999999999997E-3</v>
      </c>
      <c r="J390" s="108"/>
      <c r="O390" s="109"/>
      <c r="P390" s="41"/>
      <c r="Q390" s="111"/>
      <c r="R390" s="111"/>
      <c r="S390" s="110"/>
    </row>
    <row r="391" spans="1:19" hidden="1" x14ac:dyDescent="0.3">
      <c r="A391" s="105"/>
      <c r="C391" s="41">
        <v>4.4999999999999997E-3</v>
      </c>
      <c r="J391" s="108"/>
      <c r="O391" s="109"/>
      <c r="P391" s="41"/>
      <c r="Q391" s="111"/>
      <c r="R391" s="111"/>
      <c r="S391" s="110"/>
    </row>
    <row r="392" spans="1:19" hidden="1" x14ac:dyDescent="0.3">
      <c r="A392" s="105"/>
      <c r="C392" s="41">
        <v>4.4999999999999997E-3</v>
      </c>
      <c r="J392" s="108"/>
      <c r="O392" s="109"/>
      <c r="P392" s="41"/>
      <c r="Q392" s="111"/>
      <c r="R392" s="111"/>
      <c r="S392" s="110"/>
    </row>
    <row r="393" spans="1:19" hidden="1" x14ac:dyDescent="0.3">
      <c r="A393" s="105"/>
      <c r="C393" s="41">
        <v>4.4999999999999997E-3</v>
      </c>
      <c r="J393" s="108"/>
      <c r="O393" s="109"/>
      <c r="P393" s="41"/>
      <c r="Q393" s="111"/>
      <c r="R393" s="111"/>
      <c r="S393" s="110"/>
    </row>
    <row r="394" spans="1:19" hidden="1" x14ac:dyDescent="0.3">
      <c r="A394" s="105"/>
      <c r="C394" s="41">
        <v>4.4999999999999997E-3</v>
      </c>
      <c r="J394" s="108"/>
      <c r="O394" s="109"/>
      <c r="P394" s="41"/>
      <c r="Q394" s="111"/>
      <c r="R394" s="111"/>
      <c r="S394" s="110"/>
    </row>
    <row r="395" spans="1:19" hidden="1" x14ac:dyDescent="0.3">
      <c r="A395" s="105"/>
      <c r="C395" s="41">
        <v>4.4999999999999997E-3</v>
      </c>
      <c r="J395" s="108"/>
      <c r="O395" s="109"/>
      <c r="P395" s="41"/>
      <c r="Q395" s="111"/>
      <c r="R395" s="111"/>
      <c r="S395" s="110"/>
    </row>
    <row r="396" spans="1:19" hidden="1" x14ac:dyDescent="0.3">
      <c r="A396" s="105"/>
      <c r="C396" s="41">
        <v>4.4999999999999997E-3</v>
      </c>
      <c r="J396" s="108"/>
      <c r="O396" s="109"/>
      <c r="P396" s="41"/>
      <c r="Q396" s="111"/>
      <c r="R396" s="111"/>
      <c r="S396" s="110"/>
    </row>
    <row r="397" spans="1:19" hidden="1" x14ac:dyDescent="0.3">
      <c r="A397" s="105"/>
      <c r="C397" s="41">
        <v>4.4999999999999997E-3</v>
      </c>
      <c r="J397" s="108"/>
      <c r="O397" s="109"/>
      <c r="P397" s="41"/>
      <c r="Q397" s="111"/>
      <c r="R397" s="111"/>
      <c r="S397" s="110"/>
    </row>
    <row r="398" spans="1:19" hidden="1" x14ac:dyDescent="0.3">
      <c r="A398" s="105"/>
      <c r="C398" s="41">
        <v>4.4999999999999997E-3</v>
      </c>
      <c r="J398" s="108"/>
      <c r="O398" s="109"/>
      <c r="P398" s="41"/>
      <c r="Q398" s="111"/>
      <c r="R398" s="111"/>
      <c r="S398" s="110"/>
    </row>
    <row r="399" spans="1:19" hidden="1" x14ac:dyDescent="0.3">
      <c r="A399" s="105"/>
      <c r="C399" s="41">
        <v>4.4999999999999997E-3</v>
      </c>
      <c r="J399" s="108"/>
      <c r="O399" s="109"/>
      <c r="P399" s="41"/>
      <c r="Q399" s="111"/>
      <c r="R399" s="111"/>
      <c r="S399" s="110"/>
    </row>
    <row r="400" spans="1:19" hidden="1" x14ac:dyDescent="0.3">
      <c r="A400" s="105"/>
      <c r="C400" s="41">
        <v>4.4999999999999997E-3</v>
      </c>
      <c r="J400" s="108"/>
      <c r="O400" s="109"/>
      <c r="P400" s="41"/>
      <c r="Q400" s="111"/>
      <c r="R400" s="111"/>
      <c r="S400" s="110"/>
    </row>
    <row r="401" spans="1:19" hidden="1" x14ac:dyDescent="0.3">
      <c r="A401" s="105"/>
      <c r="C401" s="41">
        <v>4.4999999999999997E-3</v>
      </c>
      <c r="J401" s="108"/>
      <c r="O401" s="109"/>
      <c r="P401" s="41"/>
      <c r="Q401" s="111"/>
      <c r="R401" s="111"/>
      <c r="S401" s="110"/>
    </row>
    <row r="402" spans="1:19" hidden="1" x14ac:dyDescent="0.3">
      <c r="A402" s="105"/>
      <c r="C402" s="41">
        <v>4.4999999999999997E-3</v>
      </c>
      <c r="J402" s="108"/>
      <c r="O402" s="109"/>
      <c r="P402" s="41"/>
      <c r="Q402" s="111"/>
      <c r="R402" s="111"/>
      <c r="S402" s="110"/>
    </row>
    <row r="403" spans="1:19" hidden="1" x14ac:dyDescent="0.3">
      <c r="A403" s="105"/>
      <c r="C403" s="41">
        <v>4.4999999999999997E-3</v>
      </c>
      <c r="J403" s="108"/>
      <c r="O403" s="109"/>
      <c r="P403" s="41"/>
      <c r="Q403" s="111"/>
      <c r="R403" s="111"/>
      <c r="S403" s="110"/>
    </row>
    <row r="404" spans="1:19" hidden="1" x14ac:dyDescent="0.3">
      <c r="A404" s="105"/>
      <c r="C404" s="41">
        <v>4.8999999999999998E-3</v>
      </c>
      <c r="J404" s="108"/>
      <c r="O404" s="109"/>
      <c r="P404" s="41"/>
      <c r="Q404" s="111"/>
      <c r="R404" s="111"/>
      <c r="S404" s="110"/>
    </row>
    <row r="405" spans="1:19" hidden="1" x14ac:dyDescent="0.3">
      <c r="A405" s="105"/>
      <c r="C405" s="41">
        <v>4.8999999999999998E-3</v>
      </c>
      <c r="J405" s="108"/>
      <c r="O405" s="109"/>
      <c r="P405" s="41"/>
      <c r="Q405" s="111"/>
      <c r="R405" s="111"/>
      <c r="S405" s="110"/>
    </row>
    <row r="406" spans="1:19" hidden="1" x14ac:dyDescent="0.3">
      <c r="A406" s="105"/>
      <c r="C406" s="41">
        <v>4.8999999999999998E-3</v>
      </c>
      <c r="J406" s="108"/>
      <c r="O406" s="109"/>
      <c r="P406" s="41"/>
      <c r="Q406" s="111"/>
      <c r="R406" s="111"/>
      <c r="S406" s="110"/>
    </row>
    <row r="407" spans="1:19" hidden="1" x14ac:dyDescent="0.3">
      <c r="A407" s="105"/>
      <c r="C407" s="41">
        <v>4.8999999999999998E-3</v>
      </c>
      <c r="J407" s="108"/>
      <c r="O407" s="109"/>
      <c r="P407" s="41"/>
      <c r="Q407" s="111"/>
      <c r="R407" s="111"/>
      <c r="S407" s="110"/>
    </row>
    <row r="408" spans="1:19" hidden="1" x14ac:dyDescent="0.3">
      <c r="A408" s="105"/>
      <c r="C408" s="41">
        <v>4.8999999999999998E-3</v>
      </c>
      <c r="J408" s="108"/>
      <c r="O408" s="109"/>
      <c r="P408" s="41"/>
      <c r="Q408" s="111"/>
      <c r="R408" s="111"/>
      <c r="S408" s="110"/>
    </row>
    <row r="409" spans="1:19" hidden="1" x14ac:dyDescent="0.3">
      <c r="A409" s="105"/>
      <c r="C409" s="41">
        <v>4.8999999999999998E-3</v>
      </c>
      <c r="J409" s="108"/>
      <c r="O409" s="109"/>
      <c r="P409" s="41"/>
      <c r="Q409" s="111"/>
      <c r="R409" s="111"/>
      <c r="S409" s="110"/>
    </row>
    <row r="410" spans="1:19" hidden="1" x14ac:dyDescent="0.3">
      <c r="A410" s="105"/>
      <c r="C410" s="41">
        <v>4.8999999999999998E-3</v>
      </c>
      <c r="J410" s="108"/>
      <c r="O410" s="109"/>
      <c r="P410" s="41"/>
      <c r="Q410" s="111"/>
      <c r="R410" s="111"/>
      <c r="S410" s="110"/>
    </row>
    <row r="411" spans="1:19" hidden="1" x14ac:dyDescent="0.3">
      <c r="A411" s="105"/>
      <c r="C411" s="41">
        <v>4.8999999999999998E-3</v>
      </c>
      <c r="J411" s="108"/>
      <c r="O411" s="109"/>
      <c r="P411" s="41"/>
      <c r="Q411" s="111"/>
      <c r="R411" s="111"/>
      <c r="S411" s="110"/>
    </row>
    <row r="412" spans="1:19" hidden="1" x14ac:dyDescent="0.3">
      <c r="A412" s="105"/>
      <c r="C412" s="41">
        <v>4.8999999999999998E-3</v>
      </c>
      <c r="J412" s="108"/>
      <c r="O412" s="109"/>
      <c r="P412" s="41"/>
      <c r="Q412" s="111"/>
      <c r="R412" s="111"/>
      <c r="S412" s="110"/>
    </row>
    <row r="413" spans="1:19" hidden="1" x14ac:dyDescent="0.3">
      <c r="A413" s="105"/>
      <c r="C413" s="41">
        <v>4.8999999999999998E-3</v>
      </c>
      <c r="J413" s="108"/>
      <c r="O413" s="109"/>
      <c r="P413" s="41"/>
      <c r="Q413" s="111"/>
      <c r="R413" s="111"/>
      <c r="S413" s="110"/>
    </row>
    <row r="414" spans="1:19" hidden="1" x14ac:dyDescent="0.3">
      <c r="A414" s="105"/>
      <c r="C414" s="41">
        <v>4.8999999999999998E-3</v>
      </c>
      <c r="J414" s="108"/>
      <c r="O414" s="109"/>
      <c r="P414" s="41"/>
      <c r="Q414" s="111"/>
      <c r="R414" s="111"/>
      <c r="S414" s="110"/>
    </row>
    <row r="415" spans="1:19" hidden="1" x14ac:dyDescent="0.3">
      <c r="A415" s="105"/>
      <c r="C415" s="41">
        <v>5.4000000000000003E-3</v>
      </c>
      <c r="J415" s="108"/>
      <c r="O415" s="109"/>
      <c r="P415" s="41"/>
      <c r="Q415" s="111"/>
      <c r="R415" s="111"/>
      <c r="S415" s="110"/>
    </row>
    <row r="416" spans="1:19" hidden="1" x14ac:dyDescent="0.3">
      <c r="A416" s="105"/>
      <c r="C416" s="41">
        <v>5.4000000000000003E-3</v>
      </c>
      <c r="J416" s="108"/>
      <c r="O416" s="109"/>
      <c r="P416" s="41"/>
      <c r="Q416" s="111"/>
      <c r="R416" s="111"/>
      <c r="S416" s="110"/>
    </row>
    <row r="417" spans="1:19" hidden="1" x14ac:dyDescent="0.3">
      <c r="A417" s="105"/>
      <c r="C417" s="41">
        <v>5.4000000000000003E-3</v>
      </c>
      <c r="J417" s="108"/>
      <c r="O417" s="109"/>
      <c r="P417" s="41"/>
      <c r="Q417" s="111"/>
      <c r="R417" s="111"/>
      <c r="S417" s="110"/>
    </row>
    <row r="418" spans="1:19" hidden="1" x14ac:dyDescent="0.3">
      <c r="A418" s="105"/>
      <c r="C418" s="41">
        <v>5.4000000000000003E-3</v>
      </c>
      <c r="J418" s="108"/>
      <c r="O418" s="109"/>
      <c r="P418" s="41"/>
      <c r="Q418" s="111"/>
      <c r="R418" s="111"/>
      <c r="S418" s="110"/>
    </row>
    <row r="419" spans="1:19" hidden="1" x14ac:dyDescent="0.3">
      <c r="A419" s="105"/>
      <c r="C419" s="41">
        <v>5.4000000000000003E-3</v>
      </c>
      <c r="J419" s="108"/>
      <c r="O419" s="109"/>
      <c r="P419" s="41"/>
      <c r="Q419" s="111"/>
      <c r="R419" s="111"/>
      <c r="S419" s="110"/>
    </row>
    <row r="420" spans="1:19" hidden="1" x14ac:dyDescent="0.3">
      <c r="A420" s="105"/>
      <c r="C420" s="41">
        <v>5.4000000000000003E-3</v>
      </c>
      <c r="J420" s="108"/>
      <c r="O420" s="109"/>
      <c r="P420" s="41"/>
      <c r="Q420" s="111"/>
      <c r="R420" s="111"/>
      <c r="S420" s="110"/>
    </row>
    <row r="421" spans="1:19" hidden="1" x14ac:dyDescent="0.3">
      <c r="A421" s="105"/>
      <c r="C421" s="41">
        <v>5.4000000000000003E-3</v>
      </c>
      <c r="J421" s="108"/>
      <c r="O421" s="109"/>
      <c r="P421" s="41"/>
      <c r="Q421" s="111"/>
      <c r="R421" s="111"/>
      <c r="S421" s="110"/>
    </row>
    <row r="422" spans="1:19" hidden="1" x14ac:dyDescent="0.3">
      <c r="A422" s="105"/>
      <c r="C422" s="41">
        <v>5.4000000000000003E-3</v>
      </c>
      <c r="J422" s="108"/>
      <c r="O422" s="109"/>
      <c r="P422" s="41"/>
      <c r="Q422" s="111"/>
      <c r="R422" s="111"/>
      <c r="S422" s="110"/>
    </row>
    <row r="423" spans="1:19" hidden="1" x14ac:dyDescent="0.3">
      <c r="A423" s="105"/>
      <c r="C423" s="41">
        <v>5.4000000000000003E-3</v>
      </c>
      <c r="J423" s="108"/>
      <c r="O423" s="109"/>
      <c r="P423" s="41"/>
      <c r="Q423" s="111"/>
      <c r="R423" s="111"/>
      <c r="S423" s="110"/>
    </row>
    <row r="424" spans="1:19" hidden="1" x14ac:dyDescent="0.3">
      <c r="A424" s="105"/>
      <c r="C424" s="41">
        <v>5.8999999999999999E-3</v>
      </c>
      <c r="J424" s="108"/>
      <c r="O424" s="109"/>
      <c r="P424" s="41"/>
      <c r="Q424" s="111"/>
      <c r="R424" s="111"/>
      <c r="S424" s="110"/>
    </row>
    <row r="425" spans="1:19" hidden="1" x14ac:dyDescent="0.3">
      <c r="A425" s="105"/>
      <c r="C425" s="41">
        <v>5.8999999999999999E-3</v>
      </c>
      <c r="J425" s="108"/>
      <c r="O425" s="109"/>
      <c r="P425" s="41"/>
      <c r="Q425" s="111"/>
      <c r="R425" s="111"/>
      <c r="S425" s="110"/>
    </row>
    <row r="426" spans="1:19" hidden="1" x14ac:dyDescent="0.3">
      <c r="A426" s="105"/>
      <c r="C426" s="41">
        <v>5.8999999999999999E-3</v>
      </c>
      <c r="J426" s="108"/>
      <c r="O426" s="109"/>
      <c r="P426" s="41"/>
      <c r="Q426" s="111"/>
      <c r="R426" s="111"/>
      <c r="S426" s="110"/>
    </row>
    <row r="427" spans="1:19" hidden="1" x14ac:dyDescent="0.3">
      <c r="A427" s="105"/>
      <c r="C427" s="41">
        <v>5.8999999999999999E-3</v>
      </c>
      <c r="J427" s="108"/>
      <c r="O427" s="109"/>
      <c r="P427" s="41"/>
      <c r="Q427" s="111"/>
      <c r="R427" s="111"/>
      <c r="S427" s="110"/>
    </row>
    <row r="428" spans="1:19" hidden="1" x14ac:dyDescent="0.3">
      <c r="A428" s="105"/>
      <c r="C428" s="41">
        <v>5.8999999999999999E-3</v>
      </c>
      <c r="J428" s="108"/>
      <c r="O428" s="109"/>
      <c r="P428" s="41"/>
      <c r="Q428" s="111"/>
      <c r="R428" s="111"/>
      <c r="S428" s="110"/>
    </row>
    <row r="429" spans="1:19" hidden="1" x14ac:dyDescent="0.3">
      <c r="A429" s="105"/>
      <c r="C429" s="41">
        <v>5.8999999999999999E-3</v>
      </c>
      <c r="J429" s="108"/>
      <c r="O429" s="109"/>
      <c r="P429" s="41"/>
      <c r="Q429" s="111"/>
      <c r="R429" s="111"/>
      <c r="S429" s="110"/>
    </row>
    <row r="430" spans="1:19" hidden="1" x14ac:dyDescent="0.3">
      <c r="A430" s="105"/>
      <c r="C430" s="41">
        <v>5.8999999999999999E-3</v>
      </c>
      <c r="J430" s="108"/>
      <c r="O430" s="109"/>
      <c r="P430" s="41"/>
      <c r="Q430" s="111"/>
      <c r="R430" s="111"/>
      <c r="S430" s="110"/>
    </row>
    <row r="431" spans="1:19" hidden="1" x14ac:dyDescent="0.3">
      <c r="A431" s="105"/>
      <c r="C431" s="41">
        <v>6.4000000000000003E-3</v>
      </c>
      <c r="J431" s="108"/>
      <c r="O431" s="109"/>
      <c r="P431" s="41"/>
      <c r="Q431" s="111"/>
      <c r="R431" s="111"/>
      <c r="S431" s="110"/>
    </row>
    <row r="432" spans="1:19" hidden="1" x14ac:dyDescent="0.3">
      <c r="A432" s="105"/>
      <c r="C432" s="41">
        <v>6.4000000000000003E-3</v>
      </c>
      <c r="J432" s="108"/>
      <c r="O432" s="109"/>
      <c r="P432" s="41"/>
      <c r="Q432" s="111"/>
      <c r="R432" s="111"/>
      <c r="S432" s="110"/>
    </row>
    <row r="433" spans="1:19" hidden="1" x14ac:dyDescent="0.3">
      <c r="A433" s="105"/>
      <c r="C433" s="41">
        <v>6.4000000000000003E-3</v>
      </c>
      <c r="J433" s="108"/>
      <c r="O433" s="109"/>
      <c r="P433" s="41"/>
      <c r="Q433" s="111"/>
      <c r="R433" s="111"/>
      <c r="S433" s="110"/>
    </row>
    <row r="434" spans="1:19" hidden="1" x14ac:dyDescent="0.3">
      <c r="A434" s="105"/>
      <c r="C434" s="41">
        <v>6.4000000000000003E-3</v>
      </c>
      <c r="J434" s="108"/>
      <c r="O434" s="109"/>
      <c r="P434" s="41"/>
      <c r="Q434" s="111"/>
      <c r="R434" s="111"/>
      <c r="S434" s="110"/>
    </row>
    <row r="435" spans="1:19" hidden="1" x14ac:dyDescent="0.3">
      <c r="A435" s="105"/>
      <c r="C435" s="41">
        <v>6.4000000000000003E-3</v>
      </c>
      <c r="J435" s="108"/>
      <c r="O435" s="109"/>
      <c r="P435" s="41"/>
      <c r="Q435" s="111"/>
      <c r="R435" s="111"/>
      <c r="S435" s="110"/>
    </row>
    <row r="436" spans="1:19" hidden="1" x14ac:dyDescent="0.3">
      <c r="A436" s="105"/>
      <c r="C436" s="41">
        <v>7.0000000000000001E-3</v>
      </c>
      <c r="J436" s="108"/>
      <c r="O436" s="109"/>
      <c r="P436" s="41"/>
      <c r="Q436" s="111"/>
      <c r="R436" s="111"/>
      <c r="S436" s="110"/>
    </row>
    <row r="437" spans="1:19" hidden="1" x14ac:dyDescent="0.3">
      <c r="A437" s="105"/>
      <c r="C437" s="41">
        <v>7.0000000000000001E-3</v>
      </c>
      <c r="J437" s="108"/>
      <c r="O437" s="109"/>
      <c r="P437" s="41"/>
      <c r="Q437" s="111"/>
      <c r="R437" s="111"/>
      <c r="S437" s="110"/>
    </row>
    <row r="438" spans="1:19" hidden="1" x14ac:dyDescent="0.3">
      <c r="A438" s="105"/>
      <c r="C438" s="41">
        <v>7.0000000000000001E-3</v>
      </c>
      <c r="J438" s="108"/>
      <c r="O438" s="109"/>
      <c r="P438" s="41"/>
      <c r="Q438" s="111"/>
      <c r="R438" s="111"/>
      <c r="S438" s="110"/>
    </row>
    <row r="439" spans="1:19" hidden="1" x14ac:dyDescent="0.3">
      <c r="A439" s="105"/>
      <c r="C439" s="41">
        <v>7.6E-3</v>
      </c>
      <c r="J439" s="108"/>
      <c r="O439" s="109"/>
      <c r="P439" s="41"/>
      <c r="Q439" s="111"/>
      <c r="R439" s="111"/>
      <c r="S439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200</v>
      </c>
      <c r="B1" t="s">
        <v>201</v>
      </c>
      <c r="C1" t="s">
        <v>202</v>
      </c>
      <c r="D1" t="s">
        <v>203</v>
      </c>
      <c r="E1" s="43" t="s">
        <v>110</v>
      </c>
    </row>
    <row r="2" spans="1:5" x14ac:dyDescent="0.3">
      <c r="A2" s="98" t="s">
        <v>237</v>
      </c>
      <c r="B2" s="99" t="s">
        <v>238</v>
      </c>
      <c r="C2" s="100">
        <v>128</v>
      </c>
      <c r="D2" s="97">
        <v>1</v>
      </c>
      <c r="E2" s="99" t="s">
        <v>239</v>
      </c>
    </row>
    <row r="3" spans="1:5" x14ac:dyDescent="0.3">
      <c r="A3" s="98" t="s">
        <v>237</v>
      </c>
      <c r="B3" s="99" t="s">
        <v>238</v>
      </c>
      <c r="C3" s="100">
        <v>129</v>
      </c>
      <c r="D3" s="97">
        <v>1</v>
      </c>
      <c r="E3" s="99" t="s">
        <v>240</v>
      </c>
    </row>
    <row r="4" spans="1:5" x14ac:dyDescent="0.3">
      <c r="A4" s="98" t="s">
        <v>237</v>
      </c>
      <c r="B4" s="99" t="s">
        <v>238</v>
      </c>
      <c r="C4" s="100">
        <v>137</v>
      </c>
      <c r="D4" s="97">
        <v>1</v>
      </c>
      <c r="E4" s="99" t="s">
        <v>241</v>
      </c>
    </row>
    <row r="5" spans="1:5" x14ac:dyDescent="0.3">
      <c r="A5" s="98" t="s">
        <v>237</v>
      </c>
      <c r="B5" s="99" t="s">
        <v>238</v>
      </c>
      <c r="C5" s="100">
        <v>139</v>
      </c>
      <c r="D5" s="97">
        <v>1</v>
      </c>
      <c r="E5" s="99" t="s">
        <v>242</v>
      </c>
    </row>
    <row r="6" spans="1:5" x14ac:dyDescent="0.3">
      <c r="A6" s="98" t="s">
        <v>237</v>
      </c>
      <c r="B6" s="99" t="s">
        <v>247</v>
      </c>
      <c r="C6" s="100">
        <v>508</v>
      </c>
      <c r="D6" s="97">
        <v>1</v>
      </c>
      <c r="E6" s="99" t="s">
        <v>248</v>
      </c>
    </row>
    <row r="7" spans="1:5" x14ac:dyDescent="0.3">
      <c r="A7" s="98" t="s">
        <v>237</v>
      </c>
      <c r="B7" s="99" t="s">
        <v>247</v>
      </c>
      <c r="C7" s="100">
        <v>510</v>
      </c>
      <c r="D7" s="97">
        <v>1</v>
      </c>
      <c r="E7" s="99" t="s">
        <v>314</v>
      </c>
    </row>
    <row r="8" spans="1:5" x14ac:dyDescent="0.3">
      <c r="A8" s="98" t="s">
        <v>237</v>
      </c>
      <c r="B8" s="99" t="s">
        <v>247</v>
      </c>
      <c r="C8" s="100">
        <v>529</v>
      </c>
      <c r="D8" s="97">
        <v>1</v>
      </c>
      <c r="E8" s="99" t="s">
        <v>250</v>
      </c>
    </row>
    <row r="9" spans="1:5" x14ac:dyDescent="0.3">
      <c r="A9" s="98" t="s">
        <v>237</v>
      </c>
      <c r="B9" s="99" t="s">
        <v>247</v>
      </c>
      <c r="C9" s="100">
        <v>533</v>
      </c>
      <c r="D9" s="97">
        <v>1</v>
      </c>
      <c r="E9" s="99" t="s">
        <v>299</v>
      </c>
    </row>
    <row r="10" spans="1:5" x14ac:dyDescent="0.3">
      <c r="A10" s="98" t="s">
        <v>237</v>
      </c>
      <c r="B10" s="99" t="s">
        <v>247</v>
      </c>
      <c r="C10" s="100">
        <v>548</v>
      </c>
      <c r="D10" s="97">
        <v>1</v>
      </c>
      <c r="E10" s="99" t="s">
        <v>252</v>
      </c>
    </row>
    <row r="11" spans="1:5" x14ac:dyDescent="0.3">
      <c r="A11" s="98" t="s">
        <v>237</v>
      </c>
      <c r="B11" s="99" t="s">
        <v>254</v>
      </c>
      <c r="C11" s="100">
        <v>576</v>
      </c>
      <c r="D11" s="97">
        <v>1</v>
      </c>
      <c r="E11" s="99" t="s">
        <v>253</v>
      </c>
    </row>
    <row r="12" spans="1:5" x14ac:dyDescent="0.3">
      <c r="A12" s="98" t="s">
        <v>237</v>
      </c>
      <c r="B12" s="99" t="s">
        <v>254</v>
      </c>
      <c r="C12" s="100">
        <v>656</v>
      </c>
      <c r="D12" s="97">
        <v>1</v>
      </c>
      <c r="E12" s="99" t="s">
        <v>255</v>
      </c>
    </row>
    <row r="13" spans="1:5" x14ac:dyDescent="0.3">
      <c r="A13" s="98" t="s">
        <v>237</v>
      </c>
      <c r="B13" s="99" t="s">
        <v>254</v>
      </c>
      <c r="C13" s="100">
        <v>658</v>
      </c>
      <c r="D13" s="97">
        <v>1</v>
      </c>
      <c r="E13" s="99" t="s">
        <v>256</v>
      </c>
    </row>
    <row r="14" spans="1:5" x14ac:dyDescent="0.3">
      <c r="A14" s="98" t="s">
        <v>237</v>
      </c>
      <c r="B14" s="99" t="s">
        <v>254</v>
      </c>
      <c r="C14" s="100">
        <v>696</v>
      </c>
      <c r="D14" s="97">
        <v>1</v>
      </c>
      <c r="E14" s="99" t="s">
        <v>257</v>
      </c>
    </row>
    <row r="15" spans="1:5" x14ac:dyDescent="0.3">
      <c r="A15" s="98" t="s">
        <v>237</v>
      </c>
      <c r="B15" s="99" t="s">
        <v>254</v>
      </c>
      <c r="C15" s="100">
        <v>697</v>
      </c>
      <c r="D15" s="97">
        <v>1</v>
      </c>
      <c r="E15" s="99" t="s">
        <v>300</v>
      </c>
    </row>
    <row r="16" spans="1:5" x14ac:dyDescent="0.3">
      <c r="A16" s="98" t="s">
        <v>237</v>
      </c>
      <c r="B16" s="99" t="s">
        <v>254</v>
      </c>
      <c r="C16" s="100">
        <v>731</v>
      </c>
      <c r="D16" s="97">
        <v>1</v>
      </c>
      <c r="E16" s="99" t="s">
        <v>258</v>
      </c>
    </row>
    <row r="17" spans="1:5" x14ac:dyDescent="0.3">
      <c r="A17" s="98" t="s">
        <v>237</v>
      </c>
      <c r="B17" s="99" t="s">
        <v>254</v>
      </c>
      <c r="C17" s="100">
        <v>766</v>
      </c>
      <c r="D17" s="97">
        <v>1</v>
      </c>
      <c r="E17" s="99" t="s">
        <v>304</v>
      </c>
    </row>
    <row r="18" spans="1:5" x14ac:dyDescent="0.3">
      <c r="A18" s="98" t="s">
        <v>237</v>
      </c>
      <c r="B18" s="99" t="s">
        <v>254</v>
      </c>
      <c r="C18" s="100">
        <v>839</v>
      </c>
      <c r="D18" s="97">
        <v>1</v>
      </c>
      <c r="E18" s="99" t="s">
        <v>308</v>
      </c>
    </row>
    <row r="19" spans="1:5" x14ac:dyDescent="0.3">
      <c r="A19" s="98" t="s">
        <v>237</v>
      </c>
      <c r="B19" s="99" t="s">
        <v>254</v>
      </c>
      <c r="C19" s="100">
        <v>856</v>
      </c>
      <c r="D19" s="97">
        <v>1</v>
      </c>
      <c r="E19" s="99" t="s">
        <v>312</v>
      </c>
    </row>
    <row r="20" spans="1:5" x14ac:dyDescent="0.3">
      <c r="A20" s="98" t="s">
        <v>237</v>
      </c>
      <c r="B20" s="99" t="s">
        <v>259</v>
      </c>
      <c r="C20" s="100">
        <v>888</v>
      </c>
      <c r="D20" s="97">
        <v>1</v>
      </c>
      <c r="E20" s="99" t="s">
        <v>260</v>
      </c>
    </row>
    <row r="21" spans="1:5" x14ac:dyDescent="0.3">
      <c r="A21" s="98" t="s">
        <v>237</v>
      </c>
      <c r="B21" s="99" t="s">
        <v>259</v>
      </c>
      <c r="C21" s="100">
        <v>898</v>
      </c>
      <c r="D21" s="97">
        <v>1</v>
      </c>
      <c r="E21" s="99" t="s">
        <v>305</v>
      </c>
    </row>
    <row r="22" spans="1:5" x14ac:dyDescent="0.3">
      <c r="A22" s="98" t="s">
        <v>237</v>
      </c>
      <c r="B22" s="99" t="s">
        <v>259</v>
      </c>
      <c r="C22" s="100">
        <v>913</v>
      </c>
      <c r="D22" s="97">
        <v>1</v>
      </c>
      <c r="E22" s="99" t="s">
        <v>261</v>
      </c>
    </row>
    <row r="23" spans="1:5" x14ac:dyDescent="0.3">
      <c r="A23" s="98" t="s">
        <v>237</v>
      </c>
      <c r="B23" s="99" t="s">
        <v>259</v>
      </c>
      <c r="C23" s="100">
        <v>937</v>
      </c>
      <c r="D23" s="98">
        <v>1</v>
      </c>
      <c r="E23" s="99" t="s">
        <v>262</v>
      </c>
    </row>
    <row r="24" spans="1:5" x14ac:dyDescent="0.3">
      <c r="A24" s="98" t="s">
        <v>237</v>
      </c>
      <c r="B24" s="99" t="s">
        <v>259</v>
      </c>
      <c r="C24" s="100">
        <v>1008</v>
      </c>
      <c r="D24" s="98">
        <v>1</v>
      </c>
      <c r="E24" s="99" t="s">
        <v>263</v>
      </c>
    </row>
    <row r="25" spans="1:5" x14ac:dyDescent="0.3">
      <c r="A25" s="98" t="s">
        <v>237</v>
      </c>
      <c r="B25" s="99" t="s">
        <v>266</v>
      </c>
      <c r="C25" s="100">
        <v>1095</v>
      </c>
      <c r="D25" s="98">
        <v>1</v>
      </c>
      <c r="E25" s="99" t="s">
        <v>267</v>
      </c>
    </row>
    <row r="26" spans="1:5" x14ac:dyDescent="0.3">
      <c r="A26" s="98" t="s">
        <v>237</v>
      </c>
      <c r="B26" s="99" t="s">
        <v>266</v>
      </c>
      <c r="C26" s="100">
        <v>1096</v>
      </c>
      <c r="D26" s="98">
        <v>1</v>
      </c>
      <c r="E26" s="99" t="s">
        <v>307</v>
      </c>
    </row>
    <row r="27" spans="1:5" x14ac:dyDescent="0.3">
      <c r="A27" s="98" t="s">
        <v>237</v>
      </c>
      <c r="B27" s="99" t="s">
        <v>266</v>
      </c>
      <c r="C27" s="100">
        <v>1097</v>
      </c>
      <c r="D27" s="98">
        <v>1</v>
      </c>
      <c r="E27" s="99" t="s">
        <v>268</v>
      </c>
    </row>
    <row r="28" spans="1:5" x14ac:dyDescent="0.3">
      <c r="A28" s="98" t="s">
        <v>237</v>
      </c>
      <c r="B28" s="99" t="s">
        <v>266</v>
      </c>
      <c r="C28" s="100">
        <v>1119</v>
      </c>
      <c r="D28" s="97">
        <v>1</v>
      </c>
      <c r="E28" s="99" t="s">
        <v>306</v>
      </c>
    </row>
    <row r="29" spans="1:5" x14ac:dyDescent="0.3">
      <c r="A29" s="98" t="s">
        <v>237</v>
      </c>
      <c r="B29" s="99" t="s">
        <v>269</v>
      </c>
      <c r="C29" s="100">
        <v>1157</v>
      </c>
      <c r="D29" s="97">
        <v>1</v>
      </c>
      <c r="E29" s="99" t="s">
        <v>260</v>
      </c>
    </row>
    <row r="30" spans="1:5" x14ac:dyDescent="0.3">
      <c r="A30" s="98" t="s">
        <v>237</v>
      </c>
      <c r="B30" s="99" t="s">
        <v>269</v>
      </c>
      <c r="C30" s="100">
        <v>1176</v>
      </c>
      <c r="D30" s="97">
        <v>1</v>
      </c>
      <c r="E30" s="99" t="s">
        <v>270</v>
      </c>
    </row>
    <row r="31" spans="1:5" x14ac:dyDescent="0.3">
      <c r="A31" s="98" t="s">
        <v>237</v>
      </c>
      <c r="B31" s="99" t="s">
        <v>269</v>
      </c>
      <c r="C31" s="100">
        <v>1178</v>
      </c>
      <c r="D31" s="97">
        <v>1</v>
      </c>
      <c r="E31" s="99" t="s">
        <v>271</v>
      </c>
    </row>
    <row r="32" spans="1:5" x14ac:dyDescent="0.3">
      <c r="A32" s="98" t="s">
        <v>237</v>
      </c>
      <c r="B32" s="99" t="s">
        <v>269</v>
      </c>
      <c r="C32" s="100">
        <v>1218</v>
      </c>
      <c r="D32" s="97">
        <v>1</v>
      </c>
      <c r="E32" s="99" t="s">
        <v>272</v>
      </c>
    </row>
    <row r="33" spans="1:5" x14ac:dyDescent="0.3">
      <c r="A33" s="98" t="s">
        <v>237</v>
      </c>
      <c r="B33" s="99" t="s">
        <v>274</v>
      </c>
      <c r="C33" s="100">
        <v>1271</v>
      </c>
      <c r="D33" s="97">
        <v>1</v>
      </c>
      <c r="E33" s="99" t="s">
        <v>273</v>
      </c>
    </row>
    <row r="34" spans="1:5" x14ac:dyDescent="0.3">
      <c r="A34" s="98" t="s">
        <v>237</v>
      </c>
      <c r="B34" s="99" t="s">
        <v>274</v>
      </c>
      <c r="C34" s="100">
        <v>1290</v>
      </c>
      <c r="D34" s="97">
        <v>1</v>
      </c>
      <c r="E34" s="99" t="s">
        <v>270</v>
      </c>
    </row>
    <row r="35" spans="1:5" x14ac:dyDescent="0.3">
      <c r="A35" s="98" t="s">
        <v>237</v>
      </c>
      <c r="B35" s="99" t="s">
        <v>274</v>
      </c>
      <c r="C35" s="100">
        <v>1292</v>
      </c>
      <c r="D35" s="97">
        <v>1</v>
      </c>
      <c r="E35" s="99" t="s">
        <v>271</v>
      </c>
    </row>
    <row r="36" spans="1:5" x14ac:dyDescent="0.3">
      <c r="A36" s="98" t="s">
        <v>237</v>
      </c>
      <c r="B36" s="99" t="s">
        <v>274</v>
      </c>
      <c r="C36" s="100">
        <v>1312</v>
      </c>
      <c r="D36" s="97">
        <v>1</v>
      </c>
      <c r="E36" s="99" t="s">
        <v>275</v>
      </c>
    </row>
    <row r="37" spans="1:5" x14ac:dyDescent="0.3">
      <c r="A37" s="98" t="s">
        <v>237</v>
      </c>
      <c r="B37" s="99" t="s">
        <v>277</v>
      </c>
      <c r="C37" s="100">
        <v>1351</v>
      </c>
      <c r="D37" s="97">
        <v>1</v>
      </c>
      <c r="E37" s="99" t="s">
        <v>276</v>
      </c>
    </row>
    <row r="38" spans="1:5" x14ac:dyDescent="0.3">
      <c r="A38" s="98" t="s">
        <v>237</v>
      </c>
      <c r="B38" s="99" t="s">
        <v>277</v>
      </c>
      <c r="C38" s="100">
        <v>1353</v>
      </c>
      <c r="D38" s="97">
        <v>1</v>
      </c>
      <c r="E38" s="99" t="s">
        <v>278</v>
      </c>
    </row>
    <row r="39" spans="1:5" x14ac:dyDescent="0.3">
      <c r="A39" s="98" t="s">
        <v>237</v>
      </c>
      <c r="B39" s="99" t="s">
        <v>288</v>
      </c>
      <c r="C39" s="100">
        <v>1377</v>
      </c>
      <c r="D39" s="97">
        <v>1</v>
      </c>
      <c r="E39" s="99" t="s">
        <v>279</v>
      </c>
    </row>
    <row r="40" spans="1:5" x14ac:dyDescent="0.3">
      <c r="A40" s="98" t="s">
        <v>237</v>
      </c>
      <c r="B40" s="99" t="s">
        <v>288</v>
      </c>
      <c r="C40" s="100">
        <v>1378</v>
      </c>
      <c r="D40" s="97">
        <v>1</v>
      </c>
      <c r="E40" s="99" t="s">
        <v>280</v>
      </c>
    </row>
    <row r="41" spans="1:5" x14ac:dyDescent="0.3">
      <c r="A41" s="98" t="s">
        <v>237</v>
      </c>
      <c r="B41" s="99" t="s">
        <v>288</v>
      </c>
      <c r="C41" s="100">
        <v>1379</v>
      </c>
      <c r="D41" s="97">
        <v>1</v>
      </c>
      <c r="E41" s="99" t="s">
        <v>281</v>
      </c>
    </row>
    <row r="42" spans="1:5" x14ac:dyDescent="0.3">
      <c r="A42" s="98" t="s">
        <v>237</v>
      </c>
      <c r="B42" s="99" t="s">
        <v>288</v>
      </c>
      <c r="C42" s="100">
        <v>1381</v>
      </c>
      <c r="D42" s="97">
        <v>1</v>
      </c>
      <c r="E42" s="99" t="s">
        <v>313</v>
      </c>
    </row>
    <row r="43" spans="1:5" x14ac:dyDescent="0.3">
      <c r="A43" s="98" t="s">
        <v>237</v>
      </c>
      <c r="B43" s="99" t="s">
        <v>288</v>
      </c>
      <c r="C43" s="100">
        <v>1382</v>
      </c>
      <c r="D43" s="97">
        <v>1</v>
      </c>
      <c r="E43" s="99" t="s">
        <v>282</v>
      </c>
    </row>
    <row r="44" spans="1:5" x14ac:dyDescent="0.3">
      <c r="A44" s="98" t="s">
        <v>237</v>
      </c>
      <c r="B44" s="99" t="s">
        <v>288</v>
      </c>
      <c r="C44" s="100">
        <v>1383</v>
      </c>
      <c r="D44" s="97">
        <v>1</v>
      </c>
      <c r="E44" s="99" t="s">
        <v>283</v>
      </c>
    </row>
    <row r="45" spans="1:5" x14ac:dyDescent="0.3">
      <c r="A45" s="98" t="s">
        <v>237</v>
      </c>
      <c r="B45" s="99" t="s">
        <v>288</v>
      </c>
      <c r="C45" s="100">
        <v>1384</v>
      </c>
      <c r="D45" s="97">
        <v>1</v>
      </c>
      <c r="E45" s="99" t="s">
        <v>284</v>
      </c>
    </row>
    <row r="46" spans="1:5" x14ac:dyDescent="0.3">
      <c r="A46" s="98" t="s">
        <v>237</v>
      </c>
      <c r="B46" s="99" t="s">
        <v>288</v>
      </c>
      <c r="C46" s="100">
        <v>1385</v>
      </c>
      <c r="D46" s="97">
        <v>1</v>
      </c>
      <c r="E46" s="99" t="s">
        <v>285</v>
      </c>
    </row>
    <row r="47" spans="1:5" x14ac:dyDescent="0.3">
      <c r="A47" s="98" t="s">
        <v>237</v>
      </c>
      <c r="B47" s="99" t="s">
        <v>288</v>
      </c>
      <c r="C47" s="100">
        <v>1386</v>
      </c>
      <c r="D47" s="97">
        <v>1</v>
      </c>
      <c r="E47" s="99" t="s">
        <v>286</v>
      </c>
    </row>
    <row r="48" spans="1:5" x14ac:dyDescent="0.3">
      <c r="A48" s="98" t="s">
        <v>237</v>
      </c>
      <c r="B48" s="99" t="s">
        <v>288</v>
      </c>
      <c r="C48" s="100">
        <v>1387</v>
      </c>
      <c r="D48" s="97">
        <v>1</v>
      </c>
      <c r="E48" s="99" t="s">
        <v>303</v>
      </c>
    </row>
    <row r="49" spans="1:5" x14ac:dyDescent="0.3">
      <c r="A49" s="98" t="s">
        <v>237</v>
      </c>
      <c r="B49" s="99" t="s">
        <v>288</v>
      </c>
      <c r="C49" s="100">
        <v>1388</v>
      </c>
      <c r="D49" s="97">
        <v>1</v>
      </c>
      <c r="E49" s="99" t="s">
        <v>287</v>
      </c>
    </row>
    <row r="50" spans="1:5" x14ac:dyDescent="0.3">
      <c r="A50" s="98" t="s">
        <v>237</v>
      </c>
      <c r="B50" s="99" t="s">
        <v>290</v>
      </c>
      <c r="C50" s="100">
        <v>2298</v>
      </c>
      <c r="D50" s="97">
        <v>1</v>
      </c>
      <c r="E50" s="99" t="s">
        <v>289</v>
      </c>
    </row>
    <row r="51" spans="1:5" x14ac:dyDescent="0.3">
      <c r="A51" s="98" t="s">
        <v>237</v>
      </c>
      <c r="B51" s="99" t="s">
        <v>290</v>
      </c>
      <c r="C51" s="100">
        <v>2308</v>
      </c>
      <c r="D51" s="97">
        <v>1</v>
      </c>
      <c r="E51" s="99" t="s">
        <v>291</v>
      </c>
    </row>
    <row r="52" spans="1:5" x14ac:dyDescent="0.3">
      <c r="A52" s="98" t="s">
        <v>237</v>
      </c>
      <c r="B52" s="99" t="s">
        <v>292</v>
      </c>
      <c r="C52" s="100" t="s">
        <v>206</v>
      </c>
      <c r="D52" s="97">
        <v>1</v>
      </c>
      <c r="E52" s="99"/>
    </row>
    <row r="53" spans="1:5" x14ac:dyDescent="0.3">
      <c r="A53" s="98" t="s">
        <v>237</v>
      </c>
      <c r="B53" s="99" t="s">
        <v>293</v>
      </c>
      <c r="C53" s="100" t="s">
        <v>206</v>
      </c>
      <c r="D53" s="97">
        <v>1</v>
      </c>
      <c r="E53" s="99"/>
    </row>
    <row r="54" spans="1:5" x14ac:dyDescent="0.3">
      <c r="A54" s="98" t="s">
        <v>237</v>
      </c>
      <c r="B54" s="99" t="s">
        <v>309</v>
      </c>
      <c r="C54" s="98" t="s">
        <v>206</v>
      </c>
      <c r="D54" s="97">
        <v>1</v>
      </c>
      <c r="E54" s="99"/>
    </row>
    <row r="55" spans="1:5" x14ac:dyDescent="0.3">
      <c r="A55" s="98" t="s">
        <v>204</v>
      </c>
      <c r="B55" s="99" t="s">
        <v>204</v>
      </c>
      <c r="C55" s="98">
        <v>188</v>
      </c>
      <c r="D55" s="97">
        <v>1</v>
      </c>
      <c r="E55" s="99" t="s">
        <v>310</v>
      </c>
    </row>
    <row r="56" spans="1:5" x14ac:dyDescent="0.3">
      <c r="A56" s="98" t="s">
        <v>204</v>
      </c>
      <c r="B56" s="99" t="s">
        <v>207</v>
      </c>
      <c r="C56" s="98">
        <v>271</v>
      </c>
      <c r="D56" s="97">
        <v>1</v>
      </c>
      <c r="E56" s="99" t="s">
        <v>208</v>
      </c>
    </row>
    <row r="57" spans="1:5" x14ac:dyDescent="0.3">
      <c r="A57" s="98" t="s">
        <v>204</v>
      </c>
      <c r="B57" s="99" t="s">
        <v>207</v>
      </c>
      <c r="C57" s="98">
        <v>279</v>
      </c>
      <c r="D57" s="97">
        <v>1</v>
      </c>
      <c r="E57" s="99" t="s">
        <v>209</v>
      </c>
    </row>
    <row r="58" spans="1:5" x14ac:dyDescent="0.3">
      <c r="A58" s="98" t="s">
        <v>204</v>
      </c>
      <c r="B58" s="99" t="s">
        <v>211</v>
      </c>
      <c r="C58" s="98">
        <v>394</v>
      </c>
      <c r="D58" s="97">
        <v>1</v>
      </c>
      <c r="E58" s="99" t="s">
        <v>212</v>
      </c>
    </row>
    <row r="59" spans="1:5" x14ac:dyDescent="0.3">
      <c r="A59" s="98" t="s">
        <v>204</v>
      </c>
      <c r="B59" s="99" t="s">
        <v>211</v>
      </c>
      <c r="C59" s="98">
        <v>400</v>
      </c>
      <c r="D59" s="97">
        <v>1</v>
      </c>
      <c r="E59" s="99" t="s">
        <v>213</v>
      </c>
    </row>
    <row r="60" spans="1:5" x14ac:dyDescent="0.3">
      <c r="A60" s="98" t="s">
        <v>204</v>
      </c>
      <c r="B60" s="99" t="s">
        <v>214</v>
      </c>
      <c r="C60" s="98">
        <v>423</v>
      </c>
      <c r="D60" s="97">
        <v>1</v>
      </c>
      <c r="E60" s="99" t="s">
        <v>215</v>
      </c>
    </row>
    <row r="61" spans="1:5" x14ac:dyDescent="0.3">
      <c r="A61" s="98" t="s">
        <v>204</v>
      </c>
      <c r="B61" s="99" t="s">
        <v>214</v>
      </c>
      <c r="C61" s="98">
        <v>425</v>
      </c>
      <c r="D61" s="97">
        <v>1</v>
      </c>
      <c r="E61" s="99" t="s">
        <v>216</v>
      </c>
    </row>
    <row r="62" spans="1:5" x14ac:dyDescent="0.3">
      <c r="A62" s="98" t="s">
        <v>204</v>
      </c>
      <c r="B62" s="99" t="s">
        <v>214</v>
      </c>
      <c r="C62" s="98">
        <v>428</v>
      </c>
      <c r="D62" s="97">
        <v>1</v>
      </c>
      <c r="E62" s="99" t="s">
        <v>217</v>
      </c>
    </row>
    <row r="63" spans="1:5" x14ac:dyDescent="0.3">
      <c r="A63" s="98" t="s">
        <v>204</v>
      </c>
      <c r="B63" s="99" t="s">
        <v>220</v>
      </c>
      <c r="C63" s="98">
        <v>459</v>
      </c>
      <c r="D63" s="97">
        <v>1</v>
      </c>
      <c r="E63" s="99" t="s">
        <v>221</v>
      </c>
    </row>
    <row r="64" spans="1:5" x14ac:dyDescent="0.3">
      <c r="A64" s="98" t="s">
        <v>204</v>
      </c>
      <c r="B64" s="99" t="s">
        <v>220</v>
      </c>
      <c r="C64" s="98">
        <v>470</v>
      </c>
      <c r="D64" s="97">
        <v>1</v>
      </c>
      <c r="E64" s="99" t="s">
        <v>218</v>
      </c>
    </row>
    <row r="65" spans="1:5" x14ac:dyDescent="0.3">
      <c r="A65" s="98" t="s">
        <v>204</v>
      </c>
      <c r="B65" s="99" t="s">
        <v>220</v>
      </c>
      <c r="C65" s="98">
        <v>472</v>
      </c>
      <c r="D65" s="97">
        <v>1</v>
      </c>
      <c r="E65" s="99" t="s">
        <v>219</v>
      </c>
    </row>
    <row r="66" spans="1:5" x14ac:dyDescent="0.3">
      <c r="A66" s="98" t="s">
        <v>204</v>
      </c>
      <c r="B66" s="99" t="s">
        <v>223</v>
      </c>
      <c r="C66" s="98">
        <v>598</v>
      </c>
      <c r="D66" s="97">
        <v>1</v>
      </c>
      <c r="E66" s="99" t="s">
        <v>224</v>
      </c>
    </row>
    <row r="67" spans="1:5" x14ac:dyDescent="0.3">
      <c r="A67" s="98" t="s">
        <v>204</v>
      </c>
      <c r="B67" s="99" t="s">
        <v>223</v>
      </c>
      <c r="C67" s="98">
        <v>680</v>
      </c>
      <c r="D67" s="97">
        <v>1</v>
      </c>
      <c r="E67" s="99" t="s">
        <v>225</v>
      </c>
    </row>
    <row r="68" spans="1:5" x14ac:dyDescent="0.3">
      <c r="A68" s="98" t="s">
        <v>204</v>
      </c>
      <c r="B68" s="99" t="s">
        <v>223</v>
      </c>
      <c r="C68" s="98">
        <v>708</v>
      </c>
      <c r="D68" s="97">
        <v>1</v>
      </c>
      <c r="E68" s="99" t="s">
        <v>226</v>
      </c>
    </row>
    <row r="69" spans="1:5" x14ac:dyDescent="0.3">
      <c r="A69" s="98" t="s">
        <v>204</v>
      </c>
      <c r="B69" s="99" t="s">
        <v>227</v>
      </c>
      <c r="C69" s="98">
        <v>726</v>
      </c>
      <c r="D69" s="97">
        <v>1</v>
      </c>
      <c r="E69" s="99" t="s">
        <v>228</v>
      </c>
    </row>
    <row r="70" spans="1:5" x14ac:dyDescent="0.3">
      <c r="A70" s="98" t="s">
        <v>204</v>
      </c>
      <c r="B70" s="99" t="s">
        <v>227</v>
      </c>
      <c r="C70" s="98">
        <v>739</v>
      </c>
      <c r="D70" s="97">
        <v>1</v>
      </c>
      <c r="E70" s="99" t="s">
        <v>229</v>
      </c>
    </row>
    <row r="71" spans="1:5" x14ac:dyDescent="0.3">
      <c r="A71" s="98" t="s">
        <v>204</v>
      </c>
      <c r="B71" s="99" t="s">
        <v>227</v>
      </c>
      <c r="C71" s="98">
        <v>740</v>
      </c>
      <c r="D71" s="97">
        <v>1</v>
      </c>
      <c r="E71" s="99" t="s">
        <v>230</v>
      </c>
    </row>
    <row r="72" spans="1:5" x14ac:dyDescent="0.3">
      <c r="A72" s="98" t="s">
        <v>204</v>
      </c>
      <c r="B72" s="99" t="s">
        <v>227</v>
      </c>
      <c r="C72" s="98">
        <v>754</v>
      </c>
      <c r="D72" s="97">
        <v>1</v>
      </c>
      <c r="E72" s="99" t="s">
        <v>231</v>
      </c>
    </row>
    <row r="73" spans="1:5" x14ac:dyDescent="0.3">
      <c r="A73" s="98" t="s">
        <v>204</v>
      </c>
      <c r="B73" s="99" t="s">
        <v>227</v>
      </c>
      <c r="C73" s="98">
        <v>758</v>
      </c>
      <c r="D73" s="97">
        <v>1</v>
      </c>
      <c r="E73" s="99" t="s">
        <v>232</v>
      </c>
    </row>
    <row r="74" spans="1:5" x14ac:dyDescent="0.3">
      <c r="A74" s="98" t="s">
        <v>204</v>
      </c>
      <c r="B74" s="99" t="s">
        <v>227</v>
      </c>
      <c r="C74" s="98">
        <v>779</v>
      </c>
      <c r="D74" s="97">
        <v>1</v>
      </c>
      <c r="E74" s="99" t="s">
        <v>233</v>
      </c>
    </row>
    <row r="75" spans="1:5" x14ac:dyDescent="0.3">
      <c r="A75" s="98" t="s">
        <v>204</v>
      </c>
      <c r="B75" s="99" t="s">
        <v>227</v>
      </c>
      <c r="C75" s="98">
        <v>793</v>
      </c>
      <c r="D75" s="97">
        <v>1</v>
      </c>
      <c r="E75" s="99" t="s">
        <v>234</v>
      </c>
    </row>
    <row r="76" spans="1:5" x14ac:dyDescent="0.3">
      <c r="A76" s="98" t="s">
        <v>204</v>
      </c>
      <c r="B76" s="99" t="s">
        <v>235</v>
      </c>
      <c r="C76" s="98">
        <v>898</v>
      </c>
      <c r="D76" s="97">
        <v>1</v>
      </c>
      <c r="E76" s="99" t="s">
        <v>226</v>
      </c>
    </row>
    <row r="77" spans="1:5" x14ac:dyDescent="0.3">
      <c r="A77" s="98" t="s">
        <v>204</v>
      </c>
      <c r="B77" s="99" t="s">
        <v>235</v>
      </c>
      <c r="C77" s="98">
        <v>927</v>
      </c>
      <c r="D77" s="97">
        <v>1</v>
      </c>
      <c r="E77" s="99" t="s">
        <v>236</v>
      </c>
    </row>
    <row r="78" spans="1:5" x14ac:dyDescent="0.3">
      <c r="A78" s="98" t="s">
        <v>204</v>
      </c>
      <c r="B78" s="99" t="s">
        <v>205</v>
      </c>
      <c r="C78" s="98" t="s">
        <v>206</v>
      </c>
      <c r="D78" s="97">
        <v>1</v>
      </c>
      <c r="E78" s="99"/>
    </row>
    <row r="79" spans="1:5" x14ac:dyDescent="0.3">
      <c r="A79" s="98" t="s">
        <v>204</v>
      </c>
      <c r="B79" s="99" t="s">
        <v>210</v>
      </c>
      <c r="C79" s="98" t="s">
        <v>206</v>
      </c>
      <c r="D79" s="97">
        <v>1</v>
      </c>
      <c r="E79" s="99"/>
    </row>
    <row r="80" spans="1:5" x14ac:dyDescent="0.3">
      <c r="A80" s="98" t="s">
        <v>204</v>
      </c>
      <c r="B80" s="99" t="s">
        <v>222</v>
      </c>
      <c r="C80" s="98" t="s">
        <v>206</v>
      </c>
      <c r="D80" s="97">
        <v>1</v>
      </c>
      <c r="E80" s="99"/>
    </row>
    <row r="81" spans="1:5" x14ac:dyDescent="0.3">
      <c r="A81" s="98" t="s">
        <v>264</v>
      </c>
      <c r="B81" s="99" t="s">
        <v>297</v>
      </c>
      <c r="C81" s="100">
        <v>106</v>
      </c>
      <c r="D81" s="97">
        <v>1</v>
      </c>
      <c r="E81" s="99" t="s">
        <v>301</v>
      </c>
    </row>
    <row r="82" spans="1:5" x14ac:dyDescent="0.3">
      <c r="A82" s="98" t="s">
        <v>264</v>
      </c>
      <c r="B82" s="99" t="s">
        <v>265</v>
      </c>
      <c r="C82" s="100">
        <v>107</v>
      </c>
      <c r="D82" s="97">
        <v>1</v>
      </c>
      <c r="E82" s="99" t="s">
        <v>301</v>
      </c>
    </row>
    <row r="83" spans="1:5" x14ac:dyDescent="0.3">
      <c r="A83" s="98" t="s">
        <v>264</v>
      </c>
      <c r="B83" s="99" t="s">
        <v>298</v>
      </c>
      <c r="C83" s="100">
        <v>115</v>
      </c>
      <c r="D83" s="97">
        <v>1</v>
      </c>
      <c r="E83" s="99" t="s">
        <v>295</v>
      </c>
    </row>
    <row r="84" spans="1:5" x14ac:dyDescent="0.3">
      <c r="A84" s="98" t="s">
        <v>264</v>
      </c>
      <c r="B84" s="99" t="s">
        <v>297</v>
      </c>
      <c r="C84" s="100">
        <v>120</v>
      </c>
      <c r="D84" s="97">
        <v>1</v>
      </c>
      <c r="E84" s="99" t="s">
        <v>294</v>
      </c>
    </row>
    <row r="85" spans="1:5" x14ac:dyDescent="0.3">
      <c r="A85" s="98" t="s">
        <v>264</v>
      </c>
      <c r="B85" s="99" t="s">
        <v>265</v>
      </c>
      <c r="C85" s="100">
        <v>122</v>
      </c>
      <c r="D85" s="97">
        <v>1</v>
      </c>
      <c r="E85" s="99" t="s">
        <v>294</v>
      </c>
    </row>
    <row r="86" spans="1:5" x14ac:dyDescent="0.3">
      <c r="A86" s="98" t="s">
        <v>264</v>
      </c>
      <c r="B86" s="99" t="s">
        <v>298</v>
      </c>
      <c r="C86" s="100">
        <v>131</v>
      </c>
      <c r="D86" s="97">
        <v>1</v>
      </c>
      <c r="E86" s="99" t="s">
        <v>294</v>
      </c>
    </row>
    <row r="87" spans="1:5" x14ac:dyDescent="0.3">
      <c r="A87" s="98" t="s">
        <v>264</v>
      </c>
      <c r="B87" s="99" t="s">
        <v>265</v>
      </c>
      <c r="C87" s="100">
        <v>136</v>
      </c>
      <c r="D87" s="97">
        <v>1</v>
      </c>
      <c r="E87" s="99" t="s">
        <v>296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zoomScale="115" zoomScaleNormal="115" workbookViewId="0">
      <selection activeCell="B29" sqref="B29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12.6640625" customWidth="1"/>
    <col min="4" max="4" width="9.33203125" customWidth="1"/>
    <col min="5" max="5" width="53.5546875" customWidth="1"/>
    <col min="6" max="16384" width="8.88671875" hidden="1"/>
  </cols>
  <sheetData>
    <row r="1" spans="1:5" x14ac:dyDescent="0.3">
      <c r="A1" t="s">
        <v>243</v>
      </c>
      <c r="B1" t="s">
        <v>343</v>
      </c>
      <c r="C1" t="s">
        <v>106</v>
      </c>
      <c r="D1" t="s">
        <v>111</v>
      </c>
      <c r="E1" s="43" t="s">
        <v>110</v>
      </c>
    </row>
    <row r="2" spans="1:5" hidden="1" x14ac:dyDescent="0.3">
      <c r="A2" t="s">
        <v>246</v>
      </c>
      <c r="B2" t="s">
        <v>107</v>
      </c>
      <c r="D2" t="s">
        <v>108</v>
      </c>
      <c r="E2" s="43" t="s">
        <v>249</v>
      </c>
    </row>
    <row r="3" spans="1:5" hidden="1" x14ac:dyDescent="0.3">
      <c r="A3" t="s">
        <v>246</v>
      </c>
      <c r="E3" s="43"/>
    </row>
    <row r="4" spans="1:5" hidden="1" x14ac:dyDescent="0.3">
      <c r="A4" t="s">
        <v>246</v>
      </c>
      <c r="E4" s="43"/>
    </row>
    <row r="5" spans="1:5" hidden="1" x14ac:dyDescent="0.3">
      <c r="A5" t="s">
        <v>246</v>
      </c>
      <c r="E5" s="43"/>
    </row>
    <row r="6" spans="1:5" hidden="1" x14ac:dyDescent="0.3">
      <c r="A6" s="102" t="s">
        <v>246</v>
      </c>
      <c r="B6" s="102" t="s">
        <v>109</v>
      </c>
      <c r="C6" s="102" t="s">
        <v>332</v>
      </c>
      <c r="D6" s="102" t="s">
        <v>108</v>
      </c>
      <c r="E6" s="103" t="s">
        <v>112</v>
      </c>
    </row>
    <row r="7" spans="1:5" hidden="1" x14ac:dyDescent="0.3">
      <c r="A7" s="102"/>
      <c r="B7" s="102"/>
      <c r="C7" s="102"/>
      <c r="D7" s="102"/>
      <c r="E7" s="103"/>
    </row>
    <row r="8" spans="1:5" x14ac:dyDescent="0.3">
      <c r="A8" s="102" t="s">
        <v>244</v>
      </c>
      <c r="B8" s="102" t="s">
        <v>324</v>
      </c>
      <c r="C8" s="102" t="s">
        <v>333</v>
      </c>
      <c r="D8" s="102" t="s">
        <v>333</v>
      </c>
      <c r="E8" s="103" t="s">
        <v>370</v>
      </c>
    </row>
    <row r="9" spans="1:5" x14ac:dyDescent="0.3">
      <c r="A9" s="102" t="s">
        <v>244</v>
      </c>
      <c r="B9" s="102" t="s">
        <v>321</v>
      </c>
      <c r="C9" s="102" t="s">
        <v>333</v>
      </c>
      <c r="D9" s="102" t="s">
        <v>333</v>
      </c>
      <c r="E9" s="103" t="s">
        <v>369</v>
      </c>
    </row>
    <row r="10" spans="1:5" x14ac:dyDescent="0.3">
      <c r="A10" s="102" t="s">
        <v>244</v>
      </c>
      <c r="B10" s="102" t="s">
        <v>320</v>
      </c>
      <c r="C10" s="102" t="s">
        <v>333</v>
      </c>
      <c r="D10" s="102" t="s">
        <v>333</v>
      </c>
      <c r="E10" s="103" t="s">
        <v>368</v>
      </c>
    </row>
    <row r="11" spans="1:5" x14ac:dyDescent="0.3">
      <c r="A11" s="102" t="s">
        <v>244</v>
      </c>
      <c r="B11" s="102" t="s">
        <v>322</v>
      </c>
      <c r="C11" s="102" t="s">
        <v>333</v>
      </c>
      <c r="D11" s="102" t="s">
        <v>333</v>
      </c>
      <c r="E11" s="103" t="s">
        <v>367</v>
      </c>
    </row>
    <row r="12" spans="1:5" x14ac:dyDescent="0.3">
      <c r="A12" s="102" t="s">
        <v>244</v>
      </c>
      <c r="B12" s="102" t="s">
        <v>100</v>
      </c>
      <c r="C12" s="102" t="s">
        <v>333</v>
      </c>
      <c r="D12" s="102" t="s">
        <v>333</v>
      </c>
      <c r="E12" s="104" t="s">
        <v>366</v>
      </c>
    </row>
    <row r="13" spans="1:5" x14ac:dyDescent="0.3">
      <c r="A13" s="102" t="s">
        <v>244</v>
      </c>
      <c r="B13" s="102" t="s">
        <v>99</v>
      </c>
      <c r="C13" s="102" t="s">
        <v>333</v>
      </c>
      <c r="D13" s="102" t="s">
        <v>333</v>
      </c>
      <c r="E13" s="103" t="s">
        <v>365</v>
      </c>
    </row>
    <row r="14" spans="1:5" x14ac:dyDescent="0.3">
      <c r="A14" s="102" t="s">
        <v>244</v>
      </c>
      <c r="B14" s="102" t="s">
        <v>113</v>
      </c>
      <c r="C14" s="102" t="s">
        <v>333</v>
      </c>
      <c r="D14" s="102" t="s">
        <v>333</v>
      </c>
      <c r="E14" s="103" t="s">
        <v>364</v>
      </c>
    </row>
    <row r="15" spans="1:5" x14ac:dyDescent="0.3">
      <c r="A15" s="102" t="s">
        <v>244</v>
      </c>
      <c r="B15" s="102" t="s">
        <v>319</v>
      </c>
      <c r="C15" s="102" t="s">
        <v>333</v>
      </c>
      <c r="D15" s="102" t="s">
        <v>333</v>
      </c>
      <c r="E15" s="103" t="s">
        <v>363</v>
      </c>
    </row>
    <row r="16" spans="1:5" x14ac:dyDescent="0.3">
      <c r="A16" s="102" t="s">
        <v>244</v>
      </c>
      <c r="B16" s="102" t="s">
        <v>327</v>
      </c>
      <c r="C16" s="102" t="s">
        <v>333</v>
      </c>
      <c r="D16" s="102" t="s">
        <v>333</v>
      </c>
      <c r="E16" s="103" t="s">
        <v>362</v>
      </c>
    </row>
    <row r="17" spans="1:5" x14ac:dyDescent="0.3">
      <c r="A17" s="102" t="s">
        <v>244</v>
      </c>
      <c r="B17" s="102" t="s">
        <v>101</v>
      </c>
      <c r="C17" s="102" t="s">
        <v>333</v>
      </c>
      <c r="D17" s="102" t="s">
        <v>333</v>
      </c>
      <c r="E17" s="103" t="s">
        <v>361</v>
      </c>
    </row>
    <row r="18" spans="1:5" x14ac:dyDescent="0.3">
      <c r="A18" s="102" t="s">
        <v>244</v>
      </c>
      <c r="B18" s="102" t="s">
        <v>325</v>
      </c>
      <c r="C18" s="102" t="s">
        <v>333</v>
      </c>
      <c r="D18" s="102" t="s">
        <v>333</v>
      </c>
      <c r="E18" s="103" t="s">
        <v>360</v>
      </c>
    </row>
    <row r="19" spans="1:5" x14ac:dyDescent="0.3">
      <c r="A19" s="102" t="s">
        <v>244</v>
      </c>
      <c r="B19" s="102" t="s">
        <v>323</v>
      </c>
      <c r="C19" s="102" t="s">
        <v>333</v>
      </c>
      <c r="D19" s="102" t="s">
        <v>333</v>
      </c>
      <c r="E19" s="103" t="s">
        <v>344</v>
      </c>
    </row>
    <row r="20" spans="1:5" x14ac:dyDescent="0.3">
      <c r="A20" s="102" t="s">
        <v>244</v>
      </c>
      <c r="B20" s="102" t="s">
        <v>326</v>
      </c>
      <c r="C20" s="102" t="s">
        <v>333</v>
      </c>
      <c r="D20" s="102" t="s">
        <v>333</v>
      </c>
      <c r="E20" s="103" t="s">
        <v>359</v>
      </c>
    </row>
    <row r="21" spans="1:5" x14ac:dyDescent="0.3">
      <c r="A21" s="102" t="s">
        <v>245</v>
      </c>
      <c r="B21" s="102" t="s">
        <v>331</v>
      </c>
      <c r="C21" s="102" t="s">
        <v>333</v>
      </c>
      <c r="D21" s="102" t="s">
        <v>333</v>
      </c>
      <c r="E21" s="103" t="s">
        <v>358</v>
      </c>
    </row>
    <row r="22" spans="1:5" x14ac:dyDescent="0.3">
      <c r="A22" s="102" t="s">
        <v>245</v>
      </c>
      <c r="B22" s="102" t="s">
        <v>334</v>
      </c>
      <c r="C22" s="102"/>
      <c r="D22" s="102"/>
      <c r="E22" s="103" t="s">
        <v>371</v>
      </c>
    </row>
    <row r="23" spans="1:5" x14ac:dyDescent="0.3">
      <c r="A23" s="102" t="s">
        <v>245</v>
      </c>
      <c r="B23" s="102" t="s">
        <v>338</v>
      </c>
      <c r="C23" s="102" t="s">
        <v>333</v>
      </c>
      <c r="D23" s="102" t="s">
        <v>333</v>
      </c>
      <c r="E23" s="103" t="s">
        <v>355</v>
      </c>
    </row>
    <row r="24" spans="1:5" x14ac:dyDescent="0.3">
      <c r="A24" s="102" t="s">
        <v>245</v>
      </c>
      <c r="B24" s="102" t="s">
        <v>335</v>
      </c>
      <c r="C24" s="102" t="s">
        <v>333</v>
      </c>
      <c r="D24" s="102" t="s">
        <v>333</v>
      </c>
      <c r="E24" s="103" t="s">
        <v>354</v>
      </c>
    </row>
    <row r="25" spans="1:5" x14ac:dyDescent="0.3">
      <c r="A25" s="102" t="s">
        <v>245</v>
      </c>
      <c r="B25" s="102" t="s">
        <v>339</v>
      </c>
      <c r="C25" s="102" t="s">
        <v>333</v>
      </c>
      <c r="D25" s="102" t="s">
        <v>333</v>
      </c>
      <c r="E25" s="103" t="s">
        <v>353</v>
      </c>
    </row>
    <row r="26" spans="1:5" x14ac:dyDescent="0.3">
      <c r="A26" s="102" t="s">
        <v>245</v>
      </c>
      <c r="B26" s="102" t="s">
        <v>113</v>
      </c>
      <c r="C26" s="102" t="s">
        <v>333</v>
      </c>
      <c r="D26" s="102" t="s">
        <v>333</v>
      </c>
      <c r="E26" s="103" t="s">
        <v>352</v>
      </c>
    </row>
    <row r="27" spans="1:5" x14ac:dyDescent="0.3">
      <c r="A27" s="102" t="s">
        <v>245</v>
      </c>
      <c r="B27" s="102" t="s">
        <v>329</v>
      </c>
      <c r="C27" s="102" t="s">
        <v>333</v>
      </c>
      <c r="D27" s="102" t="s">
        <v>333</v>
      </c>
      <c r="E27" s="103" t="s">
        <v>356</v>
      </c>
    </row>
    <row r="28" spans="1:5" x14ac:dyDescent="0.3">
      <c r="A28" s="102" t="s">
        <v>245</v>
      </c>
      <c r="B28" s="102" t="s">
        <v>328</v>
      </c>
      <c r="C28" s="102" t="s">
        <v>333</v>
      </c>
      <c r="D28" s="102" t="s">
        <v>333</v>
      </c>
      <c r="E28" s="103" t="s">
        <v>357</v>
      </c>
    </row>
    <row r="29" spans="1:5" x14ac:dyDescent="0.3">
      <c r="A29" s="102" t="s">
        <v>245</v>
      </c>
      <c r="B29" s="102" t="s">
        <v>341</v>
      </c>
      <c r="C29" s="102" t="s">
        <v>333</v>
      </c>
      <c r="D29" s="102" t="s">
        <v>333</v>
      </c>
      <c r="E29" s="103" t="s">
        <v>351</v>
      </c>
    </row>
    <row r="30" spans="1:5" x14ac:dyDescent="0.3">
      <c r="A30" s="102" t="s">
        <v>245</v>
      </c>
      <c r="B30" s="102" t="s">
        <v>337</v>
      </c>
      <c r="C30" s="102" t="s">
        <v>333</v>
      </c>
      <c r="D30" s="102" t="s">
        <v>333</v>
      </c>
      <c r="E30" s="103" t="s">
        <v>350</v>
      </c>
    </row>
    <row r="31" spans="1:5" x14ac:dyDescent="0.3">
      <c r="A31" s="102" t="s">
        <v>245</v>
      </c>
      <c r="B31" s="102" t="s">
        <v>340</v>
      </c>
      <c r="C31" s="102" t="s">
        <v>333</v>
      </c>
      <c r="D31" s="102" t="s">
        <v>333</v>
      </c>
      <c r="E31" s="103" t="s">
        <v>345</v>
      </c>
    </row>
    <row r="32" spans="1:5" x14ac:dyDescent="0.3">
      <c r="A32" s="102" t="s">
        <v>245</v>
      </c>
      <c r="B32" s="102" t="s">
        <v>342</v>
      </c>
      <c r="C32" s="102" t="s">
        <v>333</v>
      </c>
      <c r="D32" s="102" t="s">
        <v>333</v>
      </c>
      <c r="E32" s="103" t="s">
        <v>346</v>
      </c>
    </row>
    <row r="33" spans="1:5" x14ac:dyDescent="0.3">
      <c r="A33" s="102" t="s">
        <v>245</v>
      </c>
      <c r="B33" s="102" t="s">
        <v>114</v>
      </c>
      <c r="C33" s="102" t="s">
        <v>206</v>
      </c>
      <c r="D33" s="102"/>
      <c r="E33" s="103" t="s">
        <v>347</v>
      </c>
    </row>
    <row r="34" spans="1:5" x14ac:dyDescent="0.3">
      <c r="A34" s="102" t="s">
        <v>245</v>
      </c>
      <c r="B34" s="102" t="s">
        <v>330</v>
      </c>
      <c r="C34" s="102" t="s">
        <v>333</v>
      </c>
      <c r="D34" s="102" t="s">
        <v>333</v>
      </c>
      <c r="E34" s="103" t="s">
        <v>348</v>
      </c>
    </row>
    <row r="35" spans="1:5" x14ac:dyDescent="0.3">
      <c r="A35" s="102" t="s">
        <v>245</v>
      </c>
      <c r="B35" s="102" t="s">
        <v>115</v>
      </c>
      <c r="C35" s="102" t="s">
        <v>333</v>
      </c>
      <c r="D35" s="102" t="s">
        <v>333</v>
      </c>
      <c r="E35" s="103" t="s">
        <v>344</v>
      </c>
    </row>
    <row r="36" spans="1:5" x14ac:dyDescent="0.3">
      <c r="A36" s="102" t="s">
        <v>245</v>
      </c>
      <c r="B36" s="102" t="s">
        <v>336</v>
      </c>
      <c r="C36" s="102" t="s">
        <v>333</v>
      </c>
      <c r="D36" s="102" t="s">
        <v>333</v>
      </c>
      <c r="E36" s="103" t="s">
        <v>349</v>
      </c>
    </row>
    <row r="37" spans="1:5" hidden="1" x14ac:dyDescent="0.3">
      <c r="A37" s="102"/>
      <c r="B37" s="102"/>
      <c r="C37" s="102"/>
      <c r="D37" s="102"/>
      <c r="E37" s="103"/>
    </row>
    <row r="38" spans="1:5" hidden="1" x14ac:dyDescent="0.3">
      <c r="A38" s="102"/>
      <c r="B38" s="102"/>
      <c r="C38" s="102"/>
      <c r="D38" s="102"/>
      <c r="E38" s="103"/>
    </row>
    <row r="39" spans="1:5" hidden="1" x14ac:dyDescent="0.3">
      <c r="A39" s="102"/>
      <c r="B39" s="102"/>
      <c r="C39" s="102"/>
      <c r="D39" s="102"/>
      <c r="E39" s="103"/>
    </row>
    <row r="40" spans="1:5" hidden="1" x14ac:dyDescent="0.3">
      <c r="A40" s="102"/>
      <c r="B40" s="102"/>
      <c r="C40" s="102"/>
      <c r="D40" s="102"/>
      <c r="E40" s="103"/>
    </row>
    <row r="41" spans="1:5" hidden="1" x14ac:dyDescent="0.3">
      <c r="A41" s="102"/>
      <c r="B41" s="102"/>
      <c r="C41" s="102"/>
      <c r="D41" s="102"/>
      <c r="E41" s="103"/>
    </row>
    <row r="42" spans="1:5" hidden="1" x14ac:dyDescent="0.3">
      <c r="A42" s="102"/>
      <c r="B42" s="102"/>
      <c r="C42" s="102"/>
      <c r="D42" s="102"/>
      <c r="E42" s="103"/>
    </row>
    <row r="43" spans="1:5" hidden="1" x14ac:dyDescent="0.3">
      <c r="A43" s="102"/>
      <c r="B43" s="102"/>
      <c r="C43" s="102"/>
      <c r="D43" s="102"/>
      <c r="E43" s="103"/>
    </row>
    <row r="44" spans="1:5" hidden="1" x14ac:dyDescent="0.3">
      <c r="A44" s="102"/>
      <c r="B44" s="102"/>
      <c r="C44" s="102"/>
      <c r="D44" s="102"/>
      <c r="E44" s="103"/>
    </row>
    <row r="45" spans="1:5" hidden="1" x14ac:dyDescent="0.3">
      <c r="A45" s="102"/>
      <c r="B45" s="102"/>
      <c r="C45" s="102"/>
      <c r="D45" s="102"/>
      <c r="E45" s="103"/>
    </row>
    <row r="46" spans="1:5" hidden="1" x14ac:dyDescent="0.3">
      <c r="A46" s="102"/>
      <c r="B46" s="102"/>
      <c r="C46" s="102"/>
      <c r="D46" s="102"/>
      <c r="E46" s="103"/>
    </row>
    <row r="47" spans="1:5" hidden="1" x14ac:dyDescent="0.3">
      <c r="E47" s="43"/>
    </row>
    <row r="48" spans="1:5" hidden="1" x14ac:dyDescent="0.3">
      <c r="E48" s="43"/>
    </row>
    <row r="49" spans="5:5" hidden="1" x14ac:dyDescent="0.3">
      <c r="E49" s="43"/>
    </row>
    <row r="50" spans="5:5" hidden="1" x14ac:dyDescent="0.3"/>
    <row r="51" spans="5:5" hidden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200</v>
      </c>
      <c r="B1" t="s">
        <v>201</v>
      </c>
      <c r="C1" t="s">
        <v>202</v>
      </c>
      <c r="D1" t="s">
        <v>203</v>
      </c>
      <c r="E1" s="43" t="s">
        <v>110</v>
      </c>
    </row>
    <row r="2" spans="1:5" hidden="1" x14ac:dyDescent="0.3">
      <c r="A2" s="98" t="s">
        <v>237</v>
      </c>
      <c r="B2" s="99" t="s">
        <v>254</v>
      </c>
      <c r="C2" s="100">
        <v>577</v>
      </c>
      <c r="D2" s="97">
        <v>1</v>
      </c>
      <c r="E2" s="99" t="s">
        <v>388</v>
      </c>
    </row>
    <row r="3" spans="1:5" x14ac:dyDescent="0.3">
      <c r="A3" s="98" t="s">
        <v>237</v>
      </c>
      <c r="B3" s="99" t="s">
        <v>254</v>
      </c>
      <c r="C3" s="100">
        <v>582</v>
      </c>
      <c r="D3" s="97"/>
      <c r="E3" s="99" t="s">
        <v>253</v>
      </c>
    </row>
    <row r="4" spans="1:5" hidden="1" x14ac:dyDescent="0.3">
      <c r="A4" s="98" t="s">
        <v>237</v>
      </c>
      <c r="B4" s="99" t="s">
        <v>254</v>
      </c>
      <c r="C4" s="100">
        <v>628</v>
      </c>
      <c r="D4" s="97">
        <v>1</v>
      </c>
      <c r="E4" s="99" t="s">
        <v>389</v>
      </c>
    </row>
    <row r="5" spans="1:5" x14ac:dyDescent="0.3">
      <c r="A5" s="98" t="s">
        <v>237</v>
      </c>
      <c r="B5" s="99" t="s">
        <v>254</v>
      </c>
      <c r="C5" s="100">
        <v>705</v>
      </c>
      <c r="D5" s="97"/>
      <c r="E5" s="99" t="s">
        <v>390</v>
      </c>
    </row>
    <row r="6" spans="1:5" x14ac:dyDescent="0.3">
      <c r="A6" s="98" t="s">
        <v>237</v>
      </c>
      <c r="B6" s="99" t="s">
        <v>254</v>
      </c>
      <c r="C6" s="100">
        <v>770</v>
      </c>
      <c r="D6" s="98">
        <v>1</v>
      </c>
      <c r="E6" s="99" t="s">
        <v>391</v>
      </c>
    </row>
    <row r="7" spans="1:5" x14ac:dyDescent="0.3">
      <c r="A7" s="98" t="s">
        <v>237</v>
      </c>
      <c r="B7" s="99" t="s">
        <v>254</v>
      </c>
      <c r="C7" s="100">
        <v>771</v>
      </c>
      <c r="D7" s="98">
        <v>1</v>
      </c>
      <c r="E7" s="99" t="s">
        <v>392</v>
      </c>
    </row>
    <row r="8" spans="1:5" x14ac:dyDescent="0.3">
      <c r="A8" s="98" t="s">
        <v>237</v>
      </c>
      <c r="B8" s="99" t="s">
        <v>254</v>
      </c>
      <c r="C8" s="100">
        <v>772</v>
      </c>
      <c r="D8" s="98">
        <v>1</v>
      </c>
      <c r="E8" s="99" t="s">
        <v>393</v>
      </c>
    </row>
    <row r="9" spans="1:5" hidden="1" x14ac:dyDescent="0.3">
      <c r="A9" s="98" t="s">
        <v>237</v>
      </c>
      <c r="B9" s="99" t="s">
        <v>254</v>
      </c>
      <c r="C9" s="100">
        <v>773</v>
      </c>
      <c r="D9" s="98">
        <v>0</v>
      </c>
      <c r="E9" s="99" t="s">
        <v>394</v>
      </c>
    </row>
    <row r="10" spans="1:5" hidden="1" x14ac:dyDescent="0.3">
      <c r="A10" s="98" t="s">
        <v>237</v>
      </c>
      <c r="B10" s="99" t="s">
        <v>254</v>
      </c>
      <c r="C10" s="100">
        <v>863</v>
      </c>
      <c r="D10" s="98">
        <v>1</v>
      </c>
      <c r="E10" s="99" t="s">
        <v>395</v>
      </c>
    </row>
    <row r="11" spans="1:5" hidden="1" x14ac:dyDescent="0.3">
      <c r="A11" s="98" t="s">
        <v>237</v>
      </c>
      <c r="B11" s="99" t="s">
        <v>259</v>
      </c>
      <c r="C11" s="100">
        <v>897</v>
      </c>
      <c r="D11" s="97">
        <v>1</v>
      </c>
      <c r="E11" s="99" t="s">
        <v>396</v>
      </c>
    </row>
    <row r="12" spans="1:5" hidden="1" x14ac:dyDescent="0.3">
      <c r="A12" s="98" t="s">
        <v>237</v>
      </c>
      <c r="B12" s="99" t="s">
        <v>259</v>
      </c>
      <c r="C12" s="100">
        <v>906</v>
      </c>
      <c r="D12" s="97">
        <v>1</v>
      </c>
      <c r="E12" s="99" t="s">
        <v>397</v>
      </c>
    </row>
    <row r="13" spans="1:5" hidden="1" x14ac:dyDescent="0.3">
      <c r="A13" s="98" t="s">
        <v>237</v>
      </c>
      <c r="B13" s="99" t="s">
        <v>238</v>
      </c>
      <c r="C13" s="100">
        <v>13</v>
      </c>
      <c r="D13" s="97">
        <v>1</v>
      </c>
      <c r="E13" s="99" t="s">
        <v>373</v>
      </c>
    </row>
    <row r="14" spans="1:5" hidden="1" x14ac:dyDescent="0.3">
      <c r="A14" s="98" t="s">
        <v>237</v>
      </c>
      <c r="B14" s="99" t="s">
        <v>238</v>
      </c>
      <c r="C14" s="100">
        <v>14</v>
      </c>
      <c r="D14" s="97">
        <v>1</v>
      </c>
      <c r="E14" s="106" t="s">
        <v>374</v>
      </c>
    </row>
    <row r="15" spans="1:5" hidden="1" x14ac:dyDescent="0.3">
      <c r="A15" s="98" t="s">
        <v>237</v>
      </c>
      <c r="B15" s="99" t="s">
        <v>238</v>
      </c>
      <c r="C15" s="100">
        <v>15</v>
      </c>
      <c r="D15" s="97">
        <v>1</v>
      </c>
      <c r="E15" s="106" t="s">
        <v>375</v>
      </c>
    </row>
    <row r="16" spans="1:5" hidden="1" x14ac:dyDescent="0.3">
      <c r="A16" s="98" t="s">
        <v>237</v>
      </c>
      <c r="B16" s="99" t="s">
        <v>238</v>
      </c>
      <c r="C16" s="100">
        <v>16</v>
      </c>
      <c r="D16" s="97">
        <v>1</v>
      </c>
      <c r="E16" s="106" t="s">
        <v>376</v>
      </c>
    </row>
    <row r="17" spans="1:5" hidden="1" x14ac:dyDescent="0.3">
      <c r="A17" s="98" t="s">
        <v>237</v>
      </c>
      <c r="B17" s="99" t="s">
        <v>238</v>
      </c>
      <c r="C17" s="100">
        <v>17</v>
      </c>
      <c r="D17" s="97">
        <v>1</v>
      </c>
      <c r="E17" s="106" t="s">
        <v>377</v>
      </c>
    </row>
    <row r="18" spans="1:5" hidden="1" x14ac:dyDescent="0.3">
      <c r="A18" s="98" t="s">
        <v>237</v>
      </c>
      <c r="B18" s="99" t="s">
        <v>238</v>
      </c>
      <c r="C18" s="100">
        <v>18</v>
      </c>
      <c r="D18" s="97">
        <v>1</v>
      </c>
      <c r="E18" s="106" t="s">
        <v>378</v>
      </c>
    </row>
    <row r="19" spans="1:5" hidden="1" x14ac:dyDescent="0.3">
      <c r="A19" s="98" t="s">
        <v>237</v>
      </c>
      <c r="B19" s="99" t="s">
        <v>238</v>
      </c>
      <c r="C19" s="100">
        <v>19</v>
      </c>
      <c r="D19" s="97">
        <v>1</v>
      </c>
      <c r="E19" s="106" t="s">
        <v>379</v>
      </c>
    </row>
    <row r="20" spans="1:5" hidden="1" x14ac:dyDescent="0.3">
      <c r="A20" s="98" t="s">
        <v>237</v>
      </c>
      <c r="B20" s="99" t="s">
        <v>238</v>
      </c>
      <c r="C20" s="100">
        <v>20</v>
      </c>
      <c r="D20" s="97">
        <v>1</v>
      </c>
      <c r="E20" s="106" t="s">
        <v>380</v>
      </c>
    </row>
    <row r="21" spans="1:5" hidden="1" x14ac:dyDescent="0.3">
      <c r="A21" s="98" t="s">
        <v>237</v>
      </c>
      <c r="B21" s="99" t="s">
        <v>238</v>
      </c>
      <c r="C21" s="100">
        <v>21</v>
      </c>
      <c r="D21" s="97">
        <v>1</v>
      </c>
      <c r="E21" s="106" t="s">
        <v>381</v>
      </c>
    </row>
    <row r="22" spans="1:5" hidden="1" x14ac:dyDescent="0.3">
      <c r="A22" s="98" t="s">
        <v>237</v>
      </c>
      <c r="B22" s="99" t="s">
        <v>238</v>
      </c>
      <c r="C22" s="100">
        <v>22</v>
      </c>
      <c r="D22" s="97">
        <v>1</v>
      </c>
      <c r="E22" s="106" t="s">
        <v>382</v>
      </c>
    </row>
    <row r="23" spans="1:5" hidden="1" x14ac:dyDescent="0.3">
      <c r="A23" s="98" t="s">
        <v>237</v>
      </c>
      <c r="B23" s="99" t="s">
        <v>238</v>
      </c>
      <c r="C23" s="100">
        <v>23</v>
      </c>
      <c r="D23" s="97">
        <v>1</v>
      </c>
      <c r="E23" s="106" t="s">
        <v>383</v>
      </c>
    </row>
    <row r="24" spans="1:5" hidden="1" x14ac:dyDescent="0.3">
      <c r="A24" s="98" t="s">
        <v>237</v>
      </c>
      <c r="B24" s="99" t="s">
        <v>238</v>
      </c>
      <c r="C24" s="100">
        <v>24</v>
      </c>
      <c r="D24" s="97">
        <v>1</v>
      </c>
      <c r="E24" s="106" t="s">
        <v>384</v>
      </c>
    </row>
    <row r="25" spans="1:5" x14ac:dyDescent="0.3">
      <c r="A25" s="98" t="s">
        <v>237</v>
      </c>
      <c r="B25" s="99" t="s">
        <v>238</v>
      </c>
      <c r="C25" s="100">
        <v>25</v>
      </c>
      <c r="D25" s="97">
        <v>1</v>
      </c>
      <c r="E25" s="106" t="s">
        <v>427</v>
      </c>
    </row>
    <row r="26" spans="1:5" hidden="1" x14ac:dyDescent="0.3">
      <c r="A26" s="98" t="s">
        <v>237</v>
      </c>
      <c r="B26" s="99" t="s">
        <v>238</v>
      </c>
      <c r="C26" s="100">
        <v>37</v>
      </c>
      <c r="D26" s="97">
        <v>1</v>
      </c>
      <c r="E26" s="106" t="s">
        <v>385</v>
      </c>
    </row>
    <row r="27" spans="1:5" hidden="1" x14ac:dyDescent="0.3">
      <c r="A27" s="98" t="s">
        <v>237</v>
      </c>
      <c r="B27" s="99" t="s">
        <v>238</v>
      </c>
      <c r="C27" s="100">
        <v>69</v>
      </c>
      <c r="D27" s="97">
        <v>1</v>
      </c>
      <c r="E27" s="99" t="s">
        <v>386</v>
      </c>
    </row>
    <row r="28" spans="1:5" x14ac:dyDescent="0.3">
      <c r="A28" s="98" t="s">
        <v>237</v>
      </c>
      <c r="B28" s="99" t="s">
        <v>238</v>
      </c>
      <c r="C28" s="100">
        <v>71</v>
      </c>
      <c r="D28" s="97"/>
      <c r="E28" s="99" t="s">
        <v>387</v>
      </c>
    </row>
    <row r="29" spans="1:5" x14ac:dyDescent="0.3">
      <c r="A29" s="98" t="s">
        <v>204</v>
      </c>
      <c r="B29" s="99" t="s">
        <v>204</v>
      </c>
      <c r="C29" s="100">
        <v>122</v>
      </c>
      <c r="D29" s="97"/>
      <c r="E29" s="99" t="s">
        <v>398</v>
      </c>
    </row>
    <row r="30" spans="1:5" x14ac:dyDescent="0.3">
      <c r="A30" s="98" t="s">
        <v>204</v>
      </c>
      <c r="B30" s="99" t="s">
        <v>204</v>
      </c>
      <c r="C30" s="100">
        <v>151</v>
      </c>
      <c r="D30" s="97"/>
      <c r="E30" s="99" t="s">
        <v>399</v>
      </c>
    </row>
    <row r="31" spans="1:5" x14ac:dyDescent="0.3">
      <c r="A31" s="98" t="s">
        <v>204</v>
      </c>
      <c r="B31" s="99" t="s">
        <v>223</v>
      </c>
      <c r="C31" s="100">
        <v>578</v>
      </c>
      <c r="D31" s="97"/>
      <c r="E31" s="99" t="s">
        <v>400</v>
      </c>
    </row>
    <row r="32" spans="1:5" x14ac:dyDescent="0.3">
      <c r="A32" s="98" t="s">
        <v>204</v>
      </c>
      <c r="B32" s="99" t="s">
        <v>223</v>
      </c>
      <c r="C32" s="100">
        <v>579</v>
      </c>
      <c r="D32" s="97"/>
      <c r="E32" s="99" t="s">
        <v>401</v>
      </c>
    </row>
    <row r="33" spans="1:5" x14ac:dyDescent="0.3">
      <c r="A33" s="98" t="s">
        <v>204</v>
      </c>
      <c r="B33" s="99" t="s">
        <v>223</v>
      </c>
      <c r="C33" s="100">
        <v>586</v>
      </c>
      <c r="D33" s="97"/>
      <c r="E33" s="99" t="s">
        <v>402</v>
      </c>
    </row>
    <row r="34" spans="1:5" x14ac:dyDescent="0.3">
      <c r="A34" s="98" t="s">
        <v>204</v>
      </c>
      <c r="B34" s="99" t="s">
        <v>223</v>
      </c>
      <c r="C34" s="100">
        <v>599</v>
      </c>
      <c r="D34" s="97"/>
      <c r="E34" s="99" t="s">
        <v>403</v>
      </c>
    </row>
    <row r="35" spans="1:5" x14ac:dyDescent="0.3">
      <c r="A35" s="98" t="s">
        <v>204</v>
      </c>
      <c r="B35" s="99" t="s">
        <v>223</v>
      </c>
      <c r="C35" s="100">
        <v>600</v>
      </c>
      <c r="D35" s="97"/>
      <c r="E35" s="99" t="s">
        <v>404</v>
      </c>
    </row>
    <row r="36" spans="1:5" x14ac:dyDescent="0.3">
      <c r="A36" s="98" t="s">
        <v>204</v>
      </c>
      <c r="B36" s="99" t="s">
        <v>223</v>
      </c>
      <c r="C36" s="100">
        <v>608</v>
      </c>
      <c r="D36" s="97"/>
      <c r="E36" s="99" t="s">
        <v>405</v>
      </c>
    </row>
    <row r="37" spans="1:5" x14ac:dyDescent="0.3">
      <c r="A37" s="98" t="s">
        <v>204</v>
      </c>
      <c r="B37" s="99" t="s">
        <v>227</v>
      </c>
      <c r="C37" s="100">
        <v>718</v>
      </c>
      <c r="D37" s="97"/>
      <c r="E37" s="99" t="s">
        <v>406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609</v>
      </c>
      <c r="B1" t="s">
        <v>110</v>
      </c>
      <c r="C1" t="s">
        <v>617</v>
      </c>
    </row>
    <row r="2" spans="1:3" ht="43.2" x14ac:dyDescent="0.3">
      <c r="A2" s="133" t="s">
        <v>618</v>
      </c>
      <c r="B2" s="134" t="s">
        <v>611</v>
      </c>
      <c r="C2" s="133" t="s">
        <v>610</v>
      </c>
    </row>
    <row r="3" spans="1:3" x14ac:dyDescent="0.3">
      <c r="A3" s="133" t="s">
        <v>612</v>
      </c>
      <c r="B3" s="134" t="s">
        <v>613</v>
      </c>
      <c r="C3" s="133" t="s">
        <v>614</v>
      </c>
    </row>
    <row r="4" spans="1:3" x14ac:dyDescent="0.3">
      <c r="A4" s="133" t="s">
        <v>615</v>
      </c>
      <c r="B4" s="134" t="s">
        <v>616</v>
      </c>
      <c r="C4" s="133" t="s">
        <v>614</v>
      </c>
    </row>
    <row r="5" spans="1:3" x14ac:dyDescent="0.3">
      <c r="A5" s="133" t="s">
        <v>619</v>
      </c>
      <c r="B5" s="134"/>
      <c r="C5" s="133"/>
    </row>
    <row r="6" spans="1:3" x14ac:dyDescent="0.3">
      <c r="A6" s="133"/>
      <c r="B6" s="134"/>
      <c r="C6" s="133"/>
    </row>
    <row r="7" spans="1:3" x14ac:dyDescent="0.3">
      <c r="A7" s="133"/>
      <c r="B7" s="134"/>
      <c r="C7" s="133"/>
    </row>
    <row r="8" spans="1:3" x14ac:dyDescent="0.3">
      <c r="A8" s="133"/>
      <c r="B8" s="134"/>
      <c r="C8" s="133"/>
    </row>
    <row r="9" spans="1:3" x14ac:dyDescent="0.3">
      <c r="A9" s="133"/>
      <c r="B9" s="134"/>
      <c r="C9" s="133"/>
    </row>
    <row r="10" spans="1:3" x14ac:dyDescent="0.3">
      <c r="A10" s="133"/>
      <c r="B10" s="134"/>
      <c r="C10" s="133"/>
    </row>
    <row r="11" spans="1:3" x14ac:dyDescent="0.3">
      <c r="A11" s="133"/>
      <c r="B11" s="134"/>
      <c r="C11" s="133"/>
    </row>
    <row r="12" spans="1:3" x14ac:dyDescent="0.3">
      <c r="A12" s="133"/>
      <c r="B12" s="134"/>
      <c r="C12" s="133"/>
    </row>
    <row r="13" spans="1:3" x14ac:dyDescent="0.3">
      <c r="A13" s="133"/>
      <c r="B13" s="134"/>
      <c r="C13" s="133"/>
    </row>
    <row r="14" spans="1:3" x14ac:dyDescent="0.3">
      <c r="A14" s="133"/>
      <c r="B14" s="134"/>
      <c r="C14" s="133"/>
    </row>
    <row r="15" spans="1:3" x14ac:dyDescent="0.3">
      <c r="A15" s="133"/>
      <c r="B15" s="134"/>
      <c r="C15" s="133"/>
    </row>
    <row r="16" spans="1:3" x14ac:dyDescent="0.3">
      <c r="A16" s="133"/>
      <c r="B16" s="134"/>
      <c r="C16" s="133"/>
    </row>
    <row r="17" spans="1:3" x14ac:dyDescent="0.3">
      <c r="A17" s="133"/>
      <c r="B17" s="134"/>
      <c r="C17" s="133"/>
    </row>
    <row r="18" spans="1:3" x14ac:dyDescent="0.3">
      <c r="A18" s="133"/>
      <c r="B18" s="134"/>
      <c r="C18" s="133"/>
    </row>
    <row r="19" spans="1:3" x14ac:dyDescent="0.3">
      <c r="A19" s="133"/>
      <c r="B19" s="134"/>
      <c r="C19" s="133"/>
    </row>
    <row r="20" spans="1:3" x14ac:dyDescent="0.3">
      <c r="A20" s="133"/>
      <c r="B20" s="134"/>
      <c r="C20" s="133"/>
    </row>
    <row r="21" spans="1:3" x14ac:dyDescent="0.3">
      <c r="A21" s="133"/>
      <c r="B21" s="134"/>
      <c r="C21" s="133"/>
    </row>
    <row r="22" spans="1:3" x14ac:dyDescent="0.3">
      <c r="A22" s="133"/>
      <c r="B22" s="134"/>
      <c r="C22" s="133"/>
    </row>
    <row r="23" spans="1:3" x14ac:dyDescent="0.3">
      <c r="A23" s="133"/>
      <c r="B23" s="134"/>
      <c r="C23" s="133"/>
    </row>
    <row r="24" spans="1:3" x14ac:dyDescent="0.3">
      <c r="A24" s="133"/>
      <c r="B24" s="134"/>
      <c r="C24" s="133"/>
    </row>
    <row r="25" spans="1:3" x14ac:dyDescent="0.3">
      <c r="A25" s="133"/>
      <c r="B25" s="134"/>
      <c r="C25" s="133"/>
    </row>
    <row r="26" spans="1:3" x14ac:dyDescent="0.3">
      <c r="A26" s="133"/>
      <c r="B26" s="134"/>
      <c r="C26" s="133"/>
    </row>
    <row r="27" spans="1:3" x14ac:dyDescent="0.3">
      <c r="A27" s="133"/>
      <c r="B27" s="134"/>
      <c r="C27" s="133"/>
    </row>
    <row r="28" spans="1:3" x14ac:dyDescent="0.3">
      <c r="A28" s="133"/>
      <c r="B28" s="134"/>
      <c r="C28" s="133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Units Check</vt:lpstr>
      <vt:lpstr>IO Units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2018-05-16T18:40:42Z</dcterms:modified>
</cp:coreProperties>
</file>