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52" windowHeight="7644" activeTab="2"/>
  </bookViews>
  <sheets>
    <sheet name="Project Planner" sheetId="1" r:id="rId1"/>
    <sheet name="Task List" sheetId="3" r:id="rId2"/>
    <sheet name="Run Schedule" sheetId="4" r:id="rId3"/>
    <sheet name="IO Units" sheetId="5" r:id="rId4"/>
    <sheet name="Units Check" sheetId="6" r:id="rId5"/>
    <sheet name="Hardcoded Values" sheetId="7" r:id="rId6"/>
    <sheet name="Plot Names" sheetId="8" r:id="rId7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<sst xmlns="http://schemas.openxmlformats.org/spreadsheetml/2006/main" count="2862" uniqueCount="1233">
  <si>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</si>
  <si>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</si>
  <si>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</si>
  <si>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</si>
  <si>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</si>
  <si>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</si>
  <si>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</si>
  <si>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</si>
  <si>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</si>
  <si>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</si>
  <si>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</si>
  <si>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</si>
  <si>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</si>
  <si>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</si>
  <si>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</si>
  <si>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</si>
  <si>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</si>
  <si>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</si>
  <si>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</si>
  <si>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</si>
  <si>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</si>
  <si>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</si>
  <si>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</si>
  <si>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</si>
  <si>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</si>
  <si>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</si>
  <si>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</si>
  <si>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</si>
  <si>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</si>
  <si>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</si>
  <si>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</si>
  <si>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</si>
  <si>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</si>
  <si>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</si>
  <si>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</si>
  <si>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</si>
  <si>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</si>
  <si>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</si>
  <si>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</si>
  <si>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</si>
  <si>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</si>
  <si>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</si>
  <si>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</si>
  <si>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</si>
  <si>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</si>
  <si>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</si>
  <si>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</si>
  <si>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</si>
  <si>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</si>
  <si>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</si>
  <si>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</si>
  <si>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</si>
  <si>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</si>
  <si>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</si>
  <si>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</si>
  <si>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</si>
  <si>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</si>
  <si>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</si>
  <si>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</si>
  <si>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</si>
  <si>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</si>
  <si>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</si>
  <si>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</si>
  <si>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</si>
  <si>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</si>
  <si>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</si>
  <si>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</si>
  <si>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</si>
  <si>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</si>
  <si>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</si>
  <si>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</si>
  <si>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</si>
  <si>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</si>
  <si>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</si>
  <si>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</si>
  <si>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</si>
  <si>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</si>
  <si>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</si>
  <si>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</si>
  <si>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</si>
  <si>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</si>
  <si>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</si>
  <si>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</si>
  <si>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</si>
  <si>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</si>
  <si>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</si>
  <si>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</si>
  <si>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</si>
  <si>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</si>
  <si>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</si>
  <si>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</si>
  <si>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</si>
  <si>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</si>
  <si>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</si>
  <si>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</si>
  <si>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</si>
  <si>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</si>
  <si>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</si>
  <si>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</si>
  <si>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</si>
  <si>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</si>
  <si>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</si>
  <si>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</si>
  <si>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</si>
  <si>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</si>
  <si>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</si>
  <si>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</si>
  <si>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</si>
  <si>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</si>
  <si>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</si>
  <si>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</si>
  <si>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</si>
  <si>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</si>
  <si>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</si>
  <si>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</si>
  <si>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</si>
  <si>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</si>
  <si>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</si>
  <si>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</si>
  <si>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</si>
  <si>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</si>
  <si>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</si>
  <si>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</si>
  <si>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</si>
  <si>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</si>
  <si>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</si>
  <si>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</si>
  <si>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</si>
  <si>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</si>
  <si>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</si>
  <si>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</si>
  <si>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</si>
  <si>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</si>
  <si>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</si>
  <si>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</si>
  <si>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</si>
  <si>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</si>
  <si>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</si>
  <si>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</si>
  <si>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</si>
  <si>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</si>
  <si>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</si>
  <si>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</si>
  <si>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</si>
  <si>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</si>
  <si>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</si>
  <si>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</si>
  <si>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</si>
  <si>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</si>
  <si>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</si>
  <si>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</si>
  <si>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</si>
  <si>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</si>
  <si>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</si>
  <si>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</si>
  <si>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</si>
  <si>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</si>
  <si>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</si>
  <si>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</si>
  <si>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</si>
  <si>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</si>
  <si>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</si>
  <si>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</si>
  <si>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</si>
  <si>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</si>
  <si>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</si>
  <si>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</si>
  <si>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</si>
  <si>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</si>
  <si>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</si>
  <si>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</si>
  <si>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</si>
  <si>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</si>
  <si>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</si>
  <si>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</si>
  <si>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</si>
  <si>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</si>
  <si>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</si>
  <si>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</si>
  <si>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</si>
  <si>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</si>
  <si>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</si>
  <si>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</si>
  <si>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</si>
  <si>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</si>
  <si>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</si>
  <si>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</si>
  <si>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</si>
  <si>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</si>
  <si>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</si>
  <si>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</si>
  <si>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</si>
  <si>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</si>
  <si>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</si>
  <si>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</si>
  <si>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</si>
  <si>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</si>
  <si>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</si>
  <si>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</si>
  <si>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</si>
  <si>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</si>
  <si>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</si>
  <si>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</si>
  <si>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</si>
  <si>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</si>
  <si>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</si>
  <si>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</si>
  <si>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</si>
  <si>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</si>
  <si>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</si>
  <si>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</si>
  <si>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</si>
  <si>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</si>
  <si>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</si>
  <si>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</si>
  <si>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</si>
  <si>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</si>
  <si>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</si>
  <si>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</si>
  <si>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</si>
  <si>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</si>
  <si>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</si>
  <si>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</si>
  <si>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</si>
  <si>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</si>
  <si>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</si>
  <si>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</si>
  <si>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</si>
  <si>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</si>
  <si>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</si>
  <si>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</si>
  <si>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</si>
  <si>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</si>
  <si>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</si>
  <si>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</si>
  <si>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</si>
  <si>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</si>
  <si>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</si>
  <si>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</si>
  <si>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</si>
  <si>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</si>
  <si>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</si>
  <si>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</si>
  <si>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</si>
  <si>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</si>
  <si>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</si>
  <si>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</si>
  <si>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</si>
  <si>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</si>
  <si>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</si>
  <si>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</si>
  <si>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</si>
  <si>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</si>
  <si>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</si>
  <si>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</si>
  <si>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</si>
  <si>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</si>
  <si>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</si>
  <si>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</si>
  <si>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</si>
  <si>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</si>
  <si>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</si>
  <si>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</si>
  <si>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</si>
  <si>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</si>
  <si>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</si>
  <si>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</si>
  <si>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</si>
  <si>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</si>
  <si>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</si>
  <si>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</si>
  <si>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</si>
  <si>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</si>
  <si>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</si>
  <si>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</si>
  <si>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</si>
  <si>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</si>
  <si>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</si>
  <si>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</si>
  <si>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</si>
  <si>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</si>
  <si>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</si>
  <si>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</si>
  <si>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</si>
  <si>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</si>
  <si>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</si>
  <si>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</si>
  <si>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</si>
  <si>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</si>
  <si>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</si>
  <si>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</si>
  <si>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</si>
  <si>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</si>
  <si>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</si>
  <si>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</si>
  <si>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</si>
  <si>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</si>
  <si>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</si>
  <si>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</si>
  <si>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</si>
  <si>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</si>
  <si>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</si>
  <si>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</si>
  <si>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</si>
  <si>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</si>
  <si>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</si>
  <si>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</si>
  <si>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</si>
  <si>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</si>
  <si>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</si>
  <si>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</si>
  <si>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</si>
  <si>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</si>
  <si>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</si>
  <si>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</si>
  <si>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</si>
  <si>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</si>
  <si>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</si>
  <si>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</si>
  <si>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</si>
  <si>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</si>
  <si>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</si>
  <si>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</si>
  <si>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</si>
  <si>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</si>
  <si>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</si>
  <si>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</si>
  <si>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</si>
  <si>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</si>
  <si>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</si>
  <si>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</si>
  <si>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</si>
  <si>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</si>
  <si>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</si>
  <si>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</si>
  <si>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</si>
  <si>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</si>
  <si>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</si>
  <si>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</si>
  <si>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</si>
  <si>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</si>
  <si>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</si>
  <si>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</si>
  <si>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</si>
  <si>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</si>
  <si>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</si>
  <si>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</si>
  <si>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</si>
  <si>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</si>
  <si>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</si>
  <si>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</si>
  <si>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</si>
  <si>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</si>
  <si>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</si>
  <si>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</si>
  <si>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</si>
  <si>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</si>
  <si>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</si>
  <si>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</si>
  <si>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</si>
  <si>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</si>
  <si>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</si>
  <si>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</si>
  <si>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</si>
  <si>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</si>
  <si>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</si>
  <si>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</si>
  <si>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</si>
  <si>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</si>
  <si>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</si>
  <si>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</si>
  <si>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</si>
  <si>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</si>
  <si>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</si>
  <si>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</si>
  <si>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</si>
  <si>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</si>
  <si>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</si>
  <si>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</si>
  <si>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</si>
  <si>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</si>
  <si>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</si>
  <si>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</si>
  <si>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</si>
  <si>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</si>
  <si>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</si>
  <si>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</si>
  <si>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</si>
  <si>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</si>
  <si>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</si>
  <si>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</si>
  <si>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</si>
  <si>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</si>
  <si>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</si>
  <si>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</si>
  <si>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</si>
  <si>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</si>
  <si>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</si>
  <si>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</si>
  <si>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</si>
  <si>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</si>
  <si>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</si>
  <si>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</si>
  <si>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</si>
  <si>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</si>
  <si>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</si>
  <si>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</si>
  <si>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</si>
  <si>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</si>
  <si>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</si>
  <si>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</si>
  <si>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</si>
  <si>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</si>
  <si>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</si>
  <si>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</si>
  <si>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</si>
  <si>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</si>
  <si>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</si>
  <si>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</si>
  <si>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</si>
  <si>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</si>
  <si>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</si>
  <si>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</si>
  <si>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</si>
  <si>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</si>
  <si>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</si>
  <si>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a4181f5</t>
  </si>
  <si>
    <t>a4181f6</t>
  </si>
  <si>
    <t>a4181f7</t>
  </si>
  <si>
    <t>a4181f8</t>
  </si>
  <si>
    <t>a4181f9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</si>
  <si>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</si>
  <si>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</si>
  <si>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</si>
  <si>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</si>
  <si>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</si>
  <si>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</si>
  <si>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</si>
  <si>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</si>
  <si>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</si>
  <si>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</si>
  <si>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</si>
  <si>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</si>
  <si>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</si>
  <si>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</si>
  <si>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</si>
  <si>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</si>
  <si>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</si>
  <si>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</si>
  <si>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</si>
  <si>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</si>
  <si>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</si>
  <si>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</si>
  <si>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</si>
  <si>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</si>
  <si>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</si>
  <si>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</si>
  <si>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</si>
  <si>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</si>
  <si>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</si>
  <si>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</si>
  <si>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</si>
  <si>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</si>
  <si>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</si>
  <si>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</si>
  <si>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</si>
  <si>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</si>
  <si>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</si>
  <si>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</si>
  <si>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</si>
  <si>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</si>
  <si>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</si>
  <si>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</si>
  <si>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</si>
  <si>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a2ef205</t>
  </si>
  <si>
    <t>a2ef206</t>
  </si>
  <si>
    <t>a2ef207</t>
  </si>
  <si>
    <t>a2ef208</t>
  </si>
  <si>
    <t>Fix n_iter</t>
  </si>
  <si>
    <t>a2ef209</t>
  </si>
  <si>
    <t>a2ef210</t>
  </si>
  <si>
    <t>a2ef211</t>
  </si>
  <si>
    <t>a2ef212</t>
  </si>
  <si>
    <t>a2ef213</t>
  </si>
  <si>
    <t>a2ef214</t>
  </si>
  <si>
    <t>a2ef215</t>
  </si>
  <si>
    <t>a2ef216</t>
  </si>
  <si>
    <t>a2ef217</t>
  </si>
  <si>
    <t>a2ef218</t>
  </si>
  <si>
    <t>a2ef219</t>
  </si>
  <si>
    <t>a2ef220</t>
  </si>
  <si>
    <t>a2ef221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</si>
  <si>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</si>
  <si>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</si>
  <si>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</si>
  <si>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</si>
  <si>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</si>
  <si>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</si>
  <si>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</si>
  <si>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a2ef222</t>
  </si>
  <si>
    <t>a2ef223</t>
  </si>
  <si>
    <t>a2ef224</t>
  </si>
  <si>
    <t>a2ef225</t>
  </si>
  <si>
    <t>a2ef226</t>
  </si>
  <si>
    <t>a2ef227</t>
  </si>
  <si>
    <t>a2ef228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</si>
  <si>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</si>
  <si>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</si>
  <si>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</si>
  <si>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</si>
  <si>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</si>
  <si>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</si>
  <si>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</si>
  <si>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</si>
  <si>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a2ef229</t>
  </si>
  <si>
    <t>a2ef230</t>
  </si>
  <si>
    <t>a2ef231</t>
  </si>
  <si>
    <t>a2ef232</t>
  </si>
  <si>
    <t>a2ef233</t>
  </si>
  <si>
    <t>a2ef234</t>
  </si>
  <si>
    <t>a2ef235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</si>
  <si>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</si>
  <si>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</si>
  <si>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</si>
  <si>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</si>
  <si>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</si>
  <si>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</si>
  <si>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</si>
  <si>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</si>
  <si>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</si>
  <si>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</si>
  <si>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</si>
  <si>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</si>
  <si>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</si>
  <si>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</si>
  <si>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a2ef236</t>
  </si>
  <si>
    <t>a2ef237</t>
  </si>
  <si>
    <t>a2ef238</t>
  </si>
  <si>
    <t>a2ef239</t>
  </si>
  <si>
    <t>a2ef240</t>
  </si>
  <si>
    <t>a2ef241</t>
  </si>
  <si>
    <t>a2ef242</t>
  </si>
  <si>
    <t>a2ef243</t>
  </si>
  <si>
    <t>a2ef244</t>
  </si>
  <si>
    <t>a2ef245</t>
  </si>
  <si>
    <t>a2ef246</t>
  </si>
  <si>
    <t>a2ef247</t>
  </si>
  <si>
    <t>a2ef248</t>
  </si>
  <si>
    <t>a2ef249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</si>
  <si>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</si>
  <si>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</si>
  <si>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</si>
  <si>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</si>
  <si>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</si>
  <si>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</si>
  <si>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</si>
  <si>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</si>
  <si>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</si>
  <si>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</si>
  <si>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</si>
  <si>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</si>
  <si>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</si>
  <si>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</si>
  <si>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</si>
  <si>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</si>
  <si>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</si>
  <si>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</si>
  <si>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</si>
  <si>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</si>
  <si>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</si>
  <si>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</si>
  <si>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</si>
  <si>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</si>
  <si>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</si>
  <si>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2f717daf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</si>
  <si>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</si>
  <si>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</si>
  <si>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</si>
  <si>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</si>
  <si>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</si>
  <si>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</si>
  <si>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</si>
  <si>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</si>
  <si>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</si>
  <si>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</si>
  <si>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</si>
  <si>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</si>
  <si>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</si>
  <si>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</si>
  <si>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</si>
  <si>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</si>
  <si>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</si>
  <si>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</si>
  <si>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</si>
  <si>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</si>
  <si>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</si>
  <si>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</si>
  <si>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</si>
  <si>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</si>
  <si>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</si>
  <si>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</si>
  <si>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</si>
  <si>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</si>
  <si>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</si>
  <si>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</si>
  <si>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</si>
  <si>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</si>
  <si>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</si>
  <si>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</si>
  <si>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</si>
  <si>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</si>
  <si>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</si>
  <si>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</si>
  <si>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</si>
  <si>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</si>
  <si>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</si>
  <si>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</si>
  <si>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</si>
  <si>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</si>
  <si>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</si>
  <si>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</si>
  <si>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</si>
  <si>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</si>
  <si>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</si>
  <si>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</si>
  <si>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</si>
  <si>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</si>
  <si>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</si>
  <si>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</si>
  <si>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</si>
  <si>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</si>
  <si>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</si>
  <si>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</si>
  <si>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</si>
  <si>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</si>
  <si>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</si>
  <si>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</si>
  <si>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</si>
  <si>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</si>
  <si>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</si>
  <si>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</si>
  <si>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</si>
  <si>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</si>
  <si>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</si>
  <si>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</si>
  <si>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</si>
  <si>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</si>
  <si>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</si>
  <si>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</si>
  <si>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</si>
  <si>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</si>
  <si>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</si>
  <si>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</si>
  <si>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</si>
  <si>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</si>
  <si>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</si>
  <si>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</si>
  <si>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</si>
  <si>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</si>
  <si>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</si>
  <si>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</si>
  <si>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</si>
  <si>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</si>
  <si>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</si>
  <si>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</si>
  <si>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</si>
  <si>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</si>
  <si>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</si>
  <si>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</si>
  <si>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</si>
  <si>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</si>
  <si>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</si>
  <si>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</si>
  <si>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</si>
  <si>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</si>
  <si>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</si>
  <si>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</si>
  <si>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</si>
  <si>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</si>
  <si>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</si>
  <si>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</si>
  <si>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</si>
  <si>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</si>
  <si>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</si>
  <si>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</si>
  <si>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</si>
  <si>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</si>
  <si>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</si>
  <si>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</si>
  <si>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</si>
  <si>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</si>
  <si>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</si>
  <si>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</si>
  <si>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</si>
  <si>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</si>
  <si>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</si>
  <si>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</si>
  <si>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</si>
  <si>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</si>
  <si>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</si>
  <si>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</si>
  <si>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</si>
  <si>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</si>
  <si>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</si>
  <si>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</si>
  <si>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</si>
  <si>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</si>
  <si>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</si>
  <si>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</si>
  <si>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</si>
  <si>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</si>
  <si>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</si>
  <si>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</si>
  <si>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</si>
  <si>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</si>
  <si>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</si>
  <si>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</si>
  <si>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</si>
  <si>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</si>
  <si>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</si>
  <si>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</si>
  <si>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</si>
  <si>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</si>
  <si>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</si>
  <si>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</si>
  <si>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</si>
  <si>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</si>
  <si>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</si>
  <si>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</si>
  <si>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</si>
  <si>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</si>
  <si>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</si>
  <si>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</si>
  <si>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</si>
  <si>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</si>
  <si>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</si>
  <si>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</si>
  <si>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</si>
  <si>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</si>
  <si>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</si>
  <si>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</si>
  <si>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</si>
  <si>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</si>
  <si>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</si>
  <si>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</si>
  <si>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</si>
  <si>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</si>
  <si>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</si>
  <si>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</si>
  <si>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</si>
  <si>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</si>
  <si>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</si>
  <si>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</si>
  <si>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</si>
  <si>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</si>
  <si>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</si>
  <si>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</si>
  <si>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</si>
  <si>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</si>
  <si>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</si>
  <si>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</si>
  <si>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</si>
  <si>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</si>
  <si>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</si>
  <si>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</si>
  <si>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</si>
  <si>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</si>
  <si>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</si>
  <si>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</si>
  <si>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</si>
  <si>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</si>
  <si>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</si>
  <si>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</si>
  <si>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</si>
  <si>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</si>
  <si>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</si>
  <si>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</si>
  <si>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</si>
  <si>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</si>
  <si>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</si>
  <si>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</si>
  <si>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</si>
  <si>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</si>
  <si>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</si>
  <si>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</si>
  <si>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</si>
  <si>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</si>
  <si>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</si>
  <si>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</si>
  <si>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</si>
  <si>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</si>
  <si>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</si>
  <si>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</si>
  <si>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</si>
  <si>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</si>
  <si>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</si>
  <si>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</si>
  <si>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</si>
  <si>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</si>
  <si>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</si>
  <si>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</si>
  <si>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</si>
  <si>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</si>
  <si>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</si>
  <si>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</si>
  <si>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</si>
  <si>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</si>
  <si>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</si>
  <si>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</si>
  <si>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</si>
  <si>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</si>
  <si>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</si>
  <si>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</si>
  <si>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</si>
  <si>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</si>
  <si>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</si>
  <si>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</si>
  <si>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</si>
  <si>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</si>
  <si>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</si>
  <si>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</si>
  <si>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</si>
  <si>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</si>
  <si>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</si>
  <si>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</si>
  <si>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</si>
  <si>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</si>
  <si>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</si>
  <si>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</si>
  <si>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</si>
  <si>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</si>
  <si>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</si>
  <si>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</si>
  <si>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</si>
  <si>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</si>
  <si>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</si>
  <si>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</si>
  <si>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</si>
  <si>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</si>
  <si>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</si>
  <si>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</si>
  <si>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</si>
  <si>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</si>
  <si>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</si>
  <si>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</si>
  <si>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</si>
  <si>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</si>
  <si>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</si>
  <si>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</si>
  <si>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</si>
  <si>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</si>
  <si>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</si>
  <si>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</si>
  <si>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</si>
  <si>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</si>
  <si>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</si>
  <si>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</si>
  <si>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</si>
  <si>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</si>
  <si>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</si>
  <si>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</si>
  <si>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</si>
  <si>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</si>
  <si>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</si>
  <si>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</si>
  <si>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</si>
  <si>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</si>
  <si>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</si>
  <si>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</si>
  <si>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</si>
  <si>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</si>
  <si>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</si>
  <si>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</si>
  <si>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</si>
  <si>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</si>
  <si>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</si>
  <si>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</si>
  <si>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</si>
  <si>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</si>
  <si>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</si>
  <si>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</si>
  <si>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</si>
  <si>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</si>
  <si>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</si>
  <si>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</si>
  <si>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</si>
  <si>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</si>
  <si>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</si>
  <si>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</si>
  <si>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</si>
  <si>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</si>
  <si>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</si>
  <si>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</si>
  <si>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</si>
  <si>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</si>
  <si>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</si>
  <si>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</si>
  <si>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</si>
  <si>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</si>
  <si>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</si>
  <si>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</si>
  <si>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</si>
  <si>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</si>
  <si>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3fbad0fb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</si>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</sst>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;@"/>
    <numFmt numFmtId="165" formatCode="ddd\ m/d"/>
    <numFmt numFmtId="166" formatCode="0000"/>
    <numFmt numFmtId="167" formatCode="0.000000"/>
    <numFmt numFmtId="168" formatCode="h:mm:ss;@"/>
  </numFmts>
  <fonts count="93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81" fillId="0" borderId="0" applyNumberFormat="0" applyFill="0" applyBorder="0" applyAlignment="0" applyProtection="0"/>
    <xf numFmtId="0" fontId="75" fillId="0" borderId="0" applyFill="0" applyBorder="0" applyProtection="0">
      <alignment horizontal="left" wrapText="1"/>
    </xf>
    <xf numFmtId="3" fontId="83" fillId="0" borderId="2" applyFill="0" applyProtection="0">
      <alignment horizontal="center"/>
    </xf>
    <xf numFmtId="0" fontId="83" fillId="0" borderId="0" applyFill="0" applyBorder="0" applyProtection="0">
      <alignment horizontal="center" wrapText="1"/>
    </xf>
    <xf numFmtId="0" fontId="74" fillId="0" borderId="0" applyNumberFormat="0" applyFill="0" applyBorder="0" applyProtection="0">
      <alignment horizontal="left" vertical="center"/>
    </xf>
    <xf numFmtId="9" fontId="76" fillId="0" borderId="0" applyFill="0" applyBorder="0" applyProtection="0">
      <alignment horizontal="center" vertical="center"/>
    </xf>
    <xf numFmtId="0" fontId="82" fillId="6" borderId="1" applyNumberFormat="0" applyProtection="0">
      <alignment horizontal="left" vertical="center"/>
    </xf>
    <xf numFmtId="0" fontId="81" fillId="0" borderId="0" applyNumberFormat="0" applyFill="0" applyBorder="0" applyProtection="0">
      <alignment vertical="center"/>
    </xf>
    <xf numFmtId="0" fontId="83" fillId="0" borderId="0" applyFill="0" applyProtection="0">
      <alignment vertical="center"/>
    </xf>
    <xf numFmtId="0" fontId="83" fillId="0" borderId="0" applyFill="0" applyProtection="0">
      <alignment horizontal="center" vertical="center" wrapText="1"/>
    </xf>
    <xf numFmtId="0" fontId="83" fillId="0" borderId="0" applyFill="0" applyProtection="0">
      <alignment horizontal="left"/>
    </xf>
    <xf numFmtId="0" fontId="85" fillId="0" borderId="0" applyNumberFormat="0" applyFill="0" applyBorder="0" applyProtection="0">
      <alignment vertical="center"/>
    </xf>
    <xf numFmtId="1" fontId="86" fillId="6" borderId="1">
      <alignment horizontal="center" vertical="center"/>
    </xf>
    <xf numFmtId="0" fontId="84" fillId="2" borderId="4" applyNumberFormat="0" applyFont="0" applyAlignment="0">
      <alignment horizontal="center"/>
    </xf>
    <xf numFmtId="0" fontId="84" fillId="3" borderId="3" applyNumberFormat="0" applyFont="0" applyAlignment="0">
      <alignment horizontal="center"/>
    </xf>
    <xf numFmtId="0" fontId="84" fillId="4" borderId="3" applyNumberFormat="0" applyFont="0" applyAlignment="0">
      <alignment horizontal="center"/>
    </xf>
    <xf numFmtId="0" fontId="84" fillId="5" borderId="3" applyNumberFormat="0" applyFont="0" applyAlignment="0">
      <alignment horizontal="center"/>
    </xf>
    <xf numFmtId="0" fontId="84" fillId="7" borderId="3" applyNumberFormat="0" applyFont="0" applyAlignment="0">
      <alignment horizontal="center"/>
    </xf>
    <xf numFmtId="0" fontId="73" fillId="0" borderId="0"/>
  </cellStyleXfs>
  <cellXfs count="163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75" fillId="0" borderId="0" xfId="2">
      <alignment horizontal="left" wrapText="1"/>
    </xf>
    <xf numFmtId="3" fontId="83" fillId="0" borderId="2" xfId="3">
      <alignment horizontal="center"/>
    </xf>
    <xf numFmtId="9" fontId="76" fillId="0" borderId="0" xfId="6">
      <alignment horizontal="center" vertical="center"/>
    </xf>
    <xf numFmtId="0" fontId="82" fillId="6" borderId="1" xfId="7">
      <alignment horizontal="left" vertical="center"/>
    </xf>
    <xf numFmtId="0" fontId="77" fillId="0" borderId="0" xfId="2" applyFont="1">
      <alignment horizontal="left" wrapText="1"/>
    </xf>
    <xf numFmtId="0" fontId="78" fillId="0" borderId="0" xfId="0" applyFont="1" applyAlignment="1">
      <alignment horizontal="center"/>
    </xf>
    <xf numFmtId="9" fontId="79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81" fillId="0" borderId="0" xfId="1" applyAlignment="1">
      <alignment horizontal="center"/>
    </xf>
    <xf numFmtId="0" fontId="81" fillId="0" borderId="0" xfId="8">
      <alignment vertical="center"/>
    </xf>
    <xf numFmtId="1" fontId="86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83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73" fillId="0" borderId="0" xfId="19"/>
    <xf numFmtId="0" fontId="73" fillId="0" borderId="0" xfId="19" applyAlignment="1">
      <alignment horizontal="center"/>
    </xf>
    <xf numFmtId="165" fontId="73" fillId="0" borderId="0" xfId="19" applyNumberFormat="1" applyAlignment="1">
      <alignment horizontal="center"/>
    </xf>
    <xf numFmtId="0" fontId="73" fillId="0" borderId="0" xfId="19" applyNumberFormat="1" applyAlignment="1">
      <alignment horizontal="center"/>
    </xf>
    <xf numFmtId="0" fontId="72" fillId="0" borderId="0" xfId="19" applyFont="1"/>
    <xf numFmtId="0" fontId="71" fillId="0" borderId="0" xfId="19" applyFont="1"/>
    <xf numFmtId="0" fontId="70" fillId="0" borderId="0" xfId="19" applyFont="1"/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66" fillId="0" borderId="0" xfId="19" applyFont="1"/>
    <xf numFmtId="0" fontId="65" fillId="0" borderId="0" xfId="19" applyFont="1"/>
    <xf numFmtId="0" fontId="64" fillId="0" borderId="0" xfId="19" applyFont="1"/>
    <xf numFmtId="0" fontId="63" fillId="0" borderId="0" xfId="19" applyFont="1"/>
    <xf numFmtId="0" fontId="62" fillId="0" borderId="0" xfId="19" applyFont="1"/>
    <xf numFmtId="0" fontId="61" fillId="0" borderId="0" xfId="19" applyFont="1"/>
    <xf numFmtId="0" fontId="60" fillId="0" borderId="0" xfId="19" applyFont="1"/>
    <xf numFmtId="0" fontId="59" fillId="0" borderId="0" xfId="19" applyFont="1"/>
    <xf numFmtId="0" fontId="58" fillId="0" borderId="0" xfId="19" applyFont="1"/>
    <xf numFmtId="0" fontId="57" fillId="0" borderId="0" xfId="19" applyFont="1"/>
    <xf numFmtId="0" fontId="87" fillId="0" borderId="0" xfId="0" applyFont="1" applyAlignment="1">
      <alignment horizontal="center" vertical="center" textRotation="90"/>
    </xf>
    <xf numFmtId="0" fontId="87" fillId="0" borderId="0" xfId="0" applyFont="1">
      <alignment horizontal="center" vertical="center"/>
    </xf>
    <xf numFmtId="0" fontId="87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56" fillId="0" borderId="0" xfId="19" applyFont="1"/>
    <xf numFmtId="0" fontId="54" fillId="0" borderId="0" xfId="19" applyFont="1"/>
    <xf numFmtId="0" fontId="53" fillId="0" borderId="0" xfId="19" applyFont="1"/>
    <xf numFmtId="0" fontId="52" fillId="0" borderId="0" xfId="19" applyFont="1"/>
    <xf numFmtId="0" fontId="51" fillId="0" borderId="0" xfId="19" applyFont="1"/>
    <xf numFmtId="0" fontId="50" fillId="0" borderId="0" xfId="19" applyFont="1"/>
    <xf numFmtId="0" fontId="49" fillId="0" borderId="0" xfId="19" applyFont="1"/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55" fillId="0" borderId="0" xfId="19" applyFont="1" applyAlignment="1">
      <alignment horizontal="left"/>
    </xf>
    <xf numFmtId="0" fontId="56" fillId="0" borderId="0" xfId="19" applyFont="1" applyAlignment="1">
      <alignment horizontal="left"/>
    </xf>
    <xf numFmtId="0" fontId="68" fillId="0" borderId="0" xfId="19" applyFont="1" applyAlignment="1">
      <alignment horizontal="left"/>
    </xf>
    <xf numFmtId="0" fontId="73" fillId="0" borderId="0" xfId="19" applyAlignment="1">
      <alignment horizontal="left"/>
    </xf>
    <xf numFmtId="0" fontId="71" fillId="0" borderId="0" xfId="19" applyFont="1" applyAlignment="1">
      <alignment horizontal="left"/>
    </xf>
    <xf numFmtId="0" fontId="64" fillId="0" borderId="0" xfId="19" applyFont="1" applyAlignment="1">
      <alignment horizontal="left"/>
    </xf>
    <xf numFmtId="0" fontId="52" fillId="0" borderId="0" xfId="19" applyFont="1" applyAlignment="1">
      <alignment horizontal="left"/>
    </xf>
    <xf numFmtId="18" fontId="64" fillId="0" borderId="0" xfId="19" applyNumberFormat="1" applyFont="1" applyAlignment="1">
      <alignment horizontal="left"/>
    </xf>
    <xf numFmtId="0" fontId="46" fillId="0" borderId="0" xfId="19" applyFont="1" applyAlignment="1">
      <alignment horizontal="left"/>
    </xf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3" fillId="0" borderId="0" xfId="19" applyFont="1" applyAlignment="1">
      <alignment horizontal="left"/>
    </xf>
    <xf numFmtId="0" fontId="42" fillId="0" borderId="0" xfId="19" applyFont="1"/>
    <xf numFmtId="0" fontId="41" fillId="0" borderId="0" xfId="19" applyFont="1"/>
    <xf numFmtId="0" fontId="41" fillId="0" borderId="0" xfId="19" applyFont="1" applyAlignment="1">
      <alignment horizontal="left"/>
    </xf>
    <xf numFmtId="0" fontId="40" fillId="0" borderId="0" xfId="19" applyNumberFormat="1" applyFont="1" applyAlignment="1">
      <alignment horizontal="center"/>
    </xf>
    <xf numFmtId="0" fontId="40" fillId="0" borderId="0" xfId="19" applyFont="1"/>
    <xf numFmtId="0" fontId="40" fillId="0" borderId="0" xfId="19" applyFont="1" applyAlignment="1">
      <alignment horizontal="left"/>
    </xf>
    <xf numFmtId="0" fontId="39" fillId="0" borderId="0" xfId="19" applyFont="1"/>
    <xf numFmtId="0" fontId="39" fillId="0" borderId="0" xfId="19" applyFont="1" applyAlignment="1">
      <alignment horizontal="left"/>
    </xf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0" fontId="34" fillId="0" borderId="0" xfId="19" applyFont="1"/>
    <xf numFmtId="165" fontId="34" fillId="0" borderId="0" xfId="19" applyNumberFormat="1" applyFont="1" applyAlignment="1">
      <alignment horizontal="center"/>
    </xf>
    <xf numFmtId="0" fontId="34" fillId="0" borderId="0" xfId="19" applyFont="1" applyAlignment="1">
      <alignment horizontal="left"/>
    </xf>
    <xf numFmtId="0" fontId="33" fillId="0" borderId="0" xfId="19" applyFont="1"/>
    <xf numFmtId="0" fontId="33" fillId="0" borderId="0" xfId="19" applyFont="1" applyAlignment="1">
      <alignment horizontal="left"/>
    </xf>
    <xf numFmtId="0" fontId="32" fillId="0" borderId="0" xfId="19" applyFont="1"/>
    <xf numFmtId="0" fontId="31" fillId="0" borderId="0" xfId="19" applyFont="1"/>
    <xf numFmtId="0" fontId="31" fillId="0" borderId="0" xfId="19" applyFont="1" applyAlignment="1">
      <alignment horizontal="left"/>
    </xf>
    <xf numFmtId="0" fontId="30" fillId="0" borderId="0" xfId="19" applyFont="1"/>
    <xf numFmtId="0" fontId="30" fillId="0" borderId="0" xfId="19" applyFont="1" applyAlignment="1">
      <alignment horizontal="left"/>
    </xf>
    <xf numFmtId="0" fontId="29" fillId="0" borderId="0" xfId="19" applyFont="1"/>
    <xf numFmtId="165" fontId="29" fillId="0" borderId="0" xfId="19" applyNumberFormat="1" applyFont="1" applyAlignment="1">
      <alignment horizontal="center"/>
    </xf>
    <xf numFmtId="0" fontId="28" fillId="0" borderId="0" xfId="19" applyFont="1"/>
    <xf numFmtId="0" fontId="27" fillId="0" borderId="0" xfId="19" applyFont="1"/>
    <xf numFmtId="0" fontId="27" fillId="0" borderId="0" xfId="19" applyFont="1" applyAlignment="1">
      <alignment horizontal="left"/>
    </xf>
    <xf numFmtId="0" fontId="26" fillId="0" borderId="0" xfId="19" applyFont="1"/>
    <xf numFmtId="0" fontId="25" fillId="0" borderId="0" xfId="19" applyFont="1" applyAlignment="1">
      <alignment horizontal="left"/>
    </xf>
    <xf numFmtId="0" fontId="25" fillId="0" borderId="0" xfId="19" applyFont="1"/>
    <xf numFmtId="0" fontId="88" fillId="0" borderId="0" xfId="0" applyFont="1">
      <alignment horizontal="center" vertical="center"/>
    </xf>
    <xf numFmtId="0" fontId="89" fillId="0" borderId="0" xfId="0" applyFont="1">
      <alignment horizontal="center" vertical="center"/>
    </xf>
    <xf numFmtId="0" fontId="89" fillId="0" borderId="0" xfId="0" applyFont="1" applyAlignment="1">
      <alignment horizontal="left" vertical="center"/>
    </xf>
    <xf numFmtId="1" fontId="89" fillId="0" borderId="0" xfId="0" applyNumberFormat="1" applyFont="1">
      <alignment horizontal="center" vertical="center"/>
    </xf>
    <xf numFmtId="0" fontId="24" fillId="0" borderId="0" xfId="19" applyFont="1"/>
    <xf numFmtId="0" fontId="92" fillId="0" borderId="0" xfId="0" applyFont="1">
      <alignment horizontal="center" vertical="center"/>
    </xf>
    <xf numFmtId="0" fontId="92" fillId="0" borderId="0" xfId="0" applyFont="1" applyAlignment="1">
      <alignment horizontal="left" vertical="center"/>
    </xf>
    <xf numFmtId="0" fontId="92" fillId="0" borderId="0" xfId="0" quotePrefix="1" applyFont="1" applyAlignment="1">
      <alignment horizontal="left" vertical="center"/>
    </xf>
    <xf numFmtId="166" fontId="82" fillId="0" borderId="0" xfId="0" applyNumberFormat="1" applyFont="1">
      <alignment horizontal="center" vertical="center"/>
    </xf>
    <xf numFmtId="0" fontId="89" fillId="0" borderId="0" xfId="0" quotePrefix="1" applyFont="1" applyAlignment="1">
      <alignment horizontal="left" vertical="center"/>
    </xf>
    <xf numFmtId="16" fontId="87" fillId="0" borderId="0" xfId="0" applyNumberFormat="1" applyFont="1">
      <alignment horizontal="center" vertical="center"/>
    </xf>
    <xf numFmtId="167" fontId="87" fillId="0" borderId="0" xfId="0" applyNumberFormat="1" applyFont="1">
      <alignment horizontal="center" vertical="center"/>
    </xf>
    <xf numFmtId="1" fontId="87" fillId="0" borderId="0" xfId="0" applyNumberFormat="1" applyFont="1">
      <alignment horizontal="center" vertical="center"/>
    </xf>
    <xf numFmtId="0" fontId="87" fillId="0" borderId="0" xfId="0" applyFont="1" applyAlignment="1">
      <alignment horizontal="center" vertical="center"/>
    </xf>
    <xf numFmtId="168" fontId="87" fillId="0" borderId="0" xfId="0" applyNumberFormat="1" applyFont="1">
      <alignment horizontal="center" vertical="center"/>
    </xf>
    <xf numFmtId="0" fontId="23" fillId="0" borderId="0" xfId="19" applyFont="1"/>
    <xf numFmtId="0" fontId="22" fillId="0" borderId="0" xfId="19" applyFont="1"/>
    <xf numFmtId="165" fontId="22" fillId="0" borderId="0" xfId="19" applyNumberFormat="1" applyFont="1" applyAlignment="1">
      <alignment horizontal="center"/>
    </xf>
    <xf numFmtId="0" fontId="22" fillId="0" borderId="0" xfId="19" applyFont="1" applyAlignment="1">
      <alignment horizontal="left"/>
    </xf>
    <xf numFmtId="0" fontId="77" fillId="0" borderId="0" xfId="2" applyFont="1" applyAlignment="1">
      <alignment horizontal="left" vertical="center" wrapText="1"/>
    </xf>
    <xf numFmtId="0" fontId="21" fillId="0" borderId="0" xfId="19" applyFont="1"/>
    <xf numFmtId="0" fontId="20" fillId="0" borderId="0" xfId="19" applyFont="1"/>
    <xf numFmtId="0" fontId="19" fillId="0" borderId="0" xfId="19" applyFont="1"/>
    <xf numFmtId="0" fontId="18" fillId="0" borderId="0" xfId="19" applyFont="1"/>
    <xf numFmtId="0" fontId="17" fillId="0" borderId="0" xfId="19" applyFont="1"/>
    <xf numFmtId="0" fontId="16" fillId="0" borderId="0" xfId="19" applyFont="1"/>
    <xf numFmtId="0" fontId="15" fillId="0" borderId="0" xfId="19" applyFont="1"/>
    <xf numFmtId="0" fontId="15" fillId="0" borderId="0" xfId="19" applyFont="1" applyAlignment="1">
      <alignment horizontal="left"/>
    </xf>
    <xf numFmtId="0" fontId="14" fillId="0" borderId="0" xfId="19" applyFont="1" applyAlignment="1">
      <alignment horizontal="left"/>
    </xf>
    <xf numFmtId="0" fontId="13" fillId="0" borderId="0" xfId="19" applyFont="1"/>
    <xf numFmtId="165" fontId="13" fillId="0" borderId="0" xfId="19" applyNumberFormat="1" applyFont="1" applyAlignment="1">
      <alignment horizontal="center"/>
    </xf>
    <xf numFmtId="0" fontId="12" fillId="0" borderId="0" xfId="19" applyFont="1"/>
    <xf numFmtId="0" fontId="11" fillId="0" borderId="0" xfId="19" applyFont="1"/>
    <xf numFmtId="0" fontId="10" fillId="0" borderId="0" xfId="19" applyFont="1"/>
    <xf numFmtId="0" fontId="9" fillId="0" borderId="0" xfId="19" applyFont="1"/>
    <xf numFmtId="0" fontId="8" fillId="0" borderId="0" xfId="19" applyFont="1"/>
    <xf numFmtId="49" fontId="88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7" fillId="0" borderId="0" xfId="19" applyFont="1"/>
    <xf numFmtId="0" fontId="6" fillId="0" borderId="0" xfId="19" applyFont="1"/>
    <xf numFmtId="0" fontId="5" fillId="0" borderId="0" xfId="19" applyFont="1"/>
    <xf numFmtId="0" fontId="4" fillId="0" borderId="0" xfId="19" applyFont="1"/>
    <xf numFmtId="0" fontId="3" fillId="0" borderId="0" xfId="19" applyFont="1"/>
    <xf numFmtId="0" fontId="2" fillId="0" borderId="0" xfId="19" applyFont="1"/>
    <xf numFmtId="0" fontId="2" fillId="0" borderId="0" xfId="19" applyFont="1" applyAlignment="1">
      <alignment horizontal="left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85" fillId="0" borderId="0" xfId="12">
      <alignment vertical="center"/>
    </xf>
    <xf numFmtId="0" fontId="83" fillId="0" borderId="0" xfId="9">
      <alignment vertical="center"/>
    </xf>
    <xf numFmtId="0" fontId="83" fillId="0" borderId="2" xfId="9" applyBorder="1">
      <alignment vertical="center"/>
    </xf>
    <xf numFmtId="0" fontId="83" fillId="0" borderId="0" xfId="10">
      <alignment horizontal="center" vertical="center" wrapText="1"/>
    </xf>
    <xf numFmtId="0" fontId="83" fillId="0" borderId="2" xfId="10" applyBorder="1">
      <alignment horizontal="center" vertical="center" wrapText="1"/>
    </xf>
    <xf numFmtId="0" fontId="83" fillId="0" borderId="5" xfId="10" applyBorder="1">
      <alignment horizontal="center" vertical="center" wrapText="1"/>
    </xf>
    <xf numFmtId="0" fontId="80" fillId="0" borderId="6" xfId="5" applyFont="1" applyBorder="1">
      <alignment horizontal="left" vertical="center"/>
    </xf>
    <xf numFmtId="0" fontId="80" fillId="0" borderId="0" xfId="5" applyFont="1">
      <alignment horizontal="left" vertical="center"/>
    </xf>
    <xf numFmtId="0" fontId="80" fillId="0" borderId="7" xfId="5" applyFont="1" applyBorder="1">
      <alignment horizontal="left" vertical="center"/>
    </xf>
    <xf numFmtId="0" fontId="80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89" fillId="0" borderId="0" xfId="0" applyFont="1" applyAlignment="1">
      <alignment horizontal="right" vertical="center"/>
    </xf>
    <xf numFmtId="0" fontId="1" fillId="0" borderId="0" xfId="19" applyFont="1"/>
    <xf numFmtId="2" fontId="0" fillId="0" borderId="0" xfId="0" applyNumberFormat="1">
      <alignment horizontal="center" vertical="center"/>
    </xf>
    <xf numFmtId="2" fontId="92" fillId="0" borderId="0" xfId="0" applyNumberFormat="1" applyFont="1">
      <alignment horizontal="center" vertical="center"/>
    </xf>
    <xf numFmtId="1" fontId="92" fillId="0" borderId="0" xfId="0" applyNumberFormat="1" applyFont="1" applyAlignment="1">
      <alignment horizontal="center" vertical="center"/>
    </xf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52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F149" totalsRowShown="0">
  <autoFilter ref="A1:F149">
    <filterColumn colId="3">
      <filters blank="1">
        <filter val="0"/>
        <filter val="0.25"/>
        <filter val="0.75"/>
      </filters>
    </filterColumn>
  </autoFilter>
  <sortState ref="A30:F149">
    <sortCondition descending="1" ref="C1:C149"/>
  </sortState>
  <tableColumns count="6">
    <tableColumn id="1" name="Task"/>
    <tableColumn id="2" name="Assigned"/>
    <tableColumn id="3" name="Due"/>
    <tableColumn id="6" name=" " dataDxfId="51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S771" totalsRowShown="0" headerRowDxfId="50" dataDxfId="49">
  <autoFilter ref="A1:S771"/>
  <sortState ref="A2:S771">
    <sortCondition ref="A1:A771"/>
  </sortState>
  <tableColumns count="19">
    <tableColumn id="1" name="Run ID" dataDxfId="48"/>
    <tableColumn id="18" name="n_iter" dataDxfId="47"/>
    <tableColumn id="2" name="mv" dataDxfId="46"/>
    <tableColumn id="3" name="mh" dataDxfId="45"/>
    <tableColumn id="4" name="kmax" dataDxfId="44"/>
    <tableColumn id="19" name="gamma" dataDxfId="43"/>
    <tableColumn id="8" name="measure" dataDxfId="42"/>
    <tableColumn id="9" name="n_tunnel_max" dataDxfId="41"/>
    <tableColumn id="5" name="lambda_screen" dataDxfId="40"/>
    <tableColumn id="6" name="rho_Lambda_thres" dataDxfId="39"/>
    <tableColumn id="20" name="fixQ" dataDxfId="38"/>
    <tableColumn id="21" name="Nafter" dataDxfId="37"/>
    <tableColumn id="22" name="seed" dataDxfId="36"/>
    <tableColumn id="7" name="n_recycle" dataDxfId="35"/>
    <tableColumn id="14" name="Input File Path" dataDxfId="10"/>
    <tableColumn id="10" name="Job ID" dataDxfId="34"/>
    <tableColumn id="24" name="End Date2" dataDxfId="33"/>
    <tableColumn id="11" name="Runtime" dataDxfId="32"/>
    <tableColumn id="12" name="Git Hash" dataDxfId="31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1:G48" totalsRowShown="0">
  <autoFilter ref="A1:G48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name="I/O"/>
    <tableColumn id="6" name="Quantity" dataDxfId="11"/>
    <tableColumn id="5" name="Position History" dataDxfId="13"/>
    <tableColumn id="7" name="Position2" dataDxfId="12">
      <calculatedColumnFormula>VALUE(LEFT(RIGHT(Table4[[#This Row],[Position History]],5),FIND(CHAR(34),RIGHT(Table4[[#This Row],[Position History]],5))-1))</calculatedColumnFormula>
    </tableColumn>
    <tableColumn id="2" name="Dimensions"/>
    <tableColumn id="3" name="Units"/>
    <tableColumn id="4" name="Description" dataDxfId="24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able44" displayName="Table44" ref="A1:E117" totalsRowShown="0" dataDxfId="30">
  <autoFilter ref="A1:E117"/>
  <sortState ref="A2:E117">
    <sortCondition ref="A1:A117"/>
  </sortState>
  <tableColumns count="5">
    <tableColumn id="1" name="Class" dataDxfId="29"/>
    <tableColumn id="2" name="Function" dataDxfId="28"/>
    <tableColumn id="3" name="Line" dataDxfId="27"/>
    <tableColumn id="5" name="Checked" dataDxfId="26"/>
    <tableColumn id="4" name="Description" dataDxfId="25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23">
  <autoFilter ref="A1:E117">
    <filterColumn colId="3">
      <filters blank="1"/>
    </filterColumn>
  </autoFilter>
  <sortState ref="A2:E117">
    <sortCondition ref="A1:A117"/>
  </sortState>
  <tableColumns count="5">
    <tableColumn id="1" name="Class" dataDxfId="22"/>
    <tableColumn id="2" name="Function" dataDxfId="21"/>
    <tableColumn id="3" name="Line" dataDxfId="20"/>
    <tableColumn id="5" name="Checked" dataDxfId="19"/>
    <tableColumn id="4" name="Description" dataDxfId="18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A1:C28" totalsRowShown="0" dataDxfId="17">
  <autoFilter ref="A1:C28"/>
  <tableColumns count="3">
    <tableColumn id="1" name="Code" dataDxfId="16"/>
    <tableColumn id="2" name="Description" dataDxfId="15"/>
    <tableColumn id="3" name="Generator Function" dataDxfId="14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O32"/>
  <sheetViews>
    <sheetView showGridLines="0" zoomScale="85" zoomScaleNormal="85" zoomScaleSheetLayoutView="80" workbookViewId="0">
      <selection activeCell="H10" sqref="H10"/>
    </sheetView>
  </sheetViews>
  <sheetFormatPr defaultColWidth="0" defaultRowHeight="30" customHeight="1" x14ac:dyDescent="0.35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67" ht="60" customHeight="1" thickBot="1" x14ac:dyDescent="1.05">
      <c r="B1" s="11" t="s">
        <v>35</v>
      </c>
      <c r="C1" s="10"/>
      <c r="D1" s="10"/>
      <c r="E1" s="10"/>
      <c r="F1" s="10"/>
      <c r="G1" s="10"/>
    </row>
    <row r="2" spans="2:67" ht="21" customHeight="1" thickTop="1" thickBot="1" x14ac:dyDescent="0.35">
      <c r="B2" s="144" t="s">
        <v>28</v>
      </c>
      <c r="C2" s="144"/>
      <c r="D2" s="144"/>
      <c r="E2" s="144"/>
      <c r="F2" s="144"/>
      <c r="G2" s="5" t="s">
        <v>20</v>
      </c>
      <c r="H2" s="12">
        <v>8</v>
      </c>
      <c r="J2" s="13"/>
      <c r="K2" s="150" t="s">
        <v>27</v>
      </c>
      <c r="L2" s="151"/>
      <c r="M2" s="151"/>
      <c r="N2" s="151"/>
      <c r="O2" s="152"/>
      <c r="P2" s="14"/>
      <c r="Q2" s="150" t="s">
        <v>26</v>
      </c>
      <c r="R2" s="153"/>
      <c r="S2" s="153"/>
      <c r="T2" s="152"/>
      <c r="U2" s="15"/>
      <c r="V2" s="142" t="s">
        <v>17</v>
      </c>
      <c r="W2" s="143"/>
      <c r="X2" s="143"/>
      <c r="Y2" s="154"/>
      <c r="Z2" s="16"/>
      <c r="AA2" s="155" t="s">
        <v>18</v>
      </c>
      <c r="AB2" s="156"/>
      <c r="AC2" s="156"/>
      <c r="AD2" s="156"/>
      <c r="AE2" s="156"/>
      <c r="AF2" s="156"/>
      <c r="AG2" s="157"/>
      <c r="AH2" s="17"/>
      <c r="AI2" s="142" t="s">
        <v>19</v>
      </c>
      <c r="AJ2" s="143"/>
      <c r="AK2" s="143"/>
      <c r="AL2" s="143"/>
      <c r="AM2" s="143"/>
      <c r="AN2" s="143"/>
      <c r="AO2" s="143"/>
      <c r="AP2" s="143"/>
    </row>
    <row r="3" spans="2:67" s="9" customFormat="1" ht="39.9" customHeight="1" thickTop="1" x14ac:dyDescent="0.3">
      <c r="B3" s="145" t="s">
        <v>0</v>
      </c>
      <c r="C3" s="147" t="s">
        <v>21</v>
      </c>
      <c r="D3" s="147" t="s">
        <v>22</v>
      </c>
      <c r="E3" s="147" t="s">
        <v>23</v>
      </c>
      <c r="F3" s="147" t="s">
        <v>24</v>
      </c>
      <c r="G3" s="149" t="s">
        <v>25</v>
      </c>
      <c r="H3" s="18">
        <v>43164</v>
      </c>
      <c r="I3" s="18">
        <v>43171</v>
      </c>
      <c r="J3" s="18">
        <v>43178</v>
      </c>
      <c r="K3" s="18">
        <v>43185</v>
      </c>
      <c r="L3" s="18">
        <v>43192</v>
      </c>
      <c r="M3" s="18">
        <v>43199</v>
      </c>
      <c r="N3" s="18">
        <v>43206</v>
      </c>
      <c r="O3" s="18">
        <v>43213</v>
      </c>
      <c r="P3" s="18">
        <v>43220</v>
      </c>
      <c r="Q3" s="18">
        <v>43227</v>
      </c>
      <c r="R3" s="18">
        <v>43234</v>
      </c>
      <c r="S3" s="18">
        <v>43241</v>
      </c>
      <c r="T3" s="18">
        <v>43248</v>
      </c>
      <c r="U3" s="18">
        <v>43255</v>
      </c>
      <c r="V3" s="18">
        <v>43262</v>
      </c>
      <c r="W3" s="18">
        <v>43269</v>
      </c>
      <c r="X3" s="18">
        <v>43276</v>
      </c>
      <c r="Y3" s="18">
        <v>43283</v>
      </c>
      <c r="Z3" s="18">
        <v>43290</v>
      </c>
      <c r="AA3" s="18">
        <v>43297</v>
      </c>
      <c r="AB3" s="18">
        <v>43304</v>
      </c>
      <c r="AC3" s="18">
        <v>43311</v>
      </c>
      <c r="AD3" s="18">
        <v>43318</v>
      </c>
      <c r="AE3" s="18">
        <v>43325</v>
      </c>
      <c r="AF3" s="18">
        <v>43332</v>
      </c>
      <c r="AG3" s="18">
        <v>43339</v>
      </c>
      <c r="AH3" s="18">
        <v>43346</v>
      </c>
      <c r="AI3" s="18">
        <v>43353</v>
      </c>
      <c r="AJ3" s="18">
        <v>43360</v>
      </c>
      <c r="AK3" s="18">
        <v>43367</v>
      </c>
      <c r="AL3" s="18">
        <v>43374</v>
      </c>
      <c r="AM3" s="18">
        <v>43381</v>
      </c>
      <c r="AN3" s="18">
        <v>43388</v>
      </c>
      <c r="AO3" s="18">
        <v>43395</v>
      </c>
      <c r="AP3" s="18">
        <v>43402</v>
      </c>
      <c r="AQ3" s="18">
        <v>43409</v>
      </c>
      <c r="AR3" s="18">
        <v>43416</v>
      </c>
      <c r="AS3" s="18">
        <v>43423</v>
      </c>
      <c r="AT3" s="18">
        <v>43430</v>
      </c>
      <c r="AU3" s="18">
        <v>43437</v>
      </c>
      <c r="AV3" s="18">
        <v>43444</v>
      </c>
      <c r="AW3" s="18"/>
    </row>
    <row r="4" spans="2:67" ht="15.75" customHeight="1" x14ac:dyDescent="0.3">
      <c r="B4" s="146"/>
      <c r="C4" s="148"/>
      <c r="D4" s="148"/>
      <c r="E4" s="148"/>
      <c r="F4" s="148"/>
      <c r="G4" s="14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67" ht="30" customHeight="1" x14ac:dyDescent="0.3">
      <c r="B5" s="116" t="s">
        <v>440</v>
      </c>
      <c r="C5" s="7">
        <v>1</v>
      </c>
      <c r="D5" s="7">
        <v>2</v>
      </c>
      <c r="E5" s="7">
        <v>1</v>
      </c>
      <c r="F5" s="7">
        <v>0</v>
      </c>
      <c r="G5" s="8">
        <v>1</v>
      </c>
      <c r="W5" s="19"/>
      <c r="X5" s="19"/>
      <c r="Y5" s="19"/>
    </row>
    <row r="6" spans="2:67" ht="30" customHeight="1" x14ac:dyDescent="0.3">
      <c r="B6" s="116" t="s">
        <v>443</v>
      </c>
      <c r="C6" s="7">
        <v>1</v>
      </c>
      <c r="D6" s="7">
        <v>3</v>
      </c>
      <c r="E6" s="7">
        <v>1</v>
      </c>
      <c r="F6" s="7">
        <v>0</v>
      </c>
      <c r="G6" s="8">
        <v>0.9</v>
      </c>
      <c r="W6" s="19"/>
      <c r="X6" s="19"/>
      <c r="Y6" s="19"/>
    </row>
    <row r="7" spans="2:67" ht="30" customHeight="1" x14ac:dyDescent="0.3">
      <c r="B7" s="116" t="s">
        <v>442</v>
      </c>
      <c r="C7" s="7">
        <v>2</v>
      </c>
      <c r="D7" s="7">
        <v>3</v>
      </c>
      <c r="E7" s="7">
        <v>0</v>
      </c>
      <c r="F7" s="7">
        <v>0</v>
      </c>
      <c r="G7" s="8">
        <v>0.1</v>
      </c>
      <c r="W7" s="19"/>
      <c r="X7" s="19"/>
      <c r="Y7" s="19"/>
    </row>
    <row r="8" spans="2:67" ht="30" customHeight="1" x14ac:dyDescent="0.3">
      <c r="B8" s="116" t="s">
        <v>441</v>
      </c>
      <c r="C8" s="7">
        <v>4</v>
      </c>
      <c r="D8" s="7">
        <v>3</v>
      </c>
      <c r="E8" s="7">
        <v>0</v>
      </c>
      <c r="F8" s="7">
        <v>0</v>
      </c>
      <c r="G8" s="8"/>
      <c r="W8" s="19"/>
      <c r="X8" s="19"/>
      <c r="Y8" s="19"/>
    </row>
    <row r="9" spans="2:67" ht="30" customHeight="1" x14ac:dyDescent="0.3">
      <c r="B9" s="116" t="s">
        <v>444</v>
      </c>
      <c r="C9" s="7">
        <v>5</v>
      </c>
      <c r="D9" s="7">
        <v>3</v>
      </c>
      <c r="E9" s="7">
        <v>0</v>
      </c>
      <c r="F9" s="7">
        <v>0</v>
      </c>
      <c r="G9" s="8"/>
      <c r="W9" s="19"/>
      <c r="X9" s="19"/>
      <c r="Y9" s="19"/>
    </row>
    <row r="10" spans="2:67" ht="30" customHeight="1" x14ac:dyDescent="0.3">
      <c r="B10" s="116" t="s">
        <v>31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67" ht="30" customHeight="1" x14ac:dyDescent="0.3">
      <c r="B11" s="116" t="s">
        <v>445</v>
      </c>
      <c r="C11" s="7">
        <v>7</v>
      </c>
      <c r="D11" s="7">
        <v>5</v>
      </c>
      <c r="E11" s="7">
        <v>0</v>
      </c>
      <c r="F11" s="7">
        <v>0</v>
      </c>
      <c r="G11" s="8"/>
      <c r="W11" s="19"/>
      <c r="X11" s="19"/>
      <c r="Y11" s="19"/>
    </row>
    <row r="12" spans="2:67" ht="30" customHeight="1" x14ac:dyDescent="0.3">
      <c r="B12" s="116" t="s">
        <v>34</v>
      </c>
      <c r="C12" s="7">
        <v>7</v>
      </c>
      <c r="D12" s="7">
        <v>1</v>
      </c>
      <c r="E12" s="7">
        <v>0</v>
      </c>
      <c r="F12" s="7">
        <v>0</v>
      </c>
      <c r="G12" s="8"/>
      <c r="W12" s="19"/>
      <c r="X12" s="19"/>
      <c r="Y12" s="19"/>
    </row>
    <row r="13" spans="2:67" ht="30" customHeight="1" x14ac:dyDescent="0.3">
      <c r="B13" s="116" t="s">
        <v>29</v>
      </c>
      <c r="C13" s="7">
        <v>1</v>
      </c>
      <c r="D13" s="7">
        <v>12</v>
      </c>
      <c r="E13" s="7">
        <v>0</v>
      </c>
      <c r="F13" s="7">
        <v>0</v>
      </c>
      <c r="G13" s="8">
        <v>0.2</v>
      </c>
      <c r="W13" s="19"/>
      <c r="X13" s="19"/>
      <c r="Y13" s="19"/>
    </row>
    <row r="14" spans="2:67" ht="30" customHeight="1" x14ac:dyDescent="0.3">
      <c r="B14" s="116" t="s">
        <v>30</v>
      </c>
      <c r="C14" s="7">
        <v>9</v>
      </c>
      <c r="D14" s="7">
        <v>6</v>
      </c>
      <c r="E14" s="7">
        <v>0</v>
      </c>
      <c r="F14" s="7">
        <v>0</v>
      </c>
      <c r="G14" s="8"/>
      <c r="W14" s="19"/>
      <c r="X14" s="19"/>
      <c r="Y14" s="19"/>
    </row>
    <row r="15" spans="2:67" ht="30" customHeight="1" x14ac:dyDescent="0.3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67" ht="30" customHeight="1" x14ac:dyDescent="0.3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 x14ac:dyDescent="0.35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 x14ac:dyDescent="0.35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 x14ac:dyDescent="0.35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 x14ac:dyDescent="0.35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 x14ac:dyDescent="0.35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 x14ac:dyDescent="0.35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 x14ac:dyDescent="0.35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35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35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35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 x14ac:dyDescent="0.35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 x14ac:dyDescent="0.35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 x14ac:dyDescent="0.35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 x14ac:dyDescent="0.35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 x14ac:dyDescent="0.35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 x14ac:dyDescent="0.35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3:BO33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AW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3"/>
  <sheetViews>
    <sheetView zoomScaleNormal="100" workbookViewId="0">
      <selection activeCell="F143" sqref="F143"/>
    </sheetView>
  </sheetViews>
  <sheetFormatPr defaultColWidth="0" defaultRowHeight="14.4" customHeight="1" zeroHeight="1" x14ac:dyDescent="0.3"/>
  <cols>
    <col min="1" max="1" width="51.2187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 x14ac:dyDescent="0.3">
      <c r="A1" s="20" t="s">
        <v>36</v>
      </c>
      <c r="B1" s="21" t="s">
        <v>37</v>
      </c>
      <c r="C1" s="21" t="s">
        <v>38</v>
      </c>
      <c r="D1" s="21" t="s">
        <v>39</v>
      </c>
      <c r="E1" s="21" t="s">
        <v>40</v>
      </c>
      <c r="F1" s="20" t="s">
        <v>41</v>
      </c>
    </row>
    <row r="2" spans="1:6" hidden="1" x14ac:dyDescent="0.3">
      <c r="A2" s="28" t="s">
        <v>74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79</v>
      </c>
    </row>
    <row r="3" spans="1:6" hidden="1" x14ac:dyDescent="0.3">
      <c r="A3" s="25" t="s">
        <v>60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81</v>
      </c>
    </row>
    <row r="4" spans="1:6" hidden="1" x14ac:dyDescent="0.3">
      <c r="A4" s="20" t="s">
        <v>42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 x14ac:dyDescent="0.3">
      <c r="A5" s="20" t="s">
        <v>43</v>
      </c>
      <c r="B5" s="22">
        <v>42983</v>
      </c>
      <c r="C5" s="22">
        <v>42983</v>
      </c>
      <c r="D5" s="23">
        <v>1</v>
      </c>
      <c r="E5" s="22">
        <v>42992</v>
      </c>
      <c r="F5" s="20" t="s">
        <v>44</v>
      </c>
    </row>
    <row r="6" spans="1:6" hidden="1" x14ac:dyDescent="0.3">
      <c r="A6" s="20" t="s">
        <v>45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 x14ac:dyDescent="0.3">
      <c r="A7" s="20" t="s">
        <v>47</v>
      </c>
      <c r="B7" s="22">
        <v>42983</v>
      </c>
      <c r="C7" s="22">
        <v>42984</v>
      </c>
      <c r="D7" s="23">
        <v>1</v>
      </c>
      <c r="E7" s="22">
        <v>42986</v>
      </c>
      <c r="F7" s="24" t="s">
        <v>59</v>
      </c>
    </row>
    <row r="8" spans="1:6" hidden="1" x14ac:dyDescent="0.3">
      <c r="A8" s="20" t="s">
        <v>46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 x14ac:dyDescent="0.3">
      <c r="A9" s="20" t="s">
        <v>50</v>
      </c>
      <c r="B9" s="22">
        <v>42983</v>
      </c>
      <c r="C9" s="22">
        <v>42990</v>
      </c>
      <c r="D9" s="23">
        <v>1</v>
      </c>
      <c r="E9" s="22">
        <v>42991</v>
      </c>
      <c r="F9" s="26" t="s">
        <v>66</v>
      </c>
    </row>
    <row r="10" spans="1:6" hidden="1" x14ac:dyDescent="0.3">
      <c r="A10" s="29" t="s">
        <v>75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77</v>
      </c>
    </row>
    <row r="11" spans="1:6" hidden="1" x14ac:dyDescent="0.3">
      <c r="A11" s="20" t="s">
        <v>54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64</v>
      </c>
    </row>
    <row r="12" spans="1:6" hidden="1" x14ac:dyDescent="0.3">
      <c r="A12" s="20" t="s">
        <v>51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52</v>
      </c>
    </row>
    <row r="13" spans="1:6" hidden="1" x14ac:dyDescent="0.3">
      <c r="A13" s="26" t="s">
        <v>67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68</v>
      </c>
    </row>
    <row r="14" spans="1:6" hidden="1" x14ac:dyDescent="0.3">
      <c r="A14" s="30" t="s">
        <v>76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 x14ac:dyDescent="0.3">
      <c r="A15" s="20" t="s">
        <v>48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70</v>
      </c>
    </row>
    <row r="16" spans="1:6" hidden="1" x14ac:dyDescent="0.3">
      <c r="A16" s="20" t="s">
        <v>49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73</v>
      </c>
    </row>
    <row r="17" spans="1:6" hidden="1" x14ac:dyDescent="0.3">
      <c r="A17" s="32" t="s">
        <v>78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 x14ac:dyDescent="0.3">
      <c r="A18" s="32" t="s">
        <v>83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 x14ac:dyDescent="0.3">
      <c r="A19" s="32" t="s">
        <v>84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85</v>
      </c>
    </row>
    <row r="20" spans="1:6" hidden="1" x14ac:dyDescent="0.3">
      <c r="A20" s="34" t="s">
        <v>89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 x14ac:dyDescent="0.3">
      <c r="A21" s="34" t="s">
        <v>88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 x14ac:dyDescent="0.3">
      <c r="A22" s="33" t="s">
        <v>86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87</v>
      </c>
    </row>
    <row r="23" spans="1:6" hidden="1" x14ac:dyDescent="0.3">
      <c r="A23" s="35" t="s">
        <v>92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93</v>
      </c>
    </row>
    <row r="24" spans="1:6" hidden="1" x14ac:dyDescent="0.3">
      <c r="A24" s="37" t="s">
        <v>94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95</v>
      </c>
    </row>
    <row r="25" spans="1:6" hidden="1" x14ac:dyDescent="0.3">
      <c r="A25" s="35" t="s">
        <v>91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 x14ac:dyDescent="0.3">
      <c r="A26" s="34" t="s">
        <v>90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 x14ac:dyDescent="0.3">
      <c r="A27" s="44" t="s">
        <v>116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 x14ac:dyDescent="0.3">
      <c r="A28" s="38" t="s">
        <v>96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 x14ac:dyDescent="0.3">
      <c r="A29" s="27" t="s">
        <v>69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idden="1" x14ac:dyDescent="0.3">
      <c r="A30" s="94" t="s">
        <v>196</v>
      </c>
      <c r="B30" s="22">
        <v>43140</v>
      </c>
      <c r="C30" s="80">
        <v>43159</v>
      </c>
      <c r="D30" s="23">
        <v>0.5</v>
      </c>
      <c r="E30" s="22">
        <v>43228</v>
      </c>
      <c r="F30" s="88"/>
    </row>
    <row r="31" spans="1:6" hidden="1" x14ac:dyDescent="0.3">
      <c r="A31" s="25" t="s">
        <v>61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62</v>
      </c>
    </row>
    <row r="32" spans="1:6" hidden="1" x14ac:dyDescent="0.3">
      <c r="A32" s="28" t="s">
        <v>71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72</v>
      </c>
    </row>
    <row r="33" spans="1:6" hidden="1" x14ac:dyDescent="0.3">
      <c r="A33" s="68" t="s">
        <v>147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146</v>
      </c>
    </row>
    <row r="34" spans="1:6" hidden="1" x14ac:dyDescent="0.3">
      <c r="A34" s="68" t="s">
        <v>145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 x14ac:dyDescent="0.3">
      <c r="A35" s="67" t="s">
        <v>144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 x14ac:dyDescent="0.3">
      <c r="A36" s="48" t="s">
        <v>123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 x14ac:dyDescent="0.3">
      <c r="A37" s="53" t="s">
        <v>132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 x14ac:dyDescent="0.3">
      <c r="A38" s="39" t="s">
        <v>97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122</v>
      </c>
    </row>
    <row r="39" spans="1:6" hidden="1" x14ac:dyDescent="0.3">
      <c r="A39" s="65" t="s">
        <v>137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 x14ac:dyDescent="0.3">
      <c r="A40" s="45" t="s">
        <v>117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 x14ac:dyDescent="0.3">
      <c r="A41" s="66" t="s">
        <v>139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 x14ac:dyDescent="0.3">
      <c r="A42" s="46" t="s">
        <v>118</v>
      </c>
      <c r="B42" s="22">
        <f ca="1">TODAY()</f>
        <v>43242</v>
      </c>
      <c r="C42" s="22">
        <v>43118</v>
      </c>
      <c r="D42" s="23">
        <v>1</v>
      </c>
      <c r="E42" s="22">
        <v>43118</v>
      </c>
      <c r="F42" s="32"/>
    </row>
    <row r="43" spans="1:6" hidden="1" x14ac:dyDescent="0.3">
      <c r="A43" s="65" t="s">
        <v>140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141</v>
      </c>
    </row>
    <row r="44" spans="1:6" hidden="1" x14ac:dyDescent="0.3">
      <c r="A44" s="47" t="s">
        <v>120</v>
      </c>
      <c r="B44" s="22">
        <f ca="1">TODAY()</f>
        <v>43242</v>
      </c>
      <c r="C44" s="22">
        <v>43118</v>
      </c>
      <c r="D44" s="23">
        <v>1</v>
      </c>
      <c r="E44" s="22">
        <v>43118</v>
      </c>
      <c r="F44" s="32"/>
    </row>
    <row r="45" spans="1:6" hidden="1" x14ac:dyDescent="0.3">
      <c r="A45" s="47" t="s">
        <v>121</v>
      </c>
      <c r="B45" s="22">
        <f ca="1">TODAY()</f>
        <v>43242</v>
      </c>
      <c r="C45" s="22">
        <v>43118</v>
      </c>
      <c r="D45" s="23">
        <v>1</v>
      </c>
      <c r="E45" s="22">
        <v>43118</v>
      </c>
      <c r="F45" s="32"/>
    </row>
    <row r="46" spans="1:6" hidden="1" x14ac:dyDescent="0.3">
      <c r="A46" s="67" t="s">
        <v>142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 x14ac:dyDescent="0.3">
      <c r="A47" s="48" t="s">
        <v>124</v>
      </c>
      <c r="B47" s="22">
        <f ca="1">TODAY()</f>
        <v>43242</v>
      </c>
      <c r="C47" s="22"/>
      <c r="D47" s="23">
        <v>1</v>
      </c>
      <c r="E47" s="22">
        <v>43118</v>
      </c>
      <c r="F47" s="32"/>
    </row>
    <row r="48" spans="1:6" hidden="1" x14ac:dyDescent="0.3">
      <c r="A48" s="48" t="s">
        <v>125</v>
      </c>
      <c r="B48" s="22"/>
      <c r="C48" s="22"/>
      <c r="D48" s="23">
        <v>1</v>
      </c>
      <c r="E48" s="22">
        <v>43118</v>
      </c>
      <c r="F48" s="32"/>
    </row>
    <row r="49" spans="1:6" hidden="1" x14ac:dyDescent="0.3">
      <c r="A49" s="49" t="s">
        <v>126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 x14ac:dyDescent="0.3">
      <c r="A50" s="50" t="s">
        <v>127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 x14ac:dyDescent="0.3">
      <c r="A51" s="51" t="s">
        <v>128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 x14ac:dyDescent="0.3">
      <c r="A52" s="51" t="s">
        <v>129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 x14ac:dyDescent="0.3">
      <c r="A53" s="52" t="s">
        <v>130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 x14ac:dyDescent="0.3">
      <c r="A54" s="52" t="s">
        <v>131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 x14ac:dyDescent="0.3">
      <c r="A55" s="47" t="s">
        <v>119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134</v>
      </c>
    </row>
    <row r="56" spans="1:6" hidden="1" x14ac:dyDescent="0.3">
      <c r="A56" s="53" t="s">
        <v>133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 x14ac:dyDescent="0.3">
      <c r="A57" s="63" t="s">
        <v>135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 x14ac:dyDescent="0.3">
      <c r="A58" s="64" t="s">
        <v>136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 x14ac:dyDescent="0.3">
      <c r="A59" s="68" t="s">
        <v>153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 x14ac:dyDescent="0.3">
      <c r="A60" s="20" t="s">
        <v>53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63</v>
      </c>
    </row>
    <row r="61" spans="1:6" hidden="1" x14ac:dyDescent="0.3">
      <c r="A61" s="68" t="s">
        <v>149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80</v>
      </c>
    </row>
    <row r="62" spans="1:6" hidden="1" x14ac:dyDescent="0.3">
      <c r="A62" s="68" t="s">
        <v>150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 x14ac:dyDescent="0.3">
      <c r="A63" s="67" t="s">
        <v>143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 x14ac:dyDescent="0.3">
      <c r="A64" s="20" t="s">
        <v>58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65</v>
      </c>
    </row>
    <row r="65" spans="1:6" hidden="1" x14ac:dyDescent="0.3">
      <c r="A65" s="68" t="s">
        <v>152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 x14ac:dyDescent="0.3">
      <c r="A66" s="20" t="s">
        <v>55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82</v>
      </c>
    </row>
    <row r="67" spans="1:6" hidden="1" x14ac:dyDescent="0.3">
      <c r="A67" s="68" t="s">
        <v>151</v>
      </c>
      <c r="B67" s="22">
        <v>43124</v>
      </c>
      <c r="C67" s="22">
        <v>43156</v>
      </c>
      <c r="D67" s="23">
        <v>0.5</v>
      </c>
      <c r="E67" s="22">
        <v>43228</v>
      </c>
      <c r="F67" s="59"/>
    </row>
    <row r="68" spans="1:6" hidden="1" x14ac:dyDescent="0.3">
      <c r="A68" s="71" t="s">
        <v>154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155</v>
      </c>
    </row>
    <row r="69" spans="1:6" hidden="1" x14ac:dyDescent="0.3">
      <c r="A69" s="39" t="s">
        <v>98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148</v>
      </c>
    </row>
    <row r="70" spans="1:6" hidden="1" x14ac:dyDescent="0.3">
      <c r="A70" s="65" t="s">
        <v>138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 x14ac:dyDescent="0.3">
      <c r="A71" s="20" t="s">
        <v>56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57</v>
      </c>
    </row>
    <row r="72" spans="1:6" hidden="1" x14ac:dyDescent="0.3">
      <c r="A72" s="71" t="s">
        <v>156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 x14ac:dyDescent="0.3">
      <c r="A73" s="73" t="s">
        <v>157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158</v>
      </c>
    </row>
    <row r="74" spans="1:6" hidden="1" x14ac:dyDescent="0.3">
      <c r="A74" s="75" t="s">
        <v>159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 x14ac:dyDescent="0.3">
      <c r="A75" s="75" t="s">
        <v>160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 x14ac:dyDescent="0.3">
      <c r="A76" s="75" t="s">
        <v>161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 x14ac:dyDescent="0.3">
      <c r="A77" s="76" t="s">
        <v>90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 x14ac:dyDescent="0.3">
      <c r="A78" s="76" t="s">
        <v>162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 x14ac:dyDescent="0.3">
      <c r="A79" s="76" t="s">
        <v>163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 x14ac:dyDescent="0.3">
      <c r="A80" s="77" t="s">
        <v>164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 x14ac:dyDescent="0.3">
      <c r="A81" s="77" t="s">
        <v>165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 x14ac:dyDescent="0.3">
      <c r="A82" s="78" t="s">
        <v>166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170</v>
      </c>
    </row>
    <row r="83" spans="1:6" hidden="1" x14ac:dyDescent="0.3">
      <c r="A83" s="79" t="s">
        <v>167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 x14ac:dyDescent="0.3">
      <c r="A84" s="79" t="s">
        <v>168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 x14ac:dyDescent="0.3">
      <c r="A85" s="79" t="s">
        <v>169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187</v>
      </c>
    </row>
    <row r="86" spans="1:6" hidden="1" x14ac:dyDescent="0.3">
      <c r="A86" s="82" t="s">
        <v>171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172</v>
      </c>
    </row>
    <row r="87" spans="1:6" hidden="1" x14ac:dyDescent="0.3">
      <c r="A87" s="82" t="s">
        <v>173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 x14ac:dyDescent="0.3">
      <c r="A88" s="84" t="s">
        <v>174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 x14ac:dyDescent="0.3">
      <c r="A89" s="84" t="s">
        <v>175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 x14ac:dyDescent="0.3">
      <c r="A90" s="84" t="s">
        <v>176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185</v>
      </c>
    </row>
    <row r="91" spans="1:6" hidden="1" x14ac:dyDescent="0.3">
      <c r="A91" s="84" t="s">
        <v>177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186</v>
      </c>
    </row>
    <row r="92" spans="1:6" hidden="1" x14ac:dyDescent="0.3">
      <c r="A92" s="85" t="s">
        <v>178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179</v>
      </c>
    </row>
    <row r="93" spans="1:6" hidden="1" x14ac:dyDescent="0.3">
      <c r="A93" s="85" t="s">
        <v>180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 x14ac:dyDescent="0.3">
      <c r="A94" s="87" t="s">
        <v>181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188</v>
      </c>
    </row>
    <row r="95" spans="1:6" hidden="1" x14ac:dyDescent="0.3">
      <c r="A95" s="87" t="s">
        <v>182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 x14ac:dyDescent="0.3">
      <c r="A96" s="87" t="s">
        <v>183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184</v>
      </c>
    </row>
    <row r="97" spans="1:6" hidden="1" x14ac:dyDescent="0.3">
      <c r="A97" s="89" t="s">
        <v>189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 x14ac:dyDescent="0.3">
      <c r="A98" s="89" t="s">
        <v>190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 x14ac:dyDescent="0.3">
      <c r="A99" s="91" t="s">
        <v>192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 x14ac:dyDescent="0.3">
      <c r="A100" s="91" t="s">
        <v>191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 x14ac:dyDescent="0.3">
      <c r="A101" s="92" t="s">
        <v>193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194</v>
      </c>
    </row>
    <row r="102" spans="1:6" hidden="1" x14ac:dyDescent="0.3">
      <c r="A102" s="92" t="s">
        <v>195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197</v>
      </c>
    </row>
    <row r="103" spans="1:6" x14ac:dyDescent="0.3">
      <c r="A103" s="117" t="s">
        <v>446</v>
      </c>
      <c r="B103" s="22">
        <v>43140</v>
      </c>
      <c r="C103" s="80">
        <v>43145</v>
      </c>
      <c r="D103" s="23">
        <v>0.25</v>
      </c>
      <c r="E103" s="22">
        <v>43242</v>
      </c>
      <c r="F103" s="88"/>
    </row>
    <row r="104" spans="1:6" hidden="1" x14ac:dyDescent="0.3">
      <c r="A104" s="101" t="s">
        <v>315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115</v>
      </c>
    </row>
    <row r="105" spans="1:6" hidden="1" x14ac:dyDescent="0.3">
      <c r="A105" s="96" t="s">
        <v>198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 hidden="1" x14ac:dyDescent="0.3">
      <c r="A106" s="101" t="s">
        <v>316</v>
      </c>
      <c r="B106" s="22">
        <v>43144</v>
      </c>
      <c r="C106" s="80">
        <v>43145</v>
      </c>
      <c r="D106" s="23">
        <v>0.5</v>
      </c>
      <c r="E106" s="22">
        <v>43228</v>
      </c>
      <c r="F106" s="95"/>
    </row>
    <row r="107" spans="1:6" hidden="1" x14ac:dyDescent="0.3">
      <c r="A107" s="96" t="s">
        <v>250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301</v>
      </c>
    </row>
    <row r="108" spans="1:6" hidden="1" x14ac:dyDescent="0.3">
      <c r="A108" s="96" t="s">
        <v>310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 x14ac:dyDescent="0.3">
      <c r="A109" s="101" t="s">
        <v>314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 x14ac:dyDescent="0.3">
      <c r="A110" s="101" t="s">
        <v>317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 x14ac:dyDescent="0.3">
      <c r="A111" s="101" t="s">
        <v>369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idden="1" x14ac:dyDescent="0.3">
      <c r="A112" s="112" t="s">
        <v>423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506</v>
      </c>
    </row>
    <row r="113" spans="1:6" hidden="1" x14ac:dyDescent="0.3">
      <c r="A113" s="117" t="s">
        <v>447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x14ac:dyDescent="0.3">
      <c r="A114" s="113" t="s">
        <v>438</v>
      </c>
      <c r="B114" s="22">
        <v>43160</v>
      </c>
      <c r="C114" s="114">
        <v>43160</v>
      </c>
      <c r="D114" s="23">
        <v>0.75</v>
      </c>
      <c r="E114" s="22">
        <v>43242</v>
      </c>
      <c r="F114" s="115" t="s">
        <v>439</v>
      </c>
    </row>
    <row r="115" spans="1:6" hidden="1" x14ac:dyDescent="0.3">
      <c r="A115" s="117" t="s">
        <v>448</v>
      </c>
      <c r="B115" s="22">
        <v>43169</v>
      </c>
      <c r="C115" s="80">
        <v>43171</v>
      </c>
      <c r="D115" s="23">
        <v>1.5</v>
      </c>
      <c r="E115" s="22">
        <v>43174</v>
      </c>
      <c r="F115" s="95"/>
    </row>
    <row r="116" spans="1:6" hidden="1" x14ac:dyDescent="0.3">
      <c r="A116" s="117" t="s">
        <v>449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idden="1" x14ac:dyDescent="0.3">
      <c r="A117" s="118" t="s">
        <v>450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idden="1" x14ac:dyDescent="0.3">
      <c r="A118" s="119" t="s">
        <v>451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idden="1" x14ac:dyDescent="0.3">
      <c r="A119" s="120" t="s">
        <v>452</v>
      </c>
      <c r="B119" s="22">
        <v>43215</v>
      </c>
      <c r="C119" s="80">
        <v>43215</v>
      </c>
      <c r="D119" s="23">
        <v>0.5</v>
      </c>
      <c r="E119" s="22">
        <v>43228</v>
      </c>
      <c r="F119" s="95"/>
    </row>
    <row r="120" spans="1:6" hidden="1" x14ac:dyDescent="0.3">
      <c r="A120" s="120" t="s">
        <v>453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x14ac:dyDescent="0.3">
      <c r="A121" s="121" t="s">
        <v>454</v>
      </c>
      <c r="B121" s="22">
        <v>43221</v>
      </c>
      <c r="C121" s="80">
        <v>43223</v>
      </c>
      <c r="D121" s="23">
        <v>0</v>
      </c>
      <c r="E121" s="22">
        <v>43242</v>
      </c>
      <c r="F121" s="95"/>
    </row>
    <row r="122" spans="1:6" hidden="1" x14ac:dyDescent="0.3">
      <c r="A122" s="122" t="s">
        <v>455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478</v>
      </c>
    </row>
    <row r="123" spans="1:6" hidden="1" x14ac:dyDescent="0.3">
      <c r="A123" s="123" t="s">
        <v>456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idden="1" x14ac:dyDescent="0.3">
      <c r="A124" s="123" t="s">
        <v>457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idden="1" x14ac:dyDescent="0.3">
      <c r="A125" s="126" t="s">
        <v>549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idden="1" x14ac:dyDescent="0.3">
      <c r="A126" s="126" t="s">
        <v>550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idden="1" x14ac:dyDescent="0.3">
      <c r="A127" s="126" t="s">
        <v>551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idden="1" x14ac:dyDescent="0.3">
      <c r="A128" s="128" t="s">
        <v>552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idden="1" x14ac:dyDescent="0.3">
      <c r="A129" s="129" t="s">
        <v>555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idden="1" x14ac:dyDescent="0.3">
      <c r="A130" s="129" t="s">
        <v>556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idden="1" x14ac:dyDescent="0.3">
      <c r="A131" s="130" t="s">
        <v>573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x14ac:dyDescent="0.3">
      <c r="A132" s="131" t="s">
        <v>575</v>
      </c>
      <c r="B132" s="22">
        <v>43228</v>
      </c>
      <c r="C132" s="80">
        <v>43230</v>
      </c>
      <c r="D132" s="23">
        <v>0</v>
      </c>
      <c r="E132" s="22">
        <v>43242</v>
      </c>
      <c r="F132" s="59"/>
    </row>
    <row r="133" spans="1:6" hidden="1" x14ac:dyDescent="0.3">
      <c r="A133" s="132" t="s">
        <v>604</v>
      </c>
      <c r="B133" s="22">
        <v>43229</v>
      </c>
      <c r="C133" s="80">
        <v>43231</v>
      </c>
      <c r="D133" s="23">
        <v>0.5</v>
      </c>
      <c r="E133" s="22">
        <v>43231</v>
      </c>
      <c r="F133" s="59"/>
    </row>
    <row r="134" spans="1:6" hidden="1" x14ac:dyDescent="0.3">
      <c r="A134" s="135" t="s">
        <v>758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idden="1" x14ac:dyDescent="0.3">
      <c r="A135" s="136" t="s">
        <v>901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idden="1" x14ac:dyDescent="0.3">
      <c r="A136" s="136" t="s">
        <v>902</v>
      </c>
      <c r="B136" s="22">
        <v>43236</v>
      </c>
      <c r="C136" s="80">
        <v>43238</v>
      </c>
      <c r="D136" s="23">
        <v>0.5</v>
      </c>
      <c r="E136" s="22">
        <v>43242</v>
      </c>
      <c r="F136" s="59"/>
    </row>
    <row r="137" spans="1:6" hidden="1" x14ac:dyDescent="0.3">
      <c r="A137" s="137" t="s">
        <v>904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idden="1" x14ac:dyDescent="0.3">
      <c r="A138" s="138" t="s">
        <v>905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idden="1" x14ac:dyDescent="0.3">
      <c r="A139" s="138" t="s">
        <v>1047</v>
      </c>
      <c r="B139" s="22">
        <f ca="1">IF(COUNTA($A139)=1,TODAY(),"")</f>
        <v>43242</v>
      </c>
      <c r="C139" s="80">
        <v>43242</v>
      </c>
      <c r="D139" s="23">
        <v>0.5</v>
      </c>
      <c r="E139" s="22">
        <v>43242</v>
      </c>
      <c r="F139" s="59"/>
    </row>
    <row r="140" spans="1:6" x14ac:dyDescent="0.3">
      <c r="A140" s="139" t="s">
        <v>1048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x14ac:dyDescent="0.3">
      <c r="A141" s="140" t="s">
        <v>1190</v>
      </c>
      <c r="B141" s="22">
        <v>43241</v>
      </c>
      <c r="C141" s="80">
        <v>43241</v>
      </c>
      <c r="D141" s="23">
        <v>1</v>
      </c>
      <c r="E141" s="22">
        <v>43242</v>
      </c>
      <c r="F141" s="141" t="s">
        <v>1192</v>
      </c>
    </row>
    <row r="142" spans="1:6" x14ac:dyDescent="0.3">
      <c r="A142" s="140" t="s">
        <v>1191</v>
      </c>
      <c r="B142" s="22">
        <v>43241</v>
      </c>
      <c r="C142" s="80">
        <v>43242</v>
      </c>
      <c r="D142" s="23">
        <v>0</v>
      </c>
      <c r="E142" s="22">
        <v>43249</v>
      </c>
      <c r="F142" s="59"/>
    </row>
    <row r="143" spans="1:6" x14ac:dyDescent="0.3">
      <c r="A143" s="159" t="s">
        <v>1198</v>
      </c>
      <c r="B143" s="22">
        <v>43242</v>
      </c>
      <c r="C143" s="80">
        <v>43242</v>
      </c>
      <c r="D143" s="23">
        <v>0</v>
      </c>
      <c r="E143" s="22">
        <v>43249</v>
      </c>
      <c r="F143" s="59"/>
    </row>
    <row r="144" spans="1:6" x14ac:dyDescent="0.3">
      <c r="A144" s="123"/>
      <c r="B144" s="22"/>
      <c r="C144" s="80"/>
      <c r="D144" s="23"/>
      <c r="E144" s="22"/>
      <c r="F144" s="59"/>
    </row>
    <row r="145" spans="1:6" x14ac:dyDescent="0.3">
      <c r="A145" s="123"/>
      <c r="B145" s="22"/>
      <c r="C145" s="80"/>
      <c r="D145" s="23"/>
      <c r="E145" s="22"/>
      <c r="F145" s="59"/>
    </row>
    <row r="146" spans="1:6" x14ac:dyDescent="0.3">
      <c r="A146" s="123"/>
      <c r="B146" s="22"/>
      <c r="C146" s="80"/>
      <c r="D146" s="23"/>
      <c r="E146" s="22"/>
      <c r="F146" s="59"/>
    </row>
    <row r="147" spans="1:6" x14ac:dyDescent="0.3">
      <c r="A147" s="123"/>
      <c r="B147" s="22"/>
      <c r="C147" s="80"/>
      <c r="D147" s="23"/>
      <c r="E147" s="22"/>
      <c r="F147" s="59"/>
    </row>
    <row r="148" spans="1:6" x14ac:dyDescent="0.3">
      <c r="A148" s="123"/>
      <c r="B148" s="22"/>
      <c r="C148" s="80"/>
      <c r="D148" s="23"/>
      <c r="E148" s="22"/>
      <c r="F148" s="59"/>
    </row>
    <row r="149" spans="1:6" x14ac:dyDescent="0.3">
      <c r="B149" s="22"/>
      <c r="C149" s="22"/>
      <c r="D149" s="23"/>
      <c r="E149" s="22"/>
      <c r="F149" s="57"/>
    </row>
    <row r="150" spans="1:6" hidden="1" x14ac:dyDescent="0.3"/>
    <row r="151" spans="1:6" ht="14.4" hidden="1" customHeight="1" x14ac:dyDescent="0.3"/>
    <row r="152" spans="1:6" ht="14.4" hidden="1" customHeight="1" x14ac:dyDescent="0.3"/>
    <row r="153" spans="1:6" ht="14.4" hidden="1" customHeight="1" x14ac:dyDescent="0.3"/>
  </sheetData>
  <conditionalFormatting sqref="D2:D149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771"/>
  <sheetViews>
    <sheetView tabSelected="1" topLeftCell="A652" zoomScale="85" zoomScaleNormal="85" workbookViewId="0">
      <selection activeCell="P670" sqref="P670"/>
    </sheetView>
  </sheetViews>
  <sheetFormatPr defaultColWidth="0" defaultRowHeight="14.4" x14ac:dyDescent="0.3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/>
    <col min="21" max="22" width="11.109375" style="41" hidden="1"/>
    <col min="23" max="16384" width="8.88671875" hidden="1"/>
  </cols>
  <sheetData>
    <row r="1" spans="1:22" ht="92.4" x14ac:dyDescent="0.3">
      <c r="A1" s="40" t="s">
        <v>572</v>
      </c>
      <c r="B1" s="40" t="s">
        <v>318</v>
      </c>
      <c r="C1" s="40" t="s">
        <v>112</v>
      </c>
      <c r="D1" s="40" t="s">
        <v>99</v>
      </c>
      <c r="E1" s="40" t="s">
        <v>319</v>
      </c>
      <c r="F1" s="40" t="s">
        <v>320</v>
      </c>
      <c r="G1" s="40" t="s">
        <v>100</v>
      </c>
      <c r="H1" s="40" t="s">
        <v>101</v>
      </c>
      <c r="I1" s="40" t="s">
        <v>103</v>
      </c>
      <c r="J1" s="40" t="s">
        <v>322</v>
      </c>
      <c r="K1" s="40" t="s">
        <v>323</v>
      </c>
      <c r="L1" s="40" t="s">
        <v>324</v>
      </c>
      <c r="M1" s="40" t="s">
        <v>325</v>
      </c>
      <c r="N1" s="40" t="s">
        <v>326</v>
      </c>
      <c r="O1" s="42" t="s">
        <v>406</v>
      </c>
      <c r="P1" s="42" t="s">
        <v>405</v>
      </c>
      <c r="Q1" s="42" t="s">
        <v>404</v>
      </c>
      <c r="R1" s="42" t="s">
        <v>102</v>
      </c>
      <c r="S1" s="42" t="s">
        <v>422</v>
      </c>
      <c r="T1"/>
      <c r="U1"/>
      <c r="V1"/>
    </row>
    <row r="2" spans="1:22" x14ac:dyDescent="0.3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104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407</v>
      </c>
      <c r="P2" s="109">
        <v>186999</v>
      </c>
      <c r="Q2" s="107">
        <v>43145</v>
      </c>
      <c r="R2" s="111"/>
      <c r="S2" s="110" t="s">
        <v>421</v>
      </c>
      <c r="T2"/>
      <c r="U2"/>
      <c r="V2"/>
    </row>
    <row r="3" spans="1:22" x14ac:dyDescent="0.3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104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408</v>
      </c>
      <c r="P3" s="109">
        <v>187000</v>
      </c>
      <c r="Q3" s="107">
        <v>43145</v>
      </c>
      <c r="R3" s="111"/>
      <c r="S3" s="110" t="s">
        <v>421</v>
      </c>
      <c r="T3"/>
      <c r="U3"/>
      <c r="V3"/>
    </row>
    <row r="4" spans="1:22" x14ac:dyDescent="0.3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104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409</v>
      </c>
      <c r="P4" s="109">
        <v>187010</v>
      </c>
      <c r="Q4" s="107">
        <v>43145</v>
      </c>
      <c r="R4" s="111">
        <v>8.0173611111111112E-2</v>
      </c>
      <c r="S4" s="110" t="s">
        <v>421</v>
      </c>
      <c r="T4"/>
      <c r="U4"/>
      <c r="V4"/>
    </row>
    <row r="5" spans="1:22" x14ac:dyDescent="0.3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104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410</v>
      </c>
      <c r="P5" s="109">
        <v>187008</v>
      </c>
      <c r="Q5" s="107">
        <v>43145</v>
      </c>
      <c r="R5" s="111">
        <v>9.3761574074074081E-2</v>
      </c>
      <c r="S5" s="110" t="s">
        <v>421</v>
      </c>
      <c r="T5"/>
      <c r="U5"/>
      <c r="V5"/>
    </row>
    <row r="6" spans="1:22" x14ac:dyDescent="0.3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104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411</v>
      </c>
      <c r="P6" s="109">
        <v>187011</v>
      </c>
      <c r="Q6" s="107">
        <v>43145</v>
      </c>
      <c r="R6" s="111">
        <v>7.9756944444444436E-2</v>
      </c>
      <c r="S6" s="110" t="s">
        <v>421</v>
      </c>
      <c r="T6"/>
      <c r="U6"/>
      <c r="V6"/>
    </row>
    <row r="7" spans="1:22" x14ac:dyDescent="0.3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104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412</v>
      </c>
      <c r="P7" s="109">
        <v>187012</v>
      </c>
      <c r="Q7" s="107">
        <v>43145</v>
      </c>
      <c r="R7" s="111">
        <v>6.6076388888888893E-2</v>
      </c>
      <c r="S7" s="110" t="s">
        <v>421</v>
      </c>
      <c r="T7"/>
      <c r="U7"/>
      <c r="V7"/>
    </row>
    <row r="8" spans="1:22" x14ac:dyDescent="0.3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104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413</v>
      </c>
      <c r="P8" s="109">
        <v>187053</v>
      </c>
      <c r="Q8" s="107">
        <v>43145</v>
      </c>
      <c r="R8" s="111">
        <v>5.7604166666666672E-2</v>
      </c>
      <c r="S8" s="110" t="s">
        <v>421</v>
      </c>
      <c r="T8"/>
      <c r="U8"/>
      <c r="V8"/>
    </row>
    <row r="9" spans="1:22" x14ac:dyDescent="0.3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104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414</v>
      </c>
      <c r="P9" s="109">
        <v>187042</v>
      </c>
      <c r="Q9" s="107">
        <v>43158</v>
      </c>
      <c r="R9" s="111">
        <v>3.2245370370370369E-2</v>
      </c>
      <c r="S9" s="110" t="s">
        <v>425</v>
      </c>
      <c r="T9"/>
      <c r="U9"/>
      <c r="V9"/>
    </row>
    <row r="10" spans="1:22" x14ac:dyDescent="0.3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104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415</v>
      </c>
      <c r="P10" s="109">
        <v>187835</v>
      </c>
      <c r="Q10" s="107">
        <v>43159</v>
      </c>
      <c r="R10" s="111">
        <v>0.24395833333333336</v>
      </c>
      <c r="S10" s="110" t="s">
        <v>425</v>
      </c>
      <c r="T10"/>
      <c r="U10"/>
      <c r="V10"/>
    </row>
    <row r="11" spans="1:22" x14ac:dyDescent="0.3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104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416</v>
      </c>
      <c r="P11" s="109">
        <v>187835</v>
      </c>
      <c r="Q11" s="107">
        <v>43159</v>
      </c>
      <c r="R11" s="111"/>
      <c r="S11" s="110" t="s">
        <v>426</v>
      </c>
      <c r="T11"/>
      <c r="U11"/>
      <c r="V11"/>
    </row>
    <row r="12" spans="1:22" x14ac:dyDescent="0.3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104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417</v>
      </c>
      <c r="P12" s="109">
        <v>187835</v>
      </c>
      <c r="Q12" s="107">
        <v>43159</v>
      </c>
      <c r="R12" s="111"/>
      <c r="S12" s="110" t="s">
        <v>427</v>
      </c>
      <c r="T12"/>
      <c r="U12"/>
      <c r="V12"/>
    </row>
    <row r="13" spans="1:22" x14ac:dyDescent="0.3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104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418</v>
      </c>
      <c r="P13" s="109">
        <v>187836</v>
      </c>
      <c r="Q13" s="107">
        <v>43159</v>
      </c>
      <c r="R13" s="111">
        <v>0.23957175925925925</v>
      </c>
      <c r="S13" s="110" t="s">
        <v>428</v>
      </c>
      <c r="T13"/>
      <c r="U13"/>
      <c r="V13"/>
    </row>
    <row r="14" spans="1:22" x14ac:dyDescent="0.3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104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419</v>
      </c>
      <c r="P14" s="109">
        <v>187858</v>
      </c>
      <c r="Q14" s="107">
        <v>43159</v>
      </c>
      <c r="R14" s="111">
        <v>3.7581018518518521E-2</v>
      </c>
      <c r="S14" s="110" t="s">
        <v>429</v>
      </c>
      <c r="T14"/>
      <c r="U14"/>
      <c r="V14"/>
    </row>
    <row r="15" spans="1:22" x14ac:dyDescent="0.3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104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420</v>
      </c>
      <c r="P15" s="109">
        <v>187836</v>
      </c>
      <c r="Q15" s="107">
        <v>43159</v>
      </c>
      <c r="R15" s="111"/>
      <c r="S15" s="110" t="s">
        <v>430</v>
      </c>
      <c r="T15"/>
      <c r="U15"/>
      <c r="V15"/>
    </row>
    <row r="16" spans="1:22" x14ac:dyDescent="0.3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104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431</v>
      </c>
      <c r="P16" s="109">
        <v>190575</v>
      </c>
      <c r="Q16" s="107">
        <v>43221</v>
      </c>
      <c r="R16" s="111"/>
      <c r="S16" s="110" t="s">
        <v>458</v>
      </c>
      <c r="T16"/>
      <c r="U16"/>
      <c r="V16"/>
    </row>
    <row r="17" spans="1:22" x14ac:dyDescent="0.3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104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432</v>
      </c>
      <c r="P17" s="109">
        <v>190575</v>
      </c>
      <c r="Q17" s="107">
        <v>43221</v>
      </c>
      <c r="R17" s="111">
        <v>2.5717592592592594E-2</v>
      </c>
      <c r="S17" s="110" t="s">
        <v>458</v>
      </c>
      <c r="T17"/>
      <c r="U17"/>
      <c r="V17"/>
    </row>
    <row r="18" spans="1:22" x14ac:dyDescent="0.3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104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433</v>
      </c>
      <c r="P18" s="109">
        <v>190571</v>
      </c>
      <c r="Q18" s="107">
        <v>43221</v>
      </c>
      <c r="R18" s="111"/>
      <c r="S18" s="110" t="s">
        <v>458</v>
      </c>
      <c r="T18"/>
      <c r="U18"/>
      <c r="V18"/>
    </row>
    <row r="19" spans="1:22" x14ac:dyDescent="0.3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104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434</v>
      </c>
      <c r="P19" s="109">
        <v>190628</v>
      </c>
      <c r="Q19" s="107">
        <v>43221</v>
      </c>
      <c r="R19" s="111"/>
      <c r="S19" s="110" t="s">
        <v>473</v>
      </c>
      <c r="T19"/>
      <c r="U19"/>
      <c r="V19"/>
    </row>
    <row r="20" spans="1:22" x14ac:dyDescent="0.3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104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435</v>
      </c>
      <c r="P20" s="109">
        <v>190628</v>
      </c>
      <c r="Q20" s="107">
        <v>43221</v>
      </c>
      <c r="R20" s="111">
        <v>7.1319444444444449E-2</v>
      </c>
      <c r="S20" s="110" t="s">
        <v>474</v>
      </c>
      <c r="T20"/>
      <c r="U20"/>
      <c r="V20"/>
    </row>
    <row r="21" spans="1:22" x14ac:dyDescent="0.3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104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436</v>
      </c>
      <c r="P21" s="109">
        <v>190623</v>
      </c>
      <c r="Q21" s="107">
        <v>43222</v>
      </c>
      <c r="R21" s="111"/>
      <c r="S21" s="110" t="s">
        <v>475</v>
      </c>
      <c r="T21"/>
      <c r="U21"/>
      <c r="V21"/>
    </row>
    <row r="22" spans="1:22" x14ac:dyDescent="0.3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104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437</v>
      </c>
      <c r="P22" s="109">
        <v>190623</v>
      </c>
      <c r="Q22" s="107">
        <v>43222</v>
      </c>
      <c r="R22" s="111"/>
      <c r="S22" s="110" t="s">
        <v>476</v>
      </c>
      <c r="T22"/>
      <c r="U22"/>
      <c r="V22"/>
    </row>
    <row r="23" spans="1:22" x14ac:dyDescent="0.3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104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459</v>
      </c>
      <c r="P23" s="109">
        <v>190624</v>
      </c>
      <c r="Q23" s="107">
        <v>43222</v>
      </c>
      <c r="R23" s="111"/>
      <c r="S23" s="110" t="s">
        <v>477</v>
      </c>
      <c r="T23"/>
      <c r="U23"/>
      <c r="V23"/>
    </row>
    <row r="24" spans="1:22" x14ac:dyDescent="0.3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104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460</v>
      </c>
      <c r="P24" s="109">
        <v>190657</v>
      </c>
      <c r="Q24" s="107">
        <v>43223</v>
      </c>
      <c r="R24" s="111"/>
      <c r="S24" s="110" t="s">
        <v>479</v>
      </c>
      <c r="T24"/>
      <c r="U24"/>
      <c r="V24"/>
    </row>
    <row r="25" spans="1:22" x14ac:dyDescent="0.3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104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461</v>
      </c>
      <c r="P25" s="109">
        <v>190629</v>
      </c>
      <c r="Q25" s="107">
        <v>43222</v>
      </c>
      <c r="R25" s="111"/>
      <c r="S25" s="110" t="s">
        <v>480</v>
      </c>
      <c r="T25"/>
      <c r="U25"/>
      <c r="V25"/>
    </row>
    <row r="26" spans="1:22" x14ac:dyDescent="0.3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104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462</v>
      </c>
      <c r="P26" s="109">
        <v>190629</v>
      </c>
      <c r="Q26" s="107">
        <v>43222</v>
      </c>
      <c r="R26" s="111"/>
      <c r="S26" s="110" t="s">
        <v>481</v>
      </c>
      <c r="T26"/>
      <c r="U26"/>
      <c r="V26"/>
    </row>
    <row r="27" spans="1:22" x14ac:dyDescent="0.3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104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463</v>
      </c>
      <c r="P27" s="109">
        <v>190629</v>
      </c>
      <c r="Q27" s="107">
        <v>43222</v>
      </c>
      <c r="R27" s="111"/>
      <c r="S27" s="110" t="s">
        <v>482</v>
      </c>
      <c r="T27"/>
      <c r="U27"/>
      <c r="V27"/>
    </row>
    <row r="28" spans="1:22" x14ac:dyDescent="0.3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104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464</v>
      </c>
      <c r="P28" s="109">
        <v>190629</v>
      </c>
      <c r="Q28" s="107">
        <v>43222</v>
      </c>
      <c r="R28" s="111"/>
      <c r="S28" s="110" t="s">
        <v>483</v>
      </c>
      <c r="T28"/>
      <c r="U28"/>
      <c r="V28"/>
    </row>
    <row r="29" spans="1:22" x14ac:dyDescent="0.3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104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465</v>
      </c>
      <c r="P29" s="109">
        <v>190629</v>
      </c>
      <c r="Q29" s="107">
        <v>43222</v>
      </c>
      <c r="R29" s="111"/>
      <c r="S29" s="110" t="s">
        <v>484</v>
      </c>
      <c r="T29"/>
      <c r="U29"/>
      <c r="V29"/>
    </row>
    <row r="30" spans="1:22" x14ac:dyDescent="0.3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104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466</v>
      </c>
      <c r="P30" s="109">
        <v>190631</v>
      </c>
      <c r="Q30" s="107">
        <v>43222</v>
      </c>
      <c r="R30" s="111"/>
      <c r="S30" s="110" t="s">
        <v>485</v>
      </c>
      <c r="T30"/>
      <c r="U30"/>
      <c r="V30"/>
    </row>
    <row r="31" spans="1:22" x14ac:dyDescent="0.3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104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467</v>
      </c>
      <c r="P31" s="109">
        <v>190631</v>
      </c>
      <c r="Q31" s="107">
        <v>43222</v>
      </c>
      <c r="R31" s="111"/>
      <c r="S31" s="110" t="s">
        <v>486</v>
      </c>
      <c r="T31"/>
      <c r="U31"/>
      <c r="V31"/>
    </row>
    <row r="32" spans="1:22" x14ac:dyDescent="0.3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104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468</v>
      </c>
      <c r="P32" s="109">
        <v>190631</v>
      </c>
      <c r="Q32" s="107">
        <v>43222</v>
      </c>
      <c r="R32" s="111"/>
      <c r="S32" s="110" t="s">
        <v>487</v>
      </c>
      <c r="T32"/>
      <c r="U32"/>
      <c r="V32"/>
    </row>
    <row r="33" spans="1:22" x14ac:dyDescent="0.3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104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469</v>
      </c>
      <c r="P33" s="109">
        <v>190631</v>
      </c>
      <c r="Q33" s="107">
        <v>43222</v>
      </c>
      <c r="R33" s="111"/>
      <c r="S33" s="110" t="s">
        <v>488</v>
      </c>
      <c r="T33"/>
      <c r="U33"/>
      <c r="V33"/>
    </row>
    <row r="34" spans="1:22" x14ac:dyDescent="0.3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104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470</v>
      </c>
      <c r="P34" s="109">
        <v>190631</v>
      </c>
      <c r="Q34" s="107">
        <v>43222</v>
      </c>
      <c r="R34" s="111"/>
      <c r="S34" s="110" t="s">
        <v>489</v>
      </c>
      <c r="T34"/>
      <c r="U34"/>
      <c r="V34"/>
    </row>
    <row r="35" spans="1:22" x14ac:dyDescent="0.3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104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471</v>
      </c>
      <c r="P35" s="109">
        <v>190631</v>
      </c>
      <c r="Q35" s="107">
        <v>43222</v>
      </c>
      <c r="R35" s="111"/>
      <c r="S35" s="110" t="s">
        <v>490</v>
      </c>
      <c r="T35"/>
      <c r="U35"/>
      <c r="V35"/>
    </row>
    <row r="36" spans="1:22" x14ac:dyDescent="0.3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104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472</v>
      </c>
      <c r="P36" s="109">
        <v>190631</v>
      </c>
      <c r="Q36" s="107">
        <v>43222</v>
      </c>
      <c r="R36" s="111"/>
      <c r="S36" s="110" t="s">
        <v>491</v>
      </c>
      <c r="T36"/>
      <c r="U36"/>
      <c r="V36"/>
    </row>
    <row r="37" spans="1:22" x14ac:dyDescent="0.3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104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492</v>
      </c>
      <c r="P37" s="109">
        <v>190647</v>
      </c>
      <c r="Q37" s="107">
        <v>43222</v>
      </c>
      <c r="R37" s="111"/>
      <c r="S37" s="110" t="s">
        <v>499</v>
      </c>
      <c r="T37"/>
      <c r="U37"/>
      <c r="V37"/>
    </row>
    <row r="38" spans="1:22" x14ac:dyDescent="0.3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104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493</v>
      </c>
      <c r="P38" s="109">
        <v>190647</v>
      </c>
      <c r="Q38" s="107">
        <v>43222</v>
      </c>
      <c r="R38" s="111"/>
      <c r="S38" s="110" t="s">
        <v>500</v>
      </c>
      <c r="T38"/>
      <c r="U38"/>
      <c r="V38"/>
    </row>
    <row r="39" spans="1:22" x14ac:dyDescent="0.3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104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494</v>
      </c>
      <c r="P39" s="109">
        <v>190647</v>
      </c>
      <c r="Q39" s="107">
        <v>43222</v>
      </c>
      <c r="R39" s="111"/>
      <c r="S39" s="110" t="s">
        <v>501</v>
      </c>
      <c r="T39"/>
      <c r="U39"/>
      <c r="V39"/>
    </row>
    <row r="40" spans="1:22" x14ac:dyDescent="0.3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104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495</v>
      </c>
      <c r="P40" s="109">
        <v>190647</v>
      </c>
      <c r="Q40" s="107">
        <v>43222</v>
      </c>
      <c r="R40" s="111"/>
      <c r="S40" s="110" t="s">
        <v>502</v>
      </c>
      <c r="T40"/>
      <c r="U40"/>
      <c r="V40"/>
    </row>
    <row r="41" spans="1:22" x14ac:dyDescent="0.3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104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496</v>
      </c>
      <c r="P41" s="109">
        <v>190647</v>
      </c>
      <c r="Q41" s="107">
        <v>43222</v>
      </c>
      <c r="R41" s="111"/>
      <c r="S41" s="110" t="s">
        <v>503</v>
      </c>
      <c r="T41"/>
      <c r="U41"/>
      <c r="V41"/>
    </row>
    <row r="42" spans="1:22" x14ac:dyDescent="0.3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104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497</v>
      </c>
      <c r="P42" s="109">
        <v>190647</v>
      </c>
      <c r="Q42" s="107">
        <v>43222</v>
      </c>
      <c r="R42" s="111"/>
      <c r="S42" s="110" t="s">
        <v>504</v>
      </c>
      <c r="T42"/>
      <c r="U42"/>
      <c r="V42"/>
    </row>
    <row r="43" spans="1:22" x14ac:dyDescent="0.3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104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498</v>
      </c>
      <c r="P43" s="109">
        <v>190647</v>
      </c>
      <c r="Q43" s="107">
        <v>43222</v>
      </c>
      <c r="R43" s="111"/>
      <c r="S43" s="110" t="s">
        <v>505</v>
      </c>
      <c r="T43"/>
      <c r="U43"/>
      <c r="V43"/>
    </row>
    <row r="44" spans="1:22" x14ac:dyDescent="0.3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104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507</v>
      </c>
      <c r="P44" s="109">
        <v>190648</v>
      </c>
      <c r="Q44" s="107">
        <v>43222</v>
      </c>
      <c r="R44" s="111"/>
      <c r="S44" s="110" t="s">
        <v>514</v>
      </c>
      <c r="T44"/>
      <c r="U44"/>
      <c r="V44"/>
    </row>
    <row r="45" spans="1:22" x14ac:dyDescent="0.3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104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508</v>
      </c>
      <c r="P45" s="109">
        <v>190648</v>
      </c>
      <c r="Q45" s="107">
        <v>43222</v>
      </c>
      <c r="R45" s="111"/>
      <c r="S45" s="110" t="s">
        <v>515</v>
      </c>
      <c r="T45"/>
      <c r="U45"/>
      <c r="V45"/>
    </row>
    <row r="46" spans="1:22" x14ac:dyDescent="0.3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104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509</v>
      </c>
      <c r="P46" s="109">
        <v>190648</v>
      </c>
      <c r="Q46" s="107">
        <v>43222</v>
      </c>
      <c r="R46" s="111"/>
      <c r="S46" s="110" t="s">
        <v>516</v>
      </c>
      <c r="T46"/>
      <c r="U46"/>
      <c r="V46"/>
    </row>
    <row r="47" spans="1:22" x14ac:dyDescent="0.3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104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510</v>
      </c>
      <c r="P47" s="109">
        <v>190648</v>
      </c>
      <c r="Q47" s="107">
        <v>43222</v>
      </c>
      <c r="R47" s="111"/>
      <c r="S47" s="110" t="s">
        <v>517</v>
      </c>
      <c r="T47"/>
      <c r="U47"/>
      <c r="V47"/>
    </row>
    <row r="48" spans="1:22" x14ac:dyDescent="0.3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104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511</v>
      </c>
      <c r="P48" s="109">
        <v>190648</v>
      </c>
      <c r="Q48" s="107">
        <v>43222</v>
      </c>
      <c r="R48" s="111"/>
      <c r="S48" s="110" t="s">
        <v>518</v>
      </c>
      <c r="T48"/>
      <c r="U48"/>
      <c r="V48"/>
    </row>
    <row r="49" spans="1:22" x14ac:dyDescent="0.3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104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512</v>
      </c>
      <c r="P49" s="109">
        <v>190648</v>
      </c>
      <c r="Q49" s="107">
        <v>43222</v>
      </c>
      <c r="R49" s="111"/>
      <c r="S49" s="110" t="s">
        <v>519</v>
      </c>
      <c r="T49"/>
      <c r="U49"/>
      <c r="V49"/>
    </row>
    <row r="50" spans="1:22" x14ac:dyDescent="0.3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104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513</v>
      </c>
      <c r="P50" s="109">
        <v>190648</v>
      </c>
      <c r="Q50" s="107">
        <v>43222</v>
      </c>
      <c r="R50" s="111"/>
      <c r="S50" s="110" t="s">
        <v>520</v>
      </c>
      <c r="T50"/>
      <c r="U50"/>
      <c r="V50"/>
    </row>
    <row r="51" spans="1:22" x14ac:dyDescent="0.3">
      <c r="A51" s="105">
        <v>50</v>
      </c>
      <c r="B51" s="41">
        <v>24000000</v>
      </c>
      <c r="C51" s="41">
        <f>0.007/POWER(8,0.25)</f>
        <v>4.1622249025095237E-3</v>
      </c>
      <c r="D51" s="41">
        <v>0.2</v>
      </c>
      <c r="E51" s="41">
        <v>30</v>
      </c>
      <c r="F51" s="41">
        <v>0</v>
      </c>
      <c r="G51" s="41" t="s">
        <v>104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521</v>
      </c>
      <c r="P51" s="109">
        <v>190649</v>
      </c>
      <c r="Q51" s="107">
        <v>43223</v>
      </c>
      <c r="R51" s="111"/>
      <c r="S51" s="110" t="s">
        <v>535</v>
      </c>
      <c r="T51"/>
      <c r="U51"/>
      <c r="V51"/>
    </row>
    <row r="52" spans="1:22" x14ac:dyDescent="0.3">
      <c r="A52" s="105">
        <v>51</v>
      </c>
      <c r="B52" s="41">
        <v>24000000</v>
      </c>
      <c r="C52" s="41">
        <f>0.007/POWER(8,0.25)</f>
        <v>4.1622249025095237E-3</v>
      </c>
      <c r="D52" s="41">
        <v>0.5</v>
      </c>
      <c r="E52" s="41">
        <v>30</v>
      </c>
      <c r="F52" s="41">
        <v>0</v>
      </c>
      <c r="G52" s="41" t="s">
        <v>104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522</v>
      </c>
      <c r="P52" s="109">
        <v>190649</v>
      </c>
      <c r="Q52" s="107">
        <v>43223</v>
      </c>
      <c r="R52" s="111"/>
      <c r="S52" s="110" t="s">
        <v>536</v>
      </c>
      <c r="T52"/>
      <c r="U52"/>
      <c r="V52"/>
    </row>
    <row r="53" spans="1:22" x14ac:dyDescent="0.3">
      <c r="A53" s="105">
        <v>52</v>
      </c>
      <c r="B53" s="41">
        <v>24000000</v>
      </c>
      <c r="C53" s="41">
        <f>0.007/POWER(8,0.25)</f>
        <v>4.1622249025095237E-3</v>
      </c>
      <c r="D53" s="41">
        <v>1</v>
      </c>
      <c r="E53" s="41">
        <v>30</v>
      </c>
      <c r="F53" s="41">
        <v>0</v>
      </c>
      <c r="G53" s="41" t="s">
        <v>104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523</v>
      </c>
      <c r="P53" s="109">
        <v>190649</v>
      </c>
      <c r="Q53" s="107">
        <v>43223</v>
      </c>
      <c r="R53" s="111"/>
      <c r="S53" s="110" t="s">
        <v>537</v>
      </c>
      <c r="T53"/>
      <c r="U53"/>
      <c r="V53"/>
    </row>
    <row r="54" spans="1:22" x14ac:dyDescent="0.3">
      <c r="A54" s="105">
        <v>53</v>
      </c>
      <c r="B54" s="41">
        <v>24000000</v>
      </c>
      <c r="C54" s="41">
        <f>0.007/POWER(8,0.25)</f>
        <v>4.1622249025095237E-3</v>
      </c>
      <c r="D54" s="41">
        <v>2</v>
      </c>
      <c r="E54" s="41">
        <v>30</v>
      </c>
      <c r="F54" s="41">
        <v>0</v>
      </c>
      <c r="G54" s="41" t="s">
        <v>104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524</v>
      </c>
      <c r="P54" s="109">
        <v>190649</v>
      </c>
      <c r="Q54" s="107">
        <v>43223</v>
      </c>
      <c r="R54" s="111"/>
      <c r="S54" s="110" t="s">
        <v>538</v>
      </c>
      <c r="T54"/>
      <c r="U54"/>
      <c r="V54"/>
    </row>
    <row r="55" spans="1:22" x14ac:dyDescent="0.3">
      <c r="A55" s="105">
        <v>54</v>
      </c>
      <c r="B55" s="41">
        <v>24000000</v>
      </c>
      <c r="C55" s="41">
        <f>0.007/POWER(8,0.25)</f>
        <v>4.1622249025095237E-3</v>
      </c>
      <c r="D55" s="41">
        <v>5</v>
      </c>
      <c r="E55" s="41">
        <v>30</v>
      </c>
      <c r="F55" s="41">
        <v>0</v>
      </c>
      <c r="G55" s="41" t="s">
        <v>104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525</v>
      </c>
      <c r="P55" s="109">
        <v>190649</v>
      </c>
      <c r="Q55" s="107">
        <v>43223</v>
      </c>
      <c r="R55" s="111"/>
      <c r="S55" s="110" t="s">
        <v>539</v>
      </c>
      <c r="T55"/>
      <c r="U55"/>
      <c r="V55"/>
    </row>
    <row r="56" spans="1:22" x14ac:dyDescent="0.3">
      <c r="A56" s="105">
        <v>55</v>
      </c>
      <c r="B56" s="41">
        <v>24000000</v>
      </c>
      <c r="C56" s="41">
        <f>0.007/POWER(8,0.25)</f>
        <v>4.1622249025095237E-3</v>
      </c>
      <c r="D56" s="41">
        <v>10</v>
      </c>
      <c r="E56" s="41">
        <v>30</v>
      </c>
      <c r="F56" s="41">
        <v>0</v>
      </c>
      <c r="G56" s="41" t="s">
        <v>104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526</v>
      </c>
      <c r="P56" s="109">
        <v>190649</v>
      </c>
      <c r="Q56" s="107">
        <v>43223</v>
      </c>
      <c r="R56" s="111"/>
      <c r="S56" s="110" t="s">
        <v>540</v>
      </c>
      <c r="T56"/>
      <c r="U56"/>
      <c r="V56"/>
    </row>
    <row r="57" spans="1:22" x14ac:dyDescent="0.3">
      <c r="A57" s="105">
        <v>56</v>
      </c>
      <c r="B57" s="41">
        <v>24000000</v>
      </c>
      <c r="C57" s="41">
        <f>0.007/POWER(8,0.25)</f>
        <v>4.1622249025095237E-3</v>
      </c>
      <c r="D57" s="41">
        <v>20</v>
      </c>
      <c r="E57" s="41">
        <v>30</v>
      </c>
      <c r="F57" s="41">
        <v>0</v>
      </c>
      <c r="G57" s="41" t="s">
        <v>104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527</v>
      </c>
      <c r="P57" s="109">
        <v>190649</v>
      </c>
      <c r="Q57" s="107">
        <v>43223</v>
      </c>
      <c r="R57" s="111"/>
      <c r="S57" s="110" t="s">
        <v>541</v>
      </c>
      <c r="T57"/>
      <c r="U57"/>
      <c r="V57"/>
    </row>
    <row r="58" spans="1:22" x14ac:dyDescent="0.3">
      <c r="A58" s="105">
        <v>57</v>
      </c>
      <c r="B58" s="41">
        <v>24000000</v>
      </c>
      <c r="C58" s="41">
        <f>0.007*POWER(8,0.25)</f>
        <v>1.1772549813552004E-2</v>
      </c>
      <c r="D58" s="41">
        <v>0.2</v>
      </c>
      <c r="E58" s="41">
        <v>30</v>
      </c>
      <c r="F58" s="41">
        <v>0</v>
      </c>
      <c r="G58" s="41" t="s">
        <v>104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528</v>
      </c>
      <c r="P58" s="109">
        <v>190649</v>
      </c>
      <c r="Q58" s="107">
        <v>43223</v>
      </c>
      <c r="R58" s="111"/>
      <c r="S58" s="110" t="s">
        <v>542</v>
      </c>
      <c r="T58"/>
      <c r="U58"/>
      <c r="V58"/>
    </row>
    <row r="59" spans="1:22" x14ac:dyDescent="0.3">
      <c r="A59" s="105">
        <v>58</v>
      </c>
      <c r="B59" s="41">
        <v>24000000</v>
      </c>
      <c r="C59" s="41">
        <f>0.007*POWER(8,0.25)</f>
        <v>1.1772549813552004E-2</v>
      </c>
      <c r="D59" s="41">
        <v>0.5</v>
      </c>
      <c r="E59" s="41">
        <v>30</v>
      </c>
      <c r="F59" s="41">
        <v>0</v>
      </c>
      <c r="G59" s="41" t="s">
        <v>104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529</v>
      </c>
      <c r="P59" s="109">
        <v>190649</v>
      </c>
      <c r="Q59" s="107">
        <v>43223</v>
      </c>
      <c r="R59" s="111"/>
      <c r="S59" s="110" t="s">
        <v>543</v>
      </c>
      <c r="T59"/>
      <c r="U59"/>
      <c r="V59"/>
    </row>
    <row r="60" spans="1:22" x14ac:dyDescent="0.3">
      <c r="A60" s="105">
        <v>59</v>
      </c>
      <c r="B60" s="41">
        <v>24000000</v>
      </c>
      <c r="C60" s="41">
        <f>0.007*POWER(8,0.25)</f>
        <v>1.1772549813552004E-2</v>
      </c>
      <c r="D60" s="41">
        <v>1</v>
      </c>
      <c r="E60" s="41">
        <v>30</v>
      </c>
      <c r="F60" s="41">
        <v>0</v>
      </c>
      <c r="G60" s="41" t="s">
        <v>104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530</v>
      </c>
      <c r="P60" s="109">
        <v>190649</v>
      </c>
      <c r="Q60" s="107">
        <v>43223</v>
      </c>
      <c r="R60" s="111"/>
      <c r="S60" s="110" t="s">
        <v>544</v>
      </c>
      <c r="T60"/>
      <c r="U60"/>
      <c r="V60"/>
    </row>
    <row r="61" spans="1:22" x14ac:dyDescent="0.3">
      <c r="A61" s="105">
        <v>60</v>
      </c>
      <c r="B61" s="41">
        <v>24000000</v>
      </c>
      <c r="C61" s="41">
        <f>0.007*POWER(8,0.25)</f>
        <v>1.1772549813552004E-2</v>
      </c>
      <c r="D61" s="41">
        <v>2</v>
      </c>
      <c r="E61" s="41">
        <v>30</v>
      </c>
      <c r="F61" s="41">
        <v>0</v>
      </c>
      <c r="G61" s="41" t="s">
        <v>104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531</v>
      </c>
      <c r="P61" s="109">
        <v>190649</v>
      </c>
      <c r="Q61" s="107">
        <v>43223</v>
      </c>
      <c r="R61" s="111"/>
      <c r="S61" s="110" t="s">
        <v>545</v>
      </c>
      <c r="T61"/>
      <c r="U61"/>
      <c r="V61"/>
    </row>
    <row r="62" spans="1:22" x14ac:dyDescent="0.3">
      <c r="A62" s="105">
        <v>61</v>
      </c>
      <c r="B62" s="41">
        <v>24000000</v>
      </c>
      <c r="C62" s="41">
        <f>0.007*POWER(8,0.25)</f>
        <v>1.1772549813552004E-2</v>
      </c>
      <c r="D62" s="41">
        <v>5</v>
      </c>
      <c r="E62" s="41">
        <v>30</v>
      </c>
      <c r="F62" s="41">
        <v>0</v>
      </c>
      <c r="G62" s="41" t="s">
        <v>104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532</v>
      </c>
      <c r="P62" s="109">
        <v>190649</v>
      </c>
      <c r="Q62" s="107">
        <v>43223</v>
      </c>
      <c r="R62" s="111"/>
      <c r="S62" s="110" t="s">
        <v>546</v>
      </c>
      <c r="T62"/>
      <c r="U62"/>
      <c r="V62"/>
    </row>
    <row r="63" spans="1:22" x14ac:dyDescent="0.3">
      <c r="A63" s="105">
        <v>62</v>
      </c>
      <c r="B63" s="41">
        <v>24000000</v>
      </c>
      <c r="C63" s="41">
        <f>0.007*POWER(8,0.25)</f>
        <v>1.1772549813552004E-2</v>
      </c>
      <c r="D63" s="41">
        <v>10</v>
      </c>
      <c r="E63" s="41">
        <v>30</v>
      </c>
      <c r="F63" s="41">
        <v>0</v>
      </c>
      <c r="G63" s="41" t="s">
        <v>104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533</v>
      </c>
      <c r="P63" s="109">
        <v>190649</v>
      </c>
      <c r="Q63" s="107">
        <v>43223</v>
      </c>
      <c r="R63" s="111"/>
      <c r="S63" s="110" t="s">
        <v>547</v>
      </c>
      <c r="T63"/>
      <c r="U63"/>
      <c r="V63"/>
    </row>
    <row r="64" spans="1:22" x14ac:dyDescent="0.3">
      <c r="A64" s="105">
        <v>63</v>
      </c>
      <c r="B64" s="41">
        <v>24000000</v>
      </c>
      <c r="C64" s="41">
        <f>0.007*POWER(8,0.25)</f>
        <v>1.1772549813552004E-2</v>
      </c>
      <c r="D64" s="41">
        <v>20</v>
      </c>
      <c r="E64" s="41">
        <v>30</v>
      </c>
      <c r="F64" s="41">
        <v>0</v>
      </c>
      <c r="G64" s="41" t="s">
        <v>104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534</v>
      </c>
      <c r="P64" s="109">
        <v>190649</v>
      </c>
      <c r="Q64" s="107">
        <v>43223</v>
      </c>
      <c r="R64" s="111"/>
      <c r="S64" s="110" t="s">
        <v>548</v>
      </c>
      <c r="T64"/>
      <c r="U64"/>
      <c r="V64"/>
    </row>
    <row r="65" spans="1:22" x14ac:dyDescent="0.3">
      <c r="A65" s="105">
        <v>64</v>
      </c>
      <c r="B65" s="41">
        <v>24000000</v>
      </c>
      <c r="C65" s="41">
        <f>0.007*POWER(8,0.25)</f>
        <v>1.1772549813552004E-2</v>
      </c>
      <c r="D65" s="41">
        <v>0.5</v>
      </c>
      <c r="E65" s="41">
        <v>30</v>
      </c>
      <c r="F65" s="41">
        <v>0</v>
      </c>
      <c r="G65" s="41" t="s">
        <v>104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553</v>
      </c>
      <c r="P65" s="109"/>
      <c r="Q65" s="107"/>
      <c r="R65" s="111"/>
      <c r="S65" s="110"/>
      <c r="T65"/>
      <c r="U65"/>
      <c r="V65"/>
    </row>
    <row r="66" spans="1:22" x14ac:dyDescent="0.3">
      <c r="A66" s="105">
        <v>65</v>
      </c>
      <c r="B66" s="41">
        <v>24000000</v>
      </c>
      <c r="C66" s="41">
        <f>0.007*POWER(8,0.25)</f>
        <v>1.1772549813552004E-2</v>
      </c>
      <c r="D66" s="41">
        <v>2</v>
      </c>
      <c r="E66" s="41">
        <v>30</v>
      </c>
      <c r="F66" s="41">
        <v>0</v>
      </c>
      <c r="G66" s="41" t="s">
        <v>104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554</v>
      </c>
      <c r="P66" s="109"/>
      <c r="Q66" s="107"/>
      <c r="R66" s="111"/>
      <c r="S66" s="110"/>
      <c r="T66"/>
      <c r="U66"/>
      <c r="V66"/>
    </row>
    <row r="67" spans="1:22" x14ac:dyDescent="0.3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557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558</v>
      </c>
      <c r="P67" s="109">
        <v>191112</v>
      </c>
      <c r="Q67" s="107"/>
      <c r="R67" s="111"/>
      <c r="S67" s="110" t="s">
        <v>574</v>
      </c>
      <c r="T67"/>
      <c r="U67"/>
      <c r="V67"/>
    </row>
    <row r="68" spans="1:22" x14ac:dyDescent="0.3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557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559</v>
      </c>
      <c r="P68" s="109">
        <v>191112</v>
      </c>
      <c r="Q68" s="107"/>
      <c r="R68" s="111"/>
      <c r="S68" s="110" t="s">
        <v>574</v>
      </c>
      <c r="T68"/>
      <c r="U68"/>
      <c r="V68"/>
    </row>
    <row r="69" spans="1:22" x14ac:dyDescent="0.3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557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560</v>
      </c>
      <c r="P69" s="109">
        <v>191112</v>
      </c>
      <c r="Q69" s="107"/>
      <c r="R69" s="111"/>
      <c r="S69" s="110" t="s">
        <v>574</v>
      </c>
      <c r="T69"/>
      <c r="U69"/>
      <c r="V69"/>
    </row>
    <row r="70" spans="1:22" x14ac:dyDescent="0.3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557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561</v>
      </c>
      <c r="P70" s="109">
        <v>191216</v>
      </c>
      <c r="Q70" s="107"/>
      <c r="R70" s="111"/>
      <c r="S70" s="110" t="s">
        <v>574</v>
      </c>
      <c r="T70"/>
      <c r="U70"/>
      <c r="V70"/>
    </row>
    <row r="71" spans="1:22" x14ac:dyDescent="0.3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557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562</v>
      </c>
      <c r="P71" s="109">
        <v>191216</v>
      </c>
      <c r="Q71" s="107"/>
      <c r="R71" s="111"/>
      <c r="S71" s="110" t="s">
        <v>574</v>
      </c>
      <c r="T71"/>
      <c r="U71"/>
      <c r="V71"/>
    </row>
    <row r="72" spans="1:22" x14ac:dyDescent="0.3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557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563</v>
      </c>
      <c r="P72" s="109">
        <v>191217</v>
      </c>
      <c r="Q72" s="107"/>
      <c r="R72" s="111"/>
      <c r="S72" s="110" t="s">
        <v>574</v>
      </c>
      <c r="T72"/>
      <c r="U72"/>
      <c r="V72"/>
    </row>
    <row r="73" spans="1:22" x14ac:dyDescent="0.3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557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564</v>
      </c>
      <c r="P73" s="109">
        <v>191217</v>
      </c>
      <c r="Q73" s="107"/>
      <c r="R73" s="111"/>
      <c r="S73" s="110" t="s">
        <v>574</v>
      </c>
      <c r="T73"/>
      <c r="U73"/>
      <c r="V73"/>
    </row>
    <row r="74" spans="1:22" x14ac:dyDescent="0.3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557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565</v>
      </c>
      <c r="P74" s="109">
        <v>191156</v>
      </c>
      <c r="Q74" s="107"/>
      <c r="R74" s="111"/>
      <c r="S74" s="110" t="s">
        <v>574</v>
      </c>
      <c r="T74"/>
      <c r="U74"/>
      <c r="V74"/>
    </row>
    <row r="75" spans="1:22" x14ac:dyDescent="0.3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557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566</v>
      </c>
      <c r="P75" s="109">
        <v>191156</v>
      </c>
      <c r="Q75" s="107"/>
      <c r="R75" s="111"/>
      <c r="S75" s="110" t="s">
        <v>574</v>
      </c>
      <c r="T75"/>
      <c r="U75"/>
      <c r="V75"/>
    </row>
    <row r="76" spans="1:22" x14ac:dyDescent="0.3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557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567</v>
      </c>
      <c r="P76" s="109">
        <v>191156</v>
      </c>
      <c r="Q76" s="107"/>
      <c r="R76" s="111"/>
      <c r="S76" s="110" t="s">
        <v>574</v>
      </c>
      <c r="T76"/>
      <c r="U76"/>
      <c r="V76"/>
    </row>
    <row r="77" spans="1:22" x14ac:dyDescent="0.3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557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568</v>
      </c>
      <c r="P77" s="109">
        <v>191156</v>
      </c>
      <c r="Q77" s="107"/>
      <c r="R77" s="111"/>
      <c r="S77" s="110" t="s">
        <v>574</v>
      </c>
      <c r="T77"/>
      <c r="U77"/>
      <c r="V77"/>
    </row>
    <row r="78" spans="1:22" x14ac:dyDescent="0.3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557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569</v>
      </c>
      <c r="P78" s="109">
        <v>191156</v>
      </c>
      <c r="Q78" s="107"/>
      <c r="R78" s="111"/>
      <c r="S78" s="110" t="s">
        <v>574</v>
      </c>
      <c r="T78"/>
      <c r="U78"/>
      <c r="V78"/>
    </row>
    <row r="79" spans="1:22" x14ac:dyDescent="0.3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557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570</v>
      </c>
      <c r="P79" s="109">
        <v>191156</v>
      </c>
      <c r="Q79" s="107"/>
      <c r="R79" s="111"/>
      <c r="S79" s="110" t="s">
        <v>574</v>
      </c>
      <c r="T79"/>
      <c r="U79"/>
      <c r="V79"/>
    </row>
    <row r="80" spans="1:22" x14ac:dyDescent="0.3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557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571</v>
      </c>
      <c r="P80" s="109">
        <v>191156</v>
      </c>
      <c r="Q80" s="107"/>
      <c r="R80" s="111"/>
      <c r="S80" s="110" t="s">
        <v>574</v>
      </c>
      <c r="T80"/>
      <c r="U80"/>
      <c r="V80"/>
    </row>
    <row r="81" spans="1:22" x14ac:dyDescent="0.3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557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576</v>
      </c>
      <c r="P81" s="109">
        <v>191448</v>
      </c>
      <c r="Q81" s="107"/>
      <c r="R81" s="111"/>
      <c r="S81" s="110" t="s">
        <v>574</v>
      </c>
      <c r="T81"/>
      <c r="U81"/>
      <c r="V81"/>
    </row>
    <row r="82" spans="1:22" x14ac:dyDescent="0.3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557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577</v>
      </c>
      <c r="P82" s="109">
        <v>191448</v>
      </c>
      <c r="Q82" s="107"/>
      <c r="R82" s="111"/>
      <c r="S82" s="110" t="s">
        <v>574</v>
      </c>
      <c r="T82"/>
      <c r="U82"/>
      <c r="V82"/>
    </row>
    <row r="83" spans="1:22" x14ac:dyDescent="0.3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557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578</v>
      </c>
      <c r="P83" s="109">
        <v>191488</v>
      </c>
      <c r="Q83" s="107"/>
      <c r="R83" s="111"/>
      <c r="S83" s="110" t="s">
        <v>574</v>
      </c>
      <c r="T83"/>
      <c r="U83"/>
      <c r="V83"/>
    </row>
    <row r="84" spans="1:22" x14ac:dyDescent="0.3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557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579</v>
      </c>
      <c r="P84" s="109">
        <v>191488</v>
      </c>
      <c r="Q84" s="107"/>
      <c r="R84" s="111"/>
      <c r="S84" s="110" t="s">
        <v>574</v>
      </c>
      <c r="T84"/>
      <c r="U84"/>
      <c r="V84"/>
    </row>
    <row r="85" spans="1:22" x14ac:dyDescent="0.3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557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580</v>
      </c>
      <c r="P85" s="109">
        <v>191488</v>
      </c>
      <c r="Q85" s="107"/>
      <c r="R85" s="111"/>
      <c r="S85" s="110" t="s">
        <v>574</v>
      </c>
      <c r="T85"/>
      <c r="U85"/>
      <c r="V85"/>
    </row>
    <row r="86" spans="1:22" x14ac:dyDescent="0.3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557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581</v>
      </c>
      <c r="P86" s="109">
        <v>191488</v>
      </c>
      <c r="Q86" s="107"/>
      <c r="R86" s="111"/>
      <c r="S86" s="110" t="s">
        <v>574</v>
      </c>
      <c r="T86"/>
      <c r="U86"/>
      <c r="V86"/>
    </row>
    <row r="87" spans="1:22" x14ac:dyDescent="0.3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557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582</v>
      </c>
      <c r="P87" s="109">
        <v>191488</v>
      </c>
      <c r="Q87" s="107"/>
      <c r="R87" s="111"/>
      <c r="S87" s="110" t="s">
        <v>574</v>
      </c>
      <c r="T87"/>
      <c r="U87"/>
      <c r="V87"/>
    </row>
    <row r="88" spans="1:22" x14ac:dyDescent="0.3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557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583</v>
      </c>
      <c r="P88" s="109">
        <v>191449</v>
      </c>
      <c r="Q88" s="107"/>
      <c r="R88" s="111"/>
      <c r="S88" s="110" t="s">
        <v>574</v>
      </c>
      <c r="T88"/>
      <c r="U88"/>
      <c r="V88"/>
    </row>
    <row r="89" spans="1:22" x14ac:dyDescent="0.3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557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584</v>
      </c>
      <c r="P89" s="109">
        <v>191449</v>
      </c>
      <c r="Q89" s="107"/>
      <c r="R89" s="111"/>
      <c r="S89" s="110" t="s">
        <v>574</v>
      </c>
      <c r="T89"/>
      <c r="U89"/>
      <c r="V89"/>
    </row>
    <row r="90" spans="1:22" x14ac:dyDescent="0.3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557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585</v>
      </c>
      <c r="P90" s="109">
        <v>191449</v>
      </c>
      <c r="Q90" s="107"/>
      <c r="R90" s="111"/>
      <c r="S90" s="110" t="s">
        <v>574</v>
      </c>
      <c r="T90"/>
      <c r="U90"/>
      <c r="V90"/>
    </row>
    <row r="91" spans="1:22" x14ac:dyDescent="0.3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557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586</v>
      </c>
      <c r="P91" s="109">
        <v>191564</v>
      </c>
      <c r="Q91" s="107"/>
      <c r="R91" s="111"/>
      <c r="S91" s="110" t="s">
        <v>574</v>
      </c>
      <c r="T91"/>
      <c r="U91"/>
      <c r="V91"/>
    </row>
    <row r="92" spans="1:22" x14ac:dyDescent="0.3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557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587</v>
      </c>
      <c r="P92" s="109">
        <v>191564</v>
      </c>
      <c r="Q92" s="107"/>
      <c r="R92" s="111"/>
      <c r="S92" s="110" t="s">
        <v>574</v>
      </c>
      <c r="T92"/>
      <c r="U92"/>
      <c r="V92"/>
    </row>
    <row r="93" spans="1:22" x14ac:dyDescent="0.3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557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588</v>
      </c>
      <c r="P93" s="109"/>
      <c r="Q93" s="107"/>
      <c r="R93" s="111"/>
      <c r="S93" s="110" t="s">
        <v>574</v>
      </c>
      <c r="T93"/>
      <c r="U93"/>
      <c r="V93"/>
    </row>
    <row r="94" spans="1:22" x14ac:dyDescent="0.3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557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589</v>
      </c>
      <c r="P94" s="109"/>
      <c r="Q94" s="107"/>
      <c r="R94" s="111"/>
      <c r="S94" s="110" t="s">
        <v>574</v>
      </c>
      <c r="T94"/>
      <c r="U94"/>
      <c r="V94"/>
    </row>
    <row r="95" spans="1:22" x14ac:dyDescent="0.3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557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590</v>
      </c>
      <c r="P95" s="109"/>
      <c r="Q95" s="107"/>
      <c r="R95" s="111"/>
      <c r="S95" s="110" t="s">
        <v>574</v>
      </c>
      <c r="T95"/>
      <c r="U95"/>
      <c r="V95"/>
    </row>
    <row r="96" spans="1:22" x14ac:dyDescent="0.3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557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591</v>
      </c>
      <c r="P96" s="109"/>
      <c r="Q96" s="107"/>
      <c r="R96" s="111"/>
      <c r="S96" s="110" t="s">
        <v>574</v>
      </c>
      <c r="T96"/>
      <c r="U96"/>
      <c r="V96"/>
    </row>
    <row r="97" spans="1:22" x14ac:dyDescent="0.3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557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592</v>
      </c>
      <c r="P97" s="109"/>
      <c r="Q97" s="107"/>
      <c r="R97" s="111"/>
      <c r="S97" s="110" t="s">
        <v>574</v>
      </c>
      <c r="T97"/>
      <c r="U97"/>
      <c r="V97"/>
    </row>
    <row r="98" spans="1:22" x14ac:dyDescent="0.3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557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593</v>
      </c>
      <c r="P98" s="109"/>
      <c r="Q98" s="107"/>
      <c r="R98" s="111"/>
      <c r="S98" s="110" t="s">
        <v>574</v>
      </c>
      <c r="T98"/>
      <c r="U98"/>
      <c r="V98"/>
    </row>
    <row r="99" spans="1:22" x14ac:dyDescent="0.3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557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594</v>
      </c>
      <c r="P99" s="109"/>
      <c r="Q99" s="107"/>
      <c r="R99" s="111"/>
      <c r="S99" s="110" t="s">
        <v>574</v>
      </c>
      <c r="T99"/>
      <c r="U99"/>
      <c r="V99"/>
    </row>
    <row r="100" spans="1:22" x14ac:dyDescent="0.3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557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595</v>
      </c>
      <c r="P100" s="109"/>
      <c r="Q100" s="107"/>
      <c r="R100" s="111"/>
      <c r="S100" s="110" t="s">
        <v>574</v>
      </c>
      <c r="T100"/>
      <c r="U100"/>
      <c r="V100"/>
    </row>
    <row r="101" spans="1:22" x14ac:dyDescent="0.3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557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596</v>
      </c>
      <c r="P101" s="109"/>
      <c r="Q101" s="107"/>
      <c r="R101" s="111"/>
      <c r="S101" s="110" t="s">
        <v>574</v>
      </c>
      <c r="T101"/>
      <c r="U101"/>
      <c r="V101"/>
    </row>
    <row r="102" spans="1:22" x14ac:dyDescent="0.3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557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597</v>
      </c>
      <c r="P102" s="109"/>
      <c r="Q102" s="107"/>
      <c r="R102" s="111"/>
      <c r="S102" s="110" t="s">
        <v>574</v>
      </c>
      <c r="T102"/>
      <c r="U102"/>
      <c r="V102"/>
    </row>
    <row r="103" spans="1:22" x14ac:dyDescent="0.3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557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598</v>
      </c>
      <c r="P103" s="109"/>
      <c r="Q103" s="107"/>
      <c r="R103" s="111"/>
      <c r="S103" s="110" t="s">
        <v>574</v>
      </c>
      <c r="T103"/>
      <c r="U103"/>
      <c r="V103"/>
    </row>
    <row r="104" spans="1:22" x14ac:dyDescent="0.3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557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599</v>
      </c>
      <c r="P104" s="109"/>
      <c r="Q104" s="107"/>
      <c r="R104" s="111"/>
      <c r="S104" s="110" t="s">
        <v>574</v>
      </c>
      <c r="T104"/>
      <c r="U104"/>
      <c r="V104"/>
    </row>
    <row r="105" spans="1:22" x14ac:dyDescent="0.3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557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600</v>
      </c>
      <c r="P105" s="109"/>
      <c r="Q105" s="107"/>
      <c r="R105" s="111"/>
      <c r="S105" s="110" t="s">
        <v>574</v>
      </c>
      <c r="T105"/>
      <c r="U105"/>
      <c r="V105"/>
    </row>
    <row r="106" spans="1:22" x14ac:dyDescent="0.3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557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601</v>
      </c>
      <c r="P106" s="109"/>
      <c r="Q106" s="107"/>
      <c r="R106" s="111"/>
      <c r="S106" s="110" t="s">
        <v>574</v>
      </c>
      <c r="T106"/>
      <c r="U106"/>
      <c r="V106"/>
    </row>
    <row r="107" spans="1:22" x14ac:dyDescent="0.3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557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602</v>
      </c>
      <c r="P107" s="109"/>
      <c r="Q107" s="107"/>
      <c r="R107" s="111"/>
      <c r="S107" s="110" t="s">
        <v>574</v>
      </c>
      <c r="T107"/>
      <c r="U107"/>
      <c r="V107"/>
    </row>
    <row r="108" spans="1:22" x14ac:dyDescent="0.3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557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603</v>
      </c>
      <c r="P108" s="109"/>
      <c r="Q108" s="107"/>
      <c r="R108" s="111"/>
      <c r="S108" s="110" t="s">
        <v>574</v>
      </c>
      <c r="T108"/>
      <c r="U108"/>
      <c r="V108"/>
    </row>
    <row r="109" spans="1:22" x14ac:dyDescent="0.3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104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616</v>
      </c>
      <c r="P109" s="109">
        <v>191635</v>
      </c>
      <c r="Q109" s="107"/>
      <c r="R109" s="111"/>
      <c r="S109" s="110" t="s">
        <v>574</v>
      </c>
      <c r="T109"/>
      <c r="U109"/>
      <c r="V109"/>
    </row>
    <row r="110" spans="1:22" x14ac:dyDescent="0.3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104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617</v>
      </c>
      <c r="P110" s="109">
        <v>191635</v>
      </c>
      <c r="Q110" s="107"/>
      <c r="R110" s="111"/>
      <c r="S110" s="110" t="s">
        <v>574</v>
      </c>
      <c r="T110"/>
      <c r="U110"/>
      <c r="V110"/>
    </row>
    <row r="111" spans="1:22" x14ac:dyDescent="0.3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104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618</v>
      </c>
      <c r="P111" s="109">
        <v>191635</v>
      </c>
      <c r="Q111" s="107"/>
      <c r="R111" s="111"/>
      <c r="S111" s="110" t="s">
        <v>574</v>
      </c>
      <c r="T111"/>
      <c r="U111"/>
      <c r="V111"/>
    </row>
    <row r="112" spans="1:22" x14ac:dyDescent="0.3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104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619</v>
      </c>
      <c r="P112" s="109">
        <v>191635</v>
      </c>
      <c r="Q112" s="107"/>
      <c r="R112" s="111"/>
      <c r="S112" s="110" t="s">
        <v>574</v>
      </c>
      <c r="T112"/>
      <c r="U112"/>
      <c r="V112"/>
    </row>
    <row r="113" spans="1:22" x14ac:dyDescent="0.3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104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620</v>
      </c>
      <c r="P113" s="109">
        <v>191635</v>
      </c>
      <c r="Q113" s="107"/>
      <c r="R113" s="111"/>
      <c r="S113" s="110" t="s">
        <v>574</v>
      </c>
      <c r="T113"/>
      <c r="U113"/>
      <c r="V113"/>
    </row>
    <row r="114" spans="1:22" x14ac:dyDescent="0.3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104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621</v>
      </c>
      <c r="P114" s="109">
        <v>191635</v>
      </c>
      <c r="Q114" s="107"/>
      <c r="R114" s="111"/>
      <c r="S114" s="110" t="s">
        <v>574</v>
      </c>
      <c r="T114"/>
      <c r="U114"/>
      <c r="V114"/>
    </row>
    <row r="115" spans="1:22" x14ac:dyDescent="0.3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104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622</v>
      </c>
      <c r="P115" s="109">
        <v>191635</v>
      </c>
      <c r="Q115" s="107"/>
      <c r="R115" s="111"/>
      <c r="S115" s="110" t="s">
        <v>574</v>
      </c>
      <c r="T115"/>
      <c r="U115"/>
      <c r="V115"/>
    </row>
    <row r="116" spans="1:22" x14ac:dyDescent="0.3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104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623</v>
      </c>
      <c r="P116" s="109">
        <v>191635</v>
      </c>
      <c r="Q116" s="107"/>
      <c r="R116" s="111"/>
      <c r="S116" s="110" t="s">
        <v>574</v>
      </c>
      <c r="T116"/>
      <c r="U116"/>
      <c r="V116"/>
    </row>
    <row r="117" spans="1:22" x14ac:dyDescent="0.3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104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624</v>
      </c>
      <c r="P117" s="109">
        <v>191635</v>
      </c>
      <c r="Q117" s="107"/>
      <c r="R117" s="111"/>
      <c r="S117" s="110" t="s">
        <v>574</v>
      </c>
      <c r="T117"/>
      <c r="U117"/>
      <c r="V117"/>
    </row>
    <row r="118" spans="1:22" x14ac:dyDescent="0.3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104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625</v>
      </c>
      <c r="P118" s="109">
        <v>191635</v>
      </c>
      <c r="Q118" s="107"/>
      <c r="R118" s="111"/>
      <c r="S118" s="110" t="s">
        <v>574</v>
      </c>
      <c r="T118"/>
      <c r="U118"/>
      <c r="V118"/>
    </row>
    <row r="119" spans="1:22" x14ac:dyDescent="0.3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104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626</v>
      </c>
      <c r="P119" s="109">
        <v>191635</v>
      </c>
      <c r="Q119" s="107"/>
      <c r="R119" s="111"/>
      <c r="S119" s="110" t="s">
        <v>574</v>
      </c>
      <c r="T119"/>
      <c r="U119"/>
      <c r="V119"/>
    </row>
    <row r="120" spans="1:22" x14ac:dyDescent="0.3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104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627</v>
      </c>
      <c r="P120" s="109">
        <v>191635</v>
      </c>
      <c r="Q120" s="107"/>
      <c r="R120" s="111"/>
      <c r="S120" s="110" t="s">
        <v>574</v>
      </c>
      <c r="T120"/>
      <c r="U120"/>
      <c r="V120"/>
    </row>
    <row r="121" spans="1:22" x14ac:dyDescent="0.3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104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628</v>
      </c>
      <c r="P121" s="109">
        <v>191635</v>
      </c>
      <c r="Q121" s="107"/>
      <c r="R121" s="111"/>
      <c r="S121" s="110" t="s">
        <v>574</v>
      </c>
      <c r="T121"/>
      <c r="U121"/>
      <c r="V121"/>
    </row>
    <row r="122" spans="1:22" x14ac:dyDescent="0.3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104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629</v>
      </c>
      <c r="P122" s="109">
        <v>191635</v>
      </c>
      <c r="Q122" s="107"/>
      <c r="R122" s="111"/>
      <c r="S122" s="110" t="s">
        <v>574</v>
      </c>
      <c r="T122"/>
      <c r="U122"/>
      <c r="V122"/>
    </row>
    <row r="123" spans="1:22" x14ac:dyDescent="0.3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104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630</v>
      </c>
      <c r="P123" s="109">
        <v>191636</v>
      </c>
      <c r="Q123" s="107"/>
      <c r="R123" s="111"/>
      <c r="S123" s="110" t="s">
        <v>574</v>
      </c>
      <c r="T123"/>
      <c r="U123"/>
      <c r="V123"/>
    </row>
    <row r="124" spans="1:22" x14ac:dyDescent="0.3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104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631</v>
      </c>
      <c r="P124" s="109">
        <v>191636</v>
      </c>
      <c r="Q124" s="107"/>
      <c r="R124" s="111"/>
      <c r="S124" s="110" t="s">
        <v>574</v>
      </c>
      <c r="T124"/>
      <c r="U124"/>
      <c r="V124"/>
    </row>
    <row r="125" spans="1:22" x14ac:dyDescent="0.3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104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632</v>
      </c>
      <c r="P125" s="109">
        <v>191636</v>
      </c>
      <c r="Q125" s="107"/>
      <c r="R125" s="111"/>
      <c r="S125" s="110" t="s">
        <v>574</v>
      </c>
      <c r="T125"/>
      <c r="U125"/>
      <c r="V125"/>
    </row>
    <row r="126" spans="1:22" x14ac:dyDescent="0.3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104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633</v>
      </c>
      <c r="P126" s="109">
        <v>191636</v>
      </c>
      <c r="Q126" s="107"/>
      <c r="R126" s="111"/>
      <c r="S126" s="110" t="s">
        <v>574</v>
      </c>
      <c r="T126"/>
      <c r="U126"/>
      <c r="V126"/>
    </row>
    <row r="127" spans="1:22" x14ac:dyDescent="0.3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104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634</v>
      </c>
      <c r="P127" s="109">
        <v>191636</v>
      </c>
      <c r="Q127" s="107"/>
      <c r="R127" s="111"/>
      <c r="S127" s="110" t="s">
        <v>574</v>
      </c>
      <c r="T127"/>
      <c r="U127"/>
      <c r="V127"/>
    </row>
    <row r="128" spans="1:22" x14ac:dyDescent="0.3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104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635</v>
      </c>
      <c r="P128" s="109">
        <v>191636</v>
      </c>
      <c r="Q128" s="107"/>
      <c r="R128" s="111"/>
      <c r="S128" s="110" t="s">
        <v>574</v>
      </c>
      <c r="T128"/>
      <c r="U128"/>
      <c r="V128"/>
    </row>
    <row r="129" spans="1:22" x14ac:dyDescent="0.3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104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636</v>
      </c>
      <c r="P129" s="109">
        <v>191636</v>
      </c>
      <c r="Q129" s="107"/>
      <c r="R129" s="111"/>
      <c r="S129" s="110" t="s">
        <v>574</v>
      </c>
      <c r="T129"/>
      <c r="U129"/>
      <c r="V129"/>
    </row>
    <row r="130" spans="1:22" x14ac:dyDescent="0.3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104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637</v>
      </c>
      <c r="P130" s="109">
        <v>191636</v>
      </c>
      <c r="Q130" s="107"/>
      <c r="R130" s="111"/>
      <c r="S130" s="110" t="s">
        <v>574</v>
      </c>
      <c r="T130"/>
      <c r="U130"/>
      <c r="V130"/>
    </row>
    <row r="131" spans="1:22" x14ac:dyDescent="0.3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104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638</v>
      </c>
      <c r="P131" s="109">
        <v>191636</v>
      </c>
      <c r="Q131" s="107"/>
      <c r="R131" s="111"/>
      <c r="S131" s="110" t="s">
        <v>574</v>
      </c>
      <c r="T131"/>
      <c r="U131"/>
      <c r="V131"/>
    </row>
    <row r="132" spans="1:22" x14ac:dyDescent="0.3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104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639</v>
      </c>
      <c r="P132" s="109">
        <v>191636</v>
      </c>
      <c r="Q132" s="107"/>
      <c r="R132" s="111"/>
      <c r="S132" s="110" t="s">
        <v>574</v>
      </c>
      <c r="T132"/>
      <c r="U132"/>
      <c r="V132"/>
    </row>
    <row r="133" spans="1:22" x14ac:dyDescent="0.3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104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640</v>
      </c>
      <c r="P133" s="109">
        <v>191636</v>
      </c>
      <c r="Q133" s="107"/>
      <c r="R133" s="111"/>
      <c r="S133" s="110" t="s">
        <v>574</v>
      </c>
      <c r="T133"/>
      <c r="U133"/>
      <c r="V133"/>
    </row>
    <row r="134" spans="1:22" x14ac:dyDescent="0.3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104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641</v>
      </c>
      <c r="P134" s="109">
        <v>191636</v>
      </c>
      <c r="Q134" s="107"/>
      <c r="R134" s="111"/>
      <c r="S134" s="110" t="s">
        <v>574</v>
      </c>
      <c r="T134"/>
      <c r="U134"/>
      <c r="V134"/>
    </row>
    <row r="135" spans="1:22" x14ac:dyDescent="0.3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104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642</v>
      </c>
      <c r="P135" s="109">
        <v>191636</v>
      </c>
      <c r="Q135" s="107"/>
      <c r="R135" s="111"/>
      <c r="S135" s="110" t="s">
        <v>574</v>
      </c>
      <c r="T135"/>
      <c r="U135"/>
      <c r="V135"/>
    </row>
    <row r="136" spans="1:22" x14ac:dyDescent="0.3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104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643</v>
      </c>
      <c r="P136" s="109">
        <v>191636</v>
      </c>
      <c r="Q136" s="107"/>
      <c r="R136" s="111"/>
      <c r="S136" s="110" t="s">
        <v>574</v>
      </c>
      <c r="T136"/>
      <c r="U136"/>
      <c r="V136"/>
    </row>
    <row r="137" spans="1:22" x14ac:dyDescent="0.3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104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644</v>
      </c>
      <c r="P137" s="109">
        <v>191688</v>
      </c>
      <c r="Q137" s="107"/>
      <c r="R137" s="111"/>
      <c r="S137" s="110" t="s">
        <v>574</v>
      </c>
      <c r="T137"/>
      <c r="U137"/>
      <c r="V137"/>
    </row>
    <row r="138" spans="1:22" x14ac:dyDescent="0.3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104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645</v>
      </c>
      <c r="P138" s="109">
        <v>191688</v>
      </c>
      <c r="Q138" s="107"/>
      <c r="R138" s="111"/>
      <c r="S138" s="110" t="s">
        <v>574</v>
      </c>
      <c r="T138"/>
      <c r="U138"/>
      <c r="V138"/>
    </row>
    <row r="139" spans="1:22" x14ac:dyDescent="0.3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104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646</v>
      </c>
      <c r="P139" s="109">
        <v>191688</v>
      </c>
      <c r="Q139" s="107"/>
      <c r="R139" s="111"/>
      <c r="S139" s="110" t="s">
        <v>574</v>
      </c>
      <c r="T139"/>
      <c r="U139"/>
      <c r="V139"/>
    </row>
    <row r="140" spans="1:22" x14ac:dyDescent="0.3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104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647</v>
      </c>
      <c r="P140" s="109">
        <v>191688</v>
      </c>
      <c r="Q140" s="107"/>
      <c r="R140" s="111"/>
      <c r="S140" s="110" t="s">
        <v>574</v>
      </c>
      <c r="T140"/>
      <c r="U140"/>
      <c r="V140"/>
    </row>
    <row r="141" spans="1:22" x14ac:dyDescent="0.3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104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648</v>
      </c>
      <c r="P141" s="109">
        <v>191688</v>
      </c>
      <c r="Q141" s="107"/>
      <c r="R141" s="111"/>
      <c r="S141" s="110" t="s">
        <v>574</v>
      </c>
      <c r="T141"/>
      <c r="U141"/>
      <c r="V141"/>
    </row>
    <row r="142" spans="1:22" x14ac:dyDescent="0.3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104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649</v>
      </c>
      <c r="P142" s="109">
        <v>191688</v>
      </c>
      <c r="Q142" s="107"/>
      <c r="R142" s="111"/>
      <c r="S142" s="110" t="s">
        <v>574</v>
      </c>
      <c r="T142"/>
      <c r="U142"/>
      <c r="V142"/>
    </row>
    <row r="143" spans="1:22" x14ac:dyDescent="0.3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104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650</v>
      </c>
      <c r="P143" s="109">
        <v>191688</v>
      </c>
      <c r="Q143" s="107"/>
      <c r="R143" s="111"/>
      <c r="S143" s="110" t="s">
        <v>574</v>
      </c>
      <c r="T143"/>
      <c r="U143"/>
      <c r="V143"/>
    </row>
    <row r="144" spans="1:22" x14ac:dyDescent="0.3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104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651</v>
      </c>
      <c r="P144" s="109">
        <v>191688</v>
      </c>
      <c r="Q144" s="107"/>
      <c r="R144" s="111"/>
      <c r="S144" s="110" t="s">
        <v>574</v>
      </c>
      <c r="T144"/>
      <c r="U144"/>
      <c r="V144"/>
    </row>
    <row r="145" spans="1:22" x14ac:dyDescent="0.3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104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652</v>
      </c>
      <c r="P145" s="109">
        <v>191688</v>
      </c>
      <c r="Q145" s="107"/>
      <c r="R145" s="111"/>
      <c r="S145" s="110" t="s">
        <v>574</v>
      </c>
      <c r="T145"/>
      <c r="U145"/>
      <c r="V145"/>
    </row>
    <row r="146" spans="1:22" x14ac:dyDescent="0.3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104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653</v>
      </c>
      <c r="P146" s="109">
        <v>191688</v>
      </c>
      <c r="Q146" s="107"/>
      <c r="R146" s="111"/>
      <c r="S146" s="110" t="s">
        <v>574</v>
      </c>
      <c r="T146"/>
      <c r="U146"/>
      <c r="V146"/>
    </row>
    <row r="147" spans="1:22" x14ac:dyDescent="0.3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104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654</v>
      </c>
      <c r="P147" s="109">
        <v>191688</v>
      </c>
      <c r="Q147" s="107"/>
      <c r="R147" s="111"/>
      <c r="S147" s="110" t="s">
        <v>574</v>
      </c>
      <c r="T147"/>
      <c r="U147"/>
      <c r="V147"/>
    </row>
    <row r="148" spans="1:22" x14ac:dyDescent="0.3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104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655</v>
      </c>
      <c r="P148" s="109">
        <v>191688</v>
      </c>
      <c r="Q148" s="107"/>
      <c r="R148" s="111"/>
      <c r="S148" s="110" t="s">
        <v>574</v>
      </c>
      <c r="T148"/>
      <c r="U148"/>
      <c r="V148"/>
    </row>
    <row r="149" spans="1:22" x14ac:dyDescent="0.3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104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656</v>
      </c>
      <c r="P149" s="109">
        <v>191688</v>
      </c>
      <c r="Q149" s="107"/>
      <c r="R149" s="111"/>
      <c r="S149" s="110" t="s">
        <v>574</v>
      </c>
      <c r="T149"/>
      <c r="U149"/>
      <c r="V149"/>
    </row>
    <row r="150" spans="1:22" x14ac:dyDescent="0.3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104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657</v>
      </c>
      <c r="P150" s="109">
        <v>191688</v>
      </c>
      <c r="Q150" s="107"/>
      <c r="R150" s="111"/>
      <c r="S150" s="110" t="s">
        <v>574</v>
      </c>
      <c r="T150"/>
      <c r="U150"/>
      <c r="V150"/>
    </row>
    <row r="151" spans="1:22" x14ac:dyDescent="0.3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104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658</v>
      </c>
      <c r="P151" s="109">
        <v>191695</v>
      </c>
      <c r="Q151" s="107"/>
      <c r="R151" s="111"/>
      <c r="S151" s="110" t="s">
        <v>574</v>
      </c>
      <c r="T151"/>
      <c r="U151"/>
      <c r="V151"/>
    </row>
    <row r="152" spans="1:22" x14ac:dyDescent="0.3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104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659</v>
      </c>
      <c r="P152" s="109">
        <v>191695</v>
      </c>
      <c r="Q152" s="107"/>
      <c r="R152" s="111"/>
      <c r="S152" s="110" t="s">
        <v>574</v>
      </c>
      <c r="T152"/>
      <c r="U152"/>
      <c r="V152"/>
    </row>
    <row r="153" spans="1:22" x14ac:dyDescent="0.3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104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660</v>
      </c>
      <c r="P153" s="109">
        <v>191695</v>
      </c>
      <c r="Q153" s="107"/>
      <c r="R153" s="111"/>
      <c r="S153" s="110" t="s">
        <v>574</v>
      </c>
      <c r="T153"/>
      <c r="U153"/>
      <c r="V153"/>
    </row>
    <row r="154" spans="1:22" x14ac:dyDescent="0.3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104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661</v>
      </c>
      <c r="P154" s="109">
        <v>191695</v>
      </c>
      <c r="Q154" s="107"/>
      <c r="R154" s="111"/>
      <c r="S154" s="110" t="s">
        <v>574</v>
      </c>
      <c r="T154"/>
      <c r="U154"/>
      <c r="V154"/>
    </row>
    <row r="155" spans="1:22" x14ac:dyDescent="0.3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104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662</v>
      </c>
      <c r="P155" s="109">
        <v>191695</v>
      </c>
      <c r="Q155" s="107"/>
      <c r="R155" s="111"/>
      <c r="S155" s="110" t="s">
        <v>574</v>
      </c>
      <c r="T155"/>
      <c r="U155"/>
      <c r="V155"/>
    </row>
    <row r="156" spans="1:22" x14ac:dyDescent="0.3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104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663</v>
      </c>
      <c r="P156" s="109">
        <v>191695</v>
      </c>
      <c r="Q156" s="107"/>
      <c r="R156" s="111"/>
      <c r="S156" s="110" t="s">
        <v>574</v>
      </c>
      <c r="T156"/>
      <c r="U156"/>
      <c r="V156"/>
    </row>
    <row r="157" spans="1:22" x14ac:dyDescent="0.3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104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664</v>
      </c>
      <c r="P157" s="109">
        <v>191695</v>
      </c>
      <c r="Q157" s="107"/>
      <c r="R157" s="111"/>
      <c r="S157" s="110" t="s">
        <v>574</v>
      </c>
      <c r="T157"/>
      <c r="U157"/>
      <c r="V157"/>
    </row>
    <row r="158" spans="1:22" x14ac:dyDescent="0.3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104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665</v>
      </c>
      <c r="P158" s="109">
        <v>191695</v>
      </c>
      <c r="Q158" s="107"/>
      <c r="R158" s="111"/>
      <c r="S158" s="110" t="s">
        <v>574</v>
      </c>
      <c r="T158"/>
      <c r="U158"/>
      <c r="V158"/>
    </row>
    <row r="159" spans="1:22" x14ac:dyDescent="0.3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104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666</v>
      </c>
      <c r="P159" s="109">
        <v>191695</v>
      </c>
      <c r="Q159" s="107"/>
      <c r="R159" s="111"/>
      <c r="S159" s="110" t="s">
        <v>574</v>
      </c>
      <c r="T159"/>
      <c r="U159"/>
      <c r="V159"/>
    </row>
    <row r="160" spans="1:22" x14ac:dyDescent="0.3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104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667</v>
      </c>
      <c r="P160" s="109">
        <v>191695</v>
      </c>
      <c r="Q160" s="107"/>
      <c r="R160" s="111"/>
      <c r="S160" s="110" t="s">
        <v>574</v>
      </c>
      <c r="T160"/>
      <c r="U160"/>
      <c r="V160"/>
    </row>
    <row r="161" spans="1:22" x14ac:dyDescent="0.3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104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668</v>
      </c>
      <c r="P161" s="109">
        <v>191695</v>
      </c>
      <c r="Q161" s="107"/>
      <c r="R161" s="111"/>
      <c r="S161" s="110" t="s">
        <v>574</v>
      </c>
      <c r="T161"/>
      <c r="U161"/>
      <c r="V161"/>
    </row>
    <row r="162" spans="1:22" x14ac:dyDescent="0.3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104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669</v>
      </c>
      <c r="P162" s="109">
        <v>191695</v>
      </c>
      <c r="Q162" s="107"/>
      <c r="R162" s="111"/>
      <c r="S162" s="110" t="s">
        <v>574</v>
      </c>
      <c r="T162"/>
      <c r="U162"/>
      <c r="V162"/>
    </row>
    <row r="163" spans="1:22" x14ac:dyDescent="0.3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104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670</v>
      </c>
      <c r="P163" s="109">
        <v>191695</v>
      </c>
      <c r="Q163" s="107"/>
      <c r="R163" s="111"/>
      <c r="S163" s="110" t="s">
        <v>574</v>
      </c>
      <c r="T163"/>
      <c r="U163"/>
      <c r="V163"/>
    </row>
    <row r="164" spans="1:22" x14ac:dyDescent="0.3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104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671</v>
      </c>
      <c r="P164" s="109">
        <v>191702</v>
      </c>
      <c r="Q164" s="107"/>
      <c r="R164" s="111"/>
      <c r="S164" s="110" t="s">
        <v>574</v>
      </c>
      <c r="T164"/>
      <c r="U164"/>
      <c r="V164"/>
    </row>
    <row r="165" spans="1:22" x14ac:dyDescent="0.3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104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672</v>
      </c>
      <c r="P165" s="109">
        <v>191702</v>
      </c>
      <c r="Q165" s="107"/>
      <c r="R165" s="111"/>
      <c r="S165" s="110" t="s">
        <v>574</v>
      </c>
      <c r="T165"/>
      <c r="U165"/>
      <c r="V165"/>
    </row>
    <row r="166" spans="1:22" x14ac:dyDescent="0.3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104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673</v>
      </c>
      <c r="P166" s="109">
        <v>191702</v>
      </c>
      <c r="Q166" s="107"/>
      <c r="R166" s="111"/>
      <c r="S166" s="110" t="s">
        <v>574</v>
      </c>
      <c r="T166"/>
      <c r="U166"/>
      <c r="V166"/>
    </row>
    <row r="167" spans="1:22" x14ac:dyDescent="0.3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104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674</v>
      </c>
      <c r="P167" s="109">
        <v>191702</v>
      </c>
      <c r="Q167" s="107"/>
      <c r="R167" s="111"/>
      <c r="S167" s="110" t="s">
        <v>574</v>
      </c>
      <c r="T167"/>
      <c r="U167"/>
      <c r="V167"/>
    </row>
    <row r="168" spans="1:22" x14ac:dyDescent="0.3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104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675</v>
      </c>
      <c r="P168" s="109">
        <v>191702</v>
      </c>
      <c r="Q168" s="107"/>
      <c r="R168" s="111"/>
      <c r="S168" s="110" t="s">
        <v>574</v>
      </c>
      <c r="T168"/>
      <c r="U168"/>
      <c r="V168"/>
    </row>
    <row r="169" spans="1:22" x14ac:dyDescent="0.3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104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676</v>
      </c>
      <c r="P169" s="109">
        <v>191702</v>
      </c>
      <c r="Q169" s="107"/>
      <c r="R169" s="111"/>
      <c r="S169" s="110" t="s">
        <v>574</v>
      </c>
      <c r="T169"/>
      <c r="U169"/>
      <c r="V169"/>
    </row>
    <row r="170" spans="1:22" x14ac:dyDescent="0.3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104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677</v>
      </c>
      <c r="P170" s="109">
        <v>191702</v>
      </c>
      <c r="Q170" s="107"/>
      <c r="R170" s="111"/>
      <c r="S170" s="110" t="s">
        <v>574</v>
      </c>
      <c r="T170"/>
      <c r="U170"/>
      <c r="V170"/>
    </row>
    <row r="171" spans="1:22" x14ac:dyDescent="0.3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104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678</v>
      </c>
      <c r="P171" s="109">
        <v>191702</v>
      </c>
      <c r="Q171" s="107"/>
      <c r="R171" s="111"/>
      <c r="S171" s="110" t="s">
        <v>574</v>
      </c>
      <c r="T171"/>
      <c r="U171"/>
      <c r="V171"/>
    </row>
    <row r="172" spans="1:22" x14ac:dyDescent="0.3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104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679</v>
      </c>
      <c r="P172" s="109">
        <v>191702</v>
      </c>
      <c r="Q172" s="107"/>
      <c r="R172" s="111"/>
      <c r="S172" s="110" t="s">
        <v>574</v>
      </c>
      <c r="T172"/>
      <c r="U172"/>
      <c r="V172"/>
    </row>
    <row r="173" spans="1:22" x14ac:dyDescent="0.3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104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680</v>
      </c>
      <c r="P173" s="109">
        <v>191702</v>
      </c>
      <c r="Q173" s="107"/>
      <c r="R173" s="111"/>
      <c r="S173" s="110" t="s">
        <v>574</v>
      </c>
      <c r="T173"/>
      <c r="U173"/>
      <c r="V173"/>
    </row>
    <row r="174" spans="1:22" x14ac:dyDescent="0.3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104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681</v>
      </c>
      <c r="P174" s="109">
        <v>191702</v>
      </c>
      <c r="Q174" s="107"/>
      <c r="R174" s="111"/>
      <c r="S174" s="110" t="s">
        <v>574</v>
      </c>
      <c r="T174"/>
      <c r="U174"/>
      <c r="V174"/>
    </row>
    <row r="175" spans="1:22" x14ac:dyDescent="0.3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104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682</v>
      </c>
      <c r="P175" s="109">
        <v>191702</v>
      </c>
      <c r="Q175" s="107"/>
      <c r="R175" s="111"/>
      <c r="S175" s="110" t="s">
        <v>574</v>
      </c>
      <c r="T175"/>
      <c r="U175"/>
      <c r="V175"/>
    </row>
    <row r="176" spans="1:22" x14ac:dyDescent="0.3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104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683</v>
      </c>
      <c r="P176" s="109">
        <v>191702</v>
      </c>
      <c r="Q176" s="107"/>
      <c r="R176" s="111"/>
      <c r="S176" s="110" t="s">
        <v>574</v>
      </c>
      <c r="T176"/>
      <c r="U176"/>
      <c r="V176"/>
    </row>
    <row r="177" spans="1:22" x14ac:dyDescent="0.3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104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684</v>
      </c>
      <c r="P177" s="109">
        <v>191702</v>
      </c>
      <c r="Q177" s="107"/>
      <c r="R177" s="111"/>
      <c r="S177" s="110" t="s">
        <v>574</v>
      </c>
      <c r="T177"/>
      <c r="U177"/>
      <c r="V177"/>
    </row>
    <row r="178" spans="1:22" x14ac:dyDescent="0.3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104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685</v>
      </c>
      <c r="P178" s="109">
        <v>191702</v>
      </c>
      <c r="Q178" s="107"/>
      <c r="R178" s="111"/>
      <c r="S178" s="110" t="s">
        <v>574</v>
      </c>
      <c r="T178"/>
      <c r="U178"/>
      <c r="V178"/>
    </row>
    <row r="179" spans="1:22" x14ac:dyDescent="0.3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104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686</v>
      </c>
      <c r="P179" s="109">
        <v>191703</v>
      </c>
      <c r="Q179" s="107"/>
      <c r="R179" s="111"/>
      <c r="S179" s="110" t="s">
        <v>574</v>
      </c>
      <c r="T179"/>
      <c r="U179"/>
      <c r="V179"/>
    </row>
    <row r="180" spans="1:22" x14ac:dyDescent="0.3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104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687</v>
      </c>
      <c r="P180" s="109">
        <v>191703</v>
      </c>
      <c r="Q180" s="107"/>
      <c r="R180" s="111"/>
      <c r="S180" s="110" t="s">
        <v>574</v>
      </c>
      <c r="T180"/>
      <c r="U180"/>
      <c r="V180"/>
    </row>
    <row r="181" spans="1:22" x14ac:dyDescent="0.3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104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688</v>
      </c>
      <c r="P181" s="109">
        <v>191703</v>
      </c>
      <c r="Q181" s="107"/>
      <c r="R181" s="111"/>
      <c r="S181" s="110" t="s">
        <v>574</v>
      </c>
      <c r="T181"/>
      <c r="U181"/>
      <c r="V181"/>
    </row>
    <row r="182" spans="1:22" x14ac:dyDescent="0.3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104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689</v>
      </c>
      <c r="P182" s="109">
        <v>191703</v>
      </c>
      <c r="Q182" s="107"/>
      <c r="R182" s="111"/>
      <c r="S182" s="110" t="s">
        <v>574</v>
      </c>
      <c r="T182"/>
      <c r="U182"/>
      <c r="V182"/>
    </row>
    <row r="183" spans="1:22" x14ac:dyDescent="0.3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104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690</v>
      </c>
      <c r="P183" s="109">
        <v>191703</v>
      </c>
      <c r="Q183" s="107"/>
      <c r="R183" s="111"/>
      <c r="S183" s="110" t="s">
        <v>574</v>
      </c>
      <c r="T183"/>
      <c r="U183"/>
      <c r="V183"/>
    </row>
    <row r="184" spans="1:22" x14ac:dyDescent="0.3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104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691</v>
      </c>
      <c r="P184" s="109">
        <v>191703</v>
      </c>
      <c r="Q184" s="107"/>
      <c r="R184" s="111"/>
      <c r="S184" s="110" t="s">
        <v>574</v>
      </c>
      <c r="T184"/>
      <c r="U184"/>
      <c r="V184"/>
    </row>
    <row r="185" spans="1:22" x14ac:dyDescent="0.3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104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692</v>
      </c>
      <c r="P185" s="109">
        <v>191703</v>
      </c>
      <c r="Q185" s="107"/>
      <c r="R185" s="111"/>
      <c r="S185" s="110" t="s">
        <v>574</v>
      </c>
      <c r="T185"/>
      <c r="U185"/>
      <c r="V185"/>
    </row>
    <row r="186" spans="1:22" x14ac:dyDescent="0.3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104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693</v>
      </c>
      <c r="P186" s="109">
        <v>191703</v>
      </c>
      <c r="Q186" s="107"/>
      <c r="R186" s="111"/>
      <c r="S186" s="110" t="s">
        <v>574</v>
      </c>
      <c r="T186"/>
      <c r="U186"/>
      <c r="V186"/>
    </row>
    <row r="187" spans="1:22" x14ac:dyDescent="0.3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104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694</v>
      </c>
      <c r="P187" s="109">
        <v>191703</v>
      </c>
      <c r="Q187" s="107"/>
      <c r="R187" s="111"/>
      <c r="S187" s="110" t="s">
        <v>574</v>
      </c>
      <c r="T187"/>
      <c r="U187"/>
      <c r="V187"/>
    </row>
    <row r="188" spans="1:22" x14ac:dyDescent="0.3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104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695</v>
      </c>
      <c r="P188" s="109">
        <v>191703</v>
      </c>
      <c r="Q188" s="107"/>
      <c r="R188" s="111"/>
      <c r="S188" s="110" t="s">
        <v>574</v>
      </c>
      <c r="T188"/>
      <c r="U188"/>
      <c r="V188"/>
    </row>
    <row r="189" spans="1:22" x14ac:dyDescent="0.3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104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696</v>
      </c>
      <c r="P189" s="109">
        <v>191703</v>
      </c>
      <c r="Q189" s="107"/>
      <c r="R189" s="111"/>
      <c r="S189" s="110" t="s">
        <v>574</v>
      </c>
      <c r="T189"/>
      <c r="U189"/>
      <c r="V189"/>
    </row>
    <row r="190" spans="1:22" x14ac:dyDescent="0.3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104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697</v>
      </c>
      <c r="P190" s="109">
        <v>191703</v>
      </c>
      <c r="Q190" s="107"/>
      <c r="R190" s="111"/>
      <c r="S190" s="110" t="s">
        <v>574</v>
      </c>
      <c r="T190"/>
      <c r="U190"/>
      <c r="V190"/>
    </row>
    <row r="191" spans="1:22" x14ac:dyDescent="0.3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104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698</v>
      </c>
      <c r="P191" s="109">
        <v>191703</v>
      </c>
      <c r="Q191" s="107"/>
      <c r="R191" s="111"/>
      <c r="S191" s="110" t="s">
        <v>574</v>
      </c>
      <c r="T191"/>
      <c r="U191"/>
      <c r="V191"/>
    </row>
    <row r="192" spans="1:22" x14ac:dyDescent="0.3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104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699</v>
      </c>
      <c r="P192" s="109">
        <v>191703</v>
      </c>
      <c r="Q192" s="107"/>
      <c r="R192" s="111"/>
      <c r="S192" s="110" t="s">
        <v>574</v>
      </c>
      <c r="T192"/>
      <c r="U192"/>
      <c r="V192"/>
    </row>
    <row r="193" spans="1:22" x14ac:dyDescent="0.3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104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700</v>
      </c>
      <c r="P193" s="109">
        <v>191704</v>
      </c>
      <c r="Q193" s="107"/>
      <c r="R193" s="111"/>
      <c r="S193" s="110" t="s">
        <v>574</v>
      </c>
      <c r="T193"/>
      <c r="U193"/>
      <c r="V193"/>
    </row>
    <row r="194" spans="1:22" x14ac:dyDescent="0.3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104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701</v>
      </c>
      <c r="P194" s="109">
        <v>191704</v>
      </c>
      <c r="Q194" s="107"/>
      <c r="R194" s="111"/>
      <c r="S194" s="110" t="s">
        <v>574</v>
      </c>
      <c r="T194"/>
      <c r="U194"/>
      <c r="V194"/>
    </row>
    <row r="195" spans="1:22" x14ac:dyDescent="0.3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104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702</v>
      </c>
      <c r="P195" s="109">
        <v>191704</v>
      </c>
      <c r="Q195" s="107"/>
      <c r="R195" s="111"/>
      <c r="S195" s="110" t="s">
        <v>574</v>
      </c>
      <c r="T195"/>
      <c r="U195"/>
      <c r="V195"/>
    </row>
    <row r="196" spans="1:22" x14ac:dyDescent="0.3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104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703</v>
      </c>
      <c r="P196" s="109">
        <v>191704</v>
      </c>
      <c r="Q196" s="107"/>
      <c r="R196" s="111"/>
      <c r="S196" s="110" t="s">
        <v>574</v>
      </c>
      <c r="T196"/>
      <c r="U196"/>
      <c r="V196"/>
    </row>
    <row r="197" spans="1:22" x14ac:dyDescent="0.3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104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704</v>
      </c>
      <c r="P197" s="109">
        <v>191704</v>
      </c>
      <c r="Q197" s="107"/>
      <c r="R197" s="111"/>
      <c r="S197" s="110" t="s">
        <v>574</v>
      </c>
      <c r="T197"/>
      <c r="U197"/>
      <c r="V197"/>
    </row>
    <row r="198" spans="1:22" x14ac:dyDescent="0.3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104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705</v>
      </c>
      <c r="P198" s="109">
        <v>191704</v>
      </c>
      <c r="Q198" s="107"/>
      <c r="R198" s="111"/>
      <c r="S198" s="110" t="s">
        <v>574</v>
      </c>
      <c r="T198"/>
      <c r="U198"/>
      <c r="V198"/>
    </row>
    <row r="199" spans="1:22" x14ac:dyDescent="0.3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104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706</v>
      </c>
      <c r="P199" s="109">
        <v>191704</v>
      </c>
      <c r="Q199" s="107"/>
      <c r="R199" s="111"/>
      <c r="S199" s="110" t="s">
        <v>574</v>
      </c>
      <c r="T199"/>
      <c r="U199"/>
      <c r="V199"/>
    </row>
    <row r="200" spans="1:22" x14ac:dyDescent="0.3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104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707</v>
      </c>
      <c r="P200" s="109">
        <v>191704</v>
      </c>
      <c r="Q200" s="107"/>
      <c r="R200" s="111"/>
      <c r="S200" s="110" t="s">
        <v>574</v>
      </c>
      <c r="T200"/>
      <c r="U200"/>
      <c r="V200"/>
    </row>
    <row r="201" spans="1:22" x14ac:dyDescent="0.3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104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708</v>
      </c>
      <c r="P201" s="109">
        <v>191704</v>
      </c>
      <c r="Q201" s="107"/>
      <c r="R201" s="111"/>
      <c r="S201" s="110" t="s">
        <v>574</v>
      </c>
      <c r="T201"/>
      <c r="U201"/>
      <c r="V201"/>
    </row>
    <row r="202" spans="1:22" x14ac:dyDescent="0.3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104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709</v>
      </c>
      <c r="P202" s="109">
        <v>191704</v>
      </c>
      <c r="Q202" s="107"/>
      <c r="R202" s="111"/>
      <c r="S202" s="110" t="s">
        <v>574</v>
      </c>
      <c r="T202"/>
      <c r="U202"/>
      <c r="V202"/>
    </row>
    <row r="203" spans="1:22" x14ac:dyDescent="0.3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104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710</v>
      </c>
      <c r="P203" s="109">
        <v>191704</v>
      </c>
      <c r="Q203" s="107"/>
      <c r="R203" s="111"/>
      <c r="S203" s="110" t="s">
        <v>574</v>
      </c>
      <c r="T203"/>
      <c r="U203"/>
      <c r="V203"/>
    </row>
    <row r="204" spans="1:22" x14ac:dyDescent="0.3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104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711</v>
      </c>
      <c r="P204" s="109">
        <v>191704</v>
      </c>
      <c r="Q204" s="107"/>
      <c r="R204" s="111"/>
      <c r="S204" s="110" t="s">
        <v>574</v>
      </c>
      <c r="T204"/>
      <c r="U204"/>
      <c r="V204"/>
    </row>
    <row r="205" spans="1:22" x14ac:dyDescent="0.3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104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712</v>
      </c>
      <c r="P205" s="109">
        <v>191704</v>
      </c>
      <c r="Q205" s="107"/>
      <c r="R205" s="111"/>
      <c r="S205" s="110" t="s">
        <v>574</v>
      </c>
      <c r="T205"/>
      <c r="U205"/>
      <c r="V205"/>
    </row>
    <row r="206" spans="1:22" x14ac:dyDescent="0.3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104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713</v>
      </c>
      <c r="P206" s="109">
        <v>191704</v>
      </c>
      <c r="Q206" s="107"/>
      <c r="R206" s="111"/>
      <c r="S206" s="110" t="s">
        <v>574</v>
      </c>
      <c r="T206"/>
      <c r="U206"/>
      <c r="V206"/>
    </row>
    <row r="207" spans="1:22" x14ac:dyDescent="0.3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104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714</v>
      </c>
      <c r="P207" s="109">
        <v>191707</v>
      </c>
      <c r="Q207" s="107"/>
      <c r="R207" s="111"/>
      <c r="S207" s="110" t="s">
        <v>574</v>
      </c>
      <c r="T207"/>
      <c r="U207"/>
      <c r="V207"/>
    </row>
    <row r="208" spans="1:22" x14ac:dyDescent="0.3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104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715</v>
      </c>
      <c r="P208" s="109">
        <v>191707</v>
      </c>
      <c r="Q208" s="107"/>
      <c r="R208" s="111"/>
      <c r="S208" s="110" t="s">
        <v>574</v>
      </c>
      <c r="T208"/>
      <c r="U208"/>
      <c r="V208"/>
    </row>
    <row r="209" spans="1:22" x14ac:dyDescent="0.3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104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716</v>
      </c>
      <c r="P209" s="109">
        <v>191707</v>
      </c>
      <c r="Q209" s="107"/>
      <c r="R209" s="111"/>
      <c r="S209" s="110" t="s">
        <v>574</v>
      </c>
      <c r="T209"/>
      <c r="U209"/>
      <c r="V209"/>
    </row>
    <row r="210" spans="1:22" x14ac:dyDescent="0.3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104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717</v>
      </c>
      <c r="P210" s="109">
        <v>191707</v>
      </c>
      <c r="Q210" s="107"/>
      <c r="R210" s="111"/>
      <c r="S210" s="110" t="s">
        <v>574</v>
      </c>
      <c r="T210"/>
      <c r="U210"/>
      <c r="V210"/>
    </row>
    <row r="211" spans="1:22" x14ac:dyDescent="0.3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104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718</v>
      </c>
      <c r="P211" s="109">
        <v>191707</v>
      </c>
      <c r="Q211" s="107"/>
      <c r="R211" s="111"/>
      <c r="S211" s="110" t="s">
        <v>574</v>
      </c>
      <c r="T211"/>
      <c r="U211"/>
      <c r="V211"/>
    </row>
    <row r="212" spans="1:22" x14ac:dyDescent="0.3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104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719</v>
      </c>
      <c r="P212" s="109">
        <v>191707</v>
      </c>
      <c r="Q212" s="107"/>
      <c r="R212" s="111"/>
      <c r="S212" s="110" t="s">
        <v>574</v>
      </c>
      <c r="T212"/>
      <c r="U212"/>
      <c r="V212"/>
    </row>
    <row r="213" spans="1:22" x14ac:dyDescent="0.3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104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720</v>
      </c>
      <c r="P213" s="109">
        <v>191707</v>
      </c>
      <c r="Q213" s="107"/>
      <c r="R213" s="111"/>
      <c r="S213" s="110" t="s">
        <v>574</v>
      </c>
      <c r="T213"/>
      <c r="U213"/>
      <c r="V213"/>
    </row>
    <row r="214" spans="1:22" x14ac:dyDescent="0.3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104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721</v>
      </c>
      <c r="P214" s="109">
        <v>191707</v>
      </c>
      <c r="Q214" s="107"/>
      <c r="R214" s="111"/>
      <c r="S214" s="110" t="s">
        <v>574</v>
      </c>
      <c r="T214"/>
      <c r="U214"/>
      <c r="V214"/>
    </row>
    <row r="215" spans="1:22" x14ac:dyDescent="0.3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104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722</v>
      </c>
      <c r="P215" s="109">
        <v>191707</v>
      </c>
      <c r="Q215" s="107"/>
      <c r="R215" s="111"/>
      <c r="S215" s="110" t="s">
        <v>574</v>
      </c>
      <c r="T215"/>
      <c r="U215"/>
      <c r="V215"/>
    </row>
    <row r="216" spans="1:22" x14ac:dyDescent="0.3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104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723</v>
      </c>
      <c r="P216" s="109">
        <v>191707</v>
      </c>
      <c r="Q216" s="107"/>
      <c r="R216" s="111"/>
      <c r="S216" s="110" t="s">
        <v>574</v>
      </c>
      <c r="T216"/>
      <c r="U216"/>
      <c r="V216"/>
    </row>
    <row r="217" spans="1:22" x14ac:dyDescent="0.3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104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724</v>
      </c>
      <c r="P217" s="109">
        <v>191707</v>
      </c>
      <c r="Q217" s="107"/>
      <c r="R217" s="111"/>
      <c r="S217" s="110" t="s">
        <v>574</v>
      </c>
      <c r="T217"/>
      <c r="U217"/>
      <c r="V217"/>
    </row>
    <row r="218" spans="1:22" x14ac:dyDescent="0.3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104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725</v>
      </c>
      <c r="P218" s="109">
        <v>191707</v>
      </c>
      <c r="Q218" s="107"/>
      <c r="R218" s="111"/>
      <c r="S218" s="110" t="s">
        <v>574</v>
      </c>
      <c r="T218"/>
      <c r="U218"/>
      <c r="V218"/>
    </row>
    <row r="219" spans="1:22" x14ac:dyDescent="0.3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104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726</v>
      </c>
      <c r="P219" s="109">
        <v>191707</v>
      </c>
      <c r="Q219" s="107"/>
      <c r="R219" s="111"/>
      <c r="S219" s="110" t="s">
        <v>574</v>
      </c>
      <c r="T219"/>
      <c r="U219"/>
      <c r="V219"/>
    </row>
    <row r="220" spans="1:22" x14ac:dyDescent="0.3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104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727</v>
      </c>
      <c r="P220" s="109">
        <v>191707</v>
      </c>
      <c r="Q220" s="107"/>
      <c r="R220" s="111"/>
      <c r="S220" s="110" t="s">
        <v>574</v>
      </c>
      <c r="T220"/>
      <c r="U220"/>
      <c r="V220"/>
    </row>
    <row r="221" spans="1:22" x14ac:dyDescent="0.3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104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728</v>
      </c>
      <c r="P221" s="109">
        <v>191710</v>
      </c>
      <c r="Q221" s="107"/>
      <c r="R221" s="111"/>
      <c r="S221" s="110" t="s">
        <v>574</v>
      </c>
      <c r="T221"/>
      <c r="U221"/>
      <c r="V221"/>
    </row>
    <row r="222" spans="1:22" x14ac:dyDescent="0.3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104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729</v>
      </c>
      <c r="P222" s="109">
        <v>191710</v>
      </c>
      <c r="Q222" s="107"/>
      <c r="R222" s="111"/>
      <c r="S222" s="110" t="s">
        <v>574</v>
      </c>
      <c r="T222"/>
      <c r="U222"/>
      <c r="V222"/>
    </row>
    <row r="223" spans="1:22" x14ac:dyDescent="0.3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104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730</v>
      </c>
      <c r="P223" s="109">
        <v>191710</v>
      </c>
      <c r="Q223" s="107"/>
      <c r="R223" s="111"/>
      <c r="S223" s="110" t="s">
        <v>574</v>
      </c>
      <c r="T223"/>
      <c r="U223"/>
      <c r="V223"/>
    </row>
    <row r="224" spans="1:22" x14ac:dyDescent="0.3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104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731</v>
      </c>
      <c r="P224" s="109">
        <v>191710</v>
      </c>
      <c r="Q224" s="107"/>
      <c r="R224" s="111"/>
      <c r="S224" s="110" t="s">
        <v>574</v>
      </c>
      <c r="T224"/>
      <c r="U224"/>
      <c r="V224"/>
    </row>
    <row r="225" spans="1:22" x14ac:dyDescent="0.3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104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732</v>
      </c>
      <c r="P225" s="109">
        <v>191710</v>
      </c>
      <c r="Q225" s="107"/>
      <c r="R225" s="111"/>
      <c r="S225" s="110" t="s">
        <v>574</v>
      </c>
      <c r="T225"/>
      <c r="U225"/>
      <c r="V225"/>
    </row>
    <row r="226" spans="1:22" x14ac:dyDescent="0.3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104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733</v>
      </c>
      <c r="P226" s="109">
        <v>191710</v>
      </c>
      <c r="Q226" s="107"/>
      <c r="R226" s="111"/>
      <c r="S226" s="110" t="s">
        <v>574</v>
      </c>
      <c r="T226"/>
      <c r="U226"/>
      <c r="V226"/>
    </row>
    <row r="227" spans="1:22" x14ac:dyDescent="0.3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104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734</v>
      </c>
      <c r="P227" s="109">
        <v>191710</v>
      </c>
      <c r="Q227" s="107"/>
      <c r="R227" s="111"/>
      <c r="S227" s="110" t="s">
        <v>574</v>
      </c>
      <c r="T227"/>
      <c r="U227"/>
      <c r="V227"/>
    </row>
    <row r="228" spans="1:22" x14ac:dyDescent="0.3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104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735</v>
      </c>
      <c r="P228" s="109">
        <v>191710</v>
      </c>
      <c r="Q228" s="107"/>
      <c r="R228" s="111"/>
      <c r="S228" s="110" t="s">
        <v>574</v>
      </c>
      <c r="T228"/>
      <c r="U228"/>
      <c r="V228"/>
    </row>
    <row r="229" spans="1:22" x14ac:dyDescent="0.3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104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736</v>
      </c>
      <c r="P229" s="109">
        <v>191710</v>
      </c>
      <c r="Q229" s="107"/>
      <c r="R229" s="111"/>
      <c r="S229" s="110" t="s">
        <v>574</v>
      </c>
      <c r="T229"/>
      <c r="U229"/>
      <c r="V229"/>
    </row>
    <row r="230" spans="1:22" x14ac:dyDescent="0.3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104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737</v>
      </c>
      <c r="P230" s="109">
        <v>191710</v>
      </c>
      <c r="Q230" s="107"/>
      <c r="R230" s="111"/>
      <c r="S230" s="110" t="s">
        <v>574</v>
      </c>
      <c r="T230"/>
      <c r="U230"/>
      <c r="V230"/>
    </row>
    <row r="231" spans="1:22" x14ac:dyDescent="0.3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104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738</v>
      </c>
      <c r="P231" s="109">
        <v>191710</v>
      </c>
      <c r="Q231" s="107"/>
      <c r="R231" s="111"/>
      <c r="S231" s="110" t="s">
        <v>574</v>
      </c>
      <c r="T231"/>
      <c r="U231"/>
      <c r="V231"/>
    </row>
    <row r="232" spans="1:22" x14ac:dyDescent="0.3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104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739</v>
      </c>
      <c r="P232" s="109">
        <v>191710</v>
      </c>
      <c r="Q232" s="107"/>
      <c r="R232" s="111"/>
      <c r="S232" s="110" t="s">
        <v>574</v>
      </c>
      <c r="T232"/>
      <c r="U232"/>
      <c r="V232"/>
    </row>
    <row r="233" spans="1:22" x14ac:dyDescent="0.3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104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740</v>
      </c>
      <c r="P233" s="109">
        <v>191710</v>
      </c>
      <c r="Q233" s="107"/>
      <c r="R233" s="111"/>
      <c r="S233" s="110" t="s">
        <v>574</v>
      </c>
      <c r="T233"/>
      <c r="U233"/>
      <c r="V233"/>
    </row>
    <row r="234" spans="1:22" x14ac:dyDescent="0.3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104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741</v>
      </c>
      <c r="P234" s="109">
        <v>191897</v>
      </c>
      <c r="Q234" s="107"/>
      <c r="R234" s="111"/>
      <c r="S234" s="110" t="s">
        <v>574</v>
      </c>
      <c r="T234"/>
      <c r="U234"/>
      <c r="V234"/>
    </row>
    <row r="235" spans="1:22" x14ac:dyDescent="0.3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104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742</v>
      </c>
      <c r="P235" s="109">
        <v>191890</v>
      </c>
      <c r="Q235" s="107"/>
      <c r="R235" s="111"/>
      <c r="S235" s="110" t="s">
        <v>574</v>
      </c>
      <c r="T235"/>
      <c r="U235"/>
      <c r="V235"/>
    </row>
    <row r="236" spans="1:22" x14ac:dyDescent="0.3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104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743</v>
      </c>
      <c r="P236" s="109">
        <v>191710</v>
      </c>
      <c r="Q236" s="107"/>
      <c r="R236" s="111"/>
      <c r="S236" s="110" t="s">
        <v>574</v>
      </c>
      <c r="T236"/>
      <c r="U236"/>
      <c r="V236"/>
    </row>
    <row r="237" spans="1:22" x14ac:dyDescent="0.3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104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744</v>
      </c>
      <c r="P237" s="109">
        <v>191710</v>
      </c>
      <c r="Q237" s="107"/>
      <c r="R237" s="111"/>
      <c r="S237" s="110" t="s">
        <v>574</v>
      </c>
      <c r="T237"/>
      <c r="U237"/>
      <c r="V237"/>
    </row>
    <row r="238" spans="1:22" x14ac:dyDescent="0.3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104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745</v>
      </c>
      <c r="P238" s="109">
        <v>191710</v>
      </c>
      <c r="Q238" s="107"/>
      <c r="R238" s="111"/>
      <c r="S238" s="110" t="s">
        <v>574</v>
      </c>
      <c r="T238"/>
      <c r="U238"/>
      <c r="V238"/>
    </row>
    <row r="239" spans="1:22" x14ac:dyDescent="0.3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104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746</v>
      </c>
      <c r="P239" s="109">
        <v>191710</v>
      </c>
      <c r="Q239" s="107"/>
      <c r="R239" s="111"/>
      <c r="S239" s="110" t="s">
        <v>574</v>
      </c>
      <c r="T239"/>
      <c r="U239"/>
      <c r="V239"/>
    </row>
    <row r="240" spans="1:22" x14ac:dyDescent="0.3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104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747</v>
      </c>
      <c r="P240" s="109">
        <v>191888</v>
      </c>
      <c r="Q240" s="107"/>
      <c r="R240" s="111"/>
      <c r="S240" s="110" t="s">
        <v>574</v>
      </c>
      <c r="T240"/>
      <c r="U240"/>
      <c r="V240"/>
    </row>
    <row r="241" spans="1:22" x14ac:dyDescent="0.3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104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748</v>
      </c>
      <c r="P241" s="109">
        <v>191888</v>
      </c>
      <c r="Q241" s="107"/>
      <c r="R241" s="111"/>
      <c r="S241" s="110" t="s">
        <v>574</v>
      </c>
      <c r="T241"/>
      <c r="U241"/>
      <c r="V241"/>
    </row>
    <row r="242" spans="1:22" x14ac:dyDescent="0.3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104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749</v>
      </c>
      <c r="P242" s="109">
        <v>191888</v>
      </c>
      <c r="Q242" s="107"/>
      <c r="R242" s="111"/>
      <c r="S242" s="110" t="s">
        <v>574</v>
      </c>
      <c r="T242"/>
      <c r="U242"/>
      <c r="V242"/>
    </row>
    <row r="243" spans="1:22" x14ac:dyDescent="0.3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104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750</v>
      </c>
      <c r="P243" s="109">
        <v>191888</v>
      </c>
      <c r="Q243" s="107"/>
      <c r="R243" s="111"/>
      <c r="S243" s="110" t="s">
        <v>574</v>
      </c>
      <c r="T243"/>
      <c r="U243"/>
      <c r="V243"/>
    </row>
    <row r="244" spans="1:22" x14ac:dyDescent="0.3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104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751</v>
      </c>
      <c r="P244" s="109">
        <v>191888</v>
      </c>
      <c r="Q244" s="107"/>
      <c r="R244" s="111"/>
      <c r="S244" s="110" t="s">
        <v>574</v>
      </c>
      <c r="T244"/>
      <c r="U244"/>
      <c r="V244"/>
    </row>
    <row r="245" spans="1:22" x14ac:dyDescent="0.3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104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752</v>
      </c>
      <c r="P245" s="109">
        <v>191888</v>
      </c>
      <c r="Q245" s="107"/>
      <c r="R245" s="111"/>
      <c r="S245" s="110" t="s">
        <v>574</v>
      </c>
      <c r="T245"/>
      <c r="U245"/>
      <c r="V245"/>
    </row>
    <row r="246" spans="1:22" x14ac:dyDescent="0.3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104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753</v>
      </c>
      <c r="P246" s="109">
        <v>191710</v>
      </c>
      <c r="Q246" s="107"/>
      <c r="R246" s="111"/>
      <c r="S246" s="110" t="s">
        <v>574</v>
      </c>
      <c r="T246"/>
      <c r="U246"/>
      <c r="V246"/>
    </row>
    <row r="247" spans="1:22" x14ac:dyDescent="0.3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104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754</v>
      </c>
      <c r="P247" s="109">
        <v>191710</v>
      </c>
      <c r="Q247" s="107"/>
      <c r="R247" s="111"/>
      <c r="S247" s="110" t="s">
        <v>574</v>
      </c>
      <c r="T247"/>
      <c r="U247"/>
      <c r="V247"/>
    </row>
    <row r="248" spans="1:22" x14ac:dyDescent="0.3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104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755</v>
      </c>
      <c r="P248" s="109">
        <v>191710</v>
      </c>
      <c r="Q248" s="107"/>
      <c r="R248" s="111"/>
      <c r="S248" s="110" t="s">
        <v>574</v>
      </c>
      <c r="T248"/>
      <c r="U248"/>
      <c r="V248"/>
    </row>
    <row r="249" spans="1:22" x14ac:dyDescent="0.3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104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756</v>
      </c>
      <c r="P249" s="109">
        <v>191710</v>
      </c>
      <c r="Q249" s="107"/>
      <c r="R249" s="111"/>
      <c r="S249" s="110" t="s">
        <v>574</v>
      </c>
      <c r="T249"/>
      <c r="U249"/>
      <c r="V249"/>
    </row>
    <row r="250" spans="1:22" x14ac:dyDescent="0.3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104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757</v>
      </c>
      <c r="P250" s="109">
        <v>191710</v>
      </c>
      <c r="Q250" s="107"/>
      <c r="R250" s="111"/>
      <c r="S250" s="110" t="s">
        <v>574</v>
      </c>
      <c r="T250"/>
      <c r="U250"/>
      <c r="V250"/>
    </row>
    <row r="251" spans="1:22" x14ac:dyDescent="0.3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104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759</v>
      </c>
      <c r="P251" s="109">
        <v>191635</v>
      </c>
      <c r="Q251" s="107"/>
      <c r="R251" s="111"/>
      <c r="S251" s="110" t="s">
        <v>574</v>
      </c>
      <c r="T251"/>
      <c r="U251"/>
      <c r="V251"/>
    </row>
    <row r="252" spans="1:22" x14ac:dyDescent="0.3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104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760</v>
      </c>
      <c r="P252" s="109">
        <v>191908</v>
      </c>
      <c r="Q252" s="107"/>
      <c r="R252" s="111"/>
      <c r="S252" s="110" t="s">
        <v>903</v>
      </c>
      <c r="T252"/>
      <c r="U252"/>
      <c r="V252"/>
    </row>
    <row r="253" spans="1:22" x14ac:dyDescent="0.3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104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761</v>
      </c>
      <c r="P253" s="109">
        <v>191908</v>
      </c>
      <c r="Q253" s="107"/>
      <c r="R253" s="111"/>
      <c r="S253" s="110" t="s">
        <v>903</v>
      </c>
      <c r="T253"/>
      <c r="U253"/>
      <c r="V253"/>
    </row>
    <row r="254" spans="1:22" x14ac:dyDescent="0.3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104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762</v>
      </c>
      <c r="P254" s="109">
        <v>191908</v>
      </c>
      <c r="Q254" s="107"/>
      <c r="R254" s="111"/>
      <c r="S254" s="110" t="s">
        <v>903</v>
      </c>
      <c r="T254"/>
      <c r="U254"/>
      <c r="V254"/>
    </row>
    <row r="255" spans="1:22" x14ac:dyDescent="0.3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104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763</v>
      </c>
      <c r="P255" s="109">
        <v>191908</v>
      </c>
      <c r="Q255" s="107"/>
      <c r="R255" s="111"/>
      <c r="S255" s="110" t="s">
        <v>903</v>
      </c>
      <c r="T255"/>
      <c r="U255"/>
      <c r="V255"/>
    </row>
    <row r="256" spans="1:22" x14ac:dyDescent="0.3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104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764</v>
      </c>
      <c r="P256" s="109">
        <v>191908</v>
      </c>
      <c r="Q256" s="107"/>
      <c r="R256" s="111"/>
      <c r="S256" s="110" t="s">
        <v>903</v>
      </c>
      <c r="T256"/>
      <c r="U256"/>
      <c r="V256"/>
    </row>
    <row r="257" spans="1:22" x14ac:dyDescent="0.3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104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765</v>
      </c>
      <c r="P257" s="109">
        <v>191908</v>
      </c>
      <c r="Q257" s="107"/>
      <c r="R257" s="111"/>
      <c r="S257" s="110" t="s">
        <v>903</v>
      </c>
      <c r="T257"/>
      <c r="U257"/>
      <c r="V257"/>
    </row>
    <row r="258" spans="1:22" x14ac:dyDescent="0.3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104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766</v>
      </c>
      <c r="P258" s="109">
        <v>191908</v>
      </c>
      <c r="Q258" s="107"/>
      <c r="R258" s="111"/>
      <c r="S258" s="110" t="s">
        <v>903</v>
      </c>
      <c r="T258"/>
      <c r="U258"/>
      <c r="V258"/>
    </row>
    <row r="259" spans="1:22" x14ac:dyDescent="0.3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104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767</v>
      </c>
      <c r="P259" s="109">
        <v>191908</v>
      </c>
      <c r="Q259" s="107"/>
      <c r="R259" s="111"/>
      <c r="S259" s="110" t="s">
        <v>903</v>
      </c>
      <c r="T259"/>
      <c r="U259"/>
      <c r="V259"/>
    </row>
    <row r="260" spans="1:22" x14ac:dyDescent="0.3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104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768</v>
      </c>
      <c r="P260" s="109">
        <v>191908</v>
      </c>
      <c r="Q260" s="107"/>
      <c r="R260" s="111"/>
      <c r="S260" s="110" t="s">
        <v>903</v>
      </c>
      <c r="T260"/>
      <c r="U260"/>
      <c r="V260"/>
    </row>
    <row r="261" spans="1:22" x14ac:dyDescent="0.3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104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769</v>
      </c>
      <c r="P261" s="109">
        <v>191908</v>
      </c>
      <c r="Q261" s="107"/>
      <c r="R261" s="111"/>
      <c r="S261" s="110" t="s">
        <v>903</v>
      </c>
      <c r="T261"/>
      <c r="U261"/>
      <c r="V261"/>
    </row>
    <row r="262" spans="1:22" x14ac:dyDescent="0.3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104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770</v>
      </c>
      <c r="P262" s="109">
        <v>191908</v>
      </c>
      <c r="Q262" s="107"/>
      <c r="R262" s="111"/>
      <c r="S262" s="110" t="s">
        <v>903</v>
      </c>
      <c r="T262"/>
      <c r="U262"/>
      <c r="V262"/>
    </row>
    <row r="263" spans="1:22" x14ac:dyDescent="0.3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104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771</v>
      </c>
      <c r="P263" s="109">
        <v>191908</v>
      </c>
      <c r="Q263" s="107"/>
      <c r="R263" s="111"/>
      <c r="S263" s="110" t="s">
        <v>903</v>
      </c>
      <c r="T263"/>
      <c r="U263"/>
      <c r="V263"/>
    </row>
    <row r="264" spans="1:22" x14ac:dyDescent="0.3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104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772</v>
      </c>
      <c r="P264" s="109">
        <v>191908</v>
      </c>
      <c r="Q264" s="107"/>
      <c r="R264" s="111"/>
      <c r="S264" s="110" t="s">
        <v>903</v>
      </c>
      <c r="T264"/>
      <c r="U264"/>
      <c r="V264"/>
    </row>
    <row r="265" spans="1:22" x14ac:dyDescent="0.3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104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773</v>
      </c>
      <c r="P265" s="109">
        <v>191908</v>
      </c>
      <c r="Q265" s="107"/>
      <c r="R265" s="111"/>
      <c r="S265" s="110" t="s">
        <v>903</v>
      </c>
      <c r="T265"/>
      <c r="U265"/>
      <c r="V265"/>
    </row>
    <row r="266" spans="1:22" x14ac:dyDescent="0.3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104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774</v>
      </c>
      <c r="P266" s="109">
        <v>191908</v>
      </c>
      <c r="Q266" s="107"/>
      <c r="R266" s="111"/>
      <c r="S266" s="110" t="s">
        <v>903</v>
      </c>
      <c r="T266"/>
      <c r="U266"/>
      <c r="V266"/>
    </row>
    <row r="267" spans="1:22" x14ac:dyDescent="0.3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104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775</v>
      </c>
      <c r="P267" s="109">
        <v>191908</v>
      </c>
      <c r="Q267" s="107"/>
      <c r="R267" s="111"/>
      <c r="S267" s="110" t="s">
        <v>903</v>
      </c>
      <c r="T267"/>
      <c r="U267"/>
      <c r="V267"/>
    </row>
    <row r="268" spans="1:22" x14ac:dyDescent="0.3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104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776</v>
      </c>
      <c r="P268" s="109">
        <v>191908</v>
      </c>
      <c r="Q268" s="107"/>
      <c r="R268" s="111"/>
      <c r="S268" s="110" t="s">
        <v>903</v>
      </c>
      <c r="T268"/>
      <c r="U268"/>
      <c r="V268"/>
    </row>
    <row r="269" spans="1:22" x14ac:dyDescent="0.3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104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777</v>
      </c>
      <c r="P269" s="109">
        <v>191908</v>
      </c>
      <c r="Q269" s="107"/>
      <c r="R269" s="111"/>
      <c r="S269" s="110" t="s">
        <v>903</v>
      </c>
      <c r="T269"/>
      <c r="U269"/>
      <c r="V269"/>
    </row>
    <row r="270" spans="1:22" x14ac:dyDescent="0.3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104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778</v>
      </c>
      <c r="P270" s="109">
        <v>191908</v>
      </c>
      <c r="Q270" s="107"/>
      <c r="R270" s="111"/>
      <c r="S270" s="110" t="s">
        <v>903</v>
      </c>
      <c r="T270"/>
      <c r="U270"/>
      <c r="V270"/>
    </row>
    <row r="271" spans="1:22" x14ac:dyDescent="0.3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104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779</v>
      </c>
      <c r="P271" s="109">
        <v>191908</v>
      </c>
      <c r="Q271" s="107"/>
      <c r="R271" s="111"/>
      <c r="S271" s="110" t="s">
        <v>903</v>
      </c>
      <c r="T271"/>
      <c r="U271"/>
      <c r="V271"/>
    </row>
    <row r="272" spans="1:22" x14ac:dyDescent="0.3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104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780</v>
      </c>
      <c r="P272" s="109">
        <v>191908</v>
      </c>
      <c r="Q272" s="107"/>
      <c r="R272" s="111"/>
      <c r="S272" s="110" t="s">
        <v>903</v>
      </c>
      <c r="T272"/>
      <c r="U272"/>
      <c r="V272"/>
    </row>
    <row r="273" spans="1:22" x14ac:dyDescent="0.3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104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781</v>
      </c>
      <c r="P273" s="109">
        <v>191908</v>
      </c>
      <c r="Q273" s="107"/>
      <c r="R273" s="111"/>
      <c r="S273" s="110" t="s">
        <v>903</v>
      </c>
      <c r="T273"/>
      <c r="U273"/>
      <c r="V273"/>
    </row>
    <row r="274" spans="1:22" x14ac:dyDescent="0.3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104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782</v>
      </c>
      <c r="P274" s="109">
        <v>191908</v>
      </c>
      <c r="Q274" s="107"/>
      <c r="R274" s="111"/>
      <c r="S274" s="110" t="s">
        <v>903</v>
      </c>
      <c r="T274"/>
      <c r="U274"/>
      <c r="V274"/>
    </row>
    <row r="275" spans="1:22" x14ac:dyDescent="0.3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104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783</v>
      </c>
      <c r="P275" s="109">
        <v>191908</v>
      </c>
      <c r="Q275" s="107"/>
      <c r="R275" s="111"/>
      <c r="S275" s="110" t="s">
        <v>903</v>
      </c>
      <c r="T275"/>
      <c r="U275"/>
      <c r="V275"/>
    </row>
    <row r="276" spans="1:22" x14ac:dyDescent="0.3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104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784</v>
      </c>
      <c r="P276" s="109">
        <v>191908</v>
      </c>
      <c r="Q276" s="107"/>
      <c r="R276" s="111"/>
      <c r="S276" s="110" t="s">
        <v>903</v>
      </c>
      <c r="T276"/>
      <c r="U276"/>
      <c r="V276"/>
    </row>
    <row r="277" spans="1:22" x14ac:dyDescent="0.3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104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785</v>
      </c>
      <c r="P277" s="109">
        <v>191908</v>
      </c>
      <c r="Q277" s="107"/>
      <c r="R277" s="111"/>
      <c r="S277" s="110" t="s">
        <v>903</v>
      </c>
      <c r="T277"/>
      <c r="U277"/>
      <c r="V277"/>
    </row>
    <row r="278" spans="1:22" x14ac:dyDescent="0.3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104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786</v>
      </c>
      <c r="P278" s="109">
        <v>191908</v>
      </c>
      <c r="Q278" s="107"/>
      <c r="R278" s="111"/>
      <c r="S278" s="110" t="s">
        <v>903</v>
      </c>
      <c r="T278"/>
      <c r="U278"/>
      <c r="V278"/>
    </row>
    <row r="279" spans="1:22" x14ac:dyDescent="0.3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104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787</v>
      </c>
      <c r="P279" s="109">
        <v>191908</v>
      </c>
      <c r="Q279" s="107"/>
      <c r="R279" s="111"/>
      <c r="S279" s="110" t="s">
        <v>903</v>
      </c>
      <c r="T279"/>
      <c r="U279"/>
      <c r="V279"/>
    </row>
    <row r="280" spans="1:22" x14ac:dyDescent="0.3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104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788</v>
      </c>
      <c r="P280" s="109">
        <v>191908</v>
      </c>
      <c r="Q280" s="107"/>
      <c r="R280" s="111"/>
      <c r="S280" s="110" t="s">
        <v>903</v>
      </c>
      <c r="T280"/>
      <c r="U280"/>
      <c r="V280"/>
    </row>
    <row r="281" spans="1:22" x14ac:dyDescent="0.3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104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789</v>
      </c>
      <c r="P281" s="109">
        <v>191908</v>
      </c>
      <c r="Q281" s="107"/>
      <c r="R281" s="111"/>
      <c r="S281" s="110" t="s">
        <v>903</v>
      </c>
      <c r="T281"/>
      <c r="U281"/>
      <c r="V281"/>
    </row>
    <row r="282" spans="1:22" x14ac:dyDescent="0.3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104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790</v>
      </c>
      <c r="P282" s="109">
        <v>191908</v>
      </c>
      <c r="Q282" s="107"/>
      <c r="R282" s="111"/>
      <c r="S282" s="110" t="s">
        <v>903</v>
      </c>
      <c r="T282"/>
      <c r="U282"/>
      <c r="V282"/>
    </row>
    <row r="283" spans="1:22" x14ac:dyDescent="0.3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104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791</v>
      </c>
      <c r="P283" s="109">
        <v>191908</v>
      </c>
      <c r="Q283" s="107"/>
      <c r="R283" s="111"/>
      <c r="S283" s="110" t="s">
        <v>903</v>
      </c>
      <c r="T283"/>
      <c r="U283"/>
      <c r="V283"/>
    </row>
    <row r="284" spans="1:22" x14ac:dyDescent="0.3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104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792</v>
      </c>
      <c r="P284" s="109">
        <v>191908</v>
      </c>
      <c r="Q284" s="107"/>
      <c r="R284" s="111"/>
      <c r="S284" s="110" t="s">
        <v>903</v>
      </c>
      <c r="T284"/>
      <c r="U284"/>
      <c r="V284"/>
    </row>
    <row r="285" spans="1:22" x14ac:dyDescent="0.3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104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793</v>
      </c>
      <c r="P285" s="109">
        <v>191908</v>
      </c>
      <c r="Q285" s="107"/>
      <c r="R285" s="111"/>
      <c r="S285" s="110" t="s">
        <v>903</v>
      </c>
      <c r="T285"/>
      <c r="U285"/>
      <c r="V285"/>
    </row>
    <row r="286" spans="1:22" x14ac:dyDescent="0.3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104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794</v>
      </c>
      <c r="P286" s="109">
        <v>191974</v>
      </c>
      <c r="Q286" s="107"/>
      <c r="R286" s="111"/>
      <c r="S286" s="110" t="s">
        <v>903</v>
      </c>
      <c r="T286"/>
      <c r="U286"/>
      <c r="V286"/>
    </row>
    <row r="287" spans="1:22" x14ac:dyDescent="0.3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104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795</v>
      </c>
      <c r="P287" s="109">
        <v>191974</v>
      </c>
      <c r="Q287" s="107"/>
      <c r="R287" s="111"/>
      <c r="S287" s="110" t="s">
        <v>903</v>
      </c>
      <c r="T287"/>
      <c r="U287"/>
      <c r="V287"/>
    </row>
    <row r="288" spans="1:22" x14ac:dyDescent="0.3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104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796</v>
      </c>
      <c r="P288" s="109">
        <v>191974</v>
      </c>
      <c r="Q288" s="107"/>
      <c r="R288" s="111"/>
      <c r="S288" s="110" t="s">
        <v>903</v>
      </c>
      <c r="T288"/>
      <c r="U288"/>
      <c r="V288"/>
    </row>
    <row r="289" spans="1:22" x14ac:dyDescent="0.3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104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797</v>
      </c>
      <c r="P289" s="109">
        <v>191974</v>
      </c>
      <c r="Q289" s="107"/>
      <c r="R289" s="111"/>
      <c r="S289" s="110" t="s">
        <v>903</v>
      </c>
      <c r="T289"/>
      <c r="U289"/>
      <c r="V289"/>
    </row>
    <row r="290" spans="1:22" x14ac:dyDescent="0.3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104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798</v>
      </c>
      <c r="P290" s="109">
        <v>191974</v>
      </c>
      <c r="Q290" s="107"/>
      <c r="R290" s="111"/>
      <c r="S290" s="110" t="s">
        <v>903</v>
      </c>
      <c r="T290"/>
      <c r="U290"/>
      <c r="V290"/>
    </row>
    <row r="291" spans="1:22" x14ac:dyDescent="0.3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104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799</v>
      </c>
      <c r="P291" s="109">
        <v>191974</v>
      </c>
      <c r="Q291" s="107"/>
      <c r="R291" s="111"/>
      <c r="S291" s="110" t="s">
        <v>903</v>
      </c>
      <c r="T291"/>
      <c r="U291"/>
      <c r="V291"/>
    </row>
    <row r="292" spans="1:22" x14ac:dyDescent="0.3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104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800</v>
      </c>
      <c r="P292" s="109">
        <v>191974</v>
      </c>
      <c r="Q292" s="107"/>
      <c r="R292" s="111"/>
      <c r="S292" s="110" t="s">
        <v>903</v>
      </c>
      <c r="T292"/>
      <c r="U292"/>
      <c r="V292"/>
    </row>
    <row r="293" spans="1:22" x14ac:dyDescent="0.3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104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801</v>
      </c>
      <c r="P293" s="109">
        <v>191909</v>
      </c>
      <c r="Q293" s="107"/>
      <c r="R293" s="111"/>
      <c r="S293" s="110" t="s">
        <v>903</v>
      </c>
      <c r="T293"/>
      <c r="U293"/>
      <c r="V293"/>
    </row>
    <row r="294" spans="1:22" x14ac:dyDescent="0.3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104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802</v>
      </c>
      <c r="P294" s="109">
        <v>191909</v>
      </c>
      <c r="Q294" s="107"/>
      <c r="R294" s="111"/>
      <c r="S294" s="110" t="s">
        <v>903</v>
      </c>
      <c r="T294"/>
      <c r="U294"/>
      <c r="V294"/>
    </row>
    <row r="295" spans="1:22" x14ac:dyDescent="0.3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104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803</v>
      </c>
      <c r="P295" s="109">
        <v>191909</v>
      </c>
      <c r="Q295" s="107"/>
      <c r="R295" s="111"/>
      <c r="S295" s="110" t="s">
        <v>903</v>
      </c>
      <c r="T295"/>
      <c r="U295"/>
      <c r="V295"/>
    </row>
    <row r="296" spans="1:22" x14ac:dyDescent="0.3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104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804</v>
      </c>
      <c r="P296" s="109">
        <v>191909</v>
      </c>
      <c r="Q296" s="107"/>
      <c r="R296" s="111"/>
      <c r="S296" s="110" t="s">
        <v>903</v>
      </c>
      <c r="T296"/>
      <c r="U296"/>
      <c r="V296"/>
    </row>
    <row r="297" spans="1:22" x14ac:dyDescent="0.3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104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805</v>
      </c>
      <c r="P297" s="109">
        <v>191909</v>
      </c>
      <c r="Q297" s="107"/>
      <c r="R297" s="111"/>
      <c r="S297" s="110" t="s">
        <v>903</v>
      </c>
      <c r="T297"/>
      <c r="U297"/>
      <c r="V297"/>
    </row>
    <row r="298" spans="1:22" x14ac:dyDescent="0.3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104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806</v>
      </c>
      <c r="P298" s="109">
        <v>191909</v>
      </c>
      <c r="Q298" s="107"/>
      <c r="R298" s="111"/>
      <c r="S298" s="110" t="s">
        <v>903</v>
      </c>
      <c r="T298"/>
      <c r="U298"/>
      <c r="V298"/>
    </row>
    <row r="299" spans="1:22" x14ac:dyDescent="0.3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104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807</v>
      </c>
      <c r="P299" s="109">
        <v>191909</v>
      </c>
      <c r="Q299" s="107"/>
      <c r="R299" s="111"/>
      <c r="S299" s="110" t="s">
        <v>903</v>
      </c>
      <c r="T299"/>
      <c r="U299"/>
      <c r="V299"/>
    </row>
    <row r="300" spans="1:22" x14ac:dyDescent="0.3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104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808</v>
      </c>
      <c r="P300" s="109">
        <v>191909</v>
      </c>
      <c r="Q300" s="107"/>
      <c r="R300" s="111"/>
      <c r="S300" s="110" t="s">
        <v>903</v>
      </c>
      <c r="T300"/>
      <c r="U300"/>
      <c r="V300"/>
    </row>
    <row r="301" spans="1:22" x14ac:dyDescent="0.3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104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809</v>
      </c>
      <c r="P301" s="109">
        <v>191909</v>
      </c>
      <c r="Q301" s="107"/>
      <c r="R301" s="111"/>
      <c r="S301" s="110" t="s">
        <v>903</v>
      </c>
      <c r="T301"/>
      <c r="U301"/>
      <c r="V301"/>
    </row>
    <row r="302" spans="1:22" x14ac:dyDescent="0.3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104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810</v>
      </c>
      <c r="P302" s="109">
        <v>191909</v>
      </c>
      <c r="Q302" s="107"/>
      <c r="R302" s="111"/>
      <c r="S302" s="110" t="s">
        <v>903</v>
      </c>
      <c r="T302"/>
      <c r="U302"/>
      <c r="V302"/>
    </row>
    <row r="303" spans="1:22" x14ac:dyDescent="0.3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104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811</v>
      </c>
      <c r="P303" s="109">
        <v>191909</v>
      </c>
      <c r="Q303" s="107"/>
      <c r="R303" s="111"/>
      <c r="S303" s="110" t="s">
        <v>903</v>
      </c>
      <c r="T303"/>
      <c r="U303"/>
      <c r="V303"/>
    </row>
    <row r="304" spans="1:22" x14ac:dyDescent="0.3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104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812</v>
      </c>
      <c r="P304" s="109">
        <v>191909</v>
      </c>
      <c r="Q304" s="107"/>
      <c r="R304" s="111"/>
      <c r="S304" s="110" t="s">
        <v>903</v>
      </c>
      <c r="T304"/>
      <c r="U304"/>
      <c r="V304"/>
    </row>
    <row r="305" spans="1:22" x14ac:dyDescent="0.3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104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813</v>
      </c>
      <c r="P305" s="109">
        <v>191909</v>
      </c>
      <c r="Q305" s="107"/>
      <c r="R305" s="111"/>
      <c r="S305" s="110" t="s">
        <v>903</v>
      </c>
      <c r="T305"/>
      <c r="U305"/>
      <c r="V305"/>
    </row>
    <row r="306" spans="1:22" x14ac:dyDescent="0.3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104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814</v>
      </c>
      <c r="P306" s="109">
        <v>191909</v>
      </c>
      <c r="Q306" s="107"/>
      <c r="R306" s="111"/>
      <c r="S306" s="110" t="s">
        <v>903</v>
      </c>
      <c r="T306"/>
      <c r="U306"/>
      <c r="V306"/>
    </row>
    <row r="307" spans="1:22" x14ac:dyDescent="0.3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104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815</v>
      </c>
      <c r="P307" s="109">
        <v>191909</v>
      </c>
      <c r="Q307" s="107"/>
      <c r="R307" s="111"/>
      <c r="S307" s="110" t="s">
        <v>903</v>
      </c>
      <c r="T307"/>
      <c r="U307"/>
      <c r="V307"/>
    </row>
    <row r="308" spans="1:22" x14ac:dyDescent="0.3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104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816</v>
      </c>
      <c r="P308" s="109">
        <v>191909</v>
      </c>
      <c r="Q308" s="107"/>
      <c r="R308" s="111"/>
      <c r="S308" s="110" t="s">
        <v>903</v>
      </c>
      <c r="T308"/>
      <c r="U308"/>
      <c r="V308"/>
    </row>
    <row r="309" spans="1:22" x14ac:dyDescent="0.3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104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817</v>
      </c>
      <c r="P309" s="109">
        <v>191909</v>
      </c>
      <c r="Q309" s="107"/>
      <c r="R309" s="111"/>
      <c r="S309" s="110" t="s">
        <v>903</v>
      </c>
      <c r="T309"/>
      <c r="U309"/>
      <c r="V309"/>
    </row>
    <row r="310" spans="1:22" x14ac:dyDescent="0.3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104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818</v>
      </c>
      <c r="P310" s="109">
        <v>191909</v>
      </c>
      <c r="Q310" s="107"/>
      <c r="R310" s="111"/>
      <c r="S310" s="110" t="s">
        <v>903</v>
      </c>
      <c r="T310"/>
      <c r="U310"/>
      <c r="V310"/>
    </row>
    <row r="311" spans="1:22" x14ac:dyDescent="0.3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104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819</v>
      </c>
      <c r="P311" s="109">
        <v>191909</v>
      </c>
      <c r="Q311" s="107"/>
      <c r="R311" s="111"/>
      <c r="S311" s="110" t="s">
        <v>903</v>
      </c>
      <c r="T311"/>
      <c r="U311"/>
      <c r="V311"/>
    </row>
    <row r="312" spans="1:22" x14ac:dyDescent="0.3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104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820</v>
      </c>
      <c r="P312" s="109">
        <v>191949</v>
      </c>
      <c r="Q312" s="107"/>
      <c r="R312" s="111"/>
      <c r="S312" s="110" t="s">
        <v>903</v>
      </c>
      <c r="T312"/>
      <c r="U312"/>
      <c r="V312"/>
    </row>
    <row r="313" spans="1:22" x14ac:dyDescent="0.3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104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821</v>
      </c>
      <c r="P313" s="109">
        <v>191949</v>
      </c>
      <c r="Q313" s="107"/>
      <c r="R313" s="111"/>
      <c r="S313" s="110" t="s">
        <v>903</v>
      </c>
      <c r="T313"/>
      <c r="U313"/>
      <c r="V313"/>
    </row>
    <row r="314" spans="1:22" x14ac:dyDescent="0.3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104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822</v>
      </c>
      <c r="P314" s="109">
        <v>191949</v>
      </c>
      <c r="Q314" s="107"/>
      <c r="R314" s="111"/>
      <c r="S314" s="110" t="s">
        <v>903</v>
      </c>
      <c r="T314"/>
      <c r="U314"/>
      <c r="V314"/>
    </row>
    <row r="315" spans="1:22" x14ac:dyDescent="0.3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104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823</v>
      </c>
      <c r="P315" s="109">
        <v>191949</v>
      </c>
      <c r="Q315" s="107"/>
      <c r="R315" s="111"/>
      <c r="S315" s="110" t="s">
        <v>903</v>
      </c>
      <c r="T315"/>
      <c r="U315"/>
      <c r="V315"/>
    </row>
    <row r="316" spans="1:22" x14ac:dyDescent="0.3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104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824</v>
      </c>
      <c r="P316" s="109">
        <v>191949</v>
      </c>
      <c r="Q316" s="107"/>
      <c r="R316" s="111"/>
      <c r="S316" s="110" t="s">
        <v>903</v>
      </c>
      <c r="T316"/>
      <c r="U316"/>
      <c r="V316"/>
    </row>
    <row r="317" spans="1:22" x14ac:dyDescent="0.3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104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825</v>
      </c>
      <c r="P317" s="109">
        <v>191949</v>
      </c>
      <c r="Q317" s="107"/>
      <c r="R317" s="111"/>
      <c r="S317" s="110" t="s">
        <v>903</v>
      </c>
      <c r="T317"/>
      <c r="U317"/>
      <c r="V317"/>
    </row>
    <row r="318" spans="1:22" x14ac:dyDescent="0.3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104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826</v>
      </c>
      <c r="P318" s="109">
        <v>191949</v>
      </c>
      <c r="Q318" s="107"/>
      <c r="R318" s="111"/>
      <c r="S318" s="110" t="s">
        <v>903</v>
      </c>
      <c r="T318"/>
      <c r="U318"/>
      <c r="V318"/>
    </row>
    <row r="319" spans="1:22" x14ac:dyDescent="0.3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104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827</v>
      </c>
      <c r="P319" s="109">
        <v>191949</v>
      </c>
      <c r="Q319" s="107"/>
      <c r="R319" s="111"/>
      <c r="S319" s="110" t="s">
        <v>903</v>
      </c>
      <c r="T319"/>
      <c r="U319"/>
      <c r="V319"/>
    </row>
    <row r="320" spans="1:22" x14ac:dyDescent="0.3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104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828</v>
      </c>
      <c r="P320" s="109">
        <v>191949</v>
      </c>
      <c r="Q320" s="107"/>
      <c r="R320" s="111"/>
      <c r="S320" s="110" t="s">
        <v>903</v>
      </c>
      <c r="T320"/>
      <c r="U320"/>
      <c r="V320"/>
    </row>
    <row r="321" spans="1:22" x14ac:dyDescent="0.3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104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829</v>
      </c>
      <c r="P321" s="109">
        <v>191949</v>
      </c>
      <c r="Q321" s="107"/>
      <c r="R321" s="111"/>
      <c r="S321" s="110" t="s">
        <v>903</v>
      </c>
      <c r="T321"/>
      <c r="U321"/>
      <c r="V321"/>
    </row>
    <row r="322" spans="1:22" x14ac:dyDescent="0.3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104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830</v>
      </c>
      <c r="P322" s="109">
        <v>191949</v>
      </c>
      <c r="Q322" s="107"/>
      <c r="R322" s="111"/>
      <c r="S322" s="110" t="s">
        <v>903</v>
      </c>
      <c r="T322"/>
      <c r="U322"/>
      <c r="V322"/>
    </row>
    <row r="323" spans="1:22" x14ac:dyDescent="0.3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104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831</v>
      </c>
      <c r="P323" s="109">
        <v>191949</v>
      </c>
      <c r="Q323" s="107"/>
      <c r="R323" s="111"/>
      <c r="S323" s="110" t="s">
        <v>903</v>
      </c>
      <c r="T323"/>
      <c r="U323"/>
      <c r="V323"/>
    </row>
    <row r="324" spans="1:22" x14ac:dyDescent="0.3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104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832</v>
      </c>
      <c r="P324" s="109">
        <v>191949</v>
      </c>
      <c r="Q324" s="107"/>
      <c r="R324" s="111"/>
      <c r="S324" s="110" t="s">
        <v>903</v>
      </c>
      <c r="T324"/>
      <c r="U324"/>
      <c r="V324"/>
    </row>
    <row r="325" spans="1:22" x14ac:dyDescent="0.3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104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833</v>
      </c>
      <c r="P325" s="109">
        <v>191949</v>
      </c>
      <c r="Q325" s="107"/>
      <c r="R325" s="111"/>
      <c r="S325" s="110" t="s">
        <v>903</v>
      </c>
      <c r="T325"/>
      <c r="U325"/>
      <c r="V325"/>
    </row>
    <row r="326" spans="1:22" x14ac:dyDescent="0.3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104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834</v>
      </c>
      <c r="P326" s="109">
        <v>191949</v>
      </c>
      <c r="Q326" s="107"/>
      <c r="R326" s="111"/>
      <c r="S326" s="110" t="s">
        <v>903</v>
      </c>
      <c r="T326"/>
      <c r="U326"/>
      <c r="V326"/>
    </row>
    <row r="327" spans="1:22" x14ac:dyDescent="0.3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104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835</v>
      </c>
      <c r="P327" s="109">
        <v>191949</v>
      </c>
      <c r="Q327" s="107"/>
      <c r="R327" s="111"/>
      <c r="S327" s="110" t="s">
        <v>903</v>
      </c>
      <c r="T327"/>
      <c r="U327"/>
      <c r="V327"/>
    </row>
    <row r="328" spans="1:22" x14ac:dyDescent="0.3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104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836</v>
      </c>
      <c r="P328" s="109">
        <v>191949</v>
      </c>
      <c r="Q328" s="107"/>
      <c r="R328" s="111"/>
      <c r="S328" s="110" t="s">
        <v>903</v>
      </c>
      <c r="T328"/>
      <c r="U328"/>
      <c r="V328"/>
    </row>
    <row r="329" spans="1:22" x14ac:dyDescent="0.3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104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837</v>
      </c>
      <c r="P329" s="109">
        <v>191949</v>
      </c>
      <c r="Q329" s="107"/>
      <c r="R329" s="111"/>
      <c r="S329" s="110" t="s">
        <v>903</v>
      </c>
      <c r="T329"/>
      <c r="U329"/>
      <c r="V329"/>
    </row>
    <row r="330" spans="1:22" x14ac:dyDescent="0.3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104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838</v>
      </c>
      <c r="P330" s="109">
        <v>191949</v>
      </c>
      <c r="Q330" s="107"/>
      <c r="R330" s="111"/>
      <c r="S330" s="110" t="s">
        <v>903</v>
      </c>
      <c r="T330"/>
      <c r="U330"/>
      <c r="V330"/>
    </row>
    <row r="331" spans="1:22" x14ac:dyDescent="0.3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104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839</v>
      </c>
      <c r="P331" s="109">
        <v>191949</v>
      </c>
      <c r="Q331" s="107"/>
      <c r="R331" s="111"/>
      <c r="S331" s="110" t="s">
        <v>903</v>
      </c>
      <c r="T331"/>
      <c r="U331"/>
      <c r="V331"/>
    </row>
    <row r="332" spans="1:22" x14ac:dyDescent="0.3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104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840</v>
      </c>
      <c r="P332" s="109">
        <v>191991</v>
      </c>
      <c r="Q332" s="107"/>
      <c r="R332" s="111"/>
      <c r="S332" s="110" t="s">
        <v>903</v>
      </c>
      <c r="T332"/>
      <c r="U332"/>
      <c r="V332"/>
    </row>
    <row r="333" spans="1:22" x14ac:dyDescent="0.3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104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841</v>
      </c>
      <c r="P333" s="109">
        <v>191991</v>
      </c>
      <c r="Q333" s="107"/>
      <c r="R333" s="111"/>
      <c r="S333" s="110" t="s">
        <v>903</v>
      </c>
      <c r="T333"/>
      <c r="U333"/>
      <c r="V333"/>
    </row>
    <row r="334" spans="1:22" x14ac:dyDescent="0.3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104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842</v>
      </c>
      <c r="P334" s="109">
        <v>191991</v>
      </c>
      <c r="Q334" s="107"/>
      <c r="R334" s="111"/>
      <c r="S334" s="110" t="s">
        <v>903</v>
      </c>
      <c r="T334"/>
      <c r="U334"/>
      <c r="V334"/>
    </row>
    <row r="335" spans="1:22" x14ac:dyDescent="0.3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104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843</v>
      </c>
      <c r="P335" s="109">
        <v>191991</v>
      </c>
      <c r="Q335" s="107"/>
      <c r="R335" s="111"/>
      <c r="S335" s="110" t="s">
        <v>903</v>
      </c>
      <c r="T335"/>
      <c r="U335"/>
      <c r="V335"/>
    </row>
    <row r="336" spans="1:22" x14ac:dyDescent="0.3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104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844</v>
      </c>
      <c r="P336" s="109">
        <v>191991</v>
      </c>
      <c r="Q336" s="107"/>
      <c r="R336" s="111"/>
      <c r="S336" s="110" t="s">
        <v>903</v>
      </c>
      <c r="T336"/>
      <c r="U336"/>
      <c r="V336"/>
    </row>
    <row r="337" spans="1:22" x14ac:dyDescent="0.3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104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845</v>
      </c>
      <c r="P337" s="109">
        <v>191991</v>
      </c>
      <c r="Q337" s="107"/>
      <c r="R337" s="111"/>
      <c r="S337" s="110" t="s">
        <v>903</v>
      </c>
      <c r="T337"/>
      <c r="U337"/>
      <c r="V337"/>
    </row>
    <row r="338" spans="1:22" x14ac:dyDescent="0.3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104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846</v>
      </c>
      <c r="P338" s="109">
        <v>191991</v>
      </c>
      <c r="Q338" s="107"/>
      <c r="R338" s="111"/>
      <c r="S338" s="110" t="s">
        <v>903</v>
      </c>
      <c r="T338"/>
      <c r="U338"/>
      <c r="V338"/>
    </row>
    <row r="339" spans="1:22" x14ac:dyDescent="0.3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104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847</v>
      </c>
      <c r="P339" s="109">
        <v>191991</v>
      </c>
      <c r="Q339" s="107"/>
      <c r="R339" s="111"/>
      <c r="S339" s="110" t="s">
        <v>903</v>
      </c>
      <c r="T339"/>
      <c r="U339"/>
      <c r="V339"/>
    </row>
    <row r="340" spans="1:22" x14ac:dyDescent="0.3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104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848</v>
      </c>
      <c r="P340" s="109">
        <v>191991</v>
      </c>
      <c r="Q340" s="107"/>
      <c r="R340" s="111"/>
      <c r="S340" s="110" t="s">
        <v>903</v>
      </c>
      <c r="T340"/>
      <c r="U340"/>
      <c r="V340"/>
    </row>
    <row r="341" spans="1:22" x14ac:dyDescent="0.3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104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849</v>
      </c>
      <c r="P341" s="109">
        <v>191991</v>
      </c>
      <c r="Q341" s="107"/>
      <c r="R341" s="111"/>
      <c r="S341" s="110" t="s">
        <v>903</v>
      </c>
      <c r="T341"/>
      <c r="U341"/>
      <c r="V341"/>
    </row>
    <row r="342" spans="1:22" x14ac:dyDescent="0.3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104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850</v>
      </c>
      <c r="P342" s="109">
        <v>191991</v>
      </c>
      <c r="Q342" s="107"/>
      <c r="R342" s="111"/>
      <c r="S342" s="110" t="s">
        <v>903</v>
      </c>
      <c r="T342"/>
      <c r="U342"/>
      <c r="V342"/>
    </row>
    <row r="343" spans="1:22" x14ac:dyDescent="0.3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104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851</v>
      </c>
      <c r="P343" s="109">
        <v>191991</v>
      </c>
      <c r="Q343" s="107"/>
      <c r="R343" s="111"/>
      <c r="S343" s="110" t="s">
        <v>903</v>
      </c>
      <c r="T343"/>
      <c r="U343"/>
      <c r="V343"/>
    </row>
    <row r="344" spans="1:22" x14ac:dyDescent="0.3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104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852</v>
      </c>
      <c r="P344" s="109">
        <v>191991</v>
      </c>
      <c r="Q344" s="107"/>
      <c r="R344" s="111"/>
      <c r="S344" s="110" t="s">
        <v>903</v>
      </c>
      <c r="T344"/>
      <c r="U344"/>
      <c r="V344"/>
    </row>
    <row r="345" spans="1:22" x14ac:dyDescent="0.3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104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853</v>
      </c>
      <c r="P345" s="109">
        <v>191991</v>
      </c>
      <c r="Q345" s="107"/>
      <c r="R345" s="111"/>
      <c r="S345" s="110" t="s">
        <v>903</v>
      </c>
      <c r="T345"/>
      <c r="U345"/>
      <c r="V345"/>
    </row>
    <row r="346" spans="1:22" x14ac:dyDescent="0.3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104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854</v>
      </c>
      <c r="P346" s="109">
        <v>191991</v>
      </c>
      <c r="Q346" s="107"/>
      <c r="R346" s="111"/>
      <c r="S346" s="110" t="s">
        <v>903</v>
      </c>
      <c r="T346"/>
      <c r="U346"/>
      <c r="V346"/>
    </row>
    <row r="347" spans="1:22" x14ac:dyDescent="0.3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104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855</v>
      </c>
      <c r="P347" s="109">
        <v>191991</v>
      </c>
      <c r="Q347" s="107"/>
      <c r="R347" s="111"/>
      <c r="S347" s="110" t="s">
        <v>903</v>
      </c>
      <c r="T347"/>
      <c r="U347"/>
      <c r="V347"/>
    </row>
    <row r="348" spans="1:22" x14ac:dyDescent="0.3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104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856</v>
      </c>
      <c r="P348" s="109">
        <v>191991</v>
      </c>
      <c r="Q348" s="107"/>
      <c r="R348" s="111"/>
      <c r="S348" s="110" t="s">
        <v>903</v>
      </c>
      <c r="T348"/>
      <c r="U348"/>
      <c r="V348"/>
    </row>
    <row r="349" spans="1:22" x14ac:dyDescent="0.3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104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857</v>
      </c>
      <c r="P349" s="109">
        <v>191991</v>
      </c>
      <c r="Q349" s="107"/>
      <c r="R349" s="111"/>
      <c r="S349" s="110" t="s">
        <v>903</v>
      </c>
      <c r="T349"/>
      <c r="U349"/>
      <c r="V349"/>
    </row>
    <row r="350" spans="1:22" x14ac:dyDescent="0.3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104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858</v>
      </c>
      <c r="P350" s="109">
        <v>191991</v>
      </c>
      <c r="Q350" s="107"/>
      <c r="R350" s="111"/>
      <c r="S350" s="110" t="s">
        <v>903</v>
      </c>
      <c r="T350"/>
      <c r="U350"/>
      <c r="V350"/>
    </row>
    <row r="351" spans="1:22" x14ac:dyDescent="0.3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104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859</v>
      </c>
      <c r="P351" s="109">
        <v>191991</v>
      </c>
      <c r="Q351" s="107"/>
      <c r="R351" s="111"/>
      <c r="S351" s="110" t="s">
        <v>903</v>
      </c>
      <c r="T351"/>
      <c r="U351"/>
      <c r="V351"/>
    </row>
    <row r="352" spans="1:22" x14ac:dyDescent="0.3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104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860</v>
      </c>
      <c r="P352" s="109">
        <v>191992</v>
      </c>
      <c r="Q352" s="107"/>
      <c r="R352" s="111"/>
      <c r="S352" s="110" t="s">
        <v>903</v>
      </c>
      <c r="T352"/>
      <c r="U352"/>
      <c r="V352"/>
    </row>
    <row r="353" spans="1:22" x14ac:dyDescent="0.3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104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861</v>
      </c>
      <c r="P353" s="109">
        <v>191992</v>
      </c>
      <c r="Q353" s="107"/>
      <c r="R353" s="111"/>
      <c r="S353" s="110" t="s">
        <v>903</v>
      </c>
      <c r="T353"/>
      <c r="U353"/>
      <c r="V353"/>
    </row>
    <row r="354" spans="1:22" x14ac:dyDescent="0.3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104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862</v>
      </c>
      <c r="P354" s="109">
        <v>191992</v>
      </c>
      <c r="Q354" s="107"/>
      <c r="R354" s="111"/>
      <c r="S354" s="110" t="s">
        <v>903</v>
      </c>
      <c r="T354"/>
      <c r="U354"/>
      <c r="V354"/>
    </row>
    <row r="355" spans="1:22" x14ac:dyDescent="0.3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104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863</v>
      </c>
      <c r="P355" s="109">
        <v>191992</v>
      </c>
      <c r="Q355" s="107"/>
      <c r="R355" s="111"/>
      <c r="S355" s="110" t="s">
        <v>903</v>
      </c>
      <c r="T355"/>
      <c r="U355"/>
      <c r="V355"/>
    </row>
    <row r="356" spans="1:22" x14ac:dyDescent="0.3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104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864</v>
      </c>
      <c r="P356" s="109">
        <v>191992</v>
      </c>
      <c r="Q356" s="107"/>
      <c r="R356" s="111"/>
      <c r="S356" s="110" t="s">
        <v>903</v>
      </c>
      <c r="T356"/>
      <c r="U356"/>
      <c r="V356"/>
    </row>
    <row r="357" spans="1:22" x14ac:dyDescent="0.3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104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865</v>
      </c>
      <c r="P357" s="109">
        <v>191992</v>
      </c>
      <c r="Q357" s="107"/>
      <c r="R357" s="111"/>
      <c r="S357" s="110" t="s">
        <v>903</v>
      </c>
      <c r="T357"/>
      <c r="U357"/>
      <c r="V357"/>
    </row>
    <row r="358" spans="1:22" x14ac:dyDescent="0.3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104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866</v>
      </c>
      <c r="P358" s="109">
        <v>191992</v>
      </c>
      <c r="Q358" s="107"/>
      <c r="R358" s="111"/>
      <c r="S358" s="110" t="s">
        <v>903</v>
      </c>
      <c r="T358"/>
      <c r="U358"/>
      <c r="V358"/>
    </row>
    <row r="359" spans="1:22" x14ac:dyDescent="0.3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104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867</v>
      </c>
      <c r="P359" s="109">
        <v>191992</v>
      </c>
      <c r="Q359" s="107"/>
      <c r="R359" s="111"/>
      <c r="S359" s="110" t="s">
        <v>903</v>
      </c>
      <c r="T359"/>
      <c r="U359"/>
      <c r="V359"/>
    </row>
    <row r="360" spans="1:22" x14ac:dyDescent="0.3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104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868</v>
      </c>
      <c r="P360" s="109">
        <v>191992</v>
      </c>
      <c r="Q360" s="107"/>
      <c r="R360" s="111"/>
      <c r="S360" s="110" t="s">
        <v>903</v>
      </c>
      <c r="T360"/>
      <c r="U360"/>
      <c r="V360"/>
    </row>
    <row r="361" spans="1:22" x14ac:dyDescent="0.3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104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869</v>
      </c>
      <c r="P361" s="109">
        <v>191992</v>
      </c>
      <c r="Q361" s="107"/>
      <c r="R361" s="111"/>
      <c r="S361" s="110" t="s">
        <v>903</v>
      </c>
      <c r="T361"/>
      <c r="U361"/>
      <c r="V361"/>
    </row>
    <row r="362" spans="1:22" x14ac:dyDescent="0.3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104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870</v>
      </c>
      <c r="P362" s="109">
        <v>191992</v>
      </c>
      <c r="Q362" s="107"/>
      <c r="R362" s="111"/>
      <c r="S362" s="110" t="s">
        <v>903</v>
      </c>
      <c r="T362"/>
      <c r="U362"/>
      <c r="V362"/>
    </row>
    <row r="363" spans="1:22" x14ac:dyDescent="0.3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104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871</v>
      </c>
      <c r="P363" s="109">
        <v>191992</v>
      </c>
      <c r="Q363" s="107"/>
      <c r="R363" s="111"/>
      <c r="S363" s="110" t="s">
        <v>903</v>
      </c>
      <c r="T363"/>
      <c r="U363"/>
      <c r="V363"/>
    </row>
    <row r="364" spans="1:22" x14ac:dyDescent="0.3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104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872</v>
      </c>
      <c r="P364" s="109">
        <v>191992</v>
      </c>
      <c r="Q364" s="107"/>
      <c r="R364" s="111"/>
      <c r="S364" s="110" t="s">
        <v>903</v>
      </c>
      <c r="T364"/>
      <c r="U364"/>
      <c r="V364"/>
    </row>
    <row r="365" spans="1:22" x14ac:dyDescent="0.3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104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873</v>
      </c>
      <c r="P365" s="109">
        <v>191992</v>
      </c>
      <c r="Q365" s="107"/>
      <c r="R365" s="111"/>
      <c r="S365" s="110" t="s">
        <v>903</v>
      </c>
      <c r="T365"/>
      <c r="U365"/>
      <c r="V365"/>
    </row>
    <row r="366" spans="1:22" x14ac:dyDescent="0.3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104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874</v>
      </c>
      <c r="P366" s="109">
        <v>191992</v>
      </c>
      <c r="Q366" s="107"/>
      <c r="R366" s="111"/>
      <c r="S366" s="110" t="s">
        <v>903</v>
      </c>
      <c r="T366"/>
      <c r="U366"/>
      <c r="V366"/>
    </row>
    <row r="367" spans="1:22" x14ac:dyDescent="0.3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104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875</v>
      </c>
      <c r="P367" s="109">
        <v>191992</v>
      </c>
      <c r="Q367" s="107"/>
      <c r="R367" s="111"/>
      <c r="S367" s="110" t="s">
        <v>903</v>
      </c>
      <c r="T367"/>
      <c r="U367"/>
      <c r="V367"/>
    </row>
    <row r="368" spans="1:22" x14ac:dyDescent="0.3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104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876</v>
      </c>
      <c r="P368" s="109">
        <v>191992</v>
      </c>
      <c r="Q368" s="107"/>
      <c r="R368" s="111"/>
      <c r="S368" s="110" t="s">
        <v>903</v>
      </c>
      <c r="T368"/>
      <c r="U368"/>
      <c r="V368"/>
    </row>
    <row r="369" spans="1:22" x14ac:dyDescent="0.3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104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877</v>
      </c>
      <c r="P369" s="109">
        <v>191992</v>
      </c>
      <c r="Q369" s="107"/>
      <c r="R369" s="111"/>
      <c r="S369" s="110" t="s">
        <v>903</v>
      </c>
      <c r="T369"/>
      <c r="U369"/>
      <c r="V369"/>
    </row>
    <row r="370" spans="1:22" x14ac:dyDescent="0.3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104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878</v>
      </c>
      <c r="P370" s="109">
        <v>191992</v>
      </c>
      <c r="Q370" s="107"/>
      <c r="R370" s="111"/>
      <c r="S370" s="110" t="s">
        <v>903</v>
      </c>
      <c r="T370"/>
      <c r="U370"/>
      <c r="V370"/>
    </row>
    <row r="371" spans="1:22" x14ac:dyDescent="0.3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104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879</v>
      </c>
      <c r="P371" s="109">
        <v>191992</v>
      </c>
      <c r="Q371" s="107"/>
      <c r="R371" s="111"/>
      <c r="S371" s="110" t="s">
        <v>903</v>
      </c>
      <c r="T371"/>
      <c r="U371"/>
      <c r="V371"/>
    </row>
    <row r="372" spans="1:22" x14ac:dyDescent="0.3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104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880</v>
      </c>
      <c r="P372" s="109">
        <v>192000</v>
      </c>
      <c r="Q372" s="107"/>
      <c r="R372" s="111"/>
      <c r="S372" s="110" t="s">
        <v>903</v>
      </c>
      <c r="T372"/>
      <c r="U372"/>
      <c r="V372"/>
    </row>
    <row r="373" spans="1:22" x14ac:dyDescent="0.3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104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881</v>
      </c>
      <c r="P373" s="109">
        <v>192000</v>
      </c>
      <c r="Q373" s="107"/>
      <c r="R373" s="111"/>
      <c r="S373" s="110" t="s">
        <v>903</v>
      </c>
      <c r="T373"/>
      <c r="U373"/>
      <c r="V373"/>
    </row>
    <row r="374" spans="1:22" x14ac:dyDescent="0.3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104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882</v>
      </c>
      <c r="P374" s="109">
        <v>192000</v>
      </c>
      <c r="Q374" s="107"/>
      <c r="R374" s="111"/>
      <c r="S374" s="110" t="s">
        <v>903</v>
      </c>
      <c r="T374"/>
      <c r="U374"/>
      <c r="V374"/>
    </row>
    <row r="375" spans="1:22" x14ac:dyDescent="0.3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104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883</v>
      </c>
      <c r="P375" s="109">
        <v>192000</v>
      </c>
      <c r="Q375" s="107"/>
      <c r="R375" s="111"/>
      <c r="S375" s="110" t="s">
        <v>903</v>
      </c>
      <c r="T375"/>
      <c r="U375"/>
      <c r="V375"/>
    </row>
    <row r="376" spans="1:22" x14ac:dyDescent="0.3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104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884</v>
      </c>
      <c r="P376" s="109">
        <v>192000</v>
      </c>
      <c r="Q376" s="107"/>
      <c r="R376" s="111"/>
      <c r="S376" s="110" t="s">
        <v>903</v>
      </c>
      <c r="T376"/>
      <c r="U376"/>
      <c r="V376"/>
    </row>
    <row r="377" spans="1:22" x14ac:dyDescent="0.3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104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885</v>
      </c>
      <c r="P377" s="109">
        <v>192000</v>
      </c>
      <c r="Q377" s="107"/>
      <c r="R377" s="111"/>
      <c r="S377" s="110" t="s">
        <v>903</v>
      </c>
      <c r="T377"/>
      <c r="U377"/>
      <c r="V377"/>
    </row>
    <row r="378" spans="1:22" x14ac:dyDescent="0.3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104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886</v>
      </c>
      <c r="P378" s="109">
        <v>192000</v>
      </c>
      <c r="Q378" s="107"/>
      <c r="R378" s="111"/>
      <c r="S378" s="110" t="s">
        <v>903</v>
      </c>
      <c r="T378"/>
      <c r="U378"/>
      <c r="V378"/>
    </row>
    <row r="379" spans="1:22" x14ac:dyDescent="0.3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104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887</v>
      </c>
      <c r="P379" s="109">
        <v>192000</v>
      </c>
      <c r="Q379" s="107"/>
      <c r="R379" s="111"/>
      <c r="S379" s="110" t="s">
        <v>903</v>
      </c>
      <c r="T379"/>
      <c r="U379"/>
      <c r="V379"/>
    </row>
    <row r="380" spans="1:22" x14ac:dyDescent="0.3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104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888</v>
      </c>
      <c r="P380" s="109">
        <v>192000</v>
      </c>
      <c r="Q380" s="107"/>
      <c r="R380" s="111"/>
      <c r="S380" s="110" t="s">
        <v>903</v>
      </c>
      <c r="T380"/>
      <c r="U380"/>
      <c r="V380"/>
    </row>
    <row r="381" spans="1:22" x14ac:dyDescent="0.3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104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889</v>
      </c>
      <c r="P381" s="109">
        <v>192000</v>
      </c>
      <c r="Q381" s="107"/>
      <c r="R381" s="111"/>
      <c r="S381" s="110" t="s">
        <v>903</v>
      </c>
      <c r="T381"/>
      <c r="U381"/>
      <c r="V381"/>
    </row>
    <row r="382" spans="1:22" x14ac:dyDescent="0.3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104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890</v>
      </c>
      <c r="P382" s="109">
        <v>192000</v>
      </c>
      <c r="Q382" s="107"/>
      <c r="R382" s="111"/>
      <c r="S382" s="110" t="s">
        <v>903</v>
      </c>
      <c r="T382"/>
      <c r="U382"/>
      <c r="V382"/>
    </row>
    <row r="383" spans="1:22" x14ac:dyDescent="0.3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104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891</v>
      </c>
      <c r="P383" s="109">
        <v>192000</v>
      </c>
      <c r="Q383" s="107"/>
      <c r="R383" s="111"/>
      <c r="S383" s="110" t="s">
        <v>903</v>
      </c>
      <c r="T383"/>
      <c r="U383"/>
      <c r="V383"/>
    </row>
    <row r="384" spans="1:22" x14ac:dyDescent="0.3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104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892</v>
      </c>
      <c r="P384" s="109">
        <v>192000</v>
      </c>
      <c r="Q384" s="107"/>
      <c r="R384" s="111"/>
      <c r="S384" s="110" t="s">
        <v>903</v>
      </c>
      <c r="T384"/>
      <c r="U384"/>
      <c r="V384"/>
    </row>
    <row r="385" spans="1:22" x14ac:dyDescent="0.3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104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893</v>
      </c>
      <c r="P385" s="109">
        <v>192000</v>
      </c>
      <c r="Q385" s="107"/>
      <c r="R385" s="111"/>
      <c r="S385" s="110" t="s">
        <v>903</v>
      </c>
      <c r="T385"/>
      <c r="U385"/>
      <c r="V385"/>
    </row>
    <row r="386" spans="1:22" x14ac:dyDescent="0.3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104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894</v>
      </c>
      <c r="P386" s="109">
        <v>192000</v>
      </c>
      <c r="Q386" s="107"/>
      <c r="R386" s="111"/>
      <c r="S386" s="110" t="s">
        <v>903</v>
      </c>
      <c r="T386"/>
      <c r="U386"/>
      <c r="V386"/>
    </row>
    <row r="387" spans="1:22" x14ac:dyDescent="0.3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104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895</v>
      </c>
      <c r="P387" s="109">
        <v>192000</v>
      </c>
      <c r="Q387" s="107"/>
      <c r="R387" s="111"/>
      <c r="S387" s="110" t="s">
        <v>903</v>
      </c>
      <c r="T387"/>
      <c r="U387"/>
      <c r="V387"/>
    </row>
    <row r="388" spans="1:22" x14ac:dyDescent="0.3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104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896</v>
      </c>
      <c r="P388" s="109">
        <v>192000</v>
      </c>
      <c r="Q388" s="107"/>
      <c r="R388" s="111"/>
      <c r="S388" s="110" t="s">
        <v>903</v>
      </c>
      <c r="T388"/>
      <c r="U388"/>
      <c r="V388"/>
    </row>
    <row r="389" spans="1:22" x14ac:dyDescent="0.3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104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897</v>
      </c>
      <c r="P389" s="109">
        <v>192000</v>
      </c>
      <c r="Q389" s="107"/>
      <c r="R389" s="111"/>
      <c r="S389" s="110" t="s">
        <v>903</v>
      </c>
      <c r="T389"/>
      <c r="U389"/>
      <c r="V389"/>
    </row>
    <row r="390" spans="1:22" x14ac:dyDescent="0.3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104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898</v>
      </c>
      <c r="P390" s="109">
        <v>192000</v>
      </c>
      <c r="Q390" s="107"/>
      <c r="R390" s="111"/>
      <c r="S390" s="110" t="s">
        <v>903</v>
      </c>
      <c r="T390"/>
      <c r="U390"/>
      <c r="V390"/>
    </row>
    <row r="391" spans="1:22" x14ac:dyDescent="0.3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104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899</v>
      </c>
      <c r="P391" s="109">
        <v>192000</v>
      </c>
      <c r="Q391" s="107"/>
      <c r="R391" s="111"/>
      <c r="S391" s="110" t="s">
        <v>903</v>
      </c>
      <c r="T391"/>
      <c r="U391"/>
      <c r="V391"/>
    </row>
    <row r="392" spans="1:22" x14ac:dyDescent="0.3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104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900</v>
      </c>
      <c r="P392" s="109">
        <v>192000</v>
      </c>
      <c r="Q392" s="107"/>
      <c r="R392" s="111"/>
      <c r="S392" s="110" t="s">
        <v>903</v>
      </c>
      <c r="T392"/>
      <c r="U392"/>
      <c r="V392"/>
    </row>
    <row r="393" spans="1:22" x14ac:dyDescent="0.3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104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906</v>
      </c>
      <c r="P393" s="109">
        <v>191033</v>
      </c>
      <c r="Q393" s="107"/>
      <c r="R393" s="111"/>
      <c r="S393" s="110" t="s">
        <v>903</v>
      </c>
      <c r="T393"/>
      <c r="U393"/>
      <c r="V393"/>
    </row>
    <row r="394" spans="1:22" x14ac:dyDescent="0.3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104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907</v>
      </c>
      <c r="P394" s="109">
        <v>191033</v>
      </c>
      <c r="Q394" s="107"/>
      <c r="R394" s="111"/>
      <c r="S394" s="110" t="s">
        <v>903</v>
      </c>
      <c r="T394"/>
      <c r="U394"/>
      <c r="V394"/>
    </row>
    <row r="395" spans="1:22" x14ac:dyDescent="0.3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104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908</v>
      </c>
      <c r="P395" s="109">
        <v>191033</v>
      </c>
      <c r="Q395" s="107"/>
      <c r="R395" s="111"/>
      <c r="S395" s="110" t="s">
        <v>903</v>
      </c>
      <c r="T395"/>
      <c r="U395"/>
      <c r="V395"/>
    </row>
    <row r="396" spans="1:22" x14ac:dyDescent="0.3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104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909</v>
      </c>
      <c r="P396" s="109">
        <v>191033</v>
      </c>
      <c r="Q396" s="107"/>
      <c r="R396" s="111"/>
      <c r="S396" s="110" t="s">
        <v>903</v>
      </c>
      <c r="T396"/>
      <c r="U396"/>
      <c r="V396"/>
    </row>
    <row r="397" spans="1:22" x14ac:dyDescent="0.3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104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910</v>
      </c>
      <c r="P397" s="109">
        <v>191033</v>
      </c>
      <c r="Q397" s="107"/>
      <c r="R397" s="111"/>
      <c r="S397" s="110" t="s">
        <v>903</v>
      </c>
      <c r="T397"/>
      <c r="U397"/>
      <c r="V397"/>
    </row>
    <row r="398" spans="1:22" x14ac:dyDescent="0.3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104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911</v>
      </c>
      <c r="P398" s="109">
        <v>191033</v>
      </c>
      <c r="Q398" s="107"/>
      <c r="R398" s="111"/>
      <c r="S398" s="110" t="s">
        <v>903</v>
      </c>
      <c r="T398"/>
      <c r="U398"/>
      <c r="V398"/>
    </row>
    <row r="399" spans="1:22" x14ac:dyDescent="0.3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104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912</v>
      </c>
      <c r="P399" s="109">
        <v>191033</v>
      </c>
      <c r="Q399" s="107"/>
      <c r="R399" s="111"/>
      <c r="S399" s="110" t="s">
        <v>903</v>
      </c>
      <c r="T399"/>
      <c r="U399"/>
      <c r="V399"/>
    </row>
    <row r="400" spans="1:22" x14ac:dyDescent="0.3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104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913</v>
      </c>
      <c r="P400" s="109">
        <v>191033</v>
      </c>
      <c r="Q400" s="107"/>
      <c r="R400" s="111"/>
      <c r="S400" s="110" t="s">
        <v>903</v>
      </c>
      <c r="T400"/>
      <c r="U400"/>
      <c r="V400"/>
    </row>
    <row r="401" spans="1:22" x14ac:dyDescent="0.3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104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914</v>
      </c>
      <c r="P401" s="109">
        <v>191033</v>
      </c>
      <c r="Q401" s="107"/>
      <c r="R401" s="111"/>
      <c r="S401" s="110" t="s">
        <v>903</v>
      </c>
      <c r="T401"/>
      <c r="U401"/>
      <c r="V401"/>
    </row>
    <row r="402" spans="1:22" x14ac:dyDescent="0.3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104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915</v>
      </c>
      <c r="P402" s="109">
        <v>191033</v>
      </c>
      <c r="Q402" s="107"/>
      <c r="R402" s="111"/>
      <c r="S402" s="110" t="s">
        <v>903</v>
      </c>
      <c r="T402"/>
      <c r="U402"/>
      <c r="V402"/>
    </row>
    <row r="403" spans="1:22" x14ac:dyDescent="0.3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104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916</v>
      </c>
      <c r="P403" s="109">
        <v>191033</v>
      </c>
      <c r="Q403" s="107"/>
      <c r="R403" s="111"/>
      <c r="S403" s="110" t="s">
        <v>903</v>
      </c>
      <c r="T403"/>
      <c r="U403"/>
      <c r="V403"/>
    </row>
    <row r="404" spans="1:22" x14ac:dyDescent="0.3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104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917</v>
      </c>
      <c r="P404" s="109">
        <v>191033</v>
      </c>
      <c r="Q404" s="107"/>
      <c r="R404" s="111"/>
      <c r="S404" s="110" t="s">
        <v>903</v>
      </c>
      <c r="T404"/>
      <c r="U404"/>
      <c r="V404"/>
    </row>
    <row r="405" spans="1:22" x14ac:dyDescent="0.3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104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918</v>
      </c>
      <c r="P405" s="109">
        <v>191033</v>
      </c>
      <c r="Q405" s="107"/>
      <c r="R405" s="111"/>
      <c r="S405" s="110" t="s">
        <v>903</v>
      </c>
      <c r="T405"/>
      <c r="U405"/>
      <c r="V405"/>
    </row>
    <row r="406" spans="1:22" x14ac:dyDescent="0.3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104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919</v>
      </c>
      <c r="P406" s="109">
        <v>191033</v>
      </c>
      <c r="Q406" s="107"/>
      <c r="R406" s="111"/>
      <c r="S406" s="110" t="s">
        <v>903</v>
      </c>
      <c r="T406"/>
      <c r="U406"/>
      <c r="V406"/>
    </row>
    <row r="407" spans="1:22" x14ac:dyDescent="0.3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104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920</v>
      </c>
      <c r="P407" s="109">
        <v>191033</v>
      </c>
      <c r="Q407" s="107"/>
      <c r="R407" s="111"/>
      <c r="S407" s="110" t="s">
        <v>903</v>
      </c>
      <c r="T407"/>
      <c r="U407"/>
      <c r="V407"/>
    </row>
    <row r="408" spans="1:22" x14ac:dyDescent="0.3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104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921</v>
      </c>
      <c r="P408" s="109">
        <v>191033</v>
      </c>
      <c r="Q408" s="107"/>
      <c r="R408" s="111"/>
      <c r="S408" s="110" t="s">
        <v>903</v>
      </c>
      <c r="T408"/>
      <c r="U408"/>
      <c r="V408"/>
    </row>
    <row r="409" spans="1:22" x14ac:dyDescent="0.3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104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922</v>
      </c>
      <c r="P409" s="109">
        <v>191033</v>
      </c>
      <c r="Q409" s="107"/>
      <c r="R409" s="111"/>
      <c r="S409" s="110" t="s">
        <v>903</v>
      </c>
      <c r="T409"/>
      <c r="U409"/>
      <c r="V409"/>
    </row>
    <row r="410" spans="1:22" x14ac:dyDescent="0.3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104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923</v>
      </c>
      <c r="P410" s="109">
        <v>191033</v>
      </c>
      <c r="Q410" s="107"/>
      <c r="R410" s="111"/>
      <c r="S410" s="110" t="s">
        <v>903</v>
      </c>
      <c r="T410"/>
      <c r="U410"/>
      <c r="V410"/>
    </row>
    <row r="411" spans="1:22" x14ac:dyDescent="0.3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104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924</v>
      </c>
      <c r="P411" s="109">
        <v>191033</v>
      </c>
      <c r="Q411" s="107"/>
      <c r="R411" s="111"/>
      <c r="S411" s="110" t="s">
        <v>903</v>
      </c>
      <c r="T411"/>
      <c r="U411"/>
      <c r="V411"/>
    </row>
    <row r="412" spans="1:22" x14ac:dyDescent="0.3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104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925</v>
      </c>
      <c r="P412" s="109">
        <v>191033</v>
      </c>
      <c r="Q412" s="107"/>
      <c r="R412" s="111"/>
      <c r="S412" s="110" t="s">
        <v>903</v>
      </c>
      <c r="T412"/>
      <c r="U412"/>
      <c r="V412"/>
    </row>
    <row r="413" spans="1:22" x14ac:dyDescent="0.3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104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926</v>
      </c>
      <c r="P413" s="109">
        <v>191033</v>
      </c>
      <c r="Q413" s="107"/>
      <c r="R413" s="111"/>
      <c r="S413" s="110" t="s">
        <v>903</v>
      </c>
      <c r="T413"/>
      <c r="U413"/>
      <c r="V413"/>
    </row>
    <row r="414" spans="1:22" x14ac:dyDescent="0.3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104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927</v>
      </c>
      <c r="P414" s="109">
        <v>191033</v>
      </c>
      <c r="Q414" s="107"/>
      <c r="R414" s="111"/>
      <c r="S414" s="110" t="s">
        <v>903</v>
      </c>
      <c r="T414"/>
      <c r="U414"/>
      <c r="V414"/>
    </row>
    <row r="415" spans="1:22" x14ac:dyDescent="0.3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104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928</v>
      </c>
      <c r="P415" s="109">
        <v>191033</v>
      </c>
      <c r="Q415" s="107"/>
      <c r="R415" s="111"/>
      <c r="S415" s="110" t="s">
        <v>903</v>
      </c>
      <c r="T415"/>
      <c r="U415"/>
      <c r="V415"/>
    </row>
    <row r="416" spans="1:22" x14ac:dyDescent="0.3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104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929</v>
      </c>
      <c r="P416" s="109">
        <v>191033</v>
      </c>
      <c r="Q416" s="107"/>
      <c r="R416" s="111"/>
      <c r="S416" s="110" t="s">
        <v>903</v>
      </c>
      <c r="T416"/>
      <c r="U416"/>
      <c r="V416"/>
    </row>
    <row r="417" spans="1:22" x14ac:dyDescent="0.3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104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930</v>
      </c>
      <c r="P417" s="109">
        <v>191033</v>
      </c>
      <c r="Q417" s="107"/>
      <c r="R417" s="111"/>
      <c r="S417" s="110" t="s">
        <v>903</v>
      </c>
      <c r="T417"/>
      <c r="U417"/>
      <c r="V417"/>
    </row>
    <row r="418" spans="1:22" x14ac:dyDescent="0.3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104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931</v>
      </c>
      <c r="P418" s="109">
        <v>191033</v>
      </c>
      <c r="Q418" s="107"/>
      <c r="R418" s="111"/>
      <c r="S418" s="110" t="s">
        <v>903</v>
      </c>
      <c r="T418"/>
      <c r="U418"/>
      <c r="V418"/>
    </row>
    <row r="419" spans="1:22" x14ac:dyDescent="0.3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104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932</v>
      </c>
      <c r="P419" s="109">
        <v>191033</v>
      </c>
      <c r="Q419" s="107"/>
      <c r="R419" s="111"/>
      <c r="S419" s="110" t="s">
        <v>903</v>
      </c>
      <c r="T419"/>
      <c r="U419"/>
      <c r="V419"/>
    </row>
    <row r="420" spans="1:22" x14ac:dyDescent="0.3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104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933</v>
      </c>
      <c r="P420" s="109">
        <v>191033</v>
      </c>
      <c r="Q420" s="107"/>
      <c r="R420" s="111"/>
      <c r="S420" s="110" t="s">
        <v>903</v>
      </c>
      <c r="T420"/>
      <c r="U420"/>
      <c r="V420"/>
    </row>
    <row r="421" spans="1:22" x14ac:dyDescent="0.3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104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934</v>
      </c>
      <c r="P421" s="109">
        <v>191033</v>
      </c>
      <c r="Q421" s="107"/>
      <c r="R421" s="111"/>
      <c r="S421" s="110" t="s">
        <v>903</v>
      </c>
      <c r="T421"/>
      <c r="U421"/>
      <c r="V421"/>
    </row>
    <row r="422" spans="1:22" x14ac:dyDescent="0.3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104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935</v>
      </c>
      <c r="P422" s="109">
        <v>191033</v>
      </c>
      <c r="Q422" s="107"/>
      <c r="R422" s="111"/>
      <c r="S422" s="110" t="s">
        <v>903</v>
      </c>
      <c r="T422"/>
      <c r="U422"/>
      <c r="V422"/>
    </row>
    <row r="423" spans="1:22" x14ac:dyDescent="0.3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104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936</v>
      </c>
      <c r="P423" s="109">
        <v>191033</v>
      </c>
      <c r="Q423" s="107"/>
      <c r="R423" s="111"/>
      <c r="S423" s="110" t="s">
        <v>903</v>
      </c>
      <c r="T423"/>
      <c r="U423"/>
      <c r="V423"/>
    </row>
    <row r="424" spans="1:22" x14ac:dyDescent="0.3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104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937</v>
      </c>
      <c r="P424" s="109">
        <v>191038</v>
      </c>
      <c r="Q424" s="107"/>
      <c r="R424" s="111"/>
      <c r="S424" s="110" t="s">
        <v>903</v>
      </c>
      <c r="T424"/>
      <c r="U424"/>
      <c r="V424"/>
    </row>
    <row r="425" spans="1:22" x14ac:dyDescent="0.3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104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938</v>
      </c>
      <c r="P425" s="109">
        <v>191038</v>
      </c>
      <c r="Q425" s="107"/>
      <c r="R425" s="111"/>
      <c r="S425" s="110" t="s">
        <v>903</v>
      </c>
      <c r="T425"/>
      <c r="U425"/>
      <c r="V425"/>
    </row>
    <row r="426" spans="1:22" x14ac:dyDescent="0.3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104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939</v>
      </c>
      <c r="P426" s="109">
        <v>191038</v>
      </c>
      <c r="Q426" s="107"/>
      <c r="R426" s="111"/>
      <c r="S426" s="110" t="s">
        <v>903</v>
      </c>
      <c r="T426"/>
      <c r="U426"/>
      <c r="V426"/>
    </row>
    <row r="427" spans="1:22" x14ac:dyDescent="0.3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104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940</v>
      </c>
      <c r="P427" s="109">
        <v>191038</v>
      </c>
      <c r="Q427" s="107"/>
      <c r="R427" s="111"/>
      <c r="S427" s="110" t="s">
        <v>903</v>
      </c>
      <c r="T427"/>
      <c r="U427"/>
      <c r="V427"/>
    </row>
    <row r="428" spans="1:22" x14ac:dyDescent="0.3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104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941</v>
      </c>
      <c r="P428" s="109">
        <v>191038</v>
      </c>
      <c r="Q428" s="107"/>
      <c r="R428" s="111"/>
      <c r="S428" s="110" t="s">
        <v>903</v>
      </c>
      <c r="T428"/>
      <c r="U428"/>
      <c r="V428"/>
    </row>
    <row r="429" spans="1:22" x14ac:dyDescent="0.3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104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942</v>
      </c>
      <c r="P429" s="109">
        <v>191038</v>
      </c>
      <c r="Q429" s="107"/>
      <c r="R429" s="111"/>
      <c r="S429" s="110" t="s">
        <v>903</v>
      </c>
      <c r="T429"/>
      <c r="U429"/>
      <c r="V429"/>
    </row>
    <row r="430" spans="1:22" x14ac:dyDescent="0.3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104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943</v>
      </c>
      <c r="P430" s="109">
        <v>191038</v>
      </c>
      <c r="Q430" s="107"/>
      <c r="R430" s="111"/>
      <c r="S430" s="110" t="s">
        <v>903</v>
      </c>
      <c r="T430"/>
      <c r="U430"/>
      <c r="V430"/>
    </row>
    <row r="431" spans="1:22" x14ac:dyDescent="0.3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104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944</v>
      </c>
      <c r="P431" s="109">
        <v>191038</v>
      </c>
      <c r="Q431" s="107"/>
      <c r="R431" s="111"/>
      <c r="S431" s="110" t="s">
        <v>903</v>
      </c>
      <c r="T431"/>
      <c r="U431"/>
      <c r="V431"/>
    </row>
    <row r="432" spans="1:22" x14ac:dyDescent="0.3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104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945</v>
      </c>
      <c r="P432" s="109">
        <v>191038</v>
      </c>
      <c r="Q432" s="107"/>
      <c r="R432" s="111"/>
      <c r="S432" s="110" t="s">
        <v>903</v>
      </c>
      <c r="T432"/>
      <c r="U432"/>
      <c r="V432"/>
    </row>
    <row r="433" spans="1:22" x14ac:dyDescent="0.3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104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946</v>
      </c>
      <c r="P433" s="109">
        <v>191038</v>
      </c>
      <c r="Q433" s="107"/>
      <c r="R433" s="111"/>
      <c r="S433" s="110" t="s">
        <v>903</v>
      </c>
      <c r="T433"/>
      <c r="U433"/>
      <c r="V433"/>
    </row>
    <row r="434" spans="1:22" x14ac:dyDescent="0.3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104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947</v>
      </c>
      <c r="P434" s="109">
        <v>191038</v>
      </c>
      <c r="Q434" s="107"/>
      <c r="R434" s="111"/>
      <c r="S434" s="110" t="s">
        <v>903</v>
      </c>
      <c r="T434"/>
      <c r="U434"/>
      <c r="V434"/>
    </row>
    <row r="435" spans="1:22" x14ac:dyDescent="0.3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104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948</v>
      </c>
      <c r="P435" s="109">
        <v>191038</v>
      </c>
      <c r="Q435" s="107"/>
      <c r="R435" s="111"/>
      <c r="S435" s="110" t="s">
        <v>903</v>
      </c>
      <c r="T435"/>
      <c r="U435"/>
      <c r="V435"/>
    </row>
    <row r="436" spans="1:22" x14ac:dyDescent="0.3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104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949</v>
      </c>
      <c r="P436" s="109">
        <v>191038</v>
      </c>
      <c r="Q436" s="107"/>
      <c r="R436" s="111"/>
      <c r="S436" s="110" t="s">
        <v>903</v>
      </c>
      <c r="T436"/>
      <c r="U436"/>
      <c r="V436"/>
    </row>
    <row r="437" spans="1:22" x14ac:dyDescent="0.3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104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950</v>
      </c>
      <c r="P437" s="109">
        <v>191038</v>
      </c>
      <c r="Q437" s="107"/>
      <c r="R437" s="111"/>
      <c r="S437" s="110" t="s">
        <v>903</v>
      </c>
      <c r="T437"/>
      <c r="U437"/>
      <c r="V437"/>
    </row>
    <row r="438" spans="1:22" x14ac:dyDescent="0.3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104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951</v>
      </c>
      <c r="P438" s="109">
        <v>191038</v>
      </c>
      <c r="Q438" s="107"/>
      <c r="R438" s="111"/>
      <c r="S438" s="110" t="s">
        <v>903</v>
      </c>
      <c r="T438"/>
      <c r="U438"/>
      <c r="V438"/>
    </row>
    <row r="439" spans="1:22" x14ac:dyDescent="0.3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104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952</v>
      </c>
      <c r="P439" s="109">
        <v>191038</v>
      </c>
      <c r="Q439" s="107"/>
      <c r="R439" s="111"/>
      <c r="S439" s="110" t="s">
        <v>903</v>
      </c>
      <c r="T439"/>
      <c r="U439"/>
      <c r="V439"/>
    </row>
    <row r="440" spans="1:22" x14ac:dyDescent="0.3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104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953</v>
      </c>
      <c r="P440" s="109">
        <v>191038</v>
      </c>
      <c r="Q440" s="107"/>
      <c r="R440" s="111"/>
      <c r="S440" s="110" t="s">
        <v>903</v>
      </c>
      <c r="T440"/>
      <c r="U440"/>
      <c r="V440"/>
    </row>
    <row r="441" spans="1:22" x14ac:dyDescent="0.3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104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954</v>
      </c>
      <c r="P441" s="109">
        <v>191038</v>
      </c>
      <c r="Q441" s="107"/>
      <c r="R441" s="111"/>
      <c r="S441" s="110" t="s">
        <v>903</v>
      </c>
      <c r="T441"/>
      <c r="U441"/>
      <c r="V441"/>
    </row>
    <row r="442" spans="1:22" x14ac:dyDescent="0.3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104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955</v>
      </c>
      <c r="P442" s="109">
        <v>191038</v>
      </c>
      <c r="Q442" s="107"/>
      <c r="R442" s="111"/>
      <c r="S442" s="110" t="s">
        <v>903</v>
      </c>
      <c r="T442"/>
      <c r="U442"/>
      <c r="V442"/>
    </row>
    <row r="443" spans="1:22" x14ac:dyDescent="0.3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104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956</v>
      </c>
      <c r="P443" s="109">
        <v>191038</v>
      </c>
      <c r="Q443" s="107"/>
      <c r="R443" s="111"/>
      <c r="S443" s="110" t="s">
        <v>903</v>
      </c>
      <c r="T443"/>
      <c r="U443"/>
      <c r="V443"/>
    </row>
    <row r="444" spans="1:22" x14ac:dyDescent="0.3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104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957</v>
      </c>
      <c r="P444" s="109">
        <v>191038</v>
      </c>
      <c r="Q444" s="107"/>
      <c r="R444" s="111"/>
      <c r="S444" s="110" t="s">
        <v>903</v>
      </c>
      <c r="T444"/>
      <c r="U444"/>
      <c r="V444"/>
    </row>
    <row r="445" spans="1:22" x14ac:dyDescent="0.3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104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958</v>
      </c>
      <c r="P445" s="109">
        <v>191038</v>
      </c>
      <c r="Q445" s="107"/>
      <c r="R445" s="111"/>
      <c r="S445" s="110" t="s">
        <v>903</v>
      </c>
      <c r="T445"/>
      <c r="U445"/>
      <c r="V445"/>
    </row>
    <row r="446" spans="1:22" x14ac:dyDescent="0.3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104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959</v>
      </c>
      <c r="P446" s="109">
        <v>191038</v>
      </c>
      <c r="Q446" s="107"/>
      <c r="R446" s="111"/>
      <c r="S446" s="110" t="s">
        <v>903</v>
      </c>
      <c r="T446"/>
      <c r="U446"/>
      <c r="V446"/>
    </row>
    <row r="447" spans="1:22" x14ac:dyDescent="0.3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104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960</v>
      </c>
      <c r="P447" s="109">
        <v>191038</v>
      </c>
      <c r="Q447" s="107"/>
      <c r="R447" s="111"/>
      <c r="S447" s="110" t="s">
        <v>903</v>
      </c>
      <c r="T447"/>
      <c r="U447"/>
      <c r="V447"/>
    </row>
    <row r="448" spans="1:22" x14ac:dyDescent="0.3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104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961</v>
      </c>
      <c r="P448" s="109">
        <v>191038</v>
      </c>
      <c r="Q448" s="107"/>
      <c r="R448" s="111"/>
      <c r="S448" s="110" t="s">
        <v>903</v>
      </c>
      <c r="T448"/>
      <c r="U448"/>
      <c r="V448"/>
    </row>
    <row r="449" spans="1:22" x14ac:dyDescent="0.3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104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962</v>
      </c>
      <c r="P449" s="109">
        <v>191038</v>
      </c>
      <c r="Q449" s="107"/>
      <c r="R449" s="111"/>
      <c r="S449" s="110" t="s">
        <v>903</v>
      </c>
      <c r="T449"/>
      <c r="U449"/>
      <c r="V449"/>
    </row>
    <row r="450" spans="1:22" x14ac:dyDescent="0.3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104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963</v>
      </c>
      <c r="P450" s="109">
        <v>191038</v>
      </c>
      <c r="Q450" s="107"/>
      <c r="R450" s="111"/>
      <c r="S450" s="110" t="s">
        <v>903</v>
      </c>
      <c r="T450"/>
      <c r="U450"/>
      <c r="V450"/>
    </row>
    <row r="451" spans="1:22" x14ac:dyDescent="0.3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104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964</v>
      </c>
      <c r="P451" s="109">
        <v>191038</v>
      </c>
      <c r="Q451" s="107"/>
      <c r="R451" s="111"/>
      <c r="S451" s="110" t="s">
        <v>903</v>
      </c>
      <c r="T451"/>
      <c r="U451"/>
      <c r="V451"/>
    </row>
    <row r="452" spans="1:22" x14ac:dyDescent="0.3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104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965</v>
      </c>
      <c r="P452" s="109">
        <v>191038</v>
      </c>
      <c r="Q452" s="107"/>
      <c r="R452" s="111"/>
      <c r="S452" s="110" t="s">
        <v>903</v>
      </c>
      <c r="T452"/>
      <c r="U452"/>
      <c r="V452"/>
    </row>
    <row r="453" spans="1:22" x14ac:dyDescent="0.3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104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966</v>
      </c>
      <c r="P453" s="109">
        <v>192124</v>
      </c>
      <c r="Q453" s="107"/>
      <c r="R453" s="111"/>
      <c r="S453" s="110" t="s">
        <v>903</v>
      </c>
      <c r="T453"/>
      <c r="U453"/>
      <c r="V453"/>
    </row>
    <row r="454" spans="1:22" x14ac:dyDescent="0.3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104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967</v>
      </c>
      <c r="P454" s="109">
        <v>192124</v>
      </c>
      <c r="Q454" s="107"/>
      <c r="R454" s="111"/>
      <c r="S454" s="110" t="s">
        <v>903</v>
      </c>
      <c r="T454"/>
      <c r="U454"/>
      <c r="V454"/>
    </row>
    <row r="455" spans="1:22" x14ac:dyDescent="0.3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104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968</v>
      </c>
      <c r="P455" s="109">
        <v>192124</v>
      </c>
      <c r="Q455" s="107"/>
      <c r="R455" s="111"/>
      <c r="S455" s="110" t="s">
        <v>903</v>
      </c>
      <c r="T455"/>
      <c r="U455"/>
      <c r="V455"/>
    </row>
    <row r="456" spans="1:22" x14ac:dyDescent="0.3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104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969</v>
      </c>
      <c r="P456" s="109">
        <v>192124</v>
      </c>
      <c r="Q456" s="107"/>
      <c r="R456" s="111"/>
      <c r="S456" s="110" t="s">
        <v>903</v>
      </c>
      <c r="T456"/>
      <c r="U456"/>
      <c r="V456"/>
    </row>
    <row r="457" spans="1:22" x14ac:dyDescent="0.3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104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970</v>
      </c>
      <c r="P457" s="109">
        <v>192124</v>
      </c>
      <c r="Q457" s="107"/>
      <c r="R457" s="111"/>
      <c r="S457" s="110" t="s">
        <v>903</v>
      </c>
      <c r="T457"/>
      <c r="U457"/>
      <c r="V457"/>
    </row>
    <row r="458" spans="1:22" x14ac:dyDescent="0.3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104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971</v>
      </c>
      <c r="P458" s="109">
        <v>192124</v>
      </c>
      <c r="Q458" s="107"/>
      <c r="R458" s="111"/>
      <c r="S458" s="110" t="s">
        <v>903</v>
      </c>
      <c r="T458"/>
      <c r="U458"/>
      <c r="V458"/>
    </row>
    <row r="459" spans="1:22" x14ac:dyDescent="0.3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104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972</v>
      </c>
      <c r="P459" s="109">
        <v>192124</v>
      </c>
      <c r="Q459" s="107"/>
      <c r="R459" s="111"/>
      <c r="S459" s="110" t="s">
        <v>903</v>
      </c>
      <c r="T459"/>
      <c r="U459"/>
      <c r="V459"/>
    </row>
    <row r="460" spans="1:22" x14ac:dyDescent="0.3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104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973</v>
      </c>
      <c r="P460" s="109">
        <v>192124</v>
      </c>
      <c r="Q460" s="107"/>
      <c r="R460" s="111"/>
      <c r="S460" s="110" t="s">
        <v>903</v>
      </c>
      <c r="T460"/>
      <c r="U460"/>
      <c r="V460"/>
    </row>
    <row r="461" spans="1:22" x14ac:dyDescent="0.3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104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974</v>
      </c>
      <c r="P461" s="109">
        <v>192124</v>
      </c>
      <c r="Q461" s="107"/>
      <c r="R461" s="111"/>
      <c r="S461" s="110" t="s">
        <v>903</v>
      </c>
      <c r="T461"/>
      <c r="U461"/>
      <c r="V461"/>
    </row>
    <row r="462" spans="1:22" x14ac:dyDescent="0.3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104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975</v>
      </c>
      <c r="P462" s="109">
        <v>192124</v>
      </c>
      <c r="Q462" s="107"/>
      <c r="R462" s="111"/>
      <c r="S462" s="110" t="s">
        <v>903</v>
      </c>
      <c r="T462"/>
      <c r="U462"/>
      <c r="V462"/>
    </row>
    <row r="463" spans="1:22" x14ac:dyDescent="0.3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104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976</v>
      </c>
      <c r="P463" s="109">
        <v>192124</v>
      </c>
      <c r="Q463" s="107"/>
      <c r="R463" s="111"/>
      <c r="S463" s="110" t="s">
        <v>903</v>
      </c>
      <c r="T463"/>
      <c r="U463"/>
      <c r="V463"/>
    </row>
    <row r="464" spans="1:22" x14ac:dyDescent="0.3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104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977</v>
      </c>
      <c r="P464" s="109">
        <v>192124</v>
      </c>
      <c r="Q464" s="107"/>
      <c r="R464" s="111"/>
      <c r="S464" s="110" t="s">
        <v>903</v>
      </c>
      <c r="T464"/>
      <c r="U464"/>
      <c r="V464"/>
    </row>
    <row r="465" spans="1:22" x14ac:dyDescent="0.3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104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978</v>
      </c>
      <c r="P465" s="109">
        <v>192124</v>
      </c>
      <c r="Q465" s="107"/>
      <c r="R465" s="111"/>
      <c r="S465" s="110" t="s">
        <v>903</v>
      </c>
      <c r="T465"/>
      <c r="U465"/>
      <c r="V465"/>
    </row>
    <row r="466" spans="1:22" x14ac:dyDescent="0.3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104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979</v>
      </c>
      <c r="P466" s="109">
        <v>192124</v>
      </c>
      <c r="Q466" s="107"/>
      <c r="R466" s="111"/>
      <c r="S466" s="110" t="s">
        <v>903</v>
      </c>
      <c r="T466"/>
      <c r="U466"/>
      <c r="V466"/>
    </row>
    <row r="467" spans="1:22" x14ac:dyDescent="0.3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104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980</v>
      </c>
      <c r="P467" s="109">
        <v>192124</v>
      </c>
      <c r="Q467" s="107"/>
      <c r="R467" s="111"/>
      <c r="S467" s="110" t="s">
        <v>903</v>
      </c>
      <c r="T467"/>
      <c r="U467"/>
      <c r="V467"/>
    </row>
    <row r="468" spans="1:22" x14ac:dyDescent="0.3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104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981</v>
      </c>
      <c r="P468" s="109">
        <v>192124</v>
      </c>
      <c r="Q468" s="107"/>
      <c r="R468" s="111"/>
      <c r="S468" s="110" t="s">
        <v>903</v>
      </c>
      <c r="T468"/>
      <c r="U468"/>
      <c r="V468"/>
    </row>
    <row r="469" spans="1:22" x14ac:dyDescent="0.3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104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982</v>
      </c>
      <c r="P469" s="109">
        <v>192124</v>
      </c>
      <c r="Q469" s="107"/>
      <c r="R469" s="111"/>
      <c r="S469" s="110" t="s">
        <v>903</v>
      </c>
      <c r="T469"/>
      <c r="U469"/>
      <c r="V469"/>
    </row>
    <row r="470" spans="1:22" x14ac:dyDescent="0.3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104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983</v>
      </c>
      <c r="P470" s="109">
        <v>192124</v>
      </c>
      <c r="Q470" s="107"/>
      <c r="R470" s="111"/>
      <c r="S470" s="110" t="s">
        <v>903</v>
      </c>
      <c r="T470"/>
      <c r="U470"/>
      <c r="V470"/>
    </row>
    <row r="471" spans="1:22" x14ac:dyDescent="0.3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104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984</v>
      </c>
      <c r="P471" s="109">
        <v>192124</v>
      </c>
      <c r="Q471" s="107"/>
      <c r="R471" s="111"/>
      <c r="S471" s="110" t="s">
        <v>903</v>
      </c>
      <c r="T471"/>
      <c r="U471"/>
      <c r="V471"/>
    </row>
    <row r="472" spans="1:22" x14ac:dyDescent="0.3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104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985</v>
      </c>
      <c r="P472" s="109">
        <v>192124</v>
      </c>
      <c r="Q472" s="107"/>
      <c r="R472" s="111"/>
      <c r="S472" s="110" t="s">
        <v>903</v>
      </c>
      <c r="T472"/>
      <c r="U472"/>
      <c r="V472"/>
    </row>
    <row r="473" spans="1:22" x14ac:dyDescent="0.3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104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986</v>
      </c>
      <c r="P473" s="109">
        <v>192125</v>
      </c>
      <c r="Q473" s="107"/>
      <c r="R473" s="111"/>
      <c r="S473" s="110" t="s">
        <v>903</v>
      </c>
      <c r="T473"/>
      <c r="U473"/>
      <c r="V473"/>
    </row>
    <row r="474" spans="1:22" x14ac:dyDescent="0.3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104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987</v>
      </c>
      <c r="P474" s="109">
        <v>192125</v>
      </c>
      <c r="Q474" s="107"/>
      <c r="R474" s="111"/>
      <c r="S474" s="110" t="s">
        <v>903</v>
      </c>
      <c r="T474"/>
      <c r="U474"/>
      <c r="V474"/>
    </row>
    <row r="475" spans="1:22" x14ac:dyDescent="0.3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104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988</v>
      </c>
      <c r="P475" s="109">
        <v>192125</v>
      </c>
      <c r="Q475" s="107"/>
      <c r="R475" s="111"/>
      <c r="S475" s="110" t="s">
        <v>903</v>
      </c>
      <c r="T475"/>
      <c r="U475"/>
      <c r="V475"/>
    </row>
    <row r="476" spans="1:22" x14ac:dyDescent="0.3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104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989</v>
      </c>
      <c r="P476" s="109">
        <v>192125</v>
      </c>
      <c r="Q476" s="107"/>
      <c r="R476" s="111"/>
      <c r="S476" s="110" t="s">
        <v>903</v>
      </c>
      <c r="T476"/>
      <c r="U476"/>
      <c r="V476"/>
    </row>
    <row r="477" spans="1:22" x14ac:dyDescent="0.3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104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990</v>
      </c>
      <c r="P477" s="109">
        <v>192125</v>
      </c>
      <c r="Q477" s="107"/>
      <c r="R477" s="111"/>
      <c r="S477" s="110" t="s">
        <v>903</v>
      </c>
      <c r="T477"/>
      <c r="U477"/>
      <c r="V477"/>
    </row>
    <row r="478" spans="1:22" x14ac:dyDescent="0.3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104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991</v>
      </c>
      <c r="P478" s="109">
        <v>192125</v>
      </c>
      <c r="Q478" s="107"/>
      <c r="R478" s="111"/>
      <c r="S478" s="110" t="s">
        <v>903</v>
      </c>
      <c r="T478"/>
      <c r="U478"/>
      <c r="V478"/>
    </row>
    <row r="479" spans="1:22" x14ac:dyDescent="0.3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104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992</v>
      </c>
      <c r="P479" s="109">
        <v>192125</v>
      </c>
      <c r="Q479" s="107"/>
      <c r="R479" s="111"/>
      <c r="S479" s="110" t="s">
        <v>903</v>
      </c>
      <c r="T479"/>
      <c r="U479"/>
      <c r="V479"/>
    </row>
    <row r="480" spans="1:22" x14ac:dyDescent="0.3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104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993</v>
      </c>
      <c r="P480" s="109">
        <v>192125</v>
      </c>
      <c r="Q480" s="107"/>
      <c r="R480" s="111"/>
      <c r="S480" s="110" t="s">
        <v>903</v>
      </c>
      <c r="T480"/>
      <c r="U480"/>
      <c r="V480"/>
    </row>
    <row r="481" spans="1:22" x14ac:dyDescent="0.3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104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994</v>
      </c>
      <c r="P481" s="109">
        <v>192125</v>
      </c>
      <c r="Q481" s="107"/>
      <c r="R481" s="111"/>
      <c r="S481" s="110" t="s">
        <v>903</v>
      </c>
      <c r="T481"/>
      <c r="U481"/>
      <c r="V481"/>
    </row>
    <row r="482" spans="1:22" x14ac:dyDescent="0.3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104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995</v>
      </c>
      <c r="P482" s="109">
        <v>192125</v>
      </c>
      <c r="Q482" s="107"/>
      <c r="R482" s="111"/>
      <c r="S482" s="110" t="s">
        <v>903</v>
      </c>
      <c r="T482"/>
      <c r="U482"/>
      <c r="V482"/>
    </row>
    <row r="483" spans="1:22" x14ac:dyDescent="0.3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104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996</v>
      </c>
      <c r="P483" s="109">
        <v>192125</v>
      </c>
      <c r="Q483" s="107"/>
      <c r="R483" s="111"/>
      <c r="S483" s="110" t="s">
        <v>903</v>
      </c>
      <c r="T483"/>
      <c r="U483"/>
      <c r="V483"/>
    </row>
    <row r="484" spans="1:22" x14ac:dyDescent="0.3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104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997</v>
      </c>
      <c r="P484" s="109">
        <v>192125</v>
      </c>
      <c r="Q484" s="107"/>
      <c r="R484" s="111"/>
      <c r="S484" s="110" t="s">
        <v>903</v>
      </c>
      <c r="T484"/>
      <c r="U484"/>
      <c r="V484"/>
    </row>
    <row r="485" spans="1:22" x14ac:dyDescent="0.3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104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998</v>
      </c>
      <c r="P485" s="109">
        <v>192125</v>
      </c>
      <c r="Q485" s="107"/>
      <c r="R485" s="111"/>
      <c r="S485" s="110" t="s">
        <v>903</v>
      </c>
      <c r="T485"/>
      <c r="U485"/>
      <c r="V485"/>
    </row>
    <row r="486" spans="1:22" x14ac:dyDescent="0.3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104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999</v>
      </c>
      <c r="P486" s="109">
        <v>192125</v>
      </c>
      <c r="Q486" s="107"/>
      <c r="R486" s="111"/>
      <c r="S486" s="110" t="s">
        <v>903</v>
      </c>
      <c r="T486"/>
      <c r="U486"/>
      <c r="V486"/>
    </row>
    <row r="487" spans="1:22" x14ac:dyDescent="0.3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104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1000</v>
      </c>
      <c r="P487" s="109">
        <v>192125</v>
      </c>
      <c r="Q487" s="107"/>
      <c r="R487" s="111"/>
      <c r="S487" s="110" t="s">
        <v>903</v>
      </c>
      <c r="T487"/>
      <c r="U487"/>
      <c r="V487"/>
    </row>
    <row r="488" spans="1:22" x14ac:dyDescent="0.3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104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1001</v>
      </c>
      <c r="P488" s="109">
        <v>192125</v>
      </c>
      <c r="Q488" s="107"/>
      <c r="R488" s="111"/>
      <c r="S488" s="110" t="s">
        <v>903</v>
      </c>
      <c r="T488"/>
      <c r="U488"/>
      <c r="V488"/>
    </row>
    <row r="489" spans="1:22" x14ac:dyDescent="0.3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104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1002</v>
      </c>
      <c r="P489" s="109">
        <v>192125</v>
      </c>
      <c r="Q489" s="107"/>
      <c r="R489" s="111"/>
      <c r="S489" s="110" t="s">
        <v>903</v>
      </c>
      <c r="T489"/>
      <c r="U489"/>
      <c r="V489"/>
    </row>
    <row r="490" spans="1:22" x14ac:dyDescent="0.3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104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1003</v>
      </c>
      <c r="P490" s="109">
        <v>192125</v>
      </c>
      <c r="Q490" s="107"/>
      <c r="R490" s="111"/>
      <c r="S490" s="110" t="s">
        <v>903</v>
      </c>
      <c r="T490"/>
      <c r="U490"/>
      <c r="V490"/>
    </row>
    <row r="491" spans="1:22" x14ac:dyDescent="0.3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104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1004</v>
      </c>
      <c r="P491" s="109">
        <v>192125</v>
      </c>
      <c r="Q491" s="107"/>
      <c r="R491" s="111"/>
      <c r="S491" s="110" t="s">
        <v>903</v>
      </c>
      <c r="T491"/>
      <c r="U491"/>
      <c r="V491"/>
    </row>
    <row r="492" spans="1:22" x14ac:dyDescent="0.3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104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1005</v>
      </c>
      <c r="P492" s="109">
        <v>192125</v>
      </c>
      <c r="Q492" s="107"/>
      <c r="R492" s="111"/>
      <c r="S492" s="110" t="s">
        <v>903</v>
      </c>
      <c r="T492"/>
      <c r="U492"/>
      <c r="V492"/>
    </row>
    <row r="493" spans="1:22" x14ac:dyDescent="0.3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104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1006</v>
      </c>
      <c r="P493" s="109">
        <v>192141</v>
      </c>
      <c r="Q493" s="107"/>
      <c r="R493" s="111"/>
      <c r="S493" s="110" t="s">
        <v>903</v>
      </c>
      <c r="T493"/>
      <c r="U493"/>
      <c r="V493"/>
    </row>
    <row r="494" spans="1:22" x14ac:dyDescent="0.3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104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1007</v>
      </c>
      <c r="P494" s="109">
        <v>192141</v>
      </c>
      <c r="Q494" s="107"/>
      <c r="R494" s="111"/>
      <c r="S494" s="110" t="s">
        <v>903</v>
      </c>
      <c r="T494"/>
      <c r="U494"/>
      <c r="V494"/>
    </row>
    <row r="495" spans="1:22" x14ac:dyDescent="0.3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104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1008</v>
      </c>
      <c r="P495" s="109">
        <v>192141</v>
      </c>
      <c r="Q495" s="107"/>
      <c r="R495" s="111"/>
      <c r="S495" s="110" t="s">
        <v>903</v>
      </c>
      <c r="T495"/>
      <c r="U495"/>
      <c r="V495"/>
    </row>
    <row r="496" spans="1:22" x14ac:dyDescent="0.3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104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1009</v>
      </c>
      <c r="P496" s="109">
        <v>192141</v>
      </c>
      <c r="Q496" s="107"/>
      <c r="R496" s="111"/>
      <c r="S496" s="110" t="s">
        <v>903</v>
      </c>
      <c r="T496"/>
      <c r="U496"/>
      <c r="V496"/>
    </row>
    <row r="497" spans="1:22" x14ac:dyDescent="0.3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104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1010</v>
      </c>
      <c r="P497" s="109">
        <v>192141</v>
      </c>
      <c r="Q497" s="107"/>
      <c r="R497" s="111"/>
      <c r="S497" s="110" t="s">
        <v>903</v>
      </c>
      <c r="T497"/>
      <c r="U497"/>
      <c r="V497"/>
    </row>
    <row r="498" spans="1:22" x14ac:dyDescent="0.3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104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1011</v>
      </c>
      <c r="P498" s="109">
        <v>192141</v>
      </c>
      <c r="Q498" s="107"/>
      <c r="R498" s="111"/>
      <c r="S498" s="110" t="s">
        <v>903</v>
      </c>
      <c r="T498"/>
      <c r="U498"/>
      <c r="V498"/>
    </row>
    <row r="499" spans="1:22" x14ac:dyDescent="0.3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104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1012</v>
      </c>
      <c r="P499" s="109">
        <v>192141</v>
      </c>
      <c r="Q499" s="107"/>
      <c r="R499" s="111"/>
      <c r="S499" s="110" t="s">
        <v>903</v>
      </c>
      <c r="T499"/>
      <c r="U499"/>
      <c r="V499"/>
    </row>
    <row r="500" spans="1:22" x14ac:dyDescent="0.3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104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1013</v>
      </c>
      <c r="P500" s="109">
        <v>192141</v>
      </c>
      <c r="Q500" s="107"/>
      <c r="R500" s="111"/>
      <c r="S500" s="110" t="s">
        <v>903</v>
      </c>
      <c r="T500"/>
      <c r="U500"/>
      <c r="V500"/>
    </row>
    <row r="501" spans="1:22" x14ac:dyDescent="0.3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104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1014</v>
      </c>
      <c r="P501" s="109">
        <v>192141</v>
      </c>
      <c r="Q501" s="107"/>
      <c r="R501" s="111"/>
      <c r="S501" s="110" t="s">
        <v>903</v>
      </c>
      <c r="T501"/>
      <c r="U501"/>
      <c r="V501"/>
    </row>
    <row r="502" spans="1:22" x14ac:dyDescent="0.3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104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1015</v>
      </c>
      <c r="P502" s="109">
        <v>192141</v>
      </c>
      <c r="Q502" s="107"/>
      <c r="R502" s="111"/>
      <c r="S502" s="110" t="s">
        <v>903</v>
      </c>
      <c r="T502"/>
      <c r="U502"/>
      <c r="V502"/>
    </row>
    <row r="503" spans="1:22" x14ac:dyDescent="0.3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104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1016</v>
      </c>
      <c r="P503" s="109">
        <v>192141</v>
      </c>
      <c r="Q503" s="107"/>
      <c r="R503" s="111"/>
      <c r="S503" s="110" t="s">
        <v>903</v>
      </c>
      <c r="T503"/>
      <c r="U503"/>
      <c r="V503"/>
    </row>
    <row r="504" spans="1:22" x14ac:dyDescent="0.3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104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1017</v>
      </c>
      <c r="P504" s="109">
        <v>192141</v>
      </c>
      <c r="Q504" s="107"/>
      <c r="R504" s="111"/>
      <c r="S504" s="110" t="s">
        <v>903</v>
      </c>
      <c r="T504"/>
      <c r="U504"/>
      <c r="V504"/>
    </row>
    <row r="505" spans="1:22" x14ac:dyDescent="0.3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104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1018</v>
      </c>
      <c r="P505" s="109">
        <v>192141</v>
      </c>
      <c r="Q505" s="107"/>
      <c r="R505" s="111"/>
      <c r="S505" s="110" t="s">
        <v>903</v>
      </c>
      <c r="T505"/>
      <c r="U505"/>
      <c r="V505"/>
    </row>
    <row r="506" spans="1:22" x14ac:dyDescent="0.3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104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1019</v>
      </c>
      <c r="P506" s="109">
        <v>192141</v>
      </c>
      <c r="Q506" s="107"/>
      <c r="R506" s="111"/>
      <c r="S506" s="110" t="s">
        <v>903</v>
      </c>
      <c r="T506"/>
      <c r="U506"/>
      <c r="V506"/>
    </row>
    <row r="507" spans="1:22" x14ac:dyDescent="0.3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104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1020</v>
      </c>
      <c r="P507" s="109">
        <v>192141</v>
      </c>
      <c r="Q507" s="107"/>
      <c r="R507" s="111"/>
      <c r="S507" s="110" t="s">
        <v>903</v>
      </c>
      <c r="T507"/>
      <c r="U507"/>
      <c r="V507"/>
    </row>
    <row r="508" spans="1:22" x14ac:dyDescent="0.3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104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1021</v>
      </c>
      <c r="P508" s="109">
        <v>192141</v>
      </c>
      <c r="Q508" s="107"/>
      <c r="R508" s="111"/>
      <c r="S508" s="110" t="s">
        <v>903</v>
      </c>
      <c r="T508"/>
      <c r="U508"/>
      <c r="V508"/>
    </row>
    <row r="509" spans="1:22" x14ac:dyDescent="0.3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104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1022</v>
      </c>
      <c r="P509" s="109">
        <v>192141</v>
      </c>
      <c r="Q509" s="107"/>
      <c r="R509" s="111"/>
      <c r="S509" s="110" t="s">
        <v>903</v>
      </c>
      <c r="T509"/>
      <c r="U509"/>
      <c r="V509"/>
    </row>
    <row r="510" spans="1:22" x14ac:dyDescent="0.3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104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1023</v>
      </c>
      <c r="P510" s="109">
        <v>192141</v>
      </c>
      <c r="Q510" s="107"/>
      <c r="R510" s="111"/>
      <c r="S510" s="110" t="s">
        <v>903</v>
      </c>
      <c r="T510"/>
      <c r="U510"/>
      <c r="V510"/>
    </row>
    <row r="511" spans="1:22" x14ac:dyDescent="0.3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104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1024</v>
      </c>
      <c r="P511" s="109">
        <v>192141</v>
      </c>
      <c r="Q511" s="107"/>
      <c r="R511" s="111"/>
      <c r="S511" s="110" t="s">
        <v>903</v>
      </c>
      <c r="T511"/>
      <c r="U511"/>
      <c r="V511"/>
    </row>
    <row r="512" spans="1:22" x14ac:dyDescent="0.3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104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1025</v>
      </c>
      <c r="P512" s="109">
        <v>192141</v>
      </c>
      <c r="Q512" s="107"/>
      <c r="R512" s="111"/>
      <c r="S512" s="110" t="s">
        <v>903</v>
      </c>
      <c r="T512"/>
      <c r="U512"/>
      <c r="V512"/>
    </row>
    <row r="513" spans="1:22" x14ac:dyDescent="0.3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104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1026</v>
      </c>
      <c r="P513" s="109">
        <v>192141</v>
      </c>
      <c r="Q513" s="107"/>
      <c r="R513" s="111"/>
      <c r="S513" s="110" t="s">
        <v>903</v>
      </c>
      <c r="T513"/>
      <c r="U513"/>
      <c r="V513"/>
    </row>
    <row r="514" spans="1:22" x14ac:dyDescent="0.3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104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1027</v>
      </c>
      <c r="P514" s="109">
        <v>192141</v>
      </c>
      <c r="Q514" s="107"/>
      <c r="R514" s="111"/>
      <c r="S514" s="110" t="s">
        <v>903</v>
      </c>
      <c r="T514"/>
      <c r="U514"/>
      <c r="V514"/>
    </row>
    <row r="515" spans="1:22" x14ac:dyDescent="0.3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104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1028</v>
      </c>
      <c r="P515" s="109">
        <v>192141</v>
      </c>
      <c r="Q515" s="107"/>
      <c r="R515" s="111"/>
      <c r="S515" s="110" t="s">
        <v>903</v>
      </c>
      <c r="T515"/>
      <c r="U515"/>
      <c r="V515"/>
    </row>
    <row r="516" spans="1:22" x14ac:dyDescent="0.3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104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1029</v>
      </c>
      <c r="P516" s="109">
        <v>192141</v>
      </c>
      <c r="Q516" s="107"/>
      <c r="R516" s="111"/>
      <c r="S516" s="110" t="s">
        <v>903</v>
      </c>
      <c r="T516"/>
      <c r="U516"/>
      <c r="V516"/>
    </row>
    <row r="517" spans="1:22" x14ac:dyDescent="0.3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104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1030</v>
      </c>
      <c r="P517" s="109">
        <v>192141</v>
      </c>
      <c r="Q517" s="107"/>
      <c r="R517" s="111"/>
      <c r="S517" s="110" t="s">
        <v>903</v>
      </c>
      <c r="T517"/>
      <c r="U517"/>
      <c r="V517"/>
    </row>
    <row r="518" spans="1:22" x14ac:dyDescent="0.3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104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1031</v>
      </c>
      <c r="P518" s="109">
        <v>192141</v>
      </c>
      <c r="Q518" s="107"/>
      <c r="R518" s="111"/>
      <c r="S518" s="110" t="s">
        <v>903</v>
      </c>
      <c r="T518"/>
      <c r="U518"/>
      <c r="V518"/>
    </row>
    <row r="519" spans="1:22" x14ac:dyDescent="0.3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104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1032</v>
      </c>
      <c r="P519" s="109">
        <v>192141</v>
      </c>
      <c r="Q519" s="107"/>
      <c r="R519" s="111"/>
      <c r="S519" s="110" t="s">
        <v>903</v>
      </c>
      <c r="T519"/>
      <c r="U519"/>
      <c r="V519"/>
    </row>
    <row r="520" spans="1:22" x14ac:dyDescent="0.3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104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1033</v>
      </c>
      <c r="P520" s="109">
        <v>192141</v>
      </c>
      <c r="Q520" s="107"/>
      <c r="R520" s="111"/>
      <c r="S520" s="110" t="s">
        <v>903</v>
      </c>
      <c r="T520"/>
      <c r="U520"/>
      <c r="V520"/>
    </row>
    <row r="521" spans="1:22" x14ac:dyDescent="0.3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104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1034</v>
      </c>
      <c r="P521" s="109">
        <v>192141</v>
      </c>
      <c r="Q521" s="107"/>
      <c r="R521" s="111"/>
      <c r="S521" s="110" t="s">
        <v>903</v>
      </c>
      <c r="T521"/>
      <c r="U521"/>
      <c r="V521"/>
    </row>
    <row r="522" spans="1:22" x14ac:dyDescent="0.3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104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1035</v>
      </c>
      <c r="P522" s="109">
        <v>192141</v>
      </c>
      <c r="Q522" s="107"/>
      <c r="R522" s="111"/>
      <c r="S522" s="110" t="s">
        <v>903</v>
      </c>
      <c r="T522"/>
      <c r="U522"/>
      <c r="V522"/>
    </row>
    <row r="523" spans="1:22" x14ac:dyDescent="0.3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104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1036</v>
      </c>
      <c r="P523" s="109">
        <v>192141</v>
      </c>
      <c r="Q523" s="107"/>
      <c r="R523" s="111"/>
      <c r="S523" s="110" t="s">
        <v>903</v>
      </c>
      <c r="T523"/>
      <c r="U523"/>
      <c r="V523"/>
    </row>
    <row r="524" spans="1:22" x14ac:dyDescent="0.3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104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1037</v>
      </c>
      <c r="P524" s="109">
        <v>192141</v>
      </c>
      <c r="Q524" s="107"/>
      <c r="R524" s="111"/>
      <c r="S524" s="110" t="s">
        <v>903</v>
      </c>
      <c r="T524"/>
      <c r="U524"/>
      <c r="V524"/>
    </row>
    <row r="525" spans="1:22" x14ac:dyDescent="0.3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104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1038</v>
      </c>
      <c r="P525" s="109">
        <v>192141</v>
      </c>
      <c r="Q525" s="107"/>
      <c r="R525" s="111"/>
      <c r="S525" s="110" t="s">
        <v>903</v>
      </c>
      <c r="T525"/>
      <c r="U525"/>
      <c r="V525"/>
    </row>
    <row r="526" spans="1:22" x14ac:dyDescent="0.3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104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1039</v>
      </c>
      <c r="P526" s="109">
        <v>192141</v>
      </c>
      <c r="Q526" s="107"/>
      <c r="R526" s="111"/>
      <c r="S526" s="110" t="s">
        <v>903</v>
      </c>
      <c r="T526"/>
      <c r="U526"/>
      <c r="V526"/>
    </row>
    <row r="527" spans="1:22" x14ac:dyDescent="0.3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104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1040</v>
      </c>
      <c r="P527" s="109">
        <v>192141</v>
      </c>
      <c r="Q527" s="107"/>
      <c r="R527" s="111"/>
      <c r="S527" s="110" t="s">
        <v>903</v>
      </c>
      <c r="T527"/>
      <c r="U527"/>
      <c r="V527"/>
    </row>
    <row r="528" spans="1:22" x14ac:dyDescent="0.3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104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1041</v>
      </c>
      <c r="P528" s="109">
        <v>192141</v>
      </c>
      <c r="Q528" s="107"/>
      <c r="R528" s="111"/>
      <c r="S528" s="110" t="s">
        <v>903</v>
      </c>
      <c r="T528"/>
      <c r="U528"/>
      <c r="V528"/>
    </row>
    <row r="529" spans="1:22" x14ac:dyDescent="0.3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104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1042</v>
      </c>
      <c r="P529" s="109">
        <v>192141</v>
      </c>
      <c r="Q529" s="107"/>
      <c r="R529" s="111"/>
      <c r="S529" s="110" t="s">
        <v>903</v>
      </c>
      <c r="T529"/>
      <c r="U529"/>
      <c r="V529"/>
    </row>
    <row r="530" spans="1:22" x14ac:dyDescent="0.3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104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1043</v>
      </c>
      <c r="P530" s="109">
        <v>192201</v>
      </c>
      <c r="Q530" s="107"/>
      <c r="R530" s="111"/>
      <c r="S530" s="110" t="s">
        <v>903</v>
      </c>
      <c r="T530"/>
      <c r="U530"/>
      <c r="V530"/>
    </row>
    <row r="531" spans="1:22" x14ac:dyDescent="0.3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104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1044</v>
      </c>
      <c r="P531" s="109">
        <v>192201</v>
      </c>
      <c r="Q531" s="107"/>
      <c r="R531" s="111"/>
      <c r="S531" s="110" t="s">
        <v>903</v>
      </c>
      <c r="T531"/>
      <c r="U531"/>
      <c r="V531"/>
    </row>
    <row r="532" spans="1:22" x14ac:dyDescent="0.3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104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1045</v>
      </c>
      <c r="P532" s="109">
        <v>192201</v>
      </c>
      <c r="Q532" s="107"/>
      <c r="R532" s="111"/>
      <c r="S532" s="110" t="s">
        <v>903</v>
      </c>
      <c r="T532"/>
      <c r="U532"/>
      <c r="V532"/>
    </row>
    <row r="533" spans="1:22" x14ac:dyDescent="0.3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104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1046</v>
      </c>
      <c r="P533" s="109">
        <v>192201</v>
      </c>
      <c r="Q533" s="107"/>
      <c r="R533" s="111"/>
      <c r="S533" s="110" t="s">
        <v>903</v>
      </c>
      <c r="T533"/>
      <c r="U533"/>
      <c r="V533"/>
    </row>
    <row r="534" spans="1:22" x14ac:dyDescent="0.3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104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1049</v>
      </c>
      <c r="P534" s="109">
        <v>192200</v>
      </c>
      <c r="Q534" s="107"/>
      <c r="R534" s="111"/>
      <c r="S534" s="110" t="s">
        <v>903</v>
      </c>
      <c r="T534"/>
      <c r="U534"/>
      <c r="V534"/>
    </row>
    <row r="535" spans="1:22" x14ac:dyDescent="0.3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104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1050</v>
      </c>
      <c r="P535" s="109">
        <v>192200</v>
      </c>
      <c r="Q535" s="107"/>
      <c r="R535" s="111"/>
      <c r="S535" s="110" t="s">
        <v>903</v>
      </c>
      <c r="T535"/>
      <c r="U535"/>
      <c r="V535"/>
    </row>
    <row r="536" spans="1:22" x14ac:dyDescent="0.3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104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1051</v>
      </c>
      <c r="P536" s="109">
        <v>192200</v>
      </c>
      <c r="Q536" s="107"/>
      <c r="R536" s="111"/>
      <c r="S536" s="110" t="s">
        <v>903</v>
      </c>
      <c r="T536"/>
      <c r="U536"/>
      <c r="V536"/>
    </row>
    <row r="537" spans="1:22" x14ac:dyDescent="0.3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104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1052</v>
      </c>
      <c r="P537" s="109">
        <v>192200</v>
      </c>
      <c r="Q537" s="107"/>
      <c r="R537" s="111"/>
      <c r="S537" s="110" t="s">
        <v>903</v>
      </c>
      <c r="T537"/>
      <c r="U537"/>
      <c r="V537"/>
    </row>
    <row r="538" spans="1:22" x14ac:dyDescent="0.3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104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1053</v>
      </c>
      <c r="P538" s="109">
        <v>192200</v>
      </c>
      <c r="Q538" s="107"/>
      <c r="R538" s="111"/>
      <c r="S538" s="110" t="s">
        <v>903</v>
      </c>
      <c r="T538"/>
      <c r="U538"/>
      <c r="V538"/>
    </row>
    <row r="539" spans="1:22" x14ac:dyDescent="0.3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104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1054</v>
      </c>
      <c r="P539" s="109">
        <v>192200</v>
      </c>
      <c r="Q539" s="107"/>
      <c r="R539" s="111"/>
      <c r="S539" s="110" t="s">
        <v>903</v>
      </c>
      <c r="T539"/>
      <c r="U539"/>
      <c r="V539"/>
    </row>
    <row r="540" spans="1:22" x14ac:dyDescent="0.3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104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1055</v>
      </c>
      <c r="P540" s="109">
        <v>192200</v>
      </c>
      <c r="Q540" s="107"/>
      <c r="R540" s="111"/>
      <c r="S540" s="110" t="s">
        <v>903</v>
      </c>
      <c r="T540"/>
      <c r="U540"/>
      <c r="V540"/>
    </row>
    <row r="541" spans="1:22" x14ac:dyDescent="0.3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104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1056</v>
      </c>
      <c r="P541" s="109">
        <v>192200</v>
      </c>
      <c r="Q541" s="107"/>
      <c r="R541" s="111"/>
      <c r="S541" s="110" t="s">
        <v>903</v>
      </c>
      <c r="T541"/>
      <c r="U541"/>
      <c r="V541"/>
    </row>
    <row r="542" spans="1:22" x14ac:dyDescent="0.3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104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1057</v>
      </c>
      <c r="P542" s="109">
        <v>192200</v>
      </c>
      <c r="Q542" s="107"/>
      <c r="R542" s="111"/>
      <c r="S542" s="110" t="s">
        <v>903</v>
      </c>
      <c r="T542"/>
      <c r="U542"/>
      <c r="V542"/>
    </row>
    <row r="543" spans="1:22" x14ac:dyDescent="0.3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104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1058</v>
      </c>
      <c r="P543" s="109">
        <v>192200</v>
      </c>
      <c r="Q543" s="107"/>
      <c r="R543" s="111"/>
      <c r="S543" s="110" t="s">
        <v>903</v>
      </c>
      <c r="T543"/>
      <c r="U543"/>
      <c r="V543"/>
    </row>
    <row r="544" spans="1:22" x14ac:dyDescent="0.3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104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1059</v>
      </c>
      <c r="P544" s="109">
        <v>192200</v>
      </c>
      <c r="Q544" s="107"/>
      <c r="R544" s="111"/>
      <c r="S544" s="110" t="s">
        <v>903</v>
      </c>
      <c r="T544"/>
      <c r="U544"/>
      <c r="V544"/>
    </row>
    <row r="545" spans="1:22" x14ac:dyDescent="0.3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104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1060</v>
      </c>
      <c r="P545" s="109">
        <v>192200</v>
      </c>
      <c r="Q545" s="107"/>
      <c r="R545" s="111"/>
      <c r="S545" s="110" t="s">
        <v>903</v>
      </c>
      <c r="T545"/>
      <c r="U545"/>
      <c r="V545"/>
    </row>
    <row r="546" spans="1:22" x14ac:dyDescent="0.3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104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1061</v>
      </c>
      <c r="P546" s="109">
        <v>192200</v>
      </c>
      <c r="Q546" s="107"/>
      <c r="R546" s="111"/>
      <c r="S546" s="110" t="s">
        <v>903</v>
      </c>
      <c r="T546"/>
      <c r="U546"/>
      <c r="V546"/>
    </row>
    <row r="547" spans="1:22" x14ac:dyDescent="0.3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104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1062</v>
      </c>
      <c r="P547" s="109">
        <v>192200</v>
      </c>
      <c r="Q547" s="107"/>
      <c r="R547" s="111"/>
      <c r="S547" s="110" t="s">
        <v>903</v>
      </c>
      <c r="T547"/>
      <c r="U547"/>
      <c r="V547"/>
    </row>
    <row r="548" spans="1:22" x14ac:dyDescent="0.3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104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1063</v>
      </c>
      <c r="P548" s="109">
        <v>192200</v>
      </c>
      <c r="Q548" s="107"/>
      <c r="R548" s="111"/>
      <c r="S548" s="110" t="s">
        <v>903</v>
      </c>
      <c r="T548"/>
      <c r="U548"/>
      <c r="V548"/>
    </row>
    <row r="549" spans="1:22" x14ac:dyDescent="0.3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104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1064</v>
      </c>
      <c r="P549" s="109">
        <v>192200</v>
      </c>
      <c r="Q549" s="107"/>
      <c r="R549" s="111"/>
      <c r="S549" s="110" t="s">
        <v>903</v>
      </c>
      <c r="T549"/>
      <c r="U549"/>
      <c r="V549"/>
    </row>
    <row r="550" spans="1:22" x14ac:dyDescent="0.3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104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1065</v>
      </c>
      <c r="P550" s="109">
        <v>192200</v>
      </c>
      <c r="Q550" s="107"/>
      <c r="R550" s="111"/>
      <c r="S550" s="110" t="s">
        <v>903</v>
      </c>
      <c r="T550"/>
      <c r="U550"/>
      <c r="V550"/>
    </row>
    <row r="551" spans="1:22" x14ac:dyDescent="0.3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104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1066</v>
      </c>
      <c r="P551" s="109">
        <v>192200</v>
      </c>
      <c r="Q551" s="107"/>
      <c r="R551" s="111"/>
      <c r="S551" s="110" t="s">
        <v>903</v>
      </c>
      <c r="T551"/>
      <c r="U551"/>
      <c r="V551"/>
    </row>
    <row r="552" spans="1:22" x14ac:dyDescent="0.3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104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1067</v>
      </c>
      <c r="P552" s="109">
        <v>192200</v>
      </c>
      <c r="Q552" s="107"/>
      <c r="R552" s="111"/>
      <c r="S552" s="110" t="s">
        <v>903</v>
      </c>
      <c r="T552"/>
      <c r="U552"/>
      <c r="V552"/>
    </row>
    <row r="553" spans="1:22" x14ac:dyDescent="0.3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104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1068</v>
      </c>
      <c r="P553" s="109">
        <v>192200</v>
      </c>
      <c r="Q553" s="107"/>
      <c r="R553" s="111"/>
      <c r="S553" s="110" t="s">
        <v>903</v>
      </c>
      <c r="T553"/>
      <c r="U553"/>
      <c r="V553"/>
    </row>
    <row r="554" spans="1:22" x14ac:dyDescent="0.3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104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1069</v>
      </c>
      <c r="P554" s="109">
        <v>192200</v>
      </c>
      <c r="Q554" s="107"/>
      <c r="R554" s="111"/>
      <c r="S554" s="110" t="s">
        <v>903</v>
      </c>
      <c r="T554"/>
      <c r="U554"/>
      <c r="V554"/>
    </row>
    <row r="555" spans="1:22" x14ac:dyDescent="0.3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104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1070</v>
      </c>
      <c r="P555" s="109">
        <v>192200</v>
      </c>
      <c r="Q555" s="107"/>
      <c r="R555" s="111"/>
      <c r="S555" s="110" t="s">
        <v>903</v>
      </c>
      <c r="T555"/>
      <c r="U555"/>
      <c r="V555"/>
    </row>
    <row r="556" spans="1:22" x14ac:dyDescent="0.3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104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1071</v>
      </c>
      <c r="P556" s="109">
        <v>192200</v>
      </c>
      <c r="Q556" s="107"/>
      <c r="R556" s="111"/>
      <c r="S556" s="110" t="s">
        <v>903</v>
      </c>
      <c r="T556"/>
      <c r="U556"/>
      <c r="V556"/>
    </row>
    <row r="557" spans="1:22" x14ac:dyDescent="0.3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104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1072</v>
      </c>
      <c r="P557" s="109">
        <v>192200</v>
      </c>
      <c r="Q557" s="107"/>
      <c r="R557" s="111"/>
      <c r="S557" s="110" t="s">
        <v>903</v>
      </c>
      <c r="T557"/>
      <c r="U557"/>
      <c r="V557"/>
    </row>
    <row r="558" spans="1:22" x14ac:dyDescent="0.3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104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1073</v>
      </c>
      <c r="P558" s="109">
        <v>192200</v>
      </c>
      <c r="Q558" s="107"/>
      <c r="R558" s="111"/>
      <c r="S558" s="110" t="s">
        <v>903</v>
      </c>
      <c r="T558"/>
      <c r="U558"/>
      <c r="V558"/>
    </row>
    <row r="559" spans="1:22" x14ac:dyDescent="0.3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104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1074</v>
      </c>
      <c r="P559" s="109">
        <v>192200</v>
      </c>
      <c r="Q559" s="107"/>
      <c r="R559" s="111"/>
      <c r="S559" s="110" t="s">
        <v>903</v>
      </c>
      <c r="T559"/>
      <c r="U559"/>
      <c r="V559"/>
    </row>
    <row r="560" spans="1:22" x14ac:dyDescent="0.3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104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1075</v>
      </c>
      <c r="P560" s="109">
        <v>192200</v>
      </c>
      <c r="Q560" s="107"/>
      <c r="R560" s="111"/>
      <c r="S560" s="110" t="s">
        <v>903</v>
      </c>
      <c r="T560"/>
      <c r="U560"/>
      <c r="V560"/>
    </row>
    <row r="561" spans="1:22" x14ac:dyDescent="0.3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104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1076</v>
      </c>
      <c r="P561" s="109">
        <v>192200</v>
      </c>
      <c r="Q561" s="107"/>
      <c r="R561" s="111"/>
      <c r="S561" s="110" t="s">
        <v>903</v>
      </c>
      <c r="T561"/>
      <c r="U561"/>
      <c r="V561"/>
    </row>
    <row r="562" spans="1:22" x14ac:dyDescent="0.3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104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1077</v>
      </c>
      <c r="P562" s="109">
        <v>192200</v>
      </c>
      <c r="Q562" s="107"/>
      <c r="R562" s="111"/>
      <c r="S562" s="110" t="s">
        <v>903</v>
      </c>
      <c r="T562"/>
      <c r="U562"/>
      <c r="V562"/>
    </row>
    <row r="563" spans="1:22" x14ac:dyDescent="0.3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104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1078</v>
      </c>
      <c r="P563" s="109">
        <v>192200</v>
      </c>
      <c r="Q563" s="107"/>
      <c r="R563" s="111"/>
      <c r="S563" s="110" t="s">
        <v>903</v>
      </c>
      <c r="T563"/>
      <c r="U563"/>
      <c r="V563"/>
    </row>
    <row r="564" spans="1:22" x14ac:dyDescent="0.3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104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1079</v>
      </c>
      <c r="P564" s="109">
        <v>192200</v>
      </c>
      <c r="Q564" s="107"/>
      <c r="R564" s="111"/>
      <c r="S564" s="110" t="s">
        <v>903</v>
      </c>
      <c r="T564"/>
      <c r="U564"/>
      <c r="V564"/>
    </row>
    <row r="565" spans="1:22" x14ac:dyDescent="0.3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104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1080</v>
      </c>
      <c r="P565" s="109">
        <v>192200</v>
      </c>
      <c r="Q565" s="107"/>
      <c r="R565" s="111"/>
      <c r="S565" s="110" t="s">
        <v>903</v>
      </c>
      <c r="T565"/>
      <c r="U565"/>
      <c r="V565"/>
    </row>
    <row r="566" spans="1:22" x14ac:dyDescent="0.3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104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1081</v>
      </c>
      <c r="P566" s="109">
        <v>192200</v>
      </c>
      <c r="Q566" s="107"/>
      <c r="R566" s="111"/>
      <c r="S566" s="110" t="s">
        <v>903</v>
      </c>
      <c r="T566"/>
      <c r="U566"/>
      <c r="V566"/>
    </row>
    <row r="567" spans="1:22" x14ac:dyDescent="0.3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104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1082</v>
      </c>
      <c r="P567" s="109">
        <v>192200</v>
      </c>
      <c r="Q567" s="107"/>
      <c r="R567" s="111"/>
      <c r="S567" s="110" t="s">
        <v>903</v>
      </c>
      <c r="T567"/>
      <c r="U567"/>
      <c r="V567"/>
    </row>
    <row r="568" spans="1:22" x14ac:dyDescent="0.3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104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1083</v>
      </c>
      <c r="P568" s="109">
        <v>192200</v>
      </c>
      <c r="Q568" s="107"/>
      <c r="R568" s="111"/>
      <c r="S568" s="110" t="s">
        <v>903</v>
      </c>
      <c r="T568"/>
      <c r="U568"/>
      <c r="V568"/>
    </row>
    <row r="569" spans="1:22" x14ac:dyDescent="0.3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104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1084</v>
      </c>
      <c r="P569" s="109">
        <v>192200</v>
      </c>
      <c r="Q569" s="107"/>
      <c r="R569" s="111"/>
      <c r="S569" s="110" t="s">
        <v>903</v>
      </c>
      <c r="T569"/>
      <c r="U569"/>
      <c r="V569"/>
    </row>
    <row r="570" spans="1:22" x14ac:dyDescent="0.3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104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1085</v>
      </c>
      <c r="P570" s="109">
        <v>192200</v>
      </c>
      <c r="Q570" s="107"/>
      <c r="R570" s="111"/>
      <c r="S570" s="110" t="s">
        <v>903</v>
      </c>
      <c r="T570"/>
      <c r="U570"/>
      <c r="V570"/>
    </row>
    <row r="571" spans="1:22" x14ac:dyDescent="0.3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104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1086</v>
      </c>
      <c r="P571" s="109">
        <v>192200</v>
      </c>
      <c r="Q571" s="107"/>
      <c r="R571" s="111"/>
      <c r="S571" s="110" t="s">
        <v>903</v>
      </c>
      <c r="T571"/>
      <c r="U571"/>
      <c r="V571"/>
    </row>
    <row r="572" spans="1:22" x14ac:dyDescent="0.3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104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1087</v>
      </c>
      <c r="P572" s="109">
        <v>192200</v>
      </c>
      <c r="Q572" s="107"/>
      <c r="R572" s="111"/>
      <c r="S572" s="110" t="s">
        <v>903</v>
      </c>
      <c r="T572"/>
      <c r="U572"/>
      <c r="V572"/>
    </row>
    <row r="573" spans="1:22" x14ac:dyDescent="0.3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104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1088</v>
      </c>
      <c r="P573" s="109">
        <v>192200</v>
      </c>
      <c r="Q573" s="107"/>
      <c r="R573" s="111"/>
      <c r="S573" s="110" t="s">
        <v>903</v>
      </c>
      <c r="T573"/>
      <c r="U573"/>
      <c r="V573"/>
    </row>
    <row r="574" spans="1:22" x14ac:dyDescent="0.3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104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1089</v>
      </c>
      <c r="P574" s="109">
        <v>192200</v>
      </c>
      <c r="Q574" s="107"/>
      <c r="R574" s="111"/>
      <c r="S574" s="110" t="s">
        <v>903</v>
      </c>
      <c r="T574"/>
      <c r="U574"/>
      <c r="V574"/>
    </row>
    <row r="575" spans="1:22" x14ac:dyDescent="0.3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104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1090</v>
      </c>
      <c r="P575" s="109">
        <v>192200</v>
      </c>
      <c r="Q575" s="107"/>
      <c r="R575" s="111"/>
      <c r="S575" s="110" t="s">
        <v>903</v>
      </c>
      <c r="T575"/>
      <c r="U575"/>
      <c r="V575"/>
    </row>
    <row r="576" spans="1:22" x14ac:dyDescent="0.3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104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1091</v>
      </c>
      <c r="P576" s="109">
        <v>192200</v>
      </c>
      <c r="Q576" s="107"/>
      <c r="R576" s="111"/>
      <c r="S576" s="110" t="s">
        <v>903</v>
      </c>
      <c r="T576"/>
      <c r="U576"/>
      <c r="V576"/>
    </row>
    <row r="577" spans="1:22" x14ac:dyDescent="0.3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104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1092</v>
      </c>
      <c r="P577" s="109">
        <v>192200</v>
      </c>
      <c r="Q577" s="107"/>
      <c r="R577" s="111"/>
      <c r="S577" s="110" t="s">
        <v>903</v>
      </c>
      <c r="T577"/>
      <c r="U577"/>
      <c r="V577"/>
    </row>
    <row r="578" spans="1:22" x14ac:dyDescent="0.3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104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1093</v>
      </c>
      <c r="P578" s="109">
        <v>192200</v>
      </c>
      <c r="Q578" s="107"/>
      <c r="R578" s="111"/>
      <c r="S578" s="110" t="s">
        <v>903</v>
      </c>
      <c r="T578"/>
      <c r="U578"/>
      <c r="V578"/>
    </row>
    <row r="579" spans="1:22" x14ac:dyDescent="0.3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104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1094</v>
      </c>
      <c r="P579" s="109">
        <v>192200</v>
      </c>
      <c r="Q579" s="107"/>
      <c r="R579" s="111"/>
      <c r="S579" s="110" t="s">
        <v>903</v>
      </c>
      <c r="T579"/>
      <c r="U579"/>
      <c r="V579"/>
    </row>
    <row r="580" spans="1:22" x14ac:dyDescent="0.3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104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1095</v>
      </c>
      <c r="P580" s="109">
        <v>192200</v>
      </c>
      <c r="Q580" s="107"/>
      <c r="R580" s="111"/>
      <c r="S580" s="110" t="s">
        <v>903</v>
      </c>
      <c r="T580"/>
      <c r="U580"/>
      <c r="V580"/>
    </row>
    <row r="581" spans="1:22" x14ac:dyDescent="0.3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104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1096</v>
      </c>
      <c r="P581" s="109">
        <v>192205</v>
      </c>
      <c r="Q581" s="107"/>
      <c r="R581" s="111"/>
      <c r="S581" s="110" t="s">
        <v>903</v>
      </c>
      <c r="T581"/>
      <c r="U581"/>
      <c r="V581"/>
    </row>
    <row r="582" spans="1:22" x14ac:dyDescent="0.3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104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1097</v>
      </c>
      <c r="P582" s="109">
        <v>192205</v>
      </c>
      <c r="Q582" s="107"/>
      <c r="R582" s="111"/>
      <c r="S582" s="110" t="s">
        <v>903</v>
      </c>
      <c r="T582"/>
      <c r="U582"/>
      <c r="V582"/>
    </row>
    <row r="583" spans="1:22" x14ac:dyDescent="0.3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104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1098</v>
      </c>
      <c r="P583" s="109">
        <v>192205</v>
      </c>
      <c r="Q583" s="107"/>
      <c r="R583" s="111"/>
      <c r="S583" s="110" t="s">
        <v>903</v>
      </c>
      <c r="T583"/>
      <c r="U583"/>
      <c r="V583"/>
    </row>
    <row r="584" spans="1:22" x14ac:dyDescent="0.3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104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1099</v>
      </c>
      <c r="P584" s="109">
        <v>192205</v>
      </c>
      <c r="Q584" s="107"/>
      <c r="R584" s="111"/>
      <c r="S584" s="110" t="s">
        <v>903</v>
      </c>
      <c r="T584"/>
      <c r="U584"/>
      <c r="V584"/>
    </row>
    <row r="585" spans="1:22" x14ac:dyDescent="0.3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104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1100</v>
      </c>
      <c r="P585" s="109">
        <v>192205</v>
      </c>
      <c r="Q585" s="107"/>
      <c r="R585" s="111"/>
      <c r="S585" s="110" t="s">
        <v>903</v>
      </c>
      <c r="T585"/>
      <c r="U585"/>
      <c r="V585"/>
    </row>
    <row r="586" spans="1:22" x14ac:dyDescent="0.3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104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1101</v>
      </c>
      <c r="P586" s="109">
        <v>192205</v>
      </c>
      <c r="Q586" s="107"/>
      <c r="R586" s="111"/>
      <c r="S586" s="110" t="s">
        <v>903</v>
      </c>
      <c r="T586"/>
      <c r="U586"/>
      <c r="V586"/>
    </row>
    <row r="587" spans="1:22" x14ac:dyDescent="0.3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104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1102</v>
      </c>
      <c r="P587" s="109">
        <v>192205</v>
      </c>
      <c r="Q587" s="107"/>
      <c r="R587" s="111"/>
      <c r="S587" s="110" t="s">
        <v>903</v>
      </c>
      <c r="T587"/>
      <c r="U587"/>
      <c r="V587"/>
    </row>
    <row r="588" spans="1:22" x14ac:dyDescent="0.3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104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1103</v>
      </c>
      <c r="P588" s="109">
        <v>192205</v>
      </c>
      <c r="Q588" s="107"/>
      <c r="R588" s="111"/>
      <c r="S588" s="110" t="s">
        <v>903</v>
      </c>
      <c r="T588"/>
      <c r="U588"/>
      <c r="V588"/>
    </row>
    <row r="589" spans="1:22" x14ac:dyDescent="0.3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104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1104</v>
      </c>
      <c r="P589" s="109">
        <v>192205</v>
      </c>
      <c r="Q589" s="107"/>
      <c r="R589" s="111"/>
      <c r="S589" s="110" t="s">
        <v>903</v>
      </c>
      <c r="T589"/>
      <c r="U589"/>
      <c r="V589"/>
    </row>
    <row r="590" spans="1:22" x14ac:dyDescent="0.3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104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1105</v>
      </c>
      <c r="P590" s="109">
        <v>192205</v>
      </c>
      <c r="Q590" s="107"/>
      <c r="R590" s="111"/>
      <c r="S590" s="110" t="s">
        <v>903</v>
      </c>
      <c r="T590"/>
      <c r="U590"/>
      <c r="V590"/>
    </row>
    <row r="591" spans="1:22" x14ac:dyDescent="0.3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104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1106</v>
      </c>
      <c r="P591" s="109">
        <v>192205</v>
      </c>
      <c r="Q591" s="107"/>
      <c r="R591" s="111"/>
      <c r="S591" s="110" t="s">
        <v>903</v>
      </c>
      <c r="T591"/>
      <c r="U591"/>
      <c r="V591"/>
    </row>
    <row r="592" spans="1:22" x14ac:dyDescent="0.3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104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1107</v>
      </c>
      <c r="P592" s="109">
        <v>192205</v>
      </c>
      <c r="Q592" s="107"/>
      <c r="R592" s="111"/>
      <c r="S592" s="110" t="s">
        <v>903</v>
      </c>
      <c r="T592"/>
      <c r="U592"/>
      <c r="V592"/>
    </row>
    <row r="593" spans="1:22" x14ac:dyDescent="0.3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104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1108</v>
      </c>
      <c r="P593" s="109">
        <v>192205</v>
      </c>
      <c r="Q593" s="107"/>
      <c r="R593" s="111"/>
      <c r="S593" s="110" t="s">
        <v>903</v>
      </c>
      <c r="T593"/>
      <c r="U593"/>
      <c r="V593"/>
    </row>
    <row r="594" spans="1:22" x14ac:dyDescent="0.3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104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1109</v>
      </c>
      <c r="P594" s="109">
        <v>192205</v>
      </c>
      <c r="Q594" s="107"/>
      <c r="R594" s="111"/>
      <c r="S594" s="110" t="s">
        <v>903</v>
      </c>
      <c r="T594"/>
      <c r="U594"/>
      <c r="V594"/>
    </row>
    <row r="595" spans="1:22" x14ac:dyDescent="0.3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104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1110</v>
      </c>
      <c r="P595" s="109">
        <v>192205</v>
      </c>
      <c r="Q595" s="107"/>
      <c r="R595" s="111"/>
      <c r="S595" s="110" t="s">
        <v>903</v>
      </c>
      <c r="T595"/>
      <c r="U595"/>
      <c r="V595"/>
    </row>
    <row r="596" spans="1:22" x14ac:dyDescent="0.3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104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1111</v>
      </c>
      <c r="P596" s="109">
        <v>192205</v>
      </c>
      <c r="Q596" s="107"/>
      <c r="R596" s="111"/>
      <c r="S596" s="110" t="s">
        <v>903</v>
      </c>
      <c r="T596"/>
      <c r="U596"/>
      <c r="V596"/>
    </row>
    <row r="597" spans="1:22" x14ac:dyDescent="0.3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104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1112</v>
      </c>
      <c r="P597" s="109">
        <v>192205</v>
      </c>
      <c r="Q597" s="107"/>
      <c r="R597" s="111"/>
      <c r="S597" s="110" t="s">
        <v>903</v>
      </c>
      <c r="T597"/>
      <c r="U597"/>
      <c r="V597"/>
    </row>
    <row r="598" spans="1:22" x14ac:dyDescent="0.3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104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1113</v>
      </c>
      <c r="P598" s="109">
        <v>192205</v>
      </c>
      <c r="Q598" s="107"/>
      <c r="R598" s="111"/>
      <c r="S598" s="110" t="s">
        <v>903</v>
      </c>
      <c r="T598"/>
      <c r="U598"/>
      <c r="V598"/>
    </row>
    <row r="599" spans="1:22" x14ac:dyDescent="0.3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104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1114</v>
      </c>
      <c r="P599" s="109">
        <v>192205</v>
      </c>
      <c r="Q599" s="107"/>
      <c r="R599" s="111"/>
      <c r="S599" s="110" t="s">
        <v>903</v>
      </c>
      <c r="T599"/>
      <c r="U599"/>
      <c r="V599"/>
    </row>
    <row r="600" spans="1:22" x14ac:dyDescent="0.3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104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1115</v>
      </c>
      <c r="P600" s="109">
        <v>192205</v>
      </c>
      <c r="Q600" s="107"/>
      <c r="R600" s="111"/>
      <c r="S600" s="110" t="s">
        <v>903</v>
      </c>
      <c r="T600"/>
      <c r="U600"/>
      <c r="V600"/>
    </row>
    <row r="601" spans="1:22" x14ac:dyDescent="0.3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104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1116</v>
      </c>
      <c r="P601" s="109">
        <v>192205</v>
      </c>
      <c r="Q601" s="107"/>
      <c r="R601" s="111"/>
      <c r="S601" s="110" t="s">
        <v>903</v>
      </c>
      <c r="T601"/>
      <c r="U601"/>
      <c r="V601"/>
    </row>
    <row r="602" spans="1:22" x14ac:dyDescent="0.3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104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1117</v>
      </c>
      <c r="P602" s="109">
        <v>192205</v>
      </c>
      <c r="Q602" s="107"/>
      <c r="R602" s="111"/>
      <c r="S602" s="110" t="s">
        <v>903</v>
      </c>
      <c r="T602"/>
      <c r="U602"/>
      <c r="V602"/>
    </row>
    <row r="603" spans="1:22" x14ac:dyDescent="0.3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104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1118</v>
      </c>
      <c r="P603" s="109">
        <v>192205</v>
      </c>
      <c r="Q603" s="107"/>
      <c r="R603" s="111"/>
      <c r="S603" s="110" t="s">
        <v>903</v>
      </c>
      <c r="T603"/>
      <c r="U603"/>
      <c r="V603"/>
    </row>
    <row r="604" spans="1:22" x14ac:dyDescent="0.3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104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1119</v>
      </c>
      <c r="P604" s="109">
        <v>192205</v>
      </c>
      <c r="Q604" s="107"/>
      <c r="R604" s="111"/>
      <c r="S604" s="110" t="s">
        <v>903</v>
      </c>
      <c r="T604"/>
      <c r="U604"/>
      <c r="V604"/>
    </row>
    <row r="605" spans="1:22" x14ac:dyDescent="0.3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104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1120</v>
      </c>
      <c r="P605" s="109">
        <v>192205</v>
      </c>
      <c r="Q605" s="107"/>
      <c r="R605" s="111"/>
      <c r="S605" s="110" t="s">
        <v>903</v>
      </c>
      <c r="T605"/>
      <c r="U605"/>
      <c r="V605"/>
    </row>
    <row r="606" spans="1:22" x14ac:dyDescent="0.3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104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1121</v>
      </c>
      <c r="P606" s="109">
        <v>192205</v>
      </c>
      <c r="Q606" s="107"/>
      <c r="R606" s="111"/>
      <c r="S606" s="110" t="s">
        <v>903</v>
      </c>
      <c r="T606"/>
      <c r="U606"/>
      <c r="V606"/>
    </row>
    <row r="607" spans="1:22" x14ac:dyDescent="0.3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104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1122</v>
      </c>
      <c r="P607" s="109">
        <v>192205</v>
      </c>
      <c r="Q607" s="107"/>
      <c r="R607" s="111"/>
      <c r="S607" s="110" t="s">
        <v>903</v>
      </c>
      <c r="T607"/>
      <c r="U607"/>
      <c r="V607"/>
    </row>
    <row r="608" spans="1:22" x14ac:dyDescent="0.3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104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1123</v>
      </c>
      <c r="P608" s="109">
        <v>192205</v>
      </c>
      <c r="Q608" s="107"/>
      <c r="R608" s="111"/>
      <c r="S608" s="110" t="s">
        <v>903</v>
      </c>
      <c r="T608"/>
      <c r="U608"/>
      <c r="V608"/>
    </row>
    <row r="609" spans="1:22" x14ac:dyDescent="0.3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104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1124</v>
      </c>
      <c r="P609" s="109">
        <v>192205</v>
      </c>
      <c r="Q609" s="107"/>
      <c r="R609" s="111"/>
      <c r="S609" s="110" t="s">
        <v>903</v>
      </c>
      <c r="T609"/>
      <c r="U609"/>
      <c r="V609"/>
    </row>
    <row r="610" spans="1:22" x14ac:dyDescent="0.3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104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1125</v>
      </c>
      <c r="P610" s="109">
        <v>192205</v>
      </c>
      <c r="Q610" s="107"/>
      <c r="R610" s="111"/>
      <c r="S610" s="110" t="s">
        <v>903</v>
      </c>
      <c r="T610"/>
      <c r="U610"/>
      <c r="V610"/>
    </row>
    <row r="611" spans="1:22" x14ac:dyDescent="0.3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104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1126</v>
      </c>
      <c r="P611" s="109">
        <v>192205</v>
      </c>
      <c r="Q611" s="107"/>
      <c r="R611" s="111"/>
      <c r="S611" s="110" t="s">
        <v>903</v>
      </c>
      <c r="T611"/>
      <c r="U611"/>
      <c r="V611"/>
    </row>
    <row r="612" spans="1:22" x14ac:dyDescent="0.3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104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1127</v>
      </c>
      <c r="P612" s="109">
        <v>192205</v>
      </c>
      <c r="Q612" s="107"/>
      <c r="R612" s="111"/>
      <c r="S612" s="110" t="s">
        <v>903</v>
      </c>
      <c r="T612"/>
      <c r="U612"/>
      <c r="V612"/>
    </row>
    <row r="613" spans="1:22" x14ac:dyDescent="0.3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104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1128</v>
      </c>
      <c r="P613" s="109">
        <v>192205</v>
      </c>
      <c r="Q613" s="107"/>
      <c r="R613" s="111"/>
      <c r="S613" s="110" t="s">
        <v>903</v>
      </c>
      <c r="T613"/>
      <c r="U613"/>
      <c r="V613"/>
    </row>
    <row r="614" spans="1:22" x14ac:dyDescent="0.3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104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1129</v>
      </c>
      <c r="P614" s="109">
        <v>192205</v>
      </c>
      <c r="Q614" s="107"/>
      <c r="R614" s="111"/>
      <c r="S614" s="110" t="s">
        <v>903</v>
      </c>
      <c r="T614"/>
      <c r="U614"/>
      <c r="V614"/>
    </row>
    <row r="615" spans="1:22" x14ac:dyDescent="0.3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104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1130</v>
      </c>
      <c r="P615" s="109">
        <v>192205</v>
      </c>
      <c r="Q615" s="107"/>
      <c r="R615" s="111"/>
      <c r="S615" s="110" t="s">
        <v>903</v>
      </c>
      <c r="T615"/>
      <c r="U615"/>
      <c r="V615"/>
    </row>
    <row r="616" spans="1:22" x14ac:dyDescent="0.3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104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1131</v>
      </c>
      <c r="P616" s="109">
        <v>192205</v>
      </c>
      <c r="Q616" s="107"/>
      <c r="R616" s="111"/>
      <c r="S616" s="110" t="s">
        <v>903</v>
      </c>
      <c r="T616"/>
      <c r="U616"/>
      <c r="V616"/>
    </row>
    <row r="617" spans="1:22" x14ac:dyDescent="0.3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104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1132</v>
      </c>
      <c r="P617" s="109">
        <v>192205</v>
      </c>
      <c r="Q617" s="107"/>
      <c r="R617" s="111"/>
      <c r="S617" s="110" t="s">
        <v>903</v>
      </c>
      <c r="T617"/>
      <c r="U617"/>
      <c r="V617"/>
    </row>
    <row r="618" spans="1:22" x14ac:dyDescent="0.3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104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1133</v>
      </c>
      <c r="P618" s="109">
        <v>192205</v>
      </c>
      <c r="Q618" s="107"/>
      <c r="R618" s="111"/>
      <c r="S618" s="110" t="s">
        <v>903</v>
      </c>
      <c r="T618"/>
      <c r="U618"/>
      <c r="V618"/>
    </row>
    <row r="619" spans="1:22" x14ac:dyDescent="0.3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104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1134</v>
      </c>
      <c r="P619" s="109">
        <v>192205</v>
      </c>
      <c r="Q619" s="107"/>
      <c r="R619" s="111"/>
      <c r="S619" s="110" t="s">
        <v>903</v>
      </c>
      <c r="T619"/>
      <c r="U619"/>
      <c r="V619"/>
    </row>
    <row r="620" spans="1:22" x14ac:dyDescent="0.3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104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1135</v>
      </c>
      <c r="P620" s="109">
        <v>192205</v>
      </c>
      <c r="Q620" s="107"/>
      <c r="R620" s="111"/>
      <c r="S620" s="110" t="s">
        <v>903</v>
      </c>
      <c r="T620"/>
      <c r="U620"/>
      <c r="V620"/>
    </row>
    <row r="621" spans="1:22" x14ac:dyDescent="0.3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104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1136</v>
      </c>
      <c r="P621" s="109">
        <v>192205</v>
      </c>
      <c r="Q621" s="107"/>
      <c r="R621" s="111"/>
      <c r="S621" s="110" t="s">
        <v>903</v>
      </c>
      <c r="T621"/>
      <c r="U621"/>
      <c r="V621"/>
    </row>
    <row r="622" spans="1:22" x14ac:dyDescent="0.3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104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1137</v>
      </c>
      <c r="P622" s="109">
        <v>192205</v>
      </c>
      <c r="Q622" s="107"/>
      <c r="R622" s="111"/>
      <c r="S622" s="110" t="s">
        <v>903</v>
      </c>
      <c r="T622"/>
      <c r="U622"/>
      <c r="V622"/>
    </row>
    <row r="623" spans="1:22" x14ac:dyDescent="0.3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104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1138</v>
      </c>
      <c r="P623" s="109">
        <v>192205</v>
      </c>
      <c r="Q623" s="107"/>
      <c r="R623" s="111"/>
      <c r="S623" s="110" t="s">
        <v>903</v>
      </c>
      <c r="T623"/>
      <c r="U623"/>
      <c r="V623"/>
    </row>
    <row r="624" spans="1:22" x14ac:dyDescent="0.3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104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1139</v>
      </c>
      <c r="P624" s="109">
        <v>192205</v>
      </c>
      <c r="Q624" s="107"/>
      <c r="R624" s="111"/>
      <c r="S624" s="110" t="s">
        <v>903</v>
      </c>
      <c r="T624"/>
      <c r="U624"/>
      <c r="V624"/>
    </row>
    <row r="625" spans="1:22" x14ac:dyDescent="0.3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104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1140</v>
      </c>
      <c r="P625" s="109">
        <v>192205</v>
      </c>
      <c r="Q625" s="107"/>
      <c r="R625" s="111"/>
      <c r="S625" s="110" t="s">
        <v>903</v>
      </c>
      <c r="T625"/>
      <c r="U625"/>
      <c r="V625"/>
    </row>
    <row r="626" spans="1:22" x14ac:dyDescent="0.3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104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1141</v>
      </c>
      <c r="P626" s="109">
        <v>192205</v>
      </c>
      <c r="Q626" s="107"/>
      <c r="R626" s="111"/>
      <c r="S626" s="110" t="s">
        <v>903</v>
      </c>
      <c r="T626"/>
      <c r="U626"/>
      <c r="V626"/>
    </row>
    <row r="627" spans="1:22" x14ac:dyDescent="0.3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104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1142</v>
      </c>
      <c r="P627" s="109">
        <v>192205</v>
      </c>
      <c r="Q627" s="107"/>
      <c r="R627" s="111"/>
      <c r="S627" s="110" t="s">
        <v>903</v>
      </c>
      <c r="T627"/>
      <c r="U627"/>
      <c r="V627"/>
    </row>
    <row r="628" spans="1:22" x14ac:dyDescent="0.3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104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1143</v>
      </c>
      <c r="P628" s="109">
        <v>192205</v>
      </c>
      <c r="Q628" s="107"/>
      <c r="R628" s="111"/>
      <c r="S628" s="110" t="s">
        <v>903</v>
      </c>
      <c r="T628"/>
      <c r="U628"/>
      <c r="V628"/>
    </row>
    <row r="629" spans="1:22" x14ac:dyDescent="0.3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104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1144</v>
      </c>
      <c r="P629" s="109">
        <v>192205</v>
      </c>
      <c r="Q629" s="107"/>
      <c r="R629" s="111"/>
      <c r="S629" s="110" t="s">
        <v>903</v>
      </c>
      <c r="T629"/>
      <c r="U629"/>
      <c r="V629"/>
    </row>
    <row r="630" spans="1:22" x14ac:dyDescent="0.3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104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1145</v>
      </c>
      <c r="P630" s="109">
        <v>192205</v>
      </c>
      <c r="Q630" s="107"/>
      <c r="R630" s="111"/>
      <c r="S630" s="110" t="s">
        <v>903</v>
      </c>
      <c r="T630"/>
      <c r="U630"/>
      <c r="V630"/>
    </row>
    <row r="631" spans="1:22" x14ac:dyDescent="0.3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104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1146</v>
      </c>
      <c r="P631" s="109">
        <v>192205</v>
      </c>
      <c r="Q631" s="107"/>
      <c r="R631" s="111"/>
      <c r="S631" s="110" t="s">
        <v>903</v>
      </c>
      <c r="T631"/>
      <c r="U631"/>
      <c r="V631"/>
    </row>
    <row r="632" spans="1:22" x14ac:dyDescent="0.3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104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1147</v>
      </c>
      <c r="P632" s="109">
        <v>192205</v>
      </c>
      <c r="Q632" s="107"/>
      <c r="R632" s="111"/>
      <c r="S632" s="110" t="s">
        <v>903</v>
      </c>
      <c r="T632"/>
      <c r="U632"/>
      <c r="V632"/>
    </row>
    <row r="633" spans="1:22" x14ac:dyDescent="0.3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104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1148</v>
      </c>
      <c r="P633" s="109">
        <v>192205</v>
      </c>
      <c r="Q633" s="107"/>
      <c r="R633" s="111"/>
      <c r="S633" s="110" t="s">
        <v>903</v>
      </c>
      <c r="T633"/>
      <c r="U633"/>
      <c r="V633"/>
    </row>
    <row r="634" spans="1:22" x14ac:dyDescent="0.3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104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1149</v>
      </c>
      <c r="P634" s="109">
        <v>192205</v>
      </c>
      <c r="Q634" s="107"/>
      <c r="R634" s="111"/>
      <c r="S634" s="110" t="s">
        <v>903</v>
      </c>
      <c r="T634"/>
      <c r="U634"/>
      <c r="V634"/>
    </row>
    <row r="635" spans="1:22" x14ac:dyDescent="0.3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104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1150</v>
      </c>
      <c r="P635" s="109">
        <v>192205</v>
      </c>
      <c r="Q635" s="107"/>
      <c r="R635" s="111"/>
      <c r="S635" s="110" t="s">
        <v>903</v>
      </c>
      <c r="T635"/>
      <c r="U635"/>
      <c r="V635"/>
    </row>
    <row r="636" spans="1:22" x14ac:dyDescent="0.3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104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1151</v>
      </c>
      <c r="P636" s="109">
        <v>192205</v>
      </c>
      <c r="Q636" s="107"/>
      <c r="R636" s="111"/>
      <c r="S636" s="110" t="s">
        <v>903</v>
      </c>
      <c r="T636"/>
      <c r="U636"/>
      <c r="V636"/>
    </row>
    <row r="637" spans="1:22" x14ac:dyDescent="0.3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104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1152</v>
      </c>
      <c r="P637" s="109">
        <v>192205</v>
      </c>
      <c r="Q637" s="107"/>
      <c r="R637" s="111"/>
      <c r="S637" s="110" t="s">
        <v>903</v>
      </c>
      <c r="T637"/>
      <c r="U637"/>
      <c r="V637"/>
    </row>
    <row r="638" spans="1:22" x14ac:dyDescent="0.3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104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1153</v>
      </c>
      <c r="P638" s="109">
        <v>192205</v>
      </c>
      <c r="Q638" s="107"/>
      <c r="R638" s="111"/>
      <c r="S638" s="110" t="s">
        <v>903</v>
      </c>
      <c r="T638"/>
      <c r="U638"/>
      <c r="V638"/>
    </row>
    <row r="639" spans="1:22" x14ac:dyDescent="0.3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104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1154</v>
      </c>
      <c r="P639" s="109">
        <v>192205</v>
      </c>
      <c r="Q639" s="107"/>
      <c r="R639" s="111"/>
      <c r="S639" s="110" t="s">
        <v>903</v>
      </c>
      <c r="T639"/>
      <c r="U639"/>
      <c r="V639"/>
    </row>
    <row r="640" spans="1:22" x14ac:dyDescent="0.3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104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1155</v>
      </c>
      <c r="P640" s="109">
        <v>192205</v>
      </c>
      <c r="Q640" s="107"/>
      <c r="R640" s="111"/>
      <c r="S640" s="110" t="s">
        <v>903</v>
      </c>
      <c r="T640"/>
      <c r="U640"/>
      <c r="V640"/>
    </row>
    <row r="641" spans="1:22" x14ac:dyDescent="0.3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104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1156</v>
      </c>
      <c r="P641" s="109">
        <v>192205</v>
      </c>
      <c r="Q641" s="107"/>
      <c r="R641" s="111"/>
      <c r="S641" s="110" t="s">
        <v>903</v>
      </c>
      <c r="T641"/>
      <c r="U641"/>
      <c r="V641"/>
    </row>
    <row r="642" spans="1:22" x14ac:dyDescent="0.3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104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1157</v>
      </c>
      <c r="P642" s="109">
        <v>192205</v>
      </c>
      <c r="Q642" s="107"/>
      <c r="R642" s="111"/>
      <c r="S642" s="110" t="s">
        <v>903</v>
      </c>
      <c r="T642"/>
      <c r="U642"/>
      <c r="V642"/>
    </row>
    <row r="643" spans="1:22" x14ac:dyDescent="0.3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104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1158</v>
      </c>
      <c r="P643" s="109">
        <v>192205</v>
      </c>
      <c r="Q643" s="107"/>
      <c r="R643" s="111"/>
      <c r="S643" s="110" t="s">
        <v>903</v>
      </c>
      <c r="T643"/>
      <c r="U643"/>
      <c r="V643"/>
    </row>
    <row r="644" spans="1:22" x14ac:dyDescent="0.3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104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1159</v>
      </c>
      <c r="P644" s="109">
        <v>192205</v>
      </c>
      <c r="Q644" s="107"/>
      <c r="R644" s="111"/>
      <c r="S644" s="110" t="s">
        <v>903</v>
      </c>
      <c r="T644"/>
      <c r="U644"/>
      <c r="V644"/>
    </row>
    <row r="645" spans="1:22" x14ac:dyDescent="0.3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104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1160</v>
      </c>
      <c r="P645" s="109">
        <v>192205</v>
      </c>
      <c r="Q645" s="107"/>
      <c r="R645" s="111"/>
      <c r="S645" s="110" t="s">
        <v>903</v>
      </c>
      <c r="T645"/>
      <c r="U645"/>
      <c r="V645"/>
    </row>
    <row r="646" spans="1:22" x14ac:dyDescent="0.3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104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1161</v>
      </c>
      <c r="P646" s="109">
        <v>192205</v>
      </c>
      <c r="Q646" s="107"/>
      <c r="R646" s="111"/>
      <c r="S646" s="110" t="s">
        <v>903</v>
      </c>
      <c r="T646"/>
      <c r="U646"/>
      <c r="V646"/>
    </row>
    <row r="647" spans="1:22" x14ac:dyDescent="0.3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104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1162</v>
      </c>
      <c r="P647" s="109">
        <v>192205</v>
      </c>
      <c r="Q647" s="107"/>
      <c r="R647" s="111"/>
      <c r="S647" s="110" t="s">
        <v>903</v>
      </c>
      <c r="T647"/>
      <c r="U647"/>
      <c r="V647"/>
    </row>
    <row r="648" spans="1:22" x14ac:dyDescent="0.3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104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1163</v>
      </c>
      <c r="P648" s="109">
        <v>192205</v>
      </c>
      <c r="Q648" s="107"/>
      <c r="R648" s="111"/>
      <c r="S648" s="110" t="s">
        <v>903</v>
      </c>
      <c r="T648"/>
      <c r="U648"/>
      <c r="V648"/>
    </row>
    <row r="649" spans="1:22" x14ac:dyDescent="0.3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104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1164</v>
      </c>
      <c r="P649" s="109">
        <v>192205</v>
      </c>
      <c r="Q649" s="107"/>
      <c r="R649" s="111"/>
      <c r="S649" s="110" t="s">
        <v>903</v>
      </c>
      <c r="T649"/>
      <c r="U649"/>
      <c r="V649"/>
    </row>
    <row r="650" spans="1:22" x14ac:dyDescent="0.3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104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1165</v>
      </c>
      <c r="P650" s="109">
        <v>192205</v>
      </c>
      <c r="Q650" s="107"/>
      <c r="R650" s="111"/>
      <c r="S650" s="110" t="s">
        <v>903</v>
      </c>
      <c r="T650"/>
      <c r="U650"/>
      <c r="V650"/>
    </row>
    <row r="651" spans="1:22" x14ac:dyDescent="0.3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104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1166</v>
      </c>
      <c r="P651" s="109">
        <v>192205</v>
      </c>
      <c r="Q651" s="107"/>
      <c r="R651" s="111"/>
      <c r="S651" s="110" t="s">
        <v>903</v>
      </c>
      <c r="T651"/>
      <c r="U651"/>
      <c r="V651"/>
    </row>
    <row r="652" spans="1:22" x14ac:dyDescent="0.3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104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1167</v>
      </c>
      <c r="P652" s="109">
        <v>192205</v>
      </c>
      <c r="Q652" s="107"/>
      <c r="R652" s="111"/>
      <c r="S652" s="110" t="s">
        <v>903</v>
      </c>
      <c r="T652"/>
      <c r="U652"/>
      <c r="V652"/>
    </row>
    <row r="653" spans="1:22" x14ac:dyDescent="0.3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104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1168</v>
      </c>
      <c r="P653" s="109">
        <v>192205</v>
      </c>
      <c r="Q653" s="107"/>
      <c r="R653" s="111"/>
      <c r="S653" s="110" t="s">
        <v>903</v>
      </c>
      <c r="T653"/>
      <c r="U653"/>
      <c r="V653"/>
    </row>
    <row r="654" spans="1:22" x14ac:dyDescent="0.3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104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1169</v>
      </c>
      <c r="P654" s="109">
        <v>192205</v>
      </c>
      <c r="Q654" s="107"/>
      <c r="R654" s="111"/>
      <c r="S654" s="110" t="s">
        <v>903</v>
      </c>
      <c r="T654"/>
      <c r="U654"/>
      <c r="V654"/>
    </row>
    <row r="655" spans="1:22" x14ac:dyDescent="0.3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104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1170</v>
      </c>
      <c r="P655" s="109">
        <v>192205</v>
      </c>
      <c r="Q655" s="107"/>
      <c r="R655" s="111"/>
      <c r="S655" s="110" t="s">
        <v>903</v>
      </c>
      <c r="T655"/>
      <c r="U655"/>
      <c r="V655"/>
    </row>
    <row r="656" spans="1:22" x14ac:dyDescent="0.3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104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1171</v>
      </c>
      <c r="P656" s="109">
        <v>192205</v>
      </c>
      <c r="Q656" s="107"/>
      <c r="R656" s="111"/>
      <c r="S656" s="110" t="s">
        <v>903</v>
      </c>
      <c r="T656"/>
      <c r="U656"/>
      <c r="V656"/>
    </row>
    <row r="657" spans="1:22" x14ac:dyDescent="0.3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104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1172</v>
      </c>
      <c r="P657" s="109">
        <v>192205</v>
      </c>
      <c r="Q657" s="107"/>
      <c r="R657" s="111"/>
      <c r="S657" s="110" t="s">
        <v>903</v>
      </c>
      <c r="T657"/>
      <c r="U657"/>
      <c r="V657"/>
    </row>
    <row r="658" spans="1:22" x14ac:dyDescent="0.3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104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1173</v>
      </c>
      <c r="P658" s="109">
        <v>192205</v>
      </c>
      <c r="Q658" s="107"/>
      <c r="R658" s="111"/>
      <c r="S658" s="110" t="s">
        <v>903</v>
      </c>
      <c r="T658"/>
      <c r="U658"/>
      <c r="V658"/>
    </row>
    <row r="659" spans="1:22" x14ac:dyDescent="0.3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104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1174</v>
      </c>
      <c r="P659" s="109">
        <v>192205</v>
      </c>
      <c r="Q659" s="107"/>
      <c r="R659" s="111"/>
      <c r="S659" s="110" t="s">
        <v>903</v>
      </c>
      <c r="T659"/>
      <c r="U659"/>
      <c r="V659"/>
    </row>
    <row r="660" spans="1:22" x14ac:dyDescent="0.3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104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1175</v>
      </c>
      <c r="P660" s="109">
        <v>192205</v>
      </c>
      <c r="Q660" s="107"/>
      <c r="R660" s="111"/>
      <c r="S660" s="110" t="s">
        <v>903</v>
      </c>
      <c r="T660"/>
      <c r="U660"/>
      <c r="V660"/>
    </row>
    <row r="661" spans="1:22" x14ac:dyDescent="0.3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104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1176</v>
      </c>
      <c r="P661" s="109">
        <v>192205</v>
      </c>
      <c r="Q661" s="107"/>
      <c r="R661" s="111"/>
      <c r="S661" s="110" t="s">
        <v>903</v>
      </c>
      <c r="T661"/>
      <c r="U661"/>
      <c r="V661"/>
    </row>
    <row r="662" spans="1:22" x14ac:dyDescent="0.3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104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1177</v>
      </c>
      <c r="P662" s="109">
        <v>192205</v>
      </c>
      <c r="Q662" s="107"/>
      <c r="R662" s="111"/>
      <c r="S662" s="110" t="s">
        <v>903</v>
      </c>
      <c r="T662"/>
      <c r="U662"/>
      <c r="V662"/>
    </row>
    <row r="663" spans="1:22" x14ac:dyDescent="0.3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104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1178</v>
      </c>
      <c r="P663" s="109">
        <v>192205</v>
      </c>
      <c r="Q663" s="107"/>
      <c r="R663" s="111"/>
      <c r="S663" s="110" t="s">
        <v>903</v>
      </c>
      <c r="T663"/>
      <c r="U663"/>
      <c r="V663"/>
    </row>
    <row r="664" spans="1:22" x14ac:dyDescent="0.3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104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1179</v>
      </c>
      <c r="P664" s="109">
        <v>192205</v>
      </c>
      <c r="Q664" s="107"/>
      <c r="R664" s="111"/>
      <c r="S664" s="110" t="s">
        <v>903</v>
      </c>
      <c r="T664"/>
      <c r="U664"/>
      <c r="V664"/>
    </row>
    <row r="665" spans="1:22" x14ac:dyDescent="0.3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104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1180</v>
      </c>
      <c r="P665" s="109">
        <v>192205</v>
      </c>
      <c r="Q665" s="107"/>
      <c r="R665" s="111"/>
      <c r="S665" s="110" t="s">
        <v>903</v>
      </c>
      <c r="T665"/>
      <c r="U665"/>
      <c r="V665"/>
    </row>
    <row r="666" spans="1:22" x14ac:dyDescent="0.3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104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1181</v>
      </c>
      <c r="P666" s="109">
        <v>192205</v>
      </c>
      <c r="Q666" s="107"/>
      <c r="R666" s="111"/>
      <c r="S666" s="110" t="s">
        <v>903</v>
      </c>
      <c r="T666"/>
      <c r="U666"/>
      <c r="V666"/>
    </row>
    <row r="667" spans="1:22" x14ac:dyDescent="0.3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104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1182</v>
      </c>
      <c r="P667" s="109">
        <v>192205</v>
      </c>
      <c r="Q667" s="107"/>
      <c r="R667" s="111"/>
      <c r="S667" s="110" t="s">
        <v>903</v>
      </c>
      <c r="T667"/>
      <c r="U667"/>
      <c r="V667"/>
    </row>
    <row r="668" spans="1:22" x14ac:dyDescent="0.3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104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1183</v>
      </c>
      <c r="P668" s="109">
        <v>192205</v>
      </c>
      <c r="Q668" s="107"/>
      <c r="R668" s="111"/>
      <c r="S668" s="110" t="s">
        <v>903</v>
      </c>
      <c r="T668"/>
      <c r="U668"/>
      <c r="V668"/>
    </row>
    <row r="669" spans="1:22" x14ac:dyDescent="0.3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104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1184</v>
      </c>
      <c r="P669" s="109">
        <v>192205</v>
      </c>
      <c r="Q669" s="107"/>
      <c r="R669" s="111"/>
      <c r="S669" s="110" t="s">
        <v>903</v>
      </c>
      <c r="T669"/>
      <c r="U669"/>
      <c r="V669"/>
    </row>
    <row r="670" spans="1:22" x14ac:dyDescent="0.3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104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1185</v>
      </c>
      <c r="P670" s="109">
        <v>192205</v>
      </c>
      <c r="Q670" s="107"/>
      <c r="R670" s="111"/>
      <c r="S670" s="110" t="s">
        <v>903</v>
      </c>
      <c r="T670"/>
      <c r="U670"/>
      <c r="V670"/>
    </row>
    <row r="671" spans="1:22" x14ac:dyDescent="0.3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104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1186</v>
      </c>
      <c r="P671" s="109">
        <v>192205</v>
      </c>
      <c r="Q671" s="107"/>
      <c r="R671" s="111"/>
      <c r="S671" s="110" t="s">
        <v>903</v>
      </c>
      <c r="T671"/>
      <c r="U671"/>
      <c r="V671"/>
    </row>
    <row r="672" spans="1:22" x14ac:dyDescent="0.3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104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1187</v>
      </c>
      <c r="P672" s="109">
        <v>192205</v>
      </c>
      <c r="Q672" s="107"/>
      <c r="R672" s="111"/>
      <c r="S672" s="110" t="s">
        <v>903</v>
      </c>
      <c r="T672"/>
      <c r="U672"/>
      <c r="V672"/>
    </row>
    <row r="673" spans="1:22" x14ac:dyDescent="0.3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104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1188</v>
      </c>
      <c r="P673" s="109">
        <v>192205</v>
      </c>
      <c r="Q673" s="107"/>
      <c r="R673" s="111"/>
      <c r="S673" s="110" t="s">
        <v>903</v>
      </c>
      <c r="T673"/>
      <c r="U673"/>
      <c r="V673"/>
    </row>
    <row r="674" spans="1:22" x14ac:dyDescent="0.3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104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1189</v>
      </c>
      <c r="P674" s="109">
        <v>192205</v>
      </c>
      <c r="Q674" s="107"/>
      <c r="R674" s="111"/>
      <c r="S674" s="110" t="s">
        <v>903</v>
      </c>
      <c r="T674"/>
      <c r="U674"/>
      <c r="V674"/>
    </row>
    <row r="675" spans="1:22" x14ac:dyDescent="0.3">
      <c r="A675" s="105"/>
      <c r="J675" s="108"/>
      <c r="O675" s="110"/>
      <c r="P675" s="109"/>
      <c r="Q675" s="107"/>
      <c r="R675" s="111"/>
      <c r="S675" s="110"/>
      <c r="T675"/>
      <c r="U675"/>
      <c r="V675"/>
    </row>
    <row r="676" spans="1:22" x14ac:dyDescent="0.3">
      <c r="A676" s="105"/>
      <c r="J676" s="108"/>
      <c r="O676" s="110"/>
      <c r="P676" s="109"/>
      <c r="Q676" s="107"/>
      <c r="R676" s="111"/>
      <c r="S676" s="110"/>
      <c r="T676"/>
      <c r="U676"/>
      <c r="V676"/>
    </row>
    <row r="677" spans="1:22" x14ac:dyDescent="0.3">
      <c r="A677" s="105"/>
      <c r="J677" s="108"/>
      <c r="O677" s="110"/>
      <c r="P677" s="109"/>
      <c r="Q677" s="107"/>
      <c r="R677" s="111"/>
      <c r="S677" s="110"/>
      <c r="T677"/>
      <c r="U677"/>
      <c r="V677"/>
    </row>
    <row r="678" spans="1:22" x14ac:dyDescent="0.3">
      <c r="A678" s="105"/>
      <c r="J678" s="108"/>
      <c r="O678" s="110"/>
      <c r="P678" s="109"/>
      <c r="Q678" s="107"/>
      <c r="R678" s="111"/>
      <c r="S678" s="110"/>
      <c r="T678"/>
      <c r="U678"/>
      <c r="V678"/>
    </row>
    <row r="679" spans="1:22" x14ac:dyDescent="0.3">
      <c r="A679" s="105"/>
      <c r="J679" s="108"/>
      <c r="O679" s="110"/>
      <c r="P679" s="109"/>
      <c r="Q679" s="107"/>
      <c r="R679" s="111"/>
      <c r="S679" s="110"/>
      <c r="T679"/>
      <c r="U679"/>
      <c r="V679"/>
    </row>
    <row r="680" spans="1:22" x14ac:dyDescent="0.3">
      <c r="A680" s="105"/>
      <c r="J680" s="108"/>
      <c r="O680" s="110"/>
      <c r="P680" s="109"/>
      <c r="Q680" s="107"/>
      <c r="R680" s="111"/>
      <c r="S680" s="110"/>
      <c r="T680"/>
      <c r="U680"/>
      <c r="V680"/>
    </row>
    <row r="681" spans="1:22" x14ac:dyDescent="0.3">
      <c r="A681" s="105"/>
      <c r="J681" s="108"/>
      <c r="O681" s="110"/>
      <c r="P681" s="109"/>
      <c r="Q681" s="107"/>
      <c r="R681" s="111"/>
      <c r="S681" s="110"/>
      <c r="T681"/>
      <c r="U681"/>
      <c r="V681"/>
    </row>
    <row r="682" spans="1:22" x14ac:dyDescent="0.3">
      <c r="A682" s="105"/>
      <c r="J682" s="108"/>
      <c r="O682" s="110"/>
      <c r="P682" s="109"/>
      <c r="Q682" s="107"/>
      <c r="R682" s="111"/>
      <c r="S682" s="110"/>
      <c r="T682"/>
      <c r="U682"/>
      <c r="V682"/>
    </row>
    <row r="683" spans="1:22" x14ac:dyDescent="0.3">
      <c r="A683" s="105"/>
      <c r="J683" s="108"/>
      <c r="O683" s="110"/>
      <c r="P683" s="109"/>
      <c r="Q683" s="107"/>
      <c r="R683" s="111"/>
      <c r="S683" s="110"/>
      <c r="T683"/>
      <c r="U683"/>
      <c r="V683"/>
    </row>
    <row r="684" spans="1:22" x14ac:dyDescent="0.3">
      <c r="A684" s="105"/>
      <c r="J684" s="108"/>
      <c r="O684" s="110"/>
      <c r="P684" s="109"/>
      <c r="Q684" s="107"/>
      <c r="R684" s="111"/>
      <c r="S684" s="110"/>
      <c r="T684"/>
      <c r="U684"/>
      <c r="V684"/>
    </row>
    <row r="685" spans="1:22" x14ac:dyDescent="0.3">
      <c r="A685" s="105"/>
      <c r="J685" s="108"/>
      <c r="O685" s="110"/>
      <c r="P685" s="109"/>
      <c r="Q685" s="107"/>
      <c r="R685" s="111"/>
      <c r="S685" s="110"/>
      <c r="T685"/>
      <c r="U685"/>
      <c r="V685"/>
    </row>
    <row r="686" spans="1:22" x14ac:dyDescent="0.3">
      <c r="A686" s="105"/>
      <c r="J686" s="108"/>
      <c r="O686" s="110"/>
      <c r="P686" s="109"/>
      <c r="Q686" s="107"/>
      <c r="R686" s="111"/>
      <c r="S686" s="110"/>
      <c r="T686"/>
      <c r="U686"/>
      <c r="V686"/>
    </row>
    <row r="687" spans="1:22" x14ac:dyDescent="0.3">
      <c r="A687" s="105"/>
      <c r="J687" s="108"/>
      <c r="O687" s="110"/>
      <c r="P687" s="109"/>
      <c r="Q687" s="107"/>
      <c r="R687" s="111"/>
      <c r="S687" s="110"/>
      <c r="T687"/>
      <c r="U687"/>
      <c r="V687"/>
    </row>
    <row r="688" spans="1:22" x14ac:dyDescent="0.3">
      <c r="A688" s="105"/>
      <c r="J688" s="108"/>
      <c r="O688" s="110"/>
      <c r="P688" s="109"/>
      <c r="Q688" s="107"/>
      <c r="R688" s="111"/>
      <c r="S688" s="110"/>
      <c r="T688"/>
      <c r="U688"/>
      <c r="V688"/>
    </row>
    <row r="689" spans="1:22" x14ac:dyDescent="0.3">
      <c r="A689" s="105"/>
      <c r="J689" s="108"/>
      <c r="O689" s="110"/>
      <c r="P689" s="109"/>
      <c r="Q689" s="107"/>
      <c r="R689" s="111"/>
      <c r="S689" s="110"/>
      <c r="T689"/>
      <c r="U689"/>
      <c r="V689"/>
    </row>
    <row r="690" spans="1:22" x14ac:dyDescent="0.3">
      <c r="A690" s="105"/>
      <c r="J690" s="108"/>
      <c r="O690" s="111"/>
      <c r="P690" s="109"/>
      <c r="Q690" s="41"/>
      <c r="R690" s="111"/>
      <c r="S690" s="110"/>
      <c r="T690"/>
      <c r="U690"/>
      <c r="V690"/>
    </row>
    <row r="691" spans="1:22" x14ac:dyDescent="0.3">
      <c r="A691" s="105"/>
      <c r="J691" s="108"/>
      <c r="O691" s="111"/>
      <c r="P691" s="109"/>
      <c r="Q691" s="41"/>
      <c r="R691" s="111"/>
      <c r="S691" s="110"/>
      <c r="T691"/>
      <c r="U691"/>
      <c r="V691"/>
    </row>
    <row r="692" spans="1:22" x14ac:dyDescent="0.3">
      <c r="A692" s="105"/>
      <c r="J692" s="108"/>
      <c r="O692" s="111"/>
      <c r="P692" s="109"/>
      <c r="Q692" s="41"/>
      <c r="R692" s="111"/>
      <c r="S692" s="110"/>
      <c r="T692"/>
      <c r="U692"/>
      <c r="V692"/>
    </row>
    <row r="693" spans="1:22" x14ac:dyDescent="0.3">
      <c r="A693" s="105"/>
      <c r="J693" s="108"/>
      <c r="O693" s="111"/>
      <c r="P693" s="109"/>
      <c r="Q693" s="41"/>
      <c r="R693" s="111"/>
      <c r="S693" s="110"/>
      <c r="T693"/>
      <c r="U693"/>
      <c r="V693"/>
    </row>
    <row r="694" spans="1:22" x14ac:dyDescent="0.3">
      <c r="A694" s="105"/>
      <c r="J694" s="108"/>
      <c r="O694" s="111"/>
      <c r="P694" s="109"/>
      <c r="Q694" s="41"/>
      <c r="R694" s="111"/>
      <c r="S694" s="110"/>
      <c r="V694"/>
    </row>
    <row r="695" spans="1:22" x14ac:dyDescent="0.3">
      <c r="A695" s="105"/>
      <c r="J695" s="108"/>
      <c r="O695" s="111"/>
      <c r="P695" s="109"/>
      <c r="Q695" s="41"/>
      <c r="R695" s="111"/>
      <c r="S695" s="110"/>
      <c r="V695"/>
    </row>
    <row r="696" spans="1:22" x14ac:dyDescent="0.3">
      <c r="A696" s="105"/>
      <c r="J696" s="108"/>
      <c r="O696" s="111"/>
      <c r="P696" s="109"/>
      <c r="Q696" s="41"/>
      <c r="R696" s="111"/>
      <c r="S696" s="110"/>
      <c r="V696"/>
    </row>
    <row r="697" spans="1:22" x14ac:dyDescent="0.3">
      <c r="A697" s="105"/>
      <c r="J697" s="108"/>
      <c r="O697" s="111"/>
      <c r="P697" s="109"/>
      <c r="Q697" s="41"/>
      <c r="R697" s="111"/>
      <c r="S697" s="110"/>
      <c r="V697"/>
    </row>
    <row r="698" spans="1:22" x14ac:dyDescent="0.3">
      <c r="A698" s="105"/>
      <c r="J698" s="108"/>
      <c r="O698" s="111"/>
      <c r="P698" s="109"/>
      <c r="Q698" s="41"/>
      <c r="R698" s="111"/>
      <c r="S698" s="110"/>
      <c r="V698"/>
    </row>
    <row r="699" spans="1:22" x14ac:dyDescent="0.3">
      <c r="A699" s="105"/>
      <c r="J699" s="108"/>
      <c r="O699" s="111"/>
      <c r="P699" s="109"/>
      <c r="Q699" s="41"/>
      <c r="R699" s="111"/>
      <c r="S699" s="110"/>
      <c r="V699"/>
    </row>
    <row r="700" spans="1:22" x14ac:dyDescent="0.3">
      <c r="A700" s="105"/>
      <c r="J700" s="108"/>
      <c r="O700" s="111"/>
      <c r="P700" s="109"/>
      <c r="Q700" s="41"/>
      <c r="R700" s="111"/>
      <c r="S700" s="110"/>
      <c r="V700"/>
    </row>
    <row r="701" spans="1:22" x14ac:dyDescent="0.3">
      <c r="A701" s="105"/>
      <c r="J701" s="108"/>
      <c r="O701" s="111"/>
      <c r="P701" s="109"/>
      <c r="Q701" s="41"/>
      <c r="R701" s="111"/>
      <c r="S701" s="110"/>
      <c r="V701"/>
    </row>
    <row r="702" spans="1:22" x14ac:dyDescent="0.3">
      <c r="A702" s="105"/>
      <c r="J702" s="108"/>
      <c r="O702" s="111"/>
      <c r="P702" s="109"/>
      <c r="Q702" s="41"/>
      <c r="R702" s="111"/>
      <c r="S702" s="110"/>
      <c r="V702"/>
    </row>
    <row r="703" spans="1:22" x14ac:dyDescent="0.3">
      <c r="A703" s="105"/>
      <c r="J703" s="108"/>
      <c r="O703" s="111"/>
      <c r="P703" s="109"/>
      <c r="Q703" s="41"/>
      <c r="R703" s="111"/>
      <c r="S703" s="110"/>
      <c r="V703"/>
    </row>
    <row r="704" spans="1:22" x14ac:dyDescent="0.3">
      <c r="A704" s="105"/>
      <c r="J704" s="108"/>
      <c r="O704" s="111"/>
      <c r="P704" s="109"/>
      <c r="Q704" s="41"/>
      <c r="R704" s="111"/>
      <c r="S704" s="110"/>
      <c r="V704"/>
    </row>
    <row r="705" spans="1:22" x14ac:dyDescent="0.3">
      <c r="A705" s="105"/>
      <c r="J705" s="108"/>
      <c r="O705" s="111"/>
      <c r="P705" s="109"/>
      <c r="Q705" s="41"/>
      <c r="R705" s="111"/>
      <c r="S705" s="110"/>
      <c r="V705"/>
    </row>
    <row r="706" spans="1:22" x14ac:dyDescent="0.3">
      <c r="A706" s="105"/>
      <c r="J706" s="108"/>
      <c r="O706" s="111"/>
      <c r="P706" s="109"/>
      <c r="Q706" s="41"/>
      <c r="R706" s="111"/>
      <c r="S706" s="110"/>
      <c r="V706"/>
    </row>
    <row r="707" spans="1:22" x14ac:dyDescent="0.3">
      <c r="A707" s="105"/>
      <c r="J707" s="108"/>
      <c r="O707" s="111"/>
      <c r="P707" s="109"/>
      <c r="Q707" s="41"/>
      <c r="R707" s="111"/>
      <c r="S707" s="110"/>
      <c r="V707"/>
    </row>
    <row r="708" spans="1:22" x14ac:dyDescent="0.3">
      <c r="A708" s="105"/>
      <c r="J708" s="108"/>
      <c r="O708" s="111"/>
      <c r="P708" s="109"/>
      <c r="Q708" s="41"/>
      <c r="R708" s="111"/>
      <c r="S708" s="110"/>
      <c r="V708"/>
    </row>
    <row r="709" spans="1:22" x14ac:dyDescent="0.3">
      <c r="A709" s="105"/>
      <c r="J709" s="108"/>
      <c r="O709" s="111"/>
      <c r="P709" s="109"/>
      <c r="Q709" s="41"/>
      <c r="R709" s="111"/>
      <c r="S709" s="110"/>
      <c r="V709"/>
    </row>
    <row r="710" spans="1:22" x14ac:dyDescent="0.3">
      <c r="A710" s="105"/>
      <c r="J710" s="108"/>
      <c r="O710" s="111"/>
      <c r="P710" s="109"/>
      <c r="Q710" s="41"/>
      <c r="R710" s="111"/>
      <c r="S710" s="110"/>
      <c r="V710"/>
    </row>
    <row r="711" spans="1:22" x14ac:dyDescent="0.3">
      <c r="A711" s="105"/>
      <c r="J711" s="108"/>
      <c r="O711" s="111"/>
      <c r="P711" s="109"/>
      <c r="Q711" s="41"/>
      <c r="R711" s="111"/>
      <c r="S711" s="110"/>
      <c r="V711"/>
    </row>
    <row r="712" spans="1:22" x14ac:dyDescent="0.3">
      <c r="A712" s="105"/>
      <c r="J712" s="108"/>
      <c r="O712" s="111"/>
      <c r="P712" s="109"/>
      <c r="Q712" s="41"/>
      <c r="R712" s="111"/>
      <c r="S712" s="110"/>
      <c r="V712"/>
    </row>
    <row r="713" spans="1:22" x14ac:dyDescent="0.3">
      <c r="A713" s="105"/>
      <c r="J713" s="108"/>
      <c r="O713" s="111"/>
      <c r="P713" s="109"/>
      <c r="Q713" s="41"/>
      <c r="R713" s="111"/>
      <c r="S713" s="110"/>
      <c r="V713"/>
    </row>
    <row r="714" spans="1:22" x14ac:dyDescent="0.3">
      <c r="A714" s="105"/>
      <c r="J714" s="108"/>
      <c r="O714" s="111"/>
      <c r="P714" s="109"/>
      <c r="Q714" s="41"/>
      <c r="R714" s="111"/>
      <c r="S714" s="110"/>
      <c r="V714"/>
    </row>
    <row r="715" spans="1:22" x14ac:dyDescent="0.3">
      <c r="A715" s="105"/>
      <c r="J715" s="108"/>
      <c r="O715" s="111"/>
      <c r="P715" s="109"/>
      <c r="Q715" s="41"/>
      <c r="R715" s="111"/>
      <c r="S715" s="110"/>
      <c r="V715"/>
    </row>
    <row r="716" spans="1:22" x14ac:dyDescent="0.3">
      <c r="A716" s="105"/>
      <c r="J716" s="108"/>
      <c r="O716" s="111"/>
      <c r="P716" s="109"/>
      <c r="Q716" s="41"/>
      <c r="R716" s="111"/>
      <c r="S716" s="110"/>
      <c r="V716"/>
    </row>
    <row r="717" spans="1:22" x14ac:dyDescent="0.3">
      <c r="A717" s="105"/>
      <c r="J717" s="108"/>
      <c r="O717" s="111"/>
      <c r="P717" s="109"/>
      <c r="Q717" s="41"/>
      <c r="R717" s="111"/>
      <c r="S717" s="110"/>
      <c r="V717"/>
    </row>
    <row r="718" spans="1:22" x14ac:dyDescent="0.3">
      <c r="A718" s="105"/>
      <c r="J718" s="108"/>
      <c r="O718" s="111"/>
      <c r="P718" s="109"/>
      <c r="Q718" s="41"/>
      <c r="R718" s="111"/>
      <c r="S718" s="110"/>
      <c r="V718"/>
    </row>
    <row r="719" spans="1:22" x14ac:dyDescent="0.3">
      <c r="A719" s="105"/>
      <c r="J719" s="108"/>
      <c r="O719" s="111"/>
      <c r="P719" s="109"/>
      <c r="Q719" s="41"/>
      <c r="R719" s="111"/>
      <c r="S719" s="110"/>
      <c r="V719"/>
    </row>
    <row r="720" spans="1:22" x14ac:dyDescent="0.3">
      <c r="A720" s="105"/>
      <c r="J720" s="108"/>
      <c r="O720" s="111"/>
      <c r="P720" s="109"/>
      <c r="Q720" s="41"/>
      <c r="R720" s="111"/>
      <c r="S720" s="110"/>
      <c r="V720"/>
    </row>
    <row r="721" spans="1:22" x14ac:dyDescent="0.3">
      <c r="A721" s="105"/>
      <c r="J721" s="108"/>
      <c r="O721" s="111"/>
      <c r="P721" s="109"/>
      <c r="Q721" s="41"/>
      <c r="R721" s="111"/>
      <c r="S721" s="110"/>
      <c r="V721"/>
    </row>
    <row r="722" spans="1:22" x14ac:dyDescent="0.3">
      <c r="A722" s="105"/>
      <c r="J722" s="108"/>
      <c r="O722" s="111"/>
      <c r="P722" s="109"/>
      <c r="Q722" s="41"/>
      <c r="R722" s="111"/>
      <c r="S722" s="110"/>
      <c r="V722"/>
    </row>
    <row r="723" spans="1:22" x14ac:dyDescent="0.3">
      <c r="A723" s="105"/>
      <c r="J723" s="108"/>
      <c r="O723" s="111"/>
      <c r="P723" s="109"/>
      <c r="Q723" s="41"/>
      <c r="R723" s="111"/>
      <c r="S723" s="110"/>
      <c r="V723"/>
    </row>
    <row r="724" spans="1:22" x14ac:dyDescent="0.3">
      <c r="A724" s="105"/>
      <c r="J724" s="108"/>
      <c r="O724" s="111"/>
      <c r="P724" s="109"/>
      <c r="Q724" s="41"/>
      <c r="R724" s="111"/>
      <c r="S724" s="110"/>
      <c r="V724"/>
    </row>
    <row r="725" spans="1:22" x14ac:dyDescent="0.3">
      <c r="A725" s="105"/>
      <c r="J725" s="108"/>
      <c r="O725" s="111"/>
      <c r="P725" s="109"/>
      <c r="Q725" s="41"/>
      <c r="R725" s="111"/>
      <c r="S725" s="110"/>
      <c r="V725"/>
    </row>
    <row r="726" spans="1:22" x14ac:dyDescent="0.3">
      <c r="A726" s="105"/>
      <c r="J726" s="108"/>
      <c r="O726" s="111"/>
      <c r="P726" s="109"/>
      <c r="Q726" s="41"/>
      <c r="R726" s="111"/>
      <c r="S726" s="110"/>
      <c r="V726"/>
    </row>
    <row r="727" spans="1:22" x14ac:dyDescent="0.3">
      <c r="A727" s="105"/>
      <c r="J727" s="108"/>
      <c r="O727" s="111"/>
      <c r="P727" s="109"/>
      <c r="Q727" s="41"/>
      <c r="R727" s="111"/>
      <c r="S727" s="110"/>
      <c r="V727"/>
    </row>
    <row r="728" spans="1:22" x14ac:dyDescent="0.3">
      <c r="A728" s="105"/>
      <c r="J728" s="108"/>
      <c r="O728" s="111"/>
      <c r="P728" s="109"/>
      <c r="Q728" s="41"/>
      <c r="R728" s="111"/>
      <c r="S728" s="110"/>
      <c r="V728"/>
    </row>
    <row r="729" spans="1:22" x14ac:dyDescent="0.3">
      <c r="A729" s="105"/>
      <c r="J729" s="108"/>
      <c r="O729" s="111"/>
      <c r="P729" s="109"/>
      <c r="Q729" s="41"/>
      <c r="R729" s="111"/>
      <c r="S729" s="110"/>
      <c r="V729"/>
    </row>
    <row r="730" spans="1:22" x14ac:dyDescent="0.3">
      <c r="A730" s="105"/>
      <c r="J730" s="108"/>
      <c r="O730" s="111"/>
      <c r="P730" s="109"/>
      <c r="Q730" s="41"/>
      <c r="R730" s="111"/>
      <c r="S730" s="110"/>
      <c r="V730"/>
    </row>
    <row r="731" spans="1:22" x14ac:dyDescent="0.3">
      <c r="A731" s="105"/>
      <c r="J731" s="108"/>
      <c r="O731" s="111"/>
      <c r="P731" s="109"/>
      <c r="Q731" s="41"/>
      <c r="R731" s="111"/>
      <c r="S731" s="110"/>
      <c r="V731"/>
    </row>
    <row r="732" spans="1:22" x14ac:dyDescent="0.3">
      <c r="A732" s="105"/>
      <c r="J732" s="108"/>
      <c r="O732" s="111"/>
      <c r="P732" s="109"/>
      <c r="Q732" s="41"/>
      <c r="R732" s="111"/>
      <c r="S732" s="110"/>
      <c r="V732"/>
    </row>
    <row r="733" spans="1:22" x14ac:dyDescent="0.3">
      <c r="A733" s="105"/>
      <c r="J733" s="108"/>
      <c r="O733" s="111"/>
      <c r="P733" s="109"/>
      <c r="Q733" s="41"/>
      <c r="R733" s="111"/>
      <c r="S733" s="110"/>
      <c r="V733"/>
    </row>
    <row r="734" spans="1:22" x14ac:dyDescent="0.3">
      <c r="A734" s="105"/>
      <c r="J734" s="108"/>
      <c r="O734" s="111"/>
      <c r="P734" s="109"/>
      <c r="Q734" s="41"/>
      <c r="R734" s="111"/>
      <c r="S734" s="110"/>
      <c r="V734"/>
    </row>
    <row r="735" spans="1:22" x14ac:dyDescent="0.3">
      <c r="A735" s="105"/>
      <c r="J735" s="108"/>
      <c r="O735" s="111"/>
      <c r="P735" s="109"/>
      <c r="Q735" s="41"/>
      <c r="R735" s="111"/>
      <c r="S735" s="110"/>
      <c r="V735"/>
    </row>
    <row r="736" spans="1:22" x14ac:dyDescent="0.3">
      <c r="A736" s="105"/>
      <c r="J736" s="108"/>
      <c r="O736" s="111"/>
      <c r="P736" s="109"/>
      <c r="Q736" s="41"/>
      <c r="R736" s="111"/>
      <c r="S736" s="110"/>
      <c r="V736"/>
    </row>
    <row r="737" spans="1:22" x14ac:dyDescent="0.3">
      <c r="A737" s="105"/>
      <c r="J737" s="108"/>
      <c r="O737" s="111"/>
      <c r="P737" s="109"/>
      <c r="Q737" s="41"/>
      <c r="R737" s="111"/>
      <c r="S737" s="110"/>
      <c r="V737"/>
    </row>
    <row r="738" spans="1:22" x14ac:dyDescent="0.3">
      <c r="A738" s="105"/>
      <c r="J738" s="108"/>
      <c r="O738" s="111"/>
      <c r="P738" s="109"/>
      <c r="Q738" s="41"/>
      <c r="R738" s="111"/>
      <c r="S738" s="110"/>
      <c r="V738"/>
    </row>
    <row r="739" spans="1:22" x14ac:dyDescent="0.3">
      <c r="A739" s="105"/>
      <c r="J739" s="108"/>
      <c r="O739" s="111"/>
      <c r="P739" s="109"/>
      <c r="Q739" s="41"/>
      <c r="R739" s="111"/>
      <c r="S739" s="110"/>
      <c r="V739"/>
    </row>
    <row r="740" spans="1:22" x14ac:dyDescent="0.3">
      <c r="A740" s="105"/>
      <c r="J740" s="108"/>
      <c r="O740" s="111"/>
      <c r="P740" s="109"/>
      <c r="Q740" s="41"/>
      <c r="R740" s="111"/>
      <c r="S740" s="110"/>
      <c r="V740"/>
    </row>
    <row r="741" spans="1:22" x14ac:dyDescent="0.3">
      <c r="A741" s="105"/>
      <c r="J741" s="108"/>
      <c r="O741" s="111"/>
      <c r="P741" s="109"/>
      <c r="Q741" s="41"/>
      <c r="R741" s="111"/>
      <c r="S741" s="110"/>
      <c r="V741"/>
    </row>
    <row r="742" spans="1:22" x14ac:dyDescent="0.3">
      <c r="A742" s="105"/>
      <c r="J742" s="108"/>
      <c r="O742" s="111"/>
      <c r="P742" s="109"/>
      <c r="Q742" s="41"/>
      <c r="R742" s="111"/>
      <c r="S742" s="110"/>
      <c r="V742"/>
    </row>
    <row r="743" spans="1:22" x14ac:dyDescent="0.3">
      <c r="A743" s="105"/>
      <c r="J743" s="108"/>
      <c r="O743" s="111"/>
      <c r="P743" s="109"/>
      <c r="Q743" s="41"/>
      <c r="R743" s="111"/>
      <c r="S743" s="110"/>
      <c r="V743"/>
    </row>
    <row r="744" spans="1:22" x14ac:dyDescent="0.3">
      <c r="A744" s="105"/>
      <c r="J744" s="108"/>
      <c r="O744" s="111"/>
      <c r="P744" s="109"/>
      <c r="Q744" s="41"/>
      <c r="R744" s="111"/>
      <c r="S744" s="110"/>
      <c r="V744"/>
    </row>
    <row r="745" spans="1:22" x14ac:dyDescent="0.3">
      <c r="A745" s="105"/>
      <c r="J745" s="108"/>
      <c r="O745" s="111"/>
      <c r="P745" s="109"/>
      <c r="Q745" s="41"/>
      <c r="R745" s="111"/>
      <c r="S745" s="110"/>
      <c r="V745"/>
    </row>
    <row r="746" spans="1:22" x14ac:dyDescent="0.3">
      <c r="A746" s="105"/>
      <c r="J746" s="108"/>
      <c r="O746" s="111"/>
      <c r="P746" s="109"/>
      <c r="Q746" s="41"/>
      <c r="R746" s="111"/>
      <c r="S746" s="110"/>
      <c r="V746"/>
    </row>
    <row r="747" spans="1:22" x14ac:dyDescent="0.3">
      <c r="A747" s="105"/>
      <c r="J747" s="108"/>
      <c r="O747" s="111"/>
      <c r="P747" s="109"/>
      <c r="Q747" s="41"/>
      <c r="R747" s="111"/>
      <c r="S747" s="110"/>
      <c r="V747"/>
    </row>
    <row r="748" spans="1:22" x14ac:dyDescent="0.3">
      <c r="A748" s="105"/>
      <c r="J748" s="108"/>
      <c r="O748" s="111"/>
      <c r="P748" s="109"/>
      <c r="Q748" s="41"/>
      <c r="R748" s="111"/>
      <c r="S748" s="110"/>
      <c r="V748"/>
    </row>
    <row r="749" spans="1:22" x14ac:dyDescent="0.3">
      <c r="A749" s="105"/>
      <c r="J749" s="108"/>
      <c r="O749" s="111"/>
      <c r="P749" s="109"/>
      <c r="Q749" s="41"/>
      <c r="R749" s="111"/>
      <c r="S749" s="110"/>
      <c r="V749"/>
    </row>
    <row r="750" spans="1:22" x14ac:dyDescent="0.3">
      <c r="A750" s="105"/>
      <c r="J750" s="108"/>
      <c r="O750" s="111"/>
      <c r="P750" s="109"/>
      <c r="Q750" s="41"/>
      <c r="R750" s="111"/>
      <c r="S750" s="110"/>
      <c r="V750"/>
    </row>
    <row r="751" spans="1:22" x14ac:dyDescent="0.3">
      <c r="A751" s="105"/>
      <c r="J751" s="108"/>
      <c r="O751" s="111"/>
      <c r="P751" s="109"/>
      <c r="Q751" s="41"/>
      <c r="R751" s="111"/>
      <c r="S751" s="110"/>
      <c r="V751"/>
    </row>
    <row r="752" spans="1:22" x14ac:dyDescent="0.3">
      <c r="A752" s="105"/>
      <c r="J752" s="108"/>
      <c r="O752" s="111"/>
      <c r="P752" s="109"/>
      <c r="Q752" s="41"/>
      <c r="R752" s="111"/>
      <c r="S752" s="110"/>
      <c r="V752"/>
    </row>
    <row r="753" spans="1:22" x14ac:dyDescent="0.3">
      <c r="A753" s="105"/>
      <c r="J753" s="108"/>
      <c r="O753" s="111"/>
      <c r="P753" s="109"/>
      <c r="Q753" s="41"/>
      <c r="R753" s="111"/>
      <c r="S753" s="110"/>
      <c r="V753"/>
    </row>
    <row r="754" spans="1:22" x14ac:dyDescent="0.3">
      <c r="A754" s="105"/>
      <c r="J754" s="108"/>
      <c r="O754" s="111"/>
      <c r="P754" s="109"/>
      <c r="Q754" s="41"/>
      <c r="R754" s="111"/>
      <c r="S754" s="110"/>
      <c r="V754"/>
    </row>
    <row r="755" spans="1:22" x14ac:dyDescent="0.3">
      <c r="A755" s="105"/>
      <c r="J755" s="108"/>
      <c r="O755" s="111"/>
      <c r="P755" s="109"/>
      <c r="Q755" s="41"/>
      <c r="R755" s="111"/>
      <c r="S755" s="110"/>
      <c r="V755"/>
    </row>
    <row r="756" spans="1:22" x14ac:dyDescent="0.3">
      <c r="A756" s="105"/>
      <c r="J756" s="108"/>
      <c r="O756" s="111"/>
      <c r="P756" s="109"/>
      <c r="Q756" s="41"/>
      <c r="R756" s="111"/>
      <c r="S756" s="110"/>
      <c r="V756"/>
    </row>
    <row r="757" spans="1:22" x14ac:dyDescent="0.3">
      <c r="A757" s="105"/>
      <c r="J757" s="108"/>
      <c r="O757" s="111"/>
      <c r="P757" s="109"/>
      <c r="Q757" s="41"/>
      <c r="R757" s="111"/>
      <c r="S757" s="110"/>
      <c r="V757"/>
    </row>
    <row r="758" spans="1:22" x14ac:dyDescent="0.3">
      <c r="A758" s="105"/>
      <c r="J758" s="108"/>
      <c r="O758" s="111"/>
      <c r="P758" s="109"/>
      <c r="Q758" s="41"/>
      <c r="R758" s="111"/>
      <c r="S758" s="110"/>
      <c r="V758"/>
    </row>
    <row r="759" spans="1:22" x14ac:dyDescent="0.3">
      <c r="A759" s="105"/>
      <c r="J759" s="108"/>
      <c r="O759" s="111"/>
      <c r="P759" s="109"/>
      <c r="Q759" s="41"/>
      <c r="R759" s="111"/>
      <c r="S759" s="110"/>
      <c r="V759"/>
    </row>
    <row r="760" spans="1:22" x14ac:dyDescent="0.3">
      <c r="A760" s="105"/>
      <c r="J760" s="108"/>
      <c r="O760" s="111"/>
      <c r="P760" s="109"/>
      <c r="Q760" s="41"/>
      <c r="R760" s="111"/>
      <c r="S760" s="110"/>
      <c r="V760"/>
    </row>
    <row r="761" spans="1:22" x14ac:dyDescent="0.3">
      <c r="A761" s="105"/>
      <c r="J761" s="108"/>
      <c r="O761" s="111"/>
      <c r="P761" s="109"/>
      <c r="Q761" s="41"/>
      <c r="R761" s="111"/>
      <c r="S761" s="110"/>
      <c r="V761"/>
    </row>
    <row r="762" spans="1:22" x14ac:dyDescent="0.3">
      <c r="A762" s="105"/>
      <c r="J762" s="108"/>
      <c r="O762" s="111"/>
      <c r="P762" s="109"/>
      <c r="Q762" s="41"/>
      <c r="R762" s="111"/>
      <c r="S762" s="110"/>
      <c r="V762"/>
    </row>
    <row r="763" spans="1:22" x14ac:dyDescent="0.3">
      <c r="A763" s="105"/>
      <c r="J763" s="108"/>
      <c r="O763" s="111"/>
      <c r="P763" s="109"/>
      <c r="Q763" s="41"/>
      <c r="R763" s="111"/>
      <c r="S763" s="110"/>
      <c r="V763"/>
    </row>
    <row r="764" spans="1:22" x14ac:dyDescent="0.3">
      <c r="A764" s="105"/>
      <c r="J764" s="108"/>
      <c r="O764" s="111"/>
      <c r="P764" s="109"/>
      <c r="Q764" s="41"/>
      <c r="R764" s="111"/>
      <c r="S764" s="110"/>
      <c r="V764"/>
    </row>
    <row r="765" spans="1:22" x14ac:dyDescent="0.3">
      <c r="A765" s="105"/>
      <c r="J765" s="108"/>
      <c r="O765" s="111"/>
      <c r="P765" s="109"/>
      <c r="Q765" s="41"/>
      <c r="R765" s="111"/>
      <c r="S765" s="110"/>
      <c r="V765"/>
    </row>
    <row r="766" spans="1:22" x14ac:dyDescent="0.3">
      <c r="A766" s="105"/>
      <c r="J766" s="108"/>
      <c r="O766" s="111"/>
      <c r="P766" s="109"/>
      <c r="Q766" s="41"/>
      <c r="R766" s="111"/>
      <c r="S766" s="110"/>
      <c r="V766"/>
    </row>
    <row r="767" spans="1:22" x14ac:dyDescent="0.3">
      <c r="A767" s="105"/>
      <c r="J767" s="108"/>
      <c r="O767" s="111"/>
      <c r="P767" s="109"/>
      <c r="Q767" s="41"/>
      <c r="R767" s="111"/>
      <c r="S767" s="110"/>
      <c r="V767"/>
    </row>
    <row r="768" spans="1:22" x14ac:dyDescent="0.3">
      <c r="A768" s="105"/>
      <c r="J768" s="108"/>
      <c r="O768" s="111"/>
      <c r="P768" s="109"/>
      <c r="Q768" s="41"/>
      <c r="R768" s="111"/>
      <c r="S768" s="110"/>
      <c r="V768"/>
    </row>
    <row r="769" spans="1:22" x14ac:dyDescent="0.3">
      <c r="A769" s="105"/>
      <c r="J769" s="108"/>
      <c r="O769" s="111"/>
      <c r="P769" s="109"/>
      <c r="Q769" s="41"/>
      <c r="R769" s="111"/>
      <c r="S769" s="110"/>
      <c r="V769"/>
    </row>
    <row r="770" spans="1:22" x14ac:dyDescent="0.3">
      <c r="A770" s="105"/>
      <c r="J770" s="108"/>
      <c r="O770" s="111"/>
      <c r="P770" s="109"/>
      <c r="Q770" s="41"/>
      <c r="R770" s="111"/>
      <c r="S770" s="110"/>
      <c r="V770"/>
    </row>
    <row r="771" spans="1:22" x14ac:dyDescent="0.3">
      <c r="A771" s="105"/>
      <c r="J771" s="108"/>
      <c r="O771" s="111"/>
      <c r="P771" s="109"/>
      <c r="Q771" s="41"/>
      <c r="R771" s="111"/>
      <c r="S771" s="110"/>
      <c r="V771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3"/>
  <sheetViews>
    <sheetView zoomScaleNormal="100" workbookViewId="0">
      <selection activeCell="G23" sqref="G23"/>
    </sheetView>
  </sheetViews>
  <sheetFormatPr defaultColWidth="0" defaultRowHeight="14.4" zeroHeight="1" x14ac:dyDescent="0.3"/>
  <cols>
    <col min="1" max="1" width="11.77734375" customWidth="1"/>
    <col min="2" max="2" width="18.88671875" customWidth="1"/>
    <col min="3" max="3" width="26.33203125" customWidth="1"/>
    <col min="4" max="4" width="11" customWidth="1"/>
    <col min="6" max="6" width="12.6640625" hidden="1" customWidth="1"/>
    <col min="7" max="7" width="94.88671875" customWidth="1"/>
    <col min="8" max="8" width="59.77734375" hidden="1" customWidth="1"/>
    <col min="9" max="16384" width="8.88671875" hidden="1"/>
  </cols>
  <sheetData>
    <row r="1" spans="1:7" x14ac:dyDescent="0.3">
      <c r="A1" t="s">
        <v>242</v>
      </c>
      <c r="B1" t="s">
        <v>342</v>
      </c>
      <c r="C1" t="s">
        <v>1209</v>
      </c>
      <c r="D1" s="160" t="s">
        <v>1208</v>
      </c>
      <c r="E1" t="s">
        <v>105</v>
      </c>
      <c r="F1" t="s">
        <v>110</v>
      </c>
      <c r="G1" s="43" t="s">
        <v>109</v>
      </c>
    </row>
    <row r="2" spans="1:7" hidden="1" x14ac:dyDescent="0.3">
      <c r="A2" t="s">
        <v>245</v>
      </c>
      <c r="B2" t="s">
        <v>106</v>
      </c>
      <c r="D2" s="160" t="e">
        <f>VALUE(LEFT(RIGHT(Table4[[#This Row],[Position History]],5),FIND(CHAR(34),RIGHT(Table4[[#This Row],[Position History]],5))-1))</f>
        <v>#VALUE!</v>
      </c>
      <c r="F2" t="s">
        <v>107</v>
      </c>
      <c r="G2" s="43" t="s">
        <v>248</v>
      </c>
    </row>
    <row r="3" spans="1:7" hidden="1" x14ac:dyDescent="0.3">
      <c r="A3" t="s">
        <v>245</v>
      </c>
      <c r="D3" s="160" t="e">
        <f>VALUE(LEFT(RIGHT(Table4[[#This Row],[Position History]],5),FIND(CHAR(34),RIGHT(Table4[[#This Row],[Position History]],5))-1))</f>
        <v>#VALUE!</v>
      </c>
      <c r="G3" s="43"/>
    </row>
    <row r="4" spans="1:7" hidden="1" x14ac:dyDescent="0.3">
      <c r="A4" t="s">
        <v>245</v>
      </c>
      <c r="D4" s="160" t="e">
        <f>VALUE(LEFT(RIGHT(Table4[[#This Row],[Position History]],5),FIND(CHAR(34),RIGHT(Table4[[#This Row],[Position History]],5))-1))</f>
        <v>#VALUE!</v>
      </c>
      <c r="G4" s="43"/>
    </row>
    <row r="5" spans="1:7" hidden="1" x14ac:dyDescent="0.3">
      <c r="A5" t="s">
        <v>245</v>
      </c>
      <c r="D5" s="160" t="e">
        <f>VALUE(LEFT(RIGHT(Table4[[#This Row],[Position History]],5),FIND(CHAR(34),RIGHT(Table4[[#This Row],[Position History]],5))-1))</f>
        <v>#VALUE!</v>
      </c>
      <c r="G5" s="43"/>
    </row>
    <row r="6" spans="1:7" hidden="1" x14ac:dyDescent="0.3">
      <c r="A6" s="102" t="s">
        <v>245</v>
      </c>
      <c r="B6" s="102" t="s">
        <v>108</v>
      </c>
      <c r="C6" s="102"/>
      <c r="D6" s="161" t="e">
        <f>VALUE(LEFT(RIGHT(Table4[[#This Row],[Position History]],5),FIND(CHAR(34),RIGHT(Table4[[#This Row],[Position History]],5))-1))</f>
        <v>#VALUE!</v>
      </c>
      <c r="E6" s="102" t="s">
        <v>331</v>
      </c>
      <c r="F6" s="102" t="s">
        <v>107</v>
      </c>
      <c r="G6" s="103" t="s">
        <v>111</v>
      </c>
    </row>
    <row r="7" spans="1:7" hidden="1" x14ac:dyDescent="0.3">
      <c r="A7" s="102"/>
      <c r="B7" s="102"/>
      <c r="C7" s="102"/>
      <c r="D7" s="161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 x14ac:dyDescent="0.3">
      <c r="A8" s="102" t="s">
        <v>243</v>
      </c>
      <c r="B8" s="102" t="s">
        <v>318</v>
      </c>
      <c r="C8" s="158" t="s">
        <v>1214</v>
      </c>
      <c r="D8" s="162">
        <f>VALUE(LEFT(RIGHT(Table4[[#This Row],[Position History]],5),FIND(CHAR(34),RIGHT(Table4[[#This Row],[Position History]],5))-1))</f>
        <v>0</v>
      </c>
      <c r="E8" s="102" t="s">
        <v>332</v>
      </c>
      <c r="F8" s="102" t="s">
        <v>332</v>
      </c>
      <c r="G8" s="103" t="s">
        <v>361</v>
      </c>
    </row>
    <row r="9" spans="1:7" x14ac:dyDescent="0.3">
      <c r="A9" s="102" t="s">
        <v>243</v>
      </c>
      <c r="B9" s="102" t="s">
        <v>112</v>
      </c>
      <c r="C9" s="158" t="s">
        <v>1205</v>
      </c>
      <c r="D9" s="162">
        <f>VALUE(LEFT(RIGHT(Table4[[#This Row],[Position History]],5),FIND(CHAR(34),RIGHT(Table4[[#This Row],[Position History]],5))-1))</f>
        <v>1</v>
      </c>
      <c r="E9" s="102" t="s">
        <v>332</v>
      </c>
      <c r="F9" s="102" t="s">
        <v>332</v>
      </c>
      <c r="G9" s="103" t="s">
        <v>362</v>
      </c>
    </row>
    <row r="10" spans="1:7" x14ac:dyDescent="0.3">
      <c r="A10" s="102" t="s">
        <v>243</v>
      </c>
      <c r="B10" s="102" t="s">
        <v>99</v>
      </c>
      <c r="C10" s="158" t="s">
        <v>1204</v>
      </c>
      <c r="D10" s="162">
        <f>VALUE(LEFT(RIGHT(Table4[[#This Row],[Position History]],5),FIND(CHAR(34),RIGHT(Table4[[#This Row],[Position History]],5))-1))</f>
        <v>2</v>
      </c>
      <c r="E10" s="102" t="s">
        <v>332</v>
      </c>
      <c r="F10" s="102" t="s">
        <v>332</v>
      </c>
      <c r="G10" s="103" t="s">
        <v>363</v>
      </c>
    </row>
    <row r="11" spans="1:7" x14ac:dyDescent="0.3">
      <c r="A11" s="102" t="s">
        <v>243</v>
      </c>
      <c r="B11" s="102" t="s">
        <v>319</v>
      </c>
      <c r="C11" s="158" t="s">
        <v>1203</v>
      </c>
      <c r="D11" s="162">
        <f>VALUE(LEFT(RIGHT(Table4[[#This Row],[Position History]],5),FIND(CHAR(34),RIGHT(Table4[[#This Row],[Position History]],5))-1))</f>
        <v>3</v>
      </c>
      <c r="E11" s="102" t="s">
        <v>332</v>
      </c>
      <c r="F11" s="102" t="s">
        <v>332</v>
      </c>
      <c r="G11" s="103" t="s">
        <v>366</v>
      </c>
    </row>
    <row r="12" spans="1:7" x14ac:dyDescent="0.3">
      <c r="A12" s="102" t="s">
        <v>243</v>
      </c>
      <c r="B12" s="102" t="s">
        <v>320</v>
      </c>
      <c r="C12" s="158" t="s">
        <v>1200</v>
      </c>
      <c r="D12" s="162">
        <f>VALUE(LEFT(RIGHT(Table4[[#This Row],[Position History]],5),FIND(CHAR(34),RIGHT(Table4[[#This Row],[Position History]],5))-1))</f>
        <v>4</v>
      </c>
      <c r="E12" s="102" t="s">
        <v>332</v>
      </c>
      <c r="F12" s="102" t="s">
        <v>332</v>
      </c>
      <c r="G12" s="103" t="s">
        <v>367</v>
      </c>
    </row>
    <row r="13" spans="1:7" x14ac:dyDescent="0.3">
      <c r="A13" s="102" t="s">
        <v>243</v>
      </c>
      <c r="B13" s="102" t="s">
        <v>100</v>
      </c>
      <c r="C13" s="158" t="s">
        <v>1199</v>
      </c>
      <c r="D13" s="162">
        <f>VALUE(LEFT(RIGHT(Table4[[#This Row],[Position History]],5),FIND(CHAR(34),RIGHT(Table4[[#This Row],[Position History]],5))-1))</f>
        <v>5</v>
      </c>
      <c r="E13" s="102" t="s">
        <v>332</v>
      </c>
      <c r="F13" s="102" t="s">
        <v>332</v>
      </c>
      <c r="G13" s="104" t="s">
        <v>364</v>
      </c>
    </row>
    <row r="14" spans="1:7" x14ac:dyDescent="0.3">
      <c r="A14" s="102" t="s">
        <v>243</v>
      </c>
      <c r="B14" s="102" t="s">
        <v>101</v>
      </c>
      <c r="C14" s="158" t="s">
        <v>1202</v>
      </c>
      <c r="D14" s="162">
        <f>VALUE(LEFT(RIGHT(Table4[[#This Row],[Position History]],5),FIND(CHAR(34),RIGHT(Table4[[#This Row],[Position History]],5))-1))</f>
        <v>6</v>
      </c>
      <c r="E14" s="102" t="s">
        <v>332</v>
      </c>
      <c r="F14" s="102" t="s">
        <v>332</v>
      </c>
      <c r="G14" s="103" t="s">
        <v>359</v>
      </c>
    </row>
    <row r="15" spans="1:7" x14ac:dyDescent="0.3">
      <c r="A15" s="102" t="s">
        <v>243</v>
      </c>
      <c r="B15" s="102" t="s">
        <v>321</v>
      </c>
      <c r="C15" s="158" t="s">
        <v>1206</v>
      </c>
      <c r="D15" s="162">
        <f>VALUE(LEFT(RIGHT(Table4[[#This Row],[Position History]],5),FIND(CHAR(34),RIGHT(Table4[[#This Row],[Position History]],5))-1))</f>
        <v>7</v>
      </c>
      <c r="E15" s="102" t="s">
        <v>332</v>
      </c>
      <c r="F15" s="102" t="s">
        <v>332</v>
      </c>
      <c r="G15" s="103" t="s">
        <v>365</v>
      </c>
    </row>
    <row r="16" spans="1:7" x14ac:dyDescent="0.3">
      <c r="A16" s="102" t="s">
        <v>243</v>
      </c>
      <c r="B16" s="102" t="s">
        <v>322</v>
      </c>
      <c r="C16" s="158" t="s">
        <v>1201</v>
      </c>
      <c r="D16" s="162">
        <f>VALUE(LEFT(RIGHT(Table4[[#This Row],[Position History]],5),FIND(CHAR(34),RIGHT(Table4[[#This Row],[Position History]],5))-1))</f>
        <v>8</v>
      </c>
      <c r="E16" s="102" t="s">
        <v>332</v>
      </c>
      <c r="F16" s="102" t="s">
        <v>332</v>
      </c>
      <c r="G16" s="103" t="s">
        <v>343</v>
      </c>
    </row>
    <row r="17" spans="1:7" x14ac:dyDescent="0.3">
      <c r="A17" s="102" t="s">
        <v>243</v>
      </c>
      <c r="B17" s="102" t="s">
        <v>323</v>
      </c>
      <c r="C17" s="158" t="s">
        <v>1207</v>
      </c>
      <c r="D17" s="162">
        <f>VALUE(LEFT(RIGHT(Table4[[#This Row],[Position History]],5),FIND(CHAR(34),RIGHT(Table4[[#This Row],[Position History]],5))-1))</f>
        <v>9</v>
      </c>
      <c r="E17" s="102" t="s">
        <v>332</v>
      </c>
      <c r="F17" s="102" t="s">
        <v>332</v>
      </c>
      <c r="G17" s="103" t="s">
        <v>1212</v>
      </c>
    </row>
    <row r="18" spans="1:7" x14ac:dyDescent="0.3">
      <c r="A18" s="102" t="s">
        <v>243</v>
      </c>
      <c r="B18" s="102" t="s">
        <v>324</v>
      </c>
      <c r="C18" s="158" t="s">
        <v>1194</v>
      </c>
      <c r="D18" s="162">
        <f>VALUE(LEFT(RIGHT(Table4[[#This Row],[Position History]],5),FIND(CHAR(34),RIGHT(Table4[[#This Row],[Position History]],5))-1))</f>
        <v>10</v>
      </c>
      <c r="E18" s="102" t="s">
        <v>332</v>
      </c>
      <c r="F18" s="102" t="s">
        <v>332</v>
      </c>
      <c r="G18" s="103" t="s">
        <v>358</v>
      </c>
    </row>
    <row r="19" spans="1:7" x14ac:dyDescent="0.3">
      <c r="A19" s="102" t="s">
        <v>243</v>
      </c>
      <c r="B19" s="102" t="s">
        <v>325</v>
      </c>
      <c r="C19" s="158" t="s">
        <v>1195</v>
      </c>
      <c r="D19" s="162">
        <f>VALUE(LEFT(RIGHT(Table4[[#This Row],[Position History]],5),FIND(CHAR(34),RIGHT(Table4[[#This Row],[Position History]],5))-1))</f>
        <v>11</v>
      </c>
      <c r="E19" s="102" t="s">
        <v>332</v>
      </c>
      <c r="F19" s="102" t="s">
        <v>332</v>
      </c>
      <c r="G19" s="103" t="s">
        <v>357</v>
      </c>
    </row>
    <row r="20" spans="1:7" x14ac:dyDescent="0.3">
      <c r="A20" s="102" t="s">
        <v>243</v>
      </c>
      <c r="B20" s="102" t="s">
        <v>326</v>
      </c>
      <c r="C20" s="158" t="s">
        <v>1193</v>
      </c>
      <c r="D20" s="162">
        <f>VALUE(LEFT(RIGHT(Table4[[#This Row],[Position History]],5),FIND(CHAR(34),RIGHT(Table4[[#This Row],[Position History]],5))-1))</f>
        <v>12</v>
      </c>
      <c r="E20" s="102" t="s">
        <v>332</v>
      </c>
      <c r="F20" s="102" t="s">
        <v>332</v>
      </c>
      <c r="G20" s="103" t="s">
        <v>360</v>
      </c>
    </row>
    <row r="21" spans="1:7" x14ac:dyDescent="0.3">
      <c r="A21" s="102" t="s">
        <v>244</v>
      </c>
      <c r="B21" s="102" t="s">
        <v>1197</v>
      </c>
      <c r="C21" s="158" t="s">
        <v>1215</v>
      </c>
      <c r="D21" s="162">
        <f>VALUE(LEFT(RIGHT(Table4[[#This Row],[Position History]],5),FIND(CHAR(34),RIGHT(Table4[[#This Row],[Position History]],5))-1))</f>
        <v>0</v>
      </c>
      <c r="E21" s="102" t="s">
        <v>332</v>
      </c>
      <c r="F21" s="102" t="s">
        <v>332</v>
      </c>
      <c r="G21" s="103" t="s">
        <v>1213</v>
      </c>
    </row>
    <row r="22" spans="1:7" x14ac:dyDescent="0.3">
      <c r="A22" s="102" t="s">
        <v>244</v>
      </c>
      <c r="B22" s="102" t="s">
        <v>112</v>
      </c>
      <c r="C22" s="158" t="s">
        <v>1216</v>
      </c>
      <c r="D22" s="162">
        <f>VALUE(LEFT(RIGHT(Table4[[#This Row],[Position History]],5),FIND(CHAR(34),RIGHT(Table4[[#This Row],[Position History]],5))-1))</f>
        <v>1</v>
      </c>
      <c r="E22" s="102" t="s">
        <v>332</v>
      </c>
      <c r="F22" s="102" t="s">
        <v>332</v>
      </c>
      <c r="G22" s="103" t="s">
        <v>1211</v>
      </c>
    </row>
    <row r="23" spans="1:7" x14ac:dyDescent="0.3">
      <c r="A23" s="102" t="s">
        <v>244</v>
      </c>
      <c r="B23" s="102" t="s">
        <v>335</v>
      </c>
      <c r="C23" s="158" t="s">
        <v>1217</v>
      </c>
      <c r="D23" s="162">
        <f>VALUE(LEFT(RIGHT(Table4[[#This Row],[Position History]],5),FIND(CHAR(34),RIGHT(Table4[[#This Row],[Position History]],5))-1))</f>
        <v>2</v>
      </c>
      <c r="E23" s="102" t="s">
        <v>332</v>
      </c>
      <c r="F23" s="102" t="s">
        <v>332</v>
      </c>
      <c r="G23" s="103" t="s">
        <v>348</v>
      </c>
    </row>
    <row r="24" spans="1:7" x14ac:dyDescent="0.3">
      <c r="A24" s="102" t="s">
        <v>244</v>
      </c>
      <c r="B24" s="102" t="s">
        <v>336</v>
      </c>
      <c r="C24" s="158" t="s">
        <v>1218</v>
      </c>
      <c r="D24" s="162">
        <f>VALUE(LEFT(RIGHT(Table4[[#This Row],[Position History]],5),FIND(CHAR(34),RIGHT(Table4[[#This Row],[Position History]],5))-1))</f>
        <v>3</v>
      </c>
      <c r="E24" s="102" t="s">
        <v>332</v>
      </c>
      <c r="F24" s="102" t="s">
        <v>332</v>
      </c>
      <c r="G24" s="103" t="s">
        <v>349</v>
      </c>
    </row>
    <row r="25" spans="1:7" x14ac:dyDescent="0.3">
      <c r="A25" s="102" t="s">
        <v>244</v>
      </c>
      <c r="B25" s="102" t="s">
        <v>1196</v>
      </c>
      <c r="C25" s="158" t="s">
        <v>1219</v>
      </c>
      <c r="D25" s="162">
        <f>VALUE(LEFT(RIGHT(Table4[[#This Row],[Position History]],5),FIND(CHAR(34),RIGHT(Table4[[#This Row],[Position History]],5))-1))</f>
        <v>4</v>
      </c>
      <c r="E25" s="102" t="s">
        <v>332</v>
      </c>
      <c r="F25" s="102" t="s">
        <v>332</v>
      </c>
      <c r="G25" s="103" t="s">
        <v>1210</v>
      </c>
    </row>
    <row r="26" spans="1:7" x14ac:dyDescent="0.3">
      <c r="A26" s="102" t="s">
        <v>244</v>
      </c>
      <c r="B26" s="102" t="s">
        <v>337</v>
      </c>
      <c r="C26" s="158" t="s">
        <v>1220</v>
      </c>
      <c r="D26" s="162">
        <f>VALUE(LEFT(RIGHT(Table4[[#This Row],[Position History]],5),FIND(CHAR(34),RIGHT(Table4[[#This Row],[Position History]],5))-1))</f>
        <v>5</v>
      </c>
      <c r="E26" s="102" t="s">
        <v>332</v>
      </c>
      <c r="F26" s="102" t="s">
        <v>332</v>
      </c>
      <c r="G26" s="103" t="s">
        <v>353</v>
      </c>
    </row>
    <row r="27" spans="1:7" x14ac:dyDescent="0.3">
      <c r="A27" s="102" t="s">
        <v>244</v>
      </c>
      <c r="B27" s="102" t="s">
        <v>338</v>
      </c>
      <c r="C27" s="158" t="s">
        <v>1221</v>
      </c>
      <c r="D27" s="162">
        <f>VALUE(LEFT(RIGHT(Table4[[#This Row],[Position History]],5),FIND(CHAR(34),RIGHT(Table4[[#This Row],[Position History]],5))-1))</f>
        <v>6</v>
      </c>
      <c r="E27" s="102" t="s">
        <v>332</v>
      </c>
      <c r="F27" s="102" t="s">
        <v>332</v>
      </c>
      <c r="G27" s="103" t="s">
        <v>351</v>
      </c>
    </row>
    <row r="28" spans="1:7" x14ac:dyDescent="0.3">
      <c r="A28" s="102" t="s">
        <v>244</v>
      </c>
      <c r="B28" s="102" t="s">
        <v>339</v>
      </c>
      <c r="C28" s="158" t="s">
        <v>1222</v>
      </c>
      <c r="D28" s="162">
        <f>VALUE(LEFT(RIGHT(Table4[[#This Row],[Position History]],5),FIND(CHAR(34),RIGHT(Table4[[#This Row],[Position History]],5))-1))</f>
        <v>7</v>
      </c>
      <c r="E28" s="102" t="s">
        <v>332</v>
      </c>
      <c r="F28" s="102" t="s">
        <v>332</v>
      </c>
      <c r="G28" s="103" t="s">
        <v>344</v>
      </c>
    </row>
    <row r="29" spans="1:7" x14ac:dyDescent="0.3">
      <c r="A29" s="102" t="s">
        <v>244</v>
      </c>
      <c r="B29" s="102" t="s">
        <v>340</v>
      </c>
      <c r="C29" s="158" t="s">
        <v>1223</v>
      </c>
      <c r="D29" s="162">
        <f>VALUE(LEFT(RIGHT(Table4[[#This Row],[Position History]],5),FIND(CHAR(34),RIGHT(Table4[[#This Row],[Position History]],5))-1))</f>
        <v>8</v>
      </c>
      <c r="E29" s="102" t="s">
        <v>332</v>
      </c>
      <c r="F29" s="102" t="s">
        <v>332</v>
      </c>
      <c r="G29" s="103" t="s">
        <v>350</v>
      </c>
    </row>
    <row r="30" spans="1:7" x14ac:dyDescent="0.3">
      <c r="A30" s="102" t="s">
        <v>244</v>
      </c>
      <c r="B30" s="102" t="s">
        <v>341</v>
      </c>
      <c r="C30" s="158" t="s">
        <v>1224</v>
      </c>
      <c r="D30" s="162">
        <f>VALUE(LEFT(RIGHT(Table4[[#This Row],[Position History]],5),FIND(CHAR(34),RIGHT(Table4[[#This Row],[Position History]],5))-1))</f>
        <v>9</v>
      </c>
      <c r="E30" s="102" t="s">
        <v>332</v>
      </c>
      <c r="F30" s="102" t="s">
        <v>332</v>
      </c>
      <c r="G30" s="103" t="s">
        <v>345</v>
      </c>
    </row>
    <row r="31" spans="1:7" x14ac:dyDescent="0.3">
      <c r="A31" s="102" t="s">
        <v>244</v>
      </c>
      <c r="B31" s="102" t="s">
        <v>113</v>
      </c>
      <c r="C31" s="158" t="s">
        <v>1225</v>
      </c>
      <c r="D31" s="162">
        <f>VALUE(LEFT(RIGHT(Table4[[#This Row],[Position History]],5),FIND(CHAR(34),RIGHT(Table4[[#This Row],[Position History]],5))-1))</f>
        <v>10</v>
      </c>
      <c r="E31" s="102" t="s">
        <v>205</v>
      </c>
      <c r="F31" s="102"/>
      <c r="G31" s="103" t="s">
        <v>346</v>
      </c>
    </row>
    <row r="32" spans="1:7" x14ac:dyDescent="0.3">
      <c r="A32" s="102" t="s">
        <v>244</v>
      </c>
      <c r="B32" s="102" t="s">
        <v>329</v>
      </c>
      <c r="C32" s="158" t="s">
        <v>1226</v>
      </c>
      <c r="D32" s="162">
        <f>VALUE(LEFT(RIGHT(Table4[[#This Row],[Position History]],5),FIND(CHAR(34),RIGHT(Table4[[#This Row],[Position History]],5))-1))</f>
        <v>11</v>
      </c>
      <c r="E32" s="102" t="s">
        <v>332</v>
      </c>
      <c r="F32" s="102" t="s">
        <v>332</v>
      </c>
      <c r="G32" s="103" t="s">
        <v>347</v>
      </c>
    </row>
    <row r="33" spans="1:7" x14ac:dyDescent="0.3">
      <c r="A33" s="102" t="s">
        <v>244</v>
      </c>
      <c r="B33" s="102" t="s">
        <v>328</v>
      </c>
      <c r="C33" s="158" t="s">
        <v>1227</v>
      </c>
      <c r="D33" s="162">
        <f>VALUE(LEFT(RIGHT(Table4[[#This Row],[Position History]],5),FIND(CHAR(34),RIGHT(Table4[[#This Row],[Position History]],5))-1))</f>
        <v>12</v>
      </c>
      <c r="E33" s="102" t="s">
        <v>332</v>
      </c>
      <c r="F33" s="102" t="s">
        <v>332</v>
      </c>
      <c r="G33" s="103" t="s">
        <v>354</v>
      </c>
    </row>
    <row r="34" spans="1:7" x14ac:dyDescent="0.3">
      <c r="A34" s="102" t="s">
        <v>244</v>
      </c>
      <c r="B34" s="102" t="s">
        <v>330</v>
      </c>
      <c r="C34" s="158" t="s">
        <v>1228</v>
      </c>
      <c r="D34" s="162">
        <f>VALUE(LEFT(RIGHT(Table4[[#This Row],[Position History]],5),FIND(CHAR(34),RIGHT(Table4[[#This Row],[Position History]],5))-1))</f>
        <v>13</v>
      </c>
      <c r="E34" s="102" t="s">
        <v>332</v>
      </c>
      <c r="F34" s="102" t="s">
        <v>332</v>
      </c>
      <c r="G34" s="103" t="s">
        <v>356</v>
      </c>
    </row>
    <row r="35" spans="1:7" x14ac:dyDescent="0.3">
      <c r="A35" s="102" t="s">
        <v>244</v>
      </c>
      <c r="B35" s="102" t="s">
        <v>327</v>
      </c>
      <c r="C35" s="158" t="s">
        <v>1229</v>
      </c>
      <c r="D35" s="162">
        <f>VALUE(LEFT(RIGHT(Table4[[#This Row],[Position History]],5),FIND(CHAR(34),RIGHT(Table4[[#This Row],[Position History]],5))-1))</f>
        <v>14</v>
      </c>
      <c r="E35" s="102" t="s">
        <v>332</v>
      </c>
      <c r="F35" s="102" t="s">
        <v>332</v>
      </c>
      <c r="G35" s="103" t="s">
        <v>355</v>
      </c>
    </row>
    <row r="36" spans="1:7" x14ac:dyDescent="0.3">
      <c r="A36" s="102" t="s">
        <v>244</v>
      </c>
      <c r="B36" s="102" t="s">
        <v>333</v>
      </c>
      <c r="C36" s="158" t="s">
        <v>1230</v>
      </c>
      <c r="D36" s="162">
        <f>VALUE(LEFT(RIGHT(Table4[[#This Row],[Position History]],5),FIND(CHAR(34),RIGHT(Table4[[#This Row],[Position History]],5))-1))</f>
        <v>15</v>
      </c>
      <c r="E36" s="102"/>
      <c r="F36" s="102"/>
      <c r="G36" s="103" t="s">
        <v>368</v>
      </c>
    </row>
    <row r="37" spans="1:7" x14ac:dyDescent="0.3">
      <c r="A37" s="102" t="s">
        <v>244</v>
      </c>
      <c r="B37" s="102" t="s">
        <v>334</v>
      </c>
      <c r="C37" s="158" t="s">
        <v>1231</v>
      </c>
      <c r="D37" s="162">
        <f>VALUE(LEFT(RIGHT(Table4[[#This Row],[Position History]],5),FIND(CHAR(34),RIGHT(Table4[[#This Row],[Position History]],5))-1))</f>
        <v>16</v>
      </c>
      <c r="E37" s="102" t="s">
        <v>332</v>
      </c>
      <c r="F37" s="102" t="s">
        <v>332</v>
      </c>
      <c r="G37" s="103" t="s">
        <v>352</v>
      </c>
    </row>
    <row r="38" spans="1:7" x14ac:dyDescent="0.3">
      <c r="A38" s="102" t="s">
        <v>244</v>
      </c>
      <c r="B38" s="102" t="s">
        <v>114</v>
      </c>
      <c r="C38" s="158" t="s">
        <v>1232</v>
      </c>
      <c r="D38" s="162">
        <f>VALUE(LEFT(RIGHT(Table4[[#This Row],[Position History]],5),FIND(CHAR(34),RIGHT(Table4[[#This Row],[Position History]],5))-1))</f>
        <v>17</v>
      </c>
      <c r="E38" s="102" t="s">
        <v>332</v>
      </c>
      <c r="F38" s="102" t="s">
        <v>332</v>
      </c>
      <c r="G38" s="103" t="s">
        <v>343</v>
      </c>
    </row>
    <row r="39" spans="1:7" hidden="1" x14ac:dyDescent="0.3">
      <c r="A39" s="102"/>
      <c r="B39" s="102"/>
      <c r="C39" s="102"/>
      <c r="D39" s="161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 x14ac:dyDescent="0.3">
      <c r="A40" s="102"/>
      <c r="B40" s="102"/>
      <c r="C40" s="102"/>
      <c r="D40" s="161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 x14ac:dyDescent="0.3">
      <c r="A41" s="102"/>
      <c r="B41" s="102"/>
      <c r="C41" s="102"/>
      <c r="D41" s="161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 x14ac:dyDescent="0.3">
      <c r="A42" s="102"/>
      <c r="B42" s="102"/>
      <c r="C42" s="102"/>
      <c r="D42" s="161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 x14ac:dyDescent="0.3">
      <c r="A43" s="102"/>
      <c r="B43" s="102"/>
      <c r="C43" s="102"/>
      <c r="D43" s="161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 x14ac:dyDescent="0.3">
      <c r="A44" s="102"/>
      <c r="B44" s="102"/>
      <c r="C44" s="102"/>
      <c r="D44" s="161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 x14ac:dyDescent="0.3">
      <c r="A45" s="102"/>
      <c r="B45" s="102"/>
      <c r="C45" s="102"/>
      <c r="D45" s="161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 x14ac:dyDescent="0.3">
      <c r="A46" s="102"/>
      <c r="B46" s="102"/>
      <c r="C46" s="102"/>
      <c r="D46" s="161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 x14ac:dyDescent="0.3">
      <c r="A47" s="102"/>
      <c r="B47" s="102"/>
      <c r="C47" s="102"/>
      <c r="D47" s="161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 x14ac:dyDescent="0.3">
      <c r="A48" s="102"/>
      <c r="B48" s="102"/>
      <c r="C48" s="102"/>
      <c r="D48" s="161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 x14ac:dyDescent="0.3">
      <c r="H49" s="43"/>
    </row>
    <row r="50" spans="8:8" hidden="1" x14ac:dyDescent="0.3">
      <c r="H50" s="43"/>
    </row>
    <row r="51" spans="8:8" hidden="1" x14ac:dyDescent="0.3">
      <c r="H51" s="43"/>
    </row>
    <row r="52" spans="8:8" hidden="1" x14ac:dyDescent="0.3"/>
    <row r="53" spans="8:8" hidden="1" x14ac:dyDescent="0.3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199</v>
      </c>
      <c r="B1" t="s">
        <v>200</v>
      </c>
      <c r="C1" t="s">
        <v>201</v>
      </c>
      <c r="D1" t="s">
        <v>202</v>
      </c>
      <c r="E1" s="43" t="s">
        <v>109</v>
      </c>
    </row>
    <row r="2" spans="1:5" x14ac:dyDescent="0.3">
      <c r="A2" s="98" t="s">
        <v>236</v>
      </c>
      <c r="B2" s="99" t="s">
        <v>237</v>
      </c>
      <c r="C2" s="100">
        <v>128</v>
      </c>
      <c r="D2" s="97">
        <v>1</v>
      </c>
      <c r="E2" s="99" t="s">
        <v>238</v>
      </c>
    </row>
    <row r="3" spans="1:5" x14ac:dyDescent="0.3">
      <c r="A3" s="98" t="s">
        <v>236</v>
      </c>
      <c r="B3" s="99" t="s">
        <v>237</v>
      </c>
      <c r="C3" s="100">
        <v>129</v>
      </c>
      <c r="D3" s="97">
        <v>1</v>
      </c>
      <c r="E3" s="99" t="s">
        <v>239</v>
      </c>
    </row>
    <row r="4" spans="1:5" x14ac:dyDescent="0.3">
      <c r="A4" s="98" t="s">
        <v>236</v>
      </c>
      <c r="B4" s="99" t="s">
        <v>237</v>
      </c>
      <c r="C4" s="100">
        <v>137</v>
      </c>
      <c r="D4" s="97">
        <v>1</v>
      </c>
      <c r="E4" s="99" t="s">
        <v>240</v>
      </c>
    </row>
    <row r="5" spans="1:5" x14ac:dyDescent="0.3">
      <c r="A5" s="98" t="s">
        <v>236</v>
      </c>
      <c r="B5" s="99" t="s">
        <v>237</v>
      </c>
      <c r="C5" s="100">
        <v>139</v>
      </c>
      <c r="D5" s="97">
        <v>1</v>
      </c>
      <c r="E5" s="99" t="s">
        <v>241</v>
      </c>
    </row>
    <row r="6" spans="1:5" x14ac:dyDescent="0.3">
      <c r="A6" s="98" t="s">
        <v>236</v>
      </c>
      <c r="B6" s="99" t="s">
        <v>246</v>
      </c>
      <c r="C6" s="100">
        <v>508</v>
      </c>
      <c r="D6" s="97">
        <v>1</v>
      </c>
      <c r="E6" s="99" t="s">
        <v>247</v>
      </c>
    </row>
    <row r="7" spans="1:5" x14ac:dyDescent="0.3">
      <c r="A7" s="98" t="s">
        <v>236</v>
      </c>
      <c r="B7" s="99" t="s">
        <v>246</v>
      </c>
      <c r="C7" s="100">
        <v>510</v>
      </c>
      <c r="D7" s="97">
        <v>1</v>
      </c>
      <c r="E7" s="99" t="s">
        <v>313</v>
      </c>
    </row>
    <row r="8" spans="1:5" x14ac:dyDescent="0.3">
      <c r="A8" s="98" t="s">
        <v>236</v>
      </c>
      <c r="B8" s="99" t="s">
        <v>246</v>
      </c>
      <c r="C8" s="100">
        <v>529</v>
      </c>
      <c r="D8" s="97">
        <v>1</v>
      </c>
      <c r="E8" s="99" t="s">
        <v>249</v>
      </c>
    </row>
    <row r="9" spans="1:5" x14ac:dyDescent="0.3">
      <c r="A9" s="98" t="s">
        <v>236</v>
      </c>
      <c r="B9" s="99" t="s">
        <v>246</v>
      </c>
      <c r="C9" s="100">
        <v>533</v>
      </c>
      <c r="D9" s="97">
        <v>1</v>
      </c>
      <c r="E9" s="99" t="s">
        <v>298</v>
      </c>
    </row>
    <row r="10" spans="1:5" x14ac:dyDescent="0.3">
      <c r="A10" s="98" t="s">
        <v>236</v>
      </c>
      <c r="B10" s="99" t="s">
        <v>246</v>
      </c>
      <c r="C10" s="100">
        <v>548</v>
      </c>
      <c r="D10" s="97">
        <v>1</v>
      </c>
      <c r="E10" s="99" t="s">
        <v>251</v>
      </c>
    </row>
    <row r="11" spans="1:5" x14ac:dyDescent="0.3">
      <c r="A11" s="98" t="s">
        <v>236</v>
      </c>
      <c r="B11" s="99" t="s">
        <v>253</v>
      </c>
      <c r="C11" s="100">
        <v>576</v>
      </c>
      <c r="D11" s="97">
        <v>1</v>
      </c>
      <c r="E11" s="99" t="s">
        <v>252</v>
      </c>
    </row>
    <row r="12" spans="1:5" x14ac:dyDescent="0.3">
      <c r="A12" s="98" t="s">
        <v>236</v>
      </c>
      <c r="B12" s="99" t="s">
        <v>253</v>
      </c>
      <c r="C12" s="100">
        <v>656</v>
      </c>
      <c r="D12" s="97">
        <v>1</v>
      </c>
      <c r="E12" s="99" t="s">
        <v>254</v>
      </c>
    </row>
    <row r="13" spans="1:5" x14ac:dyDescent="0.3">
      <c r="A13" s="98" t="s">
        <v>236</v>
      </c>
      <c r="B13" s="99" t="s">
        <v>253</v>
      </c>
      <c r="C13" s="100">
        <v>658</v>
      </c>
      <c r="D13" s="97">
        <v>1</v>
      </c>
      <c r="E13" s="99" t="s">
        <v>255</v>
      </c>
    </row>
    <row r="14" spans="1:5" x14ac:dyDescent="0.3">
      <c r="A14" s="98" t="s">
        <v>236</v>
      </c>
      <c r="B14" s="99" t="s">
        <v>253</v>
      </c>
      <c r="C14" s="100">
        <v>696</v>
      </c>
      <c r="D14" s="97">
        <v>1</v>
      </c>
      <c r="E14" s="99" t="s">
        <v>256</v>
      </c>
    </row>
    <row r="15" spans="1:5" x14ac:dyDescent="0.3">
      <c r="A15" s="98" t="s">
        <v>236</v>
      </c>
      <c r="B15" s="99" t="s">
        <v>253</v>
      </c>
      <c r="C15" s="100">
        <v>697</v>
      </c>
      <c r="D15" s="97">
        <v>1</v>
      </c>
      <c r="E15" s="99" t="s">
        <v>299</v>
      </c>
    </row>
    <row r="16" spans="1:5" x14ac:dyDescent="0.3">
      <c r="A16" s="98" t="s">
        <v>236</v>
      </c>
      <c r="B16" s="99" t="s">
        <v>253</v>
      </c>
      <c r="C16" s="100">
        <v>731</v>
      </c>
      <c r="D16" s="97">
        <v>1</v>
      </c>
      <c r="E16" s="99" t="s">
        <v>257</v>
      </c>
    </row>
    <row r="17" spans="1:5" x14ac:dyDescent="0.3">
      <c r="A17" s="98" t="s">
        <v>236</v>
      </c>
      <c r="B17" s="99" t="s">
        <v>253</v>
      </c>
      <c r="C17" s="100">
        <v>766</v>
      </c>
      <c r="D17" s="97">
        <v>1</v>
      </c>
      <c r="E17" s="99" t="s">
        <v>303</v>
      </c>
    </row>
    <row r="18" spans="1:5" x14ac:dyDescent="0.3">
      <c r="A18" s="98" t="s">
        <v>236</v>
      </c>
      <c r="B18" s="99" t="s">
        <v>253</v>
      </c>
      <c r="C18" s="100">
        <v>839</v>
      </c>
      <c r="D18" s="97">
        <v>1</v>
      </c>
      <c r="E18" s="99" t="s">
        <v>307</v>
      </c>
    </row>
    <row r="19" spans="1:5" x14ac:dyDescent="0.3">
      <c r="A19" s="98" t="s">
        <v>236</v>
      </c>
      <c r="B19" s="99" t="s">
        <v>253</v>
      </c>
      <c r="C19" s="100">
        <v>856</v>
      </c>
      <c r="D19" s="97">
        <v>1</v>
      </c>
      <c r="E19" s="99" t="s">
        <v>311</v>
      </c>
    </row>
    <row r="20" spans="1:5" x14ac:dyDescent="0.3">
      <c r="A20" s="98" t="s">
        <v>236</v>
      </c>
      <c r="B20" s="99" t="s">
        <v>258</v>
      </c>
      <c r="C20" s="100">
        <v>888</v>
      </c>
      <c r="D20" s="97">
        <v>1</v>
      </c>
      <c r="E20" s="99" t="s">
        <v>259</v>
      </c>
    </row>
    <row r="21" spans="1:5" x14ac:dyDescent="0.3">
      <c r="A21" s="98" t="s">
        <v>236</v>
      </c>
      <c r="B21" s="99" t="s">
        <v>258</v>
      </c>
      <c r="C21" s="100">
        <v>898</v>
      </c>
      <c r="D21" s="97">
        <v>1</v>
      </c>
      <c r="E21" s="99" t="s">
        <v>304</v>
      </c>
    </row>
    <row r="22" spans="1:5" x14ac:dyDescent="0.3">
      <c r="A22" s="98" t="s">
        <v>236</v>
      </c>
      <c r="B22" s="99" t="s">
        <v>258</v>
      </c>
      <c r="C22" s="100">
        <v>913</v>
      </c>
      <c r="D22" s="97">
        <v>1</v>
      </c>
      <c r="E22" s="99" t="s">
        <v>260</v>
      </c>
    </row>
    <row r="23" spans="1:5" x14ac:dyDescent="0.3">
      <c r="A23" s="98" t="s">
        <v>236</v>
      </c>
      <c r="B23" s="99" t="s">
        <v>258</v>
      </c>
      <c r="C23" s="100">
        <v>937</v>
      </c>
      <c r="D23" s="98">
        <v>1</v>
      </c>
      <c r="E23" s="99" t="s">
        <v>261</v>
      </c>
    </row>
    <row r="24" spans="1:5" x14ac:dyDescent="0.3">
      <c r="A24" s="98" t="s">
        <v>236</v>
      </c>
      <c r="B24" s="99" t="s">
        <v>258</v>
      </c>
      <c r="C24" s="100">
        <v>1008</v>
      </c>
      <c r="D24" s="98">
        <v>1</v>
      </c>
      <c r="E24" s="99" t="s">
        <v>262</v>
      </c>
    </row>
    <row r="25" spans="1:5" x14ac:dyDescent="0.3">
      <c r="A25" s="98" t="s">
        <v>236</v>
      </c>
      <c r="B25" s="99" t="s">
        <v>265</v>
      </c>
      <c r="C25" s="100">
        <v>1095</v>
      </c>
      <c r="D25" s="98">
        <v>1</v>
      </c>
      <c r="E25" s="99" t="s">
        <v>266</v>
      </c>
    </row>
    <row r="26" spans="1:5" x14ac:dyDescent="0.3">
      <c r="A26" s="98" t="s">
        <v>236</v>
      </c>
      <c r="B26" s="99" t="s">
        <v>265</v>
      </c>
      <c r="C26" s="100">
        <v>1096</v>
      </c>
      <c r="D26" s="98">
        <v>1</v>
      </c>
      <c r="E26" s="99" t="s">
        <v>306</v>
      </c>
    </row>
    <row r="27" spans="1:5" x14ac:dyDescent="0.3">
      <c r="A27" s="98" t="s">
        <v>236</v>
      </c>
      <c r="B27" s="99" t="s">
        <v>265</v>
      </c>
      <c r="C27" s="100">
        <v>1097</v>
      </c>
      <c r="D27" s="98">
        <v>1</v>
      </c>
      <c r="E27" s="99" t="s">
        <v>267</v>
      </c>
    </row>
    <row r="28" spans="1:5" x14ac:dyDescent="0.3">
      <c r="A28" s="98" t="s">
        <v>236</v>
      </c>
      <c r="B28" s="99" t="s">
        <v>265</v>
      </c>
      <c r="C28" s="100">
        <v>1119</v>
      </c>
      <c r="D28" s="97">
        <v>1</v>
      </c>
      <c r="E28" s="99" t="s">
        <v>305</v>
      </c>
    </row>
    <row r="29" spans="1:5" x14ac:dyDescent="0.3">
      <c r="A29" s="98" t="s">
        <v>236</v>
      </c>
      <c r="B29" s="99" t="s">
        <v>268</v>
      </c>
      <c r="C29" s="100">
        <v>1157</v>
      </c>
      <c r="D29" s="97">
        <v>1</v>
      </c>
      <c r="E29" s="99" t="s">
        <v>259</v>
      </c>
    </row>
    <row r="30" spans="1:5" x14ac:dyDescent="0.3">
      <c r="A30" s="98" t="s">
        <v>236</v>
      </c>
      <c r="B30" s="99" t="s">
        <v>268</v>
      </c>
      <c r="C30" s="100">
        <v>1176</v>
      </c>
      <c r="D30" s="97">
        <v>1</v>
      </c>
      <c r="E30" s="99" t="s">
        <v>269</v>
      </c>
    </row>
    <row r="31" spans="1:5" x14ac:dyDescent="0.3">
      <c r="A31" s="98" t="s">
        <v>236</v>
      </c>
      <c r="B31" s="99" t="s">
        <v>268</v>
      </c>
      <c r="C31" s="100">
        <v>1178</v>
      </c>
      <c r="D31" s="97">
        <v>1</v>
      </c>
      <c r="E31" s="99" t="s">
        <v>270</v>
      </c>
    </row>
    <row r="32" spans="1:5" x14ac:dyDescent="0.3">
      <c r="A32" s="98" t="s">
        <v>236</v>
      </c>
      <c r="B32" s="99" t="s">
        <v>268</v>
      </c>
      <c r="C32" s="100">
        <v>1218</v>
      </c>
      <c r="D32" s="97">
        <v>1</v>
      </c>
      <c r="E32" s="99" t="s">
        <v>271</v>
      </c>
    </row>
    <row r="33" spans="1:5" x14ac:dyDescent="0.3">
      <c r="A33" s="98" t="s">
        <v>236</v>
      </c>
      <c r="B33" s="99" t="s">
        <v>273</v>
      </c>
      <c r="C33" s="100">
        <v>1271</v>
      </c>
      <c r="D33" s="97">
        <v>1</v>
      </c>
      <c r="E33" s="99" t="s">
        <v>272</v>
      </c>
    </row>
    <row r="34" spans="1:5" x14ac:dyDescent="0.3">
      <c r="A34" s="98" t="s">
        <v>236</v>
      </c>
      <c r="B34" s="99" t="s">
        <v>273</v>
      </c>
      <c r="C34" s="100">
        <v>1290</v>
      </c>
      <c r="D34" s="97">
        <v>1</v>
      </c>
      <c r="E34" s="99" t="s">
        <v>269</v>
      </c>
    </row>
    <row r="35" spans="1:5" x14ac:dyDescent="0.3">
      <c r="A35" s="98" t="s">
        <v>236</v>
      </c>
      <c r="B35" s="99" t="s">
        <v>273</v>
      </c>
      <c r="C35" s="100">
        <v>1292</v>
      </c>
      <c r="D35" s="97">
        <v>1</v>
      </c>
      <c r="E35" s="99" t="s">
        <v>270</v>
      </c>
    </row>
    <row r="36" spans="1:5" x14ac:dyDescent="0.3">
      <c r="A36" s="98" t="s">
        <v>236</v>
      </c>
      <c r="B36" s="99" t="s">
        <v>273</v>
      </c>
      <c r="C36" s="100">
        <v>1312</v>
      </c>
      <c r="D36" s="97">
        <v>1</v>
      </c>
      <c r="E36" s="99" t="s">
        <v>274</v>
      </c>
    </row>
    <row r="37" spans="1:5" x14ac:dyDescent="0.3">
      <c r="A37" s="98" t="s">
        <v>236</v>
      </c>
      <c r="B37" s="99" t="s">
        <v>276</v>
      </c>
      <c r="C37" s="100">
        <v>1351</v>
      </c>
      <c r="D37" s="97">
        <v>1</v>
      </c>
      <c r="E37" s="99" t="s">
        <v>275</v>
      </c>
    </row>
    <row r="38" spans="1:5" x14ac:dyDescent="0.3">
      <c r="A38" s="98" t="s">
        <v>236</v>
      </c>
      <c r="B38" s="99" t="s">
        <v>276</v>
      </c>
      <c r="C38" s="100">
        <v>1353</v>
      </c>
      <c r="D38" s="97">
        <v>1</v>
      </c>
      <c r="E38" s="99" t="s">
        <v>277</v>
      </c>
    </row>
    <row r="39" spans="1:5" x14ac:dyDescent="0.3">
      <c r="A39" s="98" t="s">
        <v>236</v>
      </c>
      <c r="B39" s="99" t="s">
        <v>287</v>
      </c>
      <c r="C39" s="100">
        <v>1377</v>
      </c>
      <c r="D39" s="97">
        <v>1</v>
      </c>
      <c r="E39" s="99" t="s">
        <v>278</v>
      </c>
    </row>
    <row r="40" spans="1:5" x14ac:dyDescent="0.3">
      <c r="A40" s="98" t="s">
        <v>236</v>
      </c>
      <c r="B40" s="99" t="s">
        <v>287</v>
      </c>
      <c r="C40" s="100">
        <v>1378</v>
      </c>
      <c r="D40" s="97">
        <v>1</v>
      </c>
      <c r="E40" s="99" t="s">
        <v>279</v>
      </c>
    </row>
    <row r="41" spans="1:5" x14ac:dyDescent="0.3">
      <c r="A41" s="98" t="s">
        <v>236</v>
      </c>
      <c r="B41" s="99" t="s">
        <v>287</v>
      </c>
      <c r="C41" s="100">
        <v>1379</v>
      </c>
      <c r="D41" s="97">
        <v>1</v>
      </c>
      <c r="E41" s="99" t="s">
        <v>280</v>
      </c>
    </row>
    <row r="42" spans="1:5" x14ac:dyDescent="0.3">
      <c r="A42" s="98" t="s">
        <v>236</v>
      </c>
      <c r="B42" s="99" t="s">
        <v>287</v>
      </c>
      <c r="C42" s="100">
        <v>1381</v>
      </c>
      <c r="D42" s="97">
        <v>1</v>
      </c>
      <c r="E42" s="99" t="s">
        <v>312</v>
      </c>
    </row>
    <row r="43" spans="1:5" x14ac:dyDescent="0.3">
      <c r="A43" s="98" t="s">
        <v>236</v>
      </c>
      <c r="B43" s="99" t="s">
        <v>287</v>
      </c>
      <c r="C43" s="100">
        <v>1382</v>
      </c>
      <c r="D43" s="97">
        <v>1</v>
      </c>
      <c r="E43" s="99" t="s">
        <v>281</v>
      </c>
    </row>
    <row r="44" spans="1:5" x14ac:dyDescent="0.3">
      <c r="A44" s="98" t="s">
        <v>236</v>
      </c>
      <c r="B44" s="99" t="s">
        <v>287</v>
      </c>
      <c r="C44" s="100">
        <v>1383</v>
      </c>
      <c r="D44" s="97">
        <v>1</v>
      </c>
      <c r="E44" s="99" t="s">
        <v>282</v>
      </c>
    </row>
    <row r="45" spans="1:5" x14ac:dyDescent="0.3">
      <c r="A45" s="98" t="s">
        <v>236</v>
      </c>
      <c r="B45" s="99" t="s">
        <v>287</v>
      </c>
      <c r="C45" s="100">
        <v>1384</v>
      </c>
      <c r="D45" s="97">
        <v>1</v>
      </c>
      <c r="E45" s="99" t="s">
        <v>283</v>
      </c>
    </row>
    <row r="46" spans="1:5" x14ac:dyDescent="0.3">
      <c r="A46" s="98" t="s">
        <v>236</v>
      </c>
      <c r="B46" s="99" t="s">
        <v>287</v>
      </c>
      <c r="C46" s="100">
        <v>1385</v>
      </c>
      <c r="D46" s="97">
        <v>1</v>
      </c>
      <c r="E46" s="99" t="s">
        <v>284</v>
      </c>
    </row>
    <row r="47" spans="1:5" x14ac:dyDescent="0.3">
      <c r="A47" s="98" t="s">
        <v>236</v>
      </c>
      <c r="B47" s="99" t="s">
        <v>287</v>
      </c>
      <c r="C47" s="100">
        <v>1386</v>
      </c>
      <c r="D47" s="97">
        <v>1</v>
      </c>
      <c r="E47" s="99" t="s">
        <v>285</v>
      </c>
    </row>
    <row r="48" spans="1:5" x14ac:dyDescent="0.3">
      <c r="A48" s="98" t="s">
        <v>236</v>
      </c>
      <c r="B48" s="99" t="s">
        <v>287</v>
      </c>
      <c r="C48" s="100">
        <v>1387</v>
      </c>
      <c r="D48" s="97">
        <v>1</v>
      </c>
      <c r="E48" s="99" t="s">
        <v>302</v>
      </c>
    </row>
    <row r="49" spans="1:5" x14ac:dyDescent="0.3">
      <c r="A49" s="98" t="s">
        <v>236</v>
      </c>
      <c r="B49" s="99" t="s">
        <v>287</v>
      </c>
      <c r="C49" s="100">
        <v>1388</v>
      </c>
      <c r="D49" s="97">
        <v>1</v>
      </c>
      <c r="E49" s="99" t="s">
        <v>286</v>
      </c>
    </row>
    <row r="50" spans="1:5" x14ac:dyDescent="0.3">
      <c r="A50" s="98" t="s">
        <v>236</v>
      </c>
      <c r="B50" s="99" t="s">
        <v>289</v>
      </c>
      <c r="C50" s="100">
        <v>2298</v>
      </c>
      <c r="D50" s="97">
        <v>1</v>
      </c>
      <c r="E50" s="99" t="s">
        <v>288</v>
      </c>
    </row>
    <row r="51" spans="1:5" x14ac:dyDescent="0.3">
      <c r="A51" s="98" t="s">
        <v>236</v>
      </c>
      <c r="B51" s="99" t="s">
        <v>289</v>
      </c>
      <c r="C51" s="100">
        <v>2308</v>
      </c>
      <c r="D51" s="97">
        <v>1</v>
      </c>
      <c r="E51" s="99" t="s">
        <v>290</v>
      </c>
    </row>
    <row r="52" spans="1:5" x14ac:dyDescent="0.3">
      <c r="A52" s="98" t="s">
        <v>236</v>
      </c>
      <c r="B52" s="99" t="s">
        <v>291</v>
      </c>
      <c r="C52" s="100" t="s">
        <v>205</v>
      </c>
      <c r="D52" s="97">
        <v>1</v>
      </c>
      <c r="E52" s="99"/>
    </row>
    <row r="53" spans="1:5" x14ac:dyDescent="0.3">
      <c r="A53" s="98" t="s">
        <v>236</v>
      </c>
      <c r="B53" s="99" t="s">
        <v>292</v>
      </c>
      <c r="C53" s="100" t="s">
        <v>205</v>
      </c>
      <c r="D53" s="97">
        <v>1</v>
      </c>
      <c r="E53" s="99"/>
    </row>
    <row r="54" spans="1:5" x14ac:dyDescent="0.3">
      <c r="A54" s="98" t="s">
        <v>236</v>
      </c>
      <c r="B54" s="99" t="s">
        <v>308</v>
      </c>
      <c r="C54" s="98" t="s">
        <v>205</v>
      </c>
      <c r="D54" s="97">
        <v>1</v>
      </c>
      <c r="E54" s="99"/>
    </row>
    <row r="55" spans="1:5" x14ac:dyDescent="0.3">
      <c r="A55" s="98" t="s">
        <v>203</v>
      </c>
      <c r="B55" s="99" t="s">
        <v>203</v>
      </c>
      <c r="C55" s="98">
        <v>188</v>
      </c>
      <c r="D55" s="97">
        <v>1</v>
      </c>
      <c r="E55" s="99" t="s">
        <v>309</v>
      </c>
    </row>
    <row r="56" spans="1:5" x14ac:dyDescent="0.3">
      <c r="A56" s="98" t="s">
        <v>203</v>
      </c>
      <c r="B56" s="99" t="s">
        <v>206</v>
      </c>
      <c r="C56" s="98">
        <v>271</v>
      </c>
      <c r="D56" s="97">
        <v>1</v>
      </c>
      <c r="E56" s="99" t="s">
        <v>207</v>
      </c>
    </row>
    <row r="57" spans="1:5" x14ac:dyDescent="0.3">
      <c r="A57" s="98" t="s">
        <v>203</v>
      </c>
      <c r="B57" s="99" t="s">
        <v>206</v>
      </c>
      <c r="C57" s="98">
        <v>279</v>
      </c>
      <c r="D57" s="97">
        <v>1</v>
      </c>
      <c r="E57" s="99" t="s">
        <v>208</v>
      </c>
    </row>
    <row r="58" spans="1:5" x14ac:dyDescent="0.3">
      <c r="A58" s="98" t="s">
        <v>203</v>
      </c>
      <c r="B58" s="99" t="s">
        <v>210</v>
      </c>
      <c r="C58" s="98">
        <v>394</v>
      </c>
      <c r="D58" s="97">
        <v>1</v>
      </c>
      <c r="E58" s="99" t="s">
        <v>211</v>
      </c>
    </row>
    <row r="59" spans="1:5" x14ac:dyDescent="0.3">
      <c r="A59" s="98" t="s">
        <v>203</v>
      </c>
      <c r="B59" s="99" t="s">
        <v>210</v>
      </c>
      <c r="C59" s="98">
        <v>400</v>
      </c>
      <c r="D59" s="97">
        <v>1</v>
      </c>
      <c r="E59" s="99" t="s">
        <v>212</v>
      </c>
    </row>
    <row r="60" spans="1:5" x14ac:dyDescent="0.3">
      <c r="A60" s="98" t="s">
        <v>203</v>
      </c>
      <c r="B60" s="99" t="s">
        <v>213</v>
      </c>
      <c r="C60" s="98">
        <v>423</v>
      </c>
      <c r="D60" s="97">
        <v>1</v>
      </c>
      <c r="E60" s="99" t="s">
        <v>214</v>
      </c>
    </row>
    <row r="61" spans="1:5" x14ac:dyDescent="0.3">
      <c r="A61" s="98" t="s">
        <v>203</v>
      </c>
      <c r="B61" s="99" t="s">
        <v>213</v>
      </c>
      <c r="C61" s="98">
        <v>425</v>
      </c>
      <c r="D61" s="97">
        <v>1</v>
      </c>
      <c r="E61" s="99" t="s">
        <v>215</v>
      </c>
    </row>
    <row r="62" spans="1:5" x14ac:dyDescent="0.3">
      <c r="A62" s="98" t="s">
        <v>203</v>
      </c>
      <c r="B62" s="99" t="s">
        <v>213</v>
      </c>
      <c r="C62" s="98">
        <v>428</v>
      </c>
      <c r="D62" s="97">
        <v>1</v>
      </c>
      <c r="E62" s="99" t="s">
        <v>216</v>
      </c>
    </row>
    <row r="63" spans="1:5" x14ac:dyDescent="0.3">
      <c r="A63" s="98" t="s">
        <v>203</v>
      </c>
      <c r="B63" s="99" t="s">
        <v>219</v>
      </c>
      <c r="C63" s="98">
        <v>459</v>
      </c>
      <c r="D63" s="97">
        <v>1</v>
      </c>
      <c r="E63" s="99" t="s">
        <v>220</v>
      </c>
    </row>
    <row r="64" spans="1:5" x14ac:dyDescent="0.3">
      <c r="A64" s="98" t="s">
        <v>203</v>
      </c>
      <c r="B64" s="99" t="s">
        <v>219</v>
      </c>
      <c r="C64" s="98">
        <v>470</v>
      </c>
      <c r="D64" s="97">
        <v>1</v>
      </c>
      <c r="E64" s="99" t="s">
        <v>217</v>
      </c>
    </row>
    <row r="65" spans="1:5" x14ac:dyDescent="0.3">
      <c r="A65" s="98" t="s">
        <v>203</v>
      </c>
      <c r="B65" s="99" t="s">
        <v>219</v>
      </c>
      <c r="C65" s="98">
        <v>472</v>
      </c>
      <c r="D65" s="97">
        <v>1</v>
      </c>
      <c r="E65" s="99" t="s">
        <v>218</v>
      </c>
    </row>
    <row r="66" spans="1:5" x14ac:dyDescent="0.3">
      <c r="A66" s="98" t="s">
        <v>203</v>
      </c>
      <c r="B66" s="99" t="s">
        <v>222</v>
      </c>
      <c r="C66" s="98">
        <v>598</v>
      </c>
      <c r="D66" s="97">
        <v>1</v>
      </c>
      <c r="E66" s="99" t="s">
        <v>223</v>
      </c>
    </row>
    <row r="67" spans="1:5" x14ac:dyDescent="0.3">
      <c r="A67" s="98" t="s">
        <v>203</v>
      </c>
      <c r="B67" s="99" t="s">
        <v>222</v>
      </c>
      <c r="C67" s="98">
        <v>680</v>
      </c>
      <c r="D67" s="97">
        <v>1</v>
      </c>
      <c r="E67" s="99" t="s">
        <v>224</v>
      </c>
    </row>
    <row r="68" spans="1:5" x14ac:dyDescent="0.3">
      <c r="A68" s="98" t="s">
        <v>203</v>
      </c>
      <c r="B68" s="99" t="s">
        <v>222</v>
      </c>
      <c r="C68" s="98">
        <v>708</v>
      </c>
      <c r="D68" s="97">
        <v>1</v>
      </c>
      <c r="E68" s="99" t="s">
        <v>225</v>
      </c>
    </row>
    <row r="69" spans="1:5" x14ac:dyDescent="0.3">
      <c r="A69" s="98" t="s">
        <v>203</v>
      </c>
      <c r="B69" s="99" t="s">
        <v>226</v>
      </c>
      <c r="C69" s="98">
        <v>726</v>
      </c>
      <c r="D69" s="97">
        <v>1</v>
      </c>
      <c r="E69" s="99" t="s">
        <v>227</v>
      </c>
    </row>
    <row r="70" spans="1:5" x14ac:dyDescent="0.3">
      <c r="A70" s="98" t="s">
        <v>203</v>
      </c>
      <c r="B70" s="99" t="s">
        <v>226</v>
      </c>
      <c r="C70" s="98">
        <v>739</v>
      </c>
      <c r="D70" s="97">
        <v>1</v>
      </c>
      <c r="E70" s="99" t="s">
        <v>228</v>
      </c>
    </row>
    <row r="71" spans="1:5" x14ac:dyDescent="0.3">
      <c r="A71" s="98" t="s">
        <v>203</v>
      </c>
      <c r="B71" s="99" t="s">
        <v>226</v>
      </c>
      <c r="C71" s="98">
        <v>740</v>
      </c>
      <c r="D71" s="97">
        <v>1</v>
      </c>
      <c r="E71" s="99" t="s">
        <v>229</v>
      </c>
    </row>
    <row r="72" spans="1:5" x14ac:dyDescent="0.3">
      <c r="A72" s="98" t="s">
        <v>203</v>
      </c>
      <c r="B72" s="99" t="s">
        <v>226</v>
      </c>
      <c r="C72" s="98">
        <v>754</v>
      </c>
      <c r="D72" s="97">
        <v>1</v>
      </c>
      <c r="E72" s="99" t="s">
        <v>230</v>
      </c>
    </row>
    <row r="73" spans="1:5" x14ac:dyDescent="0.3">
      <c r="A73" s="98" t="s">
        <v>203</v>
      </c>
      <c r="B73" s="99" t="s">
        <v>226</v>
      </c>
      <c r="C73" s="98">
        <v>758</v>
      </c>
      <c r="D73" s="97">
        <v>1</v>
      </c>
      <c r="E73" s="99" t="s">
        <v>231</v>
      </c>
    </row>
    <row r="74" spans="1:5" x14ac:dyDescent="0.3">
      <c r="A74" s="98" t="s">
        <v>203</v>
      </c>
      <c r="B74" s="99" t="s">
        <v>226</v>
      </c>
      <c r="C74" s="98">
        <v>779</v>
      </c>
      <c r="D74" s="97">
        <v>1</v>
      </c>
      <c r="E74" s="99" t="s">
        <v>232</v>
      </c>
    </row>
    <row r="75" spans="1:5" x14ac:dyDescent="0.3">
      <c r="A75" s="98" t="s">
        <v>203</v>
      </c>
      <c r="B75" s="99" t="s">
        <v>226</v>
      </c>
      <c r="C75" s="98">
        <v>793</v>
      </c>
      <c r="D75" s="97">
        <v>1</v>
      </c>
      <c r="E75" s="99" t="s">
        <v>233</v>
      </c>
    </row>
    <row r="76" spans="1:5" x14ac:dyDescent="0.3">
      <c r="A76" s="98" t="s">
        <v>203</v>
      </c>
      <c r="B76" s="99" t="s">
        <v>234</v>
      </c>
      <c r="C76" s="98">
        <v>898</v>
      </c>
      <c r="D76" s="97">
        <v>1</v>
      </c>
      <c r="E76" s="99" t="s">
        <v>225</v>
      </c>
    </row>
    <row r="77" spans="1:5" x14ac:dyDescent="0.3">
      <c r="A77" s="98" t="s">
        <v>203</v>
      </c>
      <c r="B77" s="99" t="s">
        <v>234</v>
      </c>
      <c r="C77" s="98">
        <v>927</v>
      </c>
      <c r="D77" s="97">
        <v>1</v>
      </c>
      <c r="E77" s="99" t="s">
        <v>235</v>
      </c>
    </row>
    <row r="78" spans="1:5" x14ac:dyDescent="0.3">
      <c r="A78" s="98" t="s">
        <v>203</v>
      </c>
      <c r="B78" s="99" t="s">
        <v>204</v>
      </c>
      <c r="C78" s="98" t="s">
        <v>205</v>
      </c>
      <c r="D78" s="97">
        <v>1</v>
      </c>
      <c r="E78" s="99"/>
    </row>
    <row r="79" spans="1:5" x14ac:dyDescent="0.3">
      <c r="A79" s="98" t="s">
        <v>203</v>
      </c>
      <c r="B79" s="99" t="s">
        <v>209</v>
      </c>
      <c r="C79" s="98" t="s">
        <v>205</v>
      </c>
      <c r="D79" s="97">
        <v>1</v>
      </c>
      <c r="E79" s="99"/>
    </row>
    <row r="80" spans="1:5" x14ac:dyDescent="0.3">
      <c r="A80" s="98" t="s">
        <v>203</v>
      </c>
      <c r="B80" s="99" t="s">
        <v>221</v>
      </c>
      <c r="C80" s="98" t="s">
        <v>205</v>
      </c>
      <c r="D80" s="97">
        <v>1</v>
      </c>
      <c r="E80" s="99"/>
    </row>
    <row r="81" spans="1:5" x14ac:dyDescent="0.3">
      <c r="A81" s="98" t="s">
        <v>263</v>
      </c>
      <c r="B81" s="99" t="s">
        <v>296</v>
      </c>
      <c r="C81" s="100">
        <v>106</v>
      </c>
      <c r="D81" s="97">
        <v>1</v>
      </c>
      <c r="E81" s="99" t="s">
        <v>300</v>
      </c>
    </row>
    <row r="82" spans="1:5" x14ac:dyDescent="0.3">
      <c r="A82" s="98" t="s">
        <v>263</v>
      </c>
      <c r="B82" s="99" t="s">
        <v>264</v>
      </c>
      <c r="C82" s="100">
        <v>107</v>
      </c>
      <c r="D82" s="97">
        <v>1</v>
      </c>
      <c r="E82" s="99" t="s">
        <v>300</v>
      </c>
    </row>
    <row r="83" spans="1:5" x14ac:dyDescent="0.3">
      <c r="A83" s="98" t="s">
        <v>263</v>
      </c>
      <c r="B83" s="99" t="s">
        <v>297</v>
      </c>
      <c r="C83" s="100">
        <v>115</v>
      </c>
      <c r="D83" s="97">
        <v>1</v>
      </c>
      <c r="E83" s="99" t="s">
        <v>294</v>
      </c>
    </row>
    <row r="84" spans="1:5" x14ac:dyDescent="0.3">
      <c r="A84" s="98" t="s">
        <v>263</v>
      </c>
      <c r="B84" s="99" t="s">
        <v>296</v>
      </c>
      <c r="C84" s="100">
        <v>120</v>
      </c>
      <c r="D84" s="97">
        <v>1</v>
      </c>
      <c r="E84" s="99" t="s">
        <v>293</v>
      </c>
    </row>
    <row r="85" spans="1:5" x14ac:dyDescent="0.3">
      <c r="A85" s="98" t="s">
        <v>263</v>
      </c>
      <c r="B85" s="99" t="s">
        <v>264</v>
      </c>
      <c r="C85" s="100">
        <v>122</v>
      </c>
      <c r="D85" s="97">
        <v>1</v>
      </c>
      <c r="E85" s="99" t="s">
        <v>293</v>
      </c>
    </row>
    <row r="86" spans="1:5" x14ac:dyDescent="0.3">
      <c r="A86" s="98" t="s">
        <v>263</v>
      </c>
      <c r="B86" s="99" t="s">
        <v>297</v>
      </c>
      <c r="C86" s="100">
        <v>131</v>
      </c>
      <c r="D86" s="97">
        <v>1</v>
      </c>
      <c r="E86" s="99" t="s">
        <v>293</v>
      </c>
    </row>
    <row r="87" spans="1:5" x14ac:dyDescent="0.3">
      <c r="A87" s="98" t="s">
        <v>263</v>
      </c>
      <c r="B87" s="99" t="s">
        <v>264</v>
      </c>
      <c r="C87" s="100">
        <v>136</v>
      </c>
      <c r="D87" s="97">
        <v>1</v>
      </c>
      <c r="E87" s="99" t="s">
        <v>295</v>
      </c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199</v>
      </c>
      <c r="B1" t="s">
        <v>200</v>
      </c>
      <c r="C1" t="s">
        <v>201</v>
      </c>
      <c r="D1" t="s">
        <v>202</v>
      </c>
      <c r="E1" s="43" t="s">
        <v>109</v>
      </c>
    </row>
    <row r="2" spans="1:5" hidden="1" x14ac:dyDescent="0.3">
      <c r="A2" s="98" t="s">
        <v>236</v>
      </c>
      <c r="B2" s="99" t="s">
        <v>253</v>
      </c>
      <c r="C2" s="100">
        <v>577</v>
      </c>
      <c r="D2" s="97">
        <v>1</v>
      </c>
      <c r="E2" s="99" t="s">
        <v>385</v>
      </c>
    </row>
    <row r="3" spans="1:5" x14ac:dyDescent="0.3">
      <c r="A3" s="98" t="s">
        <v>236</v>
      </c>
      <c r="B3" s="99" t="s">
        <v>253</v>
      </c>
      <c r="C3" s="100">
        <v>582</v>
      </c>
      <c r="D3" s="97"/>
      <c r="E3" s="99" t="s">
        <v>252</v>
      </c>
    </row>
    <row r="4" spans="1:5" hidden="1" x14ac:dyDescent="0.3">
      <c r="A4" s="98" t="s">
        <v>236</v>
      </c>
      <c r="B4" s="99" t="s">
        <v>253</v>
      </c>
      <c r="C4" s="100">
        <v>628</v>
      </c>
      <c r="D4" s="97">
        <v>1</v>
      </c>
      <c r="E4" s="99" t="s">
        <v>386</v>
      </c>
    </row>
    <row r="5" spans="1:5" x14ac:dyDescent="0.3">
      <c r="A5" s="98" t="s">
        <v>236</v>
      </c>
      <c r="B5" s="99" t="s">
        <v>253</v>
      </c>
      <c r="C5" s="100">
        <v>705</v>
      </c>
      <c r="D5" s="97"/>
      <c r="E5" s="99" t="s">
        <v>387</v>
      </c>
    </row>
    <row r="6" spans="1:5" x14ac:dyDescent="0.3">
      <c r="A6" s="98" t="s">
        <v>236</v>
      </c>
      <c r="B6" s="99" t="s">
        <v>253</v>
      </c>
      <c r="C6" s="100">
        <v>770</v>
      </c>
      <c r="D6" s="98">
        <v>1</v>
      </c>
      <c r="E6" s="99" t="s">
        <v>388</v>
      </c>
    </row>
    <row r="7" spans="1:5" x14ac:dyDescent="0.3">
      <c r="A7" s="98" t="s">
        <v>236</v>
      </c>
      <c r="B7" s="99" t="s">
        <v>253</v>
      </c>
      <c r="C7" s="100">
        <v>771</v>
      </c>
      <c r="D7" s="98">
        <v>1</v>
      </c>
      <c r="E7" s="99" t="s">
        <v>389</v>
      </c>
    </row>
    <row r="8" spans="1:5" x14ac:dyDescent="0.3">
      <c r="A8" s="98" t="s">
        <v>236</v>
      </c>
      <c r="B8" s="99" t="s">
        <v>253</v>
      </c>
      <c r="C8" s="100">
        <v>772</v>
      </c>
      <c r="D8" s="98">
        <v>1</v>
      </c>
      <c r="E8" s="99" t="s">
        <v>390</v>
      </c>
    </row>
    <row r="9" spans="1:5" hidden="1" x14ac:dyDescent="0.3">
      <c r="A9" s="98" t="s">
        <v>236</v>
      </c>
      <c r="B9" s="99" t="s">
        <v>253</v>
      </c>
      <c r="C9" s="100">
        <v>773</v>
      </c>
      <c r="D9" s="98">
        <v>0</v>
      </c>
      <c r="E9" s="99" t="s">
        <v>391</v>
      </c>
    </row>
    <row r="10" spans="1:5" hidden="1" x14ac:dyDescent="0.3">
      <c r="A10" s="98" t="s">
        <v>236</v>
      </c>
      <c r="B10" s="99" t="s">
        <v>253</v>
      </c>
      <c r="C10" s="100">
        <v>863</v>
      </c>
      <c r="D10" s="98">
        <v>1</v>
      </c>
      <c r="E10" s="99" t="s">
        <v>392</v>
      </c>
    </row>
    <row r="11" spans="1:5" hidden="1" x14ac:dyDescent="0.3">
      <c r="A11" s="98" t="s">
        <v>236</v>
      </c>
      <c r="B11" s="99" t="s">
        <v>258</v>
      </c>
      <c r="C11" s="100">
        <v>897</v>
      </c>
      <c r="D11" s="97">
        <v>1</v>
      </c>
      <c r="E11" s="99" t="s">
        <v>393</v>
      </c>
    </row>
    <row r="12" spans="1:5" hidden="1" x14ac:dyDescent="0.3">
      <c r="A12" s="98" t="s">
        <v>236</v>
      </c>
      <c r="B12" s="99" t="s">
        <v>258</v>
      </c>
      <c r="C12" s="100">
        <v>906</v>
      </c>
      <c r="D12" s="97">
        <v>1</v>
      </c>
      <c r="E12" s="99" t="s">
        <v>394</v>
      </c>
    </row>
    <row r="13" spans="1:5" hidden="1" x14ac:dyDescent="0.3">
      <c r="A13" s="98" t="s">
        <v>236</v>
      </c>
      <c r="B13" s="99" t="s">
        <v>237</v>
      </c>
      <c r="C13" s="100">
        <v>13</v>
      </c>
      <c r="D13" s="97">
        <v>1</v>
      </c>
      <c r="E13" s="99" t="s">
        <v>370</v>
      </c>
    </row>
    <row r="14" spans="1:5" hidden="1" x14ac:dyDescent="0.3">
      <c r="A14" s="98" t="s">
        <v>236</v>
      </c>
      <c r="B14" s="99" t="s">
        <v>237</v>
      </c>
      <c r="C14" s="100">
        <v>14</v>
      </c>
      <c r="D14" s="97">
        <v>1</v>
      </c>
      <c r="E14" s="106" t="s">
        <v>371</v>
      </c>
    </row>
    <row r="15" spans="1:5" hidden="1" x14ac:dyDescent="0.3">
      <c r="A15" s="98" t="s">
        <v>236</v>
      </c>
      <c r="B15" s="99" t="s">
        <v>237</v>
      </c>
      <c r="C15" s="100">
        <v>15</v>
      </c>
      <c r="D15" s="97">
        <v>1</v>
      </c>
      <c r="E15" s="106" t="s">
        <v>372</v>
      </c>
    </row>
    <row r="16" spans="1:5" hidden="1" x14ac:dyDescent="0.3">
      <c r="A16" s="98" t="s">
        <v>236</v>
      </c>
      <c r="B16" s="99" t="s">
        <v>237</v>
      </c>
      <c r="C16" s="100">
        <v>16</v>
      </c>
      <c r="D16" s="97">
        <v>1</v>
      </c>
      <c r="E16" s="106" t="s">
        <v>373</v>
      </c>
    </row>
    <row r="17" spans="1:5" hidden="1" x14ac:dyDescent="0.3">
      <c r="A17" s="98" t="s">
        <v>236</v>
      </c>
      <c r="B17" s="99" t="s">
        <v>237</v>
      </c>
      <c r="C17" s="100">
        <v>17</v>
      </c>
      <c r="D17" s="97">
        <v>1</v>
      </c>
      <c r="E17" s="106" t="s">
        <v>374</v>
      </c>
    </row>
    <row r="18" spans="1:5" hidden="1" x14ac:dyDescent="0.3">
      <c r="A18" s="98" t="s">
        <v>236</v>
      </c>
      <c r="B18" s="99" t="s">
        <v>237</v>
      </c>
      <c r="C18" s="100">
        <v>18</v>
      </c>
      <c r="D18" s="97">
        <v>1</v>
      </c>
      <c r="E18" s="106" t="s">
        <v>375</v>
      </c>
    </row>
    <row r="19" spans="1:5" hidden="1" x14ac:dyDescent="0.3">
      <c r="A19" s="98" t="s">
        <v>236</v>
      </c>
      <c r="B19" s="99" t="s">
        <v>237</v>
      </c>
      <c r="C19" s="100">
        <v>19</v>
      </c>
      <c r="D19" s="97">
        <v>1</v>
      </c>
      <c r="E19" s="106" t="s">
        <v>376</v>
      </c>
    </row>
    <row r="20" spans="1:5" hidden="1" x14ac:dyDescent="0.3">
      <c r="A20" s="98" t="s">
        <v>236</v>
      </c>
      <c r="B20" s="99" t="s">
        <v>237</v>
      </c>
      <c r="C20" s="100">
        <v>20</v>
      </c>
      <c r="D20" s="97">
        <v>1</v>
      </c>
      <c r="E20" s="106" t="s">
        <v>377</v>
      </c>
    </row>
    <row r="21" spans="1:5" hidden="1" x14ac:dyDescent="0.3">
      <c r="A21" s="98" t="s">
        <v>236</v>
      </c>
      <c r="B21" s="99" t="s">
        <v>237</v>
      </c>
      <c r="C21" s="100">
        <v>21</v>
      </c>
      <c r="D21" s="97">
        <v>1</v>
      </c>
      <c r="E21" s="106" t="s">
        <v>378</v>
      </c>
    </row>
    <row r="22" spans="1:5" hidden="1" x14ac:dyDescent="0.3">
      <c r="A22" s="98" t="s">
        <v>236</v>
      </c>
      <c r="B22" s="99" t="s">
        <v>237</v>
      </c>
      <c r="C22" s="100">
        <v>22</v>
      </c>
      <c r="D22" s="97">
        <v>1</v>
      </c>
      <c r="E22" s="106" t="s">
        <v>379</v>
      </c>
    </row>
    <row r="23" spans="1:5" hidden="1" x14ac:dyDescent="0.3">
      <c r="A23" s="98" t="s">
        <v>236</v>
      </c>
      <c r="B23" s="99" t="s">
        <v>237</v>
      </c>
      <c r="C23" s="100">
        <v>23</v>
      </c>
      <c r="D23" s="97">
        <v>1</v>
      </c>
      <c r="E23" s="106" t="s">
        <v>380</v>
      </c>
    </row>
    <row r="24" spans="1:5" hidden="1" x14ac:dyDescent="0.3">
      <c r="A24" s="98" t="s">
        <v>236</v>
      </c>
      <c r="B24" s="99" t="s">
        <v>237</v>
      </c>
      <c r="C24" s="100">
        <v>24</v>
      </c>
      <c r="D24" s="97">
        <v>1</v>
      </c>
      <c r="E24" s="106" t="s">
        <v>381</v>
      </c>
    </row>
    <row r="25" spans="1:5" x14ac:dyDescent="0.3">
      <c r="A25" s="98" t="s">
        <v>236</v>
      </c>
      <c r="B25" s="99" t="s">
        <v>237</v>
      </c>
      <c r="C25" s="100">
        <v>25</v>
      </c>
      <c r="D25" s="97">
        <v>1</v>
      </c>
      <c r="E25" s="106" t="s">
        <v>424</v>
      </c>
    </row>
    <row r="26" spans="1:5" hidden="1" x14ac:dyDescent="0.3">
      <c r="A26" s="98" t="s">
        <v>236</v>
      </c>
      <c r="B26" s="99" t="s">
        <v>237</v>
      </c>
      <c r="C26" s="100">
        <v>37</v>
      </c>
      <c r="D26" s="97">
        <v>1</v>
      </c>
      <c r="E26" s="106" t="s">
        <v>382</v>
      </c>
    </row>
    <row r="27" spans="1:5" hidden="1" x14ac:dyDescent="0.3">
      <c r="A27" s="98" t="s">
        <v>236</v>
      </c>
      <c r="B27" s="99" t="s">
        <v>237</v>
      </c>
      <c r="C27" s="100">
        <v>69</v>
      </c>
      <c r="D27" s="97">
        <v>1</v>
      </c>
      <c r="E27" s="99" t="s">
        <v>383</v>
      </c>
    </row>
    <row r="28" spans="1:5" x14ac:dyDescent="0.3">
      <c r="A28" s="98" t="s">
        <v>236</v>
      </c>
      <c r="B28" s="99" t="s">
        <v>237</v>
      </c>
      <c r="C28" s="100">
        <v>71</v>
      </c>
      <c r="D28" s="97"/>
      <c r="E28" s="99" t="s">
        <v>384</v>
      </c>
    </row>
    <row r="29" spans="1:5" x14ac:dyDescent="0.3">
      <c r="A29" s="98" t="s">
        <v>203</v>
      </c>
      <c r="B29" s="99" t="s">
        <v>203</v>
      </c>
      <c r="C29" s="100">
        <v>122</v>
      </c>
      <c r="D29" s="97"/>
      <c r="E29" s="99" t="s">
        <v>395</v>
      </c>
    </row>
    <row r="30" spans="1:5" x14ac:dyDescent="0.3">
      <c r="A30" s="98" t="s">
        <v>203</v>
      </c>
      <c r="B30" s="99" t="s">
        <v>203</v>
      </c>
      <c r="C30" s="100">
        <v>151</v>
      </c>
      <c r="D30" s="97"/>
      <c r="E30" s="99" t="s">
        <v>396</v>
      </c>
    </row>
    <row r="31" spans="1:5" x14ac:dyDescent="0.3">
      <c r="A31" s="98" t="s">
        <v>203</v>
      </c>
      <c r="B31" s="99" t="s">
        <v>222</v>
      </c>
      <c r="C31" s="100">
        <v>578</v>
      </c>
      <c r="D31" s="97"/>
      <c r="E31" s="99" t="s">
        <v>397</v>
      </c>
    </row>
    <row r="32" spans="1:5" x14ac:dyDescent="0.3">
      <c r="A32" s="98" t="s">
        <v>203</v>
      </c>
      <c r="B32" s="99" t="s">
        <v>222</v>
      </c>
      <c r="C32" s="100">
        <v>579</v>
      </c>
      <c r="D32" s="97"/>
      <c r="E32" s="99" t="s">
        <v>398</v>
      </c>
    </row>
    <row r="33" spans="1:5" x14ac:dyDescent="0.3">
      <c r="A33" s="98" t="s">
        <v>203</v>
      </c>
      <c r="B33" s="99" t="s">
        <v>222</v>
      </c>
      <c r="C33" s="100">
        <v>586</v>
      </c>
      <c r="D33" s="97"/>
      <c r="E33" s="99" t="s">
        <v>399</v>
      </c>
    </row>
    <row r="34" spans="1:5" x14ac:dyDescent="0.3">
      <c r="A34" s="98" t="s">
        <v>203</v>
      </c>
      <c r="B34" s="99" t="s">
        <v>222</v>
      </c>
      <c r="C34" s="100">
        <v>599</v>
      </c>
      <c r="D34" s="97"/>
      <c r="E34" s="99" t="s">
        <v>400</v>
      </c>
    </row>
    <row r="35" spans="1:5" x14ac:dyDescent="0.3">
      <c r="A35" s="98" t="s">
        <v>203</v>
      </c>
      <c r="B35" s="99" t="s">
        <v>222</v>
      </c>
      <c r="C35" s="100">
        <v>600</v>
      </c>
      <c r="D35" s="97"/>
      <c r="E35" s="99" t="s">
        <v>401</v>
      </c>
    </row>
    <row r="36" spans="1:5" x14ac:dyDescent="0.3">
      <c r="A36" s="98" t="s">
        <v>203</v>
      </c>
      <c r="B36" s="99" t="s">
        <v>222</v>
      </c>
      <c r="C36" s="100">
        <v>608</v>
      </c>
      <c r="D36" s="97"/>
      <c r="E36" s="99" t="s">
        <v>402</v>
      </c>
    </row>
    <row r="37" spans="1:5" x14ac:dyDescent="0.3">
      <c r="A37" s="98" t="s">
        <v>203</v>
      </c>
      <c r="B37" s="99" t="s">
        <v>226</v>
      </c>
      <c r="C37" s="100">
        <v>718</v>
      </c>
      <c r="D37" s="97"/>
      <c r="E37" s="99" t="s">
        <v>403</v>
      </c>
    </row>
    <row r="38" spans="1:5" x14ac:dyDescent="0.3">
      <c r="A38" s="98"/>
      <c r="B38" s="99"/>
      <c r="C38" s="100"/>
      <c r="D38" s="97"/>
      <c r="E38" s="99"/>
    </row>
    <row r="39" spans="1:5" x14ac:dyDescent="0.3">
      <c r="A39" s="98"/>
      <c r="B39" s="99"/>
      <c r="C39" s="100"/>
      <c r="D39" s="97"/>
      <c r="E39" s="99"/>
    </row>
    <row r="40" spans="1:5" x14ac:dyDescent="0.3">
      <c r="A40" s="98"/>
      <c r="B40" s="99"/>
      <c r="C40" s="100"/>
      <c r="D40" s="97"/>
      <c r="E40" s="99"/>
    </row>
    <row r="41" spans="1:5" x14ac:dyDescent="0.3">
      <c r="A41" s="98"/>
      <c r="B41" s="99"/>
      <c r="C41" s="100"/>
      <c r="D41" s="97"/>
      <c r="E41" s="99"/>
    </row>
    <row r="42" spans="1:5" x14ac:dyDescent="0.3">
      <c r="A42" s="98"/>
      <c r="B42" s="99"/>
      <c r="C42" s="100"/>
      <c r="D42" s="97"/>
      <c r="E42" s="99"/>
    </row>
    <row r="43" spans="1:5" x14ac:dyDescent="0.3">
      <c r="A43" s="98"/>
      <c r="B43" s="99"/>
      <c r="C43" s="100"/>
      <c r="D43" s="97"/>
      <c r="E43" s="99"/>
    </row>
    <row r="44" spans="1:5" x14ac:dyDescent="0.3">
      <c r="A44" s="98"/>
      <c r="B44" s="99"/>
      <c r="C44" s="100"/>
      <c r="D44" s="97"/>
      <c r="E44" s="99"/>
    </row>
    <row r="45" spans="1:5" x14ac:dyDescent="0.3">
      <c r="A45" s="98"/>
      <c r="B45" s="99"/>
      <c r="C45" s="100"/>
      <c r="D45" s="97"/>
      <c r="E45" s="99"/>
    </row>
    <row r="46" spans="1:5" x14ac:dyDescent="0.3">
      <c r="A46" s="98"/>
      <c r="B46" s="99"/>
      <c r="C46" s="100"/>
      <c r="D46" s="97"/>
      <c r="E46" s="99"/>
    </row>
    <row r="47" spans="1:5" x14ac:dyDescent="0.3">
      <c r="A47" s="98"/>
      <c r="B47" s="99"/>
      <c r="C47" s="100"/>
      <c r="D47" s="97"/>
      <c r="E47" s="99"/>
    </row>
    <row r="48" spans="1:5" x14ac:dyDescent="0.3">
      <c r="A48" s="98"/>
      <c r="B48" s="99"/>
      <c r="C48" s="100"/>
      <c r="D48" s="97"/>
      <c r="E48" s="99"/>
    </row>
    <row r="49" spans="1:5" x14ac:dyDescent="0.3">
      <c r="A49" s="98"/>
      <c r="B49" s="99"/>
      <c r="C49" s="100"/>
      <c r="D49" s="97"/>
      <c r="E49" s="99"/>
    </row>
    <row r="50" spans="1:5" x14ac:dyDescent="0.3">
      <c r="A50" s="98"/>
      <c r="B50" s="99"/>
      <c r="C50" s="100"/>
      <c r="D50" s="97"/>
      <c r="E50" s="99"/>
    </row>
    <row r="51" spans="1:5" x14ac:dyDescent="0.3">
      <c r="A51" s="98"/>
      <c r="B51" s="99"/>
      <c r="C51" s="100"/>
      <c r="D51" s="97"/>
      <c r="E51" s="99"/>
    </row>
    <row r="52" spans="1:5" x14ac:dyDescent="0.3">
      <c r="A52" s="98"/>
      <c r="B52" s="99"/>
      <c r="C52" s="100"/>
      <c r="D52" s="97"/>
      <c r="E52" s="99"/>
    </row>
    <row r="53" spans="1:5" x14ac:dyDescent="0.3">
      <c r="A53" s="98"/>
      <c r="B53" s="99"/>
      <c r="C53" s="100"/>
      <c r="D53" s="97"/>
      <c r="E53" s="99"/>
    </row>
    <row r="54" spans="1:5" x14ac:dyDescent="0.3">
      <c r="A54" s="98"/>
      <c r="B54" s="99"/>
      <c r="C54" s="98"/>
      <c r="D54" s="97"/>
      <c r="E54" s="99"/>
    </row>
    <row r="55" spans="1:5" x14ac:dyDescent="0.3">
      <c r="A55" s="98"/>
      <c r="B55" s="99"/>
      <c r="C55" s="98"/>
      <c r="D55" s="97"/>
      <c r="E55" s="99"/>
    </row>
    <row r="56" spans="1:5" x14ac:dyDescent="0.3">
      <c r="A56" s="98"/>
      <c r="B56" s="99"/>
      <c r="C56" s="98"/>
      <c r="D56" s="97"/>
      <c r="E56" s="99"/>
    </row>
    <row r="57" spans="1:5" x14ac:dyDescent="0.3">
      <c r="A57" s="98"/>
      <c r="B57" s="99"/>
      <c r="C57" s="98"/>
      <c r="D57" s="97"/>
      <c r="E57" s="99"/>
    </row>
    <row r="58" spans="1:5" x14ac:dyDescent="0.3">
      <c r="A58" s="98"/>
      <c r="B58" s="99"/>
      <c r="C58" s="98"/>
      <c r="D58" s="97"/>
      <c r="E58" s="99"/>
    </row>
    <row r="59" spans="1:5" x14ac:dyDescent="0.3">
      <c r="A59" s="98"/>
      <c r="B59" s="99"/>
      <c r="C59" s="98"/>
      <c r="D59" s="97"/>
      <c r="E59" s="99"/>
    </row>
    <row r="60" spans="1:5" x14ac:dyDescent="0.3">
      <c r="A60" s="98"/>
      <c r="B60" s="99"/>
      <c r="C60" s="98"/>
      <c r="D60" s="97"/>
      <c r="E60" s="99"/>
    </row>
    <row r="61" spans="1:5" x14ac:dyDescent="0.3">
      <c r="A61" s="98"/>
      <c r="B61" s="99"/>
      <c r="C61" s="98"/>
      <c r="D61" s="97"/>
      <c r="E61" s="99"/>
    </row>
    <row r="62" spans="1:5" x14ac:dyDescent="0.3">
      <c r="A62" s="98"/>
      <c r="B62" s="99"/>
      <c r="C62" s="98"/>
      <c r="D62" s="97"/>
      <c r="E62" s="99"/>
    </row>
    <row r="63" spans="1:5" x14ac:dyDescent="0.3">
      <c r="A63" s="98"/>
      <c r="B63" s="99"/>
      <c r="C63" s="98"/>
      <c r="D63" s="97"/>
      <c r="E63" s="99"/>
    </row>
    <row r="64" spans="1:5" x14ac:dyDescent="0.3">
      <c r="A64" s="98"/>
      <c r="B64" s="99"/>
      <c r="C64" s="98"/>
      <c r="D64" s="97"/>
      <c r="E64" s="99"/>
    </row>
    <row r="65" spans="1:5" x14ac:dyDescent="0.3">
      <c r="A65" s="98"/>
      <c r="B65" s="99"/>
      <c r="C65" s="98"/>
      <c r="D65" s="97"/>
      <c r="E65" s="99"/>
    </row>
    <row r="66" spans="1:5" x14ac:dyDescent="0.3">
      <c r="A66" s="98"/>
      <c r="B66" s="99"/>
      <c r="C66" s="98"/>
      <c r="D66" s="97"/>
      <c r="E66" s="99"/>
    </row>
    <row r="67" spans="1:5" x14ac:dyDescent="0.3">
      <c r="A67" s="98"/>
      <c r="B67" s="99"/>
      <c r="C67" s="98"/>
      <c r="D67" s="97"/>
      <c r="E67" s="99"/>
    </row>
    <row r="68" spans="1:5" x14ac:dyDescent="0.3">
      <c r="A68" s="98"/>
      <c r="B68" s="99"/>
      <c r="C68" s="98"/>
      <c r="D68" s="97"/>
      <c r="E68" s="99"/>
    </row>
    <row r="69" spans="1:5" x14ac:dyDescent="0.3">
      <c r="A69" s="98"/>
      <c r="B69" s="99"/>
      <c r="C69" s="98"/>
      <c r="D69" s="97"/>
      <c r="E69" s="99"/>
    </row>
    <row r="70" spans="1:5" x14ac:dyDescent="0.3">
      <c r="A70" s="98"/>
      <c r="B70" s="99"/>
      <c r="C70" s="98"/>
      <c r="D70" s="97"/>
      <c r="E70" s="99"/>
    </row>
    <row r="71" spans="1:5" x14ac:dyDescent="0.3">
      <c r="A71" s="98"/>
      <c r="B71" s="99"/>
      <c r="C71" s="98"/>
      <c r="D71" s="97"/>
      <c r="E71" s="99"/>
    </row>
    <row r="72" spans="1:5" x14ac:dyDescent="0.3">
      <c r="A72" s="98"/>
      <c r="B72" s="99"/>
      <c r="C72" s="98"/>
      <c r="D72" s="97"/>
      <c r="E72" s="99"/>
    </row>
    <row r="73" spans="1:5" x14ac:dyDescent="0.3">
      <c r="A73" s="98"/>
      <c r="B73" s="99"/>
      <c r="C73" s="98"/>
      <c r="D73" s="97"/>
      <c r="E73" s="99"/>
    </row>
    <row r="74" spans="1:5" x14ac:dyDescent="0.3">
      <c r="A74" s="98"/>
      <c r="B74" s="99"/>
      <c r="C74" s="98"/>
      <c r="D74" s="97"/>
      <c r="E74" s="99"/>
    </row>
    <row r="75" spans="1:5" x14ac:dyDescent="0.3">
      <c r="A75" s="98"/>
      <c r="B75" s="99"/>
      <c r="C75" s="98"/>
      <c r="D75" s="97"/>
      <c r="E75" s="99"/>
    </row>
    <row r="76" spans="1:5" x14ac:dyDescent="0.3">
      <c r="A76" s="98"/>
      <c r="B76" s="99"/>
      <c r="C76" s="98"/>
      <c r="D76" s="97"/>
      <c r="E76" s="99"/>
    </row>
    <row r="77" spans="1:5" x14ac:dyDescent="0.3">
      <c r="A77" s="98"/>
      <c r="B77" s="99"/>
      <c r="C77" s="98"/>
      <c r="D77" s="97"/>
      <c r="E77" s="99"/>
    </row>
    <row r="78" spans="1:5" x14ac:dyDescent="0.3">
      <c r="A78" s="98"/>
      <c r="B78" s="99"/>
      <c r="C78" s="98"/>
      <c r="D78" s="97"/>
      <c r="E78" s="99"/>
    </row>
    <row r="79" spans="1:5" x14ac:dyDescent="0.3">
      <c r="A79" s="98"/>
      <c r="B79" s="99"/>
      <c r="C79" s="98"/>
      <c r="D79" s="97"/>
      <c r="E79" s="99"/>
    </row>
    <row r="80" spans="1:5" x14ac:dyDescent="0.3">
      <c r="A80" s="98"/>
      <c r="B80" s="99"/>
      <c r="C80" s="98"/>
      <c r="D80" s="97"/>
      <c r="E80" s="99"/>
    </row>
    <row r="81" spans="1:5" x14ac:dyDescent="0.3">
      <c r="A81" s="98"/>
      <c r="B81" s="99"/>
      <c r="C81" s="100"/>
      <c r="D81" s="97"/>
      <c r="E81" s="99"/>
    </row>
    <row r="82" spans="1:5" x14ac:dyDescent="0.3">
      <c r="A82" s="98"/>
      <c r="B82" s="99"/>
      <c r="C82" s="100"/>
      <c r="D82" s="97"/>
      <c r="E82" s="99"/>
    </row>
    <row r="83" spans="1:5" x14ac:dyDescent="0.3">
      <c r="A83" s="98"/>
      <c r="B83" s="99"/>
      <c r="C83" s="100"/>
      <c r="D83" s="97"/>
      <c r="E83" s="99"/>
    </row>
    <row r="84" spans="1:5" x14ac:dyDescent="0.3">
      <c r="A84" s="98"/>
      <c r="B84" s="99"/>
      <c r="C84" s="100"/>
      <c r="D84" s="97"/>
      <c r="E84" s="99"/>
    </row>
    <row r="85" spans="1:5" x14ac:dyDescent="0.3">
      <c r="A85" s="98"/>
      <c r="B85" s="99"/>
      <c r="C85" s="100"/>
      <c r="D85" s="97"/>
      <c r="E85" s="99"/>
    </row>
    <row r="86" spans="1:5" x14ac:dyDescent="0.3">
      <c r="A86" s="98"/>
      <c r="B86" s="99"/>
      <c r="C86" s="100"/>
      <c r="D86" s="97"/>
      <c r="E86" s="99"/>
    </row>
    <row r="87" spans="1:5" x14ac:dyDescent="0.3">
      <c r="A87" s="98"/>
      <c r="B87" s="99"/>
      <c r="C87" s="100"/>
      <c r="D87" s="97"/>
      <c r="E87" s="99"/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8"/>
  <sheetViews>
    <sheetView workbookViewId="0">
      <selection activeCell="B7" sqref="B7"/>
    </sheetView>
  </sheetViews>
  <sheetFormatPr defaultColWidth="0" defaultRowHeight="14.4" zeroHeight="1" x14ac:dyDescent="0.3"/>
  <cols>
    <col min="1" max="1" width="8.77734375" style="97" customWidth="1"/>
    <col min="2" max="2" width="63.5546875" customWidth="1"/>
    <col min="3" max="3" width="24.6640625" customWidth="1"/>
    <col min="4" max="16384" width="8.88671875" hidden="1"/>
  </cols>
  <sheetData>
    <row r="1" spans="1:3" x14ac:dyDescent="0.3">
      <c r="A1" t="s">
        <v>605</v>
      </c>
      <c r="B1" t="s">
        <v>109</v>
      </c>
      <c r="C1" t="s">
        <v>613</v>
      </c>
    </row>
    <row r="2" spans="1:3" ht="43.2" x14ac:dyDescent="0.3">
      <c r="A2" s="133" t="s">
        <v>614</v>
      </c>
      <c r="B2" s="134" t="s">
        <v>607</v>
      </c>
      <c r="C2" s="133" t="s">
        <v>606</v>
      </c>
    </row>
    <row r="3" spans="1:3" x14ac:dyDescent="0.3">
      <c r="A3" s="133" t="s">
        <v>608</v>
      </c>
      <c r="B3" s="134" t="s">
        <v>609</v>
      </c>
      <c r="C3" s="133" t="s">
        <v>610</v>
      </c>
    </row>
    <row r="4" spans="1:3" x14ac:dyDescent="0.3">
      <c r="A4" s="133" t="s">
        <v>611</v>
      </c>
      <c r="B4" s="134" t="s">
        <v>612</v>
      </c>
      <c r="C4" s="133" t="s">
        <v>610</v>
      </c>
    </row>
    <row r="5" spans="1:3" x14ac:dyDescent="0.3">
      <c r="A5" s="133" t="s">
        <v>615</v>
      </c>
      <c r="B5" s="134"/>
      <c r="C5" s="133"/>
    </row>
    <row r="6" spans="1:3" x14ac:dyDescent="0.3">
      <c r="A6" s="133"/>
      <c r="B6" s="134"/>
      <c r="C6" s="133"/>
    </row>
    <row r="7" spans="1:3" x14ac:dyDescent="0.3">
      <c r="A7" s="133"/>
      <c r="B7" s="134"/>
      <c r="C7" s="133"/>
    </row>
    <row r="8" spans="1:3" x14ac:dyDescent="0.3">
      <c r="A8" s="133"/>
      <c r="B8" s="134"/>
      <c r="C8" s="133"/>
    </row>
    <row r="9" spans="1:3" x14ac:dyDescent="0.3">
      <c r="A9" s="133"/>
      <c r="B9" s="134"/>
      <c r="C9" s="133"/>
    </row>
    <row r="10" spans="1:3" x14ac:dyDescent="0.3">
      <c r="A10" s="133"/>
      <c r="B10" s="134"/>
      <c r="C10" s="133"/>
    </row>
    <row r="11" spans="1:3" x14ac:dyDescent="0.3">
      <c r="A11" s="133"/>
      <c r="B11" s="134"/>
      <c r="C11" s="133"/>
    </row>
    <row r="12" spans="1:3" x14ac:dyDescent="0.3">
      <c r="A12" s="133"/>
      <c r="B12" s="134"/>
      <c r="C12" s="133"/>
    </row>
    <row r="13" spans="1:3" x14ac:dyDescent="0.3">
      <c r="A13" s="133"/>
      <c r="B13" s="134"/>
      <c r="C13" s="133"/>
    </row>
    <row r="14" spans="1:3" x14ac:dyDescent="0.3">
      <c r="A14" s="133"/>
      <c r="B14" s="134"/>
      <c r="C14" s="133"/>
    </row>
    <row r="15" spans="1:3" x14ac:dyDescent="0.3">
      <c r="A15" s="133"/>
      <c r="B15" s="134"/>
      <c r="C15" s="133"/>
    </row>
    <row r="16" spans="1:3" x14ac:dyDescent="0.3">
      <c r="A16" s="133"/>
      <c r="B16" s="134"/>
      <c r="C16" s="133"/>
    </row>
    <row r="17" spans="1:3" x14ac:dyDescent="0.3">
      <c r="A17" s="133"/>
      <c r="B17" s="134"/>
      <c r="C17" s="133"/>
    </row>
    <row r="18" spans="1:3" x14ac:dyDescent="0.3">
      <c r="A18" s="133"/>
      <c r="B18" s="134"/>
      <c r="C18" s="133"/>
    </row>
    <row r="19" spans="1:3" x14ac:dyDescent="0.3">
      <c r="A19" s="133"/>
      <c r="B19" s="134"/>
      <c r="C19" s="133"/>
    </row>
    <row r="20" spans="1:3" x14ac:dyDescent="0.3">
      <c r="A20" s="133"/>
      <c r="B20" s="134"/>
      <c r="C20" s="133"/>
    </row>
    <row r="21" spans="1:3" x14ac:dyDescent="0.3">
      <c r="A21" s="133"/>
      <c r="B21" s="134"/>
      <c r="C21" s="133"/>
    </row>
    <row r="22" spans="1:3" x14ac:dyDescent="0.3">
      <c r="A22" s="133"/>
      <c r="B22" s="134"/>
      <c r="C22" s="133"/>
    </row>
    <row r="23" spans="1:3" x14ac:dyDescent="0.3">
      <c r="A23" s="133"/>
      <c r="B23" s="134"/>
      <c r="C23" s="133"/>
    </row>
    <row r="24" spans="1:3" x14ac:dyDescent="0.3">
      <c r="A24" s="133"/>
      <c r="B24" s="134"/>
      <c r="C24" s="133"/>
    </row>
    <row r="25" spans="1:3" x14ac:dyDescent="0.3">
      <c r="A25" s="133"/>
      <c r="B25" s="134"/>
      <c r="C25" s="133"/>
    </row>
    <row r="26" spans="1:3" x14ac:dyDescent="0.3">
      <c r="A26" s="133"/>
      <c r="B26" s="134"/>
      <c r="C26" s="133"/>
    </row>
    <row r="27" spans="1:3" x14ac:dyDescent="0.3">
      <c r="A27" s="133"/>
      <c r="B27" s="134"/>
      <c r="C27" s="133"/>
    </row>
    <row r="28" spans="1:3" x14ac:dyDescent="0.3">
      <c r="A28" s="133"/>
      <c r="B28" s="134"/>
      <c r="C28" s="133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Project Planner</vt:lpstr>
      <vt:lpstr>Task List</vt:lpstr>
      <vt:lpstr>Run Schedule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2018-05-22T22:05:26Z</dcterms:modified>
</cp:coreProperties>
</file>