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5" rupBuild="18201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d.docs.live.net/9430815faf91d05b/Documents/MATLAB/eternal_inflation/"/>
    </mc:Choice>
  </mc:AlternateContent>
  <bookViews>
    <workbookView xWindow="0" yWindow="0" windowWidth="8652" windowHeight="8448" activeTab="1"/>
  </bookViews>
  <sheets>
    <sheet name="Project Planner" sheetId="1" r:id="rId1"/>
    <sheet name="Task List" sheetId="3" r:id="rId2"/>
    <sheet name="Initial Run Schedule" sheetId="4" r:id="rId3"/>
    <sheet name="Units" sheetId="5" r:id="rId4"/>
  </sheets>
  <definedNames>
    <definedName name="Actual">(PeriodInActual*('Project Planner'!$E1&gt;0))*PeriodInPlan</definedName>
    <definedName name="ActualBeyond">PeriodInActual*('Project Planner'!$E1&gt;0)</definedName>
    <definedName name="PercentComplete">PercentCompleteBeyond*PeriodInPlan</definedName>
    <definedName name="PercentCompleteBeyond">('Project Planner'!A$4=MEDIAN('Project Planner'!A$4,'Project Planner'!$E1,'Project Planner'!$E1+'Project Planner'!$F1)*('Project Planner'!$E1&gt;0))*(('Project Planner'!A$4&lt;(INT('Project Planner'!$E1+'Project Planner'!$F1*'Project Planner'!$G1)))+('Project Planner'!A$4='Project Planner'!$E1))*('Project Planner'!$G1&gt;0)</definedName>
    <definedName name="period_selected">'Project Planner'!$H$2</definedName>
    <definedName name="PeriodInActual">'Project Planner'!A$4=MEDIAN('Project Planner'!A$4,'Project Planner'!$E1,'Project Planner'!$E1+'Project Planner'!$F1-1)</definedName>
    <definedName name="PeriodInPlan">'Project Planner'!A$4=MEDIAN('Project Planner'!A$4,'Project Planner'!$C1,'Project Planner'!$C1+'Project Planner'!$D1-1)</definedName>
    <definedName name="Plan">PeriodInPlan*('Project Planner'!$C1&gt;0)</definedName>
    <definedName name="_xlnm.Print_Titles" localSheetId="0">'Project Planner'!$3:$4</definedName>
    <definedName name="TitleRegion..BO60">'Project Planner'!$B$3:$B$4</definedName>
  </definedNames>
  <calcPr calcId="171027"/>
</workbook>
</file>

<file path=xl/calcChain.xml><?xml version="1.0" encoding="utf-8"?>
<calcChain xmlns="http://schemas.openxmlformats.org/spreadsheetml/2006/main">
  <c r="C46" i="3" l="1"/>
  <c r="C47" i="3"/>
  <c r="C45" i="3"/>
  <c r="C44" i="3"/>
  <c r="C43" i="3" l="1"/>
</calcChain>
</file>

<file path=xl/sharedStrings.xml><?xml version="1.0" encoding="utf-8"?>
<sst xmlns="http://schemas.openxmlformats.org/spreadsheetml/2006/main" count="197" uniqueCount="160">
  <si>
    <t>ACTIVITY</t>
  </si>
  <si>
    <t>Activity 11</t>
  </si>
  <si>
    <t>Activity 12</t>
  </si>
  <si>
    <t>Activity 13</t>
  </si>
  <si>
    <t>Activity 14</t>
  </si>
  <si>
    <t>Activity 15</t>
  </si>
  <si>
    <t>Activity 16</t>
  </si>
  <si>
    <t>Activity 17</t>
  </si>
  <si>
    <t>Activity 18</t>
  </si>
  <si>
    <t>Activity 19</t>
  </si>
  <si>
    <t>Activity 20</t>
  </si>
  <si>
    <t>Activity 21</t>
  </si>
  <si>
    <t>Activity 22</t>
  </si>
  <si>
    <t>Activity 23</t>
  </si>
  <si>
    <t>Activity 24</t>
  </si>
  <si>
    <t>Activity 25</t>
  </si>
  <si>
    <t>Activity 26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</si>
  <si>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</t>
    </r>
  </si>
  <si>
    <r>
      <rPr>
        <sz val="12"/>
        <color theme="1" tint="0.24994659260841701"/>
        <rFont val="Calibri"/>
        <family val="2"/>
      </rPr>
      <t>Actual (beyond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</si>
  <si>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 (beyond plan)</t>
    </r>
  </si>
  <si>
    <t xml:space="preserve"> Period Highlight:</t>
  </si>
  <si>
    <t>PLAN START</t>
  </si>
  <si>
    <t>PLAN DURATION</t>
  </si>
  <si>
    <t>ACTUAL START</t>
  </si>
  <si>
    <t>ACTUAL DURATION</t>
  </si>
  <si>
    <t>PERCENT COMPLETE</t>
  </si>
  <si>
    <t>Actual Start</t>
  </si>
  <si>
    <t>Plan Duration</t>
  </si>
  <si>
    <t>Select a period to highlight at right.  A legend describing the charting follows.</t>
  </si>
  <si>
    <t>Debug</t>
  </si>
  <si>
    <t>Filler writing</t>
  </si>
  <si>
    <t>Results writing</t>
  </si>
  <si>
    <t>Initial runs</t>
  </si>
  <si>
    <t>Data analysis</t>
  </si>
  <si>
    <t>Full runs</t>
  </si>
  <si>
    <t>Incorporate FV</t>
  </si>
  <si>
    <t>Writing review</t>
  </si>
  <si>
    <t>Post to Arxiv</t>
  </si>
  <si>
    <t>Finish FV stuff</t>
  </si>
  <si>
    <t>Package code</t>
  </si>
  <si>
    <t>Eternal Inflation Project Planner</t>
  </si>
  <si>
    <t>Task</t>
  </si>
  <si>
    <t>Assigned</t>
  </si>
  <si>
    <t>Due</t>
  </si>
  <si>
    <t xml:space="preserve"> </t>
  </si>
  <si>
    <t>Review</t>
  </si>
  <si>
    <t>Notes</t>
  </si>
  <si>
    <t>Create task list and project planner spreadsheets</t>
  </si>
  <si>
    <t>Test limiting gravity case</t>
  </si>
  <si>
    <t>Check limiting case of gravitational instanton (where there should be no gravitational effects).</t>
  </si>
  <si>
    <t>Set up a git repository for eternal inflation code</t>
  </si>
  <si>
    <t>Email STR notifying leave of absence</t>
  </si>
  <si>
    <t>Follow-up with Cathy regarding TA availability</t>
  </si>
  <si>
    <t>Instanton approximation</t>
  </si>
  <si>
    <t>Tunneling rate cutoff</t>
  </si>
  <si>
    <t>Instanton write-up</t>
  </si>
  <si>
    <t>Enroll in Independent Study and Seminars</t>
  </si>
  <si>
    <t>Cosmology (just talks) or something else? (Particle Physics?)</t>
  </si>
  <si>
    <t>Check thresholds &amp; units for all quantities in code</t>
  </si>
  <si>
    <t>Gather to-date references for paper</t>
  </si>
  <si>
    <t>Give Anthony permissions for git repo</t>
  </si>
  <si>
    <t>Write scripts to run simulation</t>
  </si>
  <si>
    <t>Finalize output structure from simulation</t>
  </si>
  <si>
    <t>Which quantities should I record from the simulation?  How should I record them?</t>
  </si>
  <si>
    <t>Write up description of false vacuum procedure</t>
  </si>
  <si>
    <t>Submit teaching preferences</t>
  </si>
  <si>
    <t>Enforce parameters</t>
  </si>
  <si>
    <t>Populate "Code" appendix</t>
  </si>
  <si>
    <t>Create an appendix to describe workings of the code in detail</t>
  </si>
  <si>
    <t>Get proper references for code borrowed from Max Tegmark, Max Wainwright</t>
  </si>
  <si>
    <t>Or decide he doesn't need them now.</t>
  </si>
  <si>
    <t>A brief overview in the text of the paper, rather than an in-depth appendix</t>
  </si>
  <si>
    <t>Write up notes on CDL instantons and prefactor calculation in style of hybrid inflation notes.</t>
  </si>
  <si>
    <t>Clarify sections of instanton notes</t>
  </si>
  <si>
    <t>Zero modes, rework/scrap beginning section</t>
  </si>
  <si>
    <t>Thin wall criteria</t>
  </si>
  <si>
    <t>Find expression for bubble tension in TWA</t>
  </si>
  <si>
    <t>Show equivalence of thin wall results</t>
  </si>
  <si>
    <t>Check that Garriga and Matt Johnson's thesis agree</t>
  </si>
  <si>
    <t>Look at Anthony's articles</t>
  </si>
  <si>
    <t>Write up and incorporate "deep well approximation"</t>
  </si>
  <si>
    <t>Figure out how gravity should be included in S_E</t>
  </si>
  <si>
    <t>Review slicings of de Sitter space</t>
  </si>
  <si>
    <t>Explain factor of 2</t>
  </si>
  <si>
    <t>Figure out why reduced action doesn't match</t>
  </si>
  <si>
    <t>Shelf for now</t>
  </si>
  <si>
    <t>Are Measures A and B implemented correctly in the code?</t>
  </si>
  <si>
    <t>Check initial conditions</t>
  </si>
  <si>
    <t>Can we impose constraints that select for observed quantities? Shelf for now?</t>
  </si>
  <si>
    <t>Generate a script that loops over all cases we're interested in</t>
  </si>
  <si>
    <t>Add volume terms for bubble interior to gravity action</t>
  </si>
  <si>
    <t>Fix volume terms if missing surface term</t>
  </si>
  <si>
    <t>Volume terms as they are might not take into account boundary term in integration by parts</t>
  </si>
  <si>
    <t>Speed up numerical integration for instanton code</t>
  </si>
  <si>
    <t>Avoid stiff diff eq. issues.  Q: Do we need to integrate twice?</t>
  </si>
  <si>
    <t>Specify Jacobian in ODE solver</t>
  </si>
  <si>
    <t>Replace step solver with ODE events</t>
  </si>
  <si>
    <t>Troubleshoot integration failures</t>
  </si>
  <si>
    <t>Handle failed integration cases in check_false_vacuum</t>
  </si>
  <si>
    <t>Detect thin wall cases and use approximation</t>
  </si>
  <si>
    <t>Thin wall looking cases aren't matching the analytical results</t>
  </si>
  <si>
    <t>Explain solutions that start near maximum</t>
  </si>
  <si>
    <t>The only solutions are Hawking-Moss instantons</t>
  </si>
  <si>
    <t>Handle Hawking-Moss instantons</t>
  </si>
  <si>
    <t>Does thin wall approximation require full profile?</t>
  </si>
  <si>
    <t>Prefactor might be too big.  Why?</t>
  </si>
  <si>
    <t>mh</t>
  </si>
  <si>
    <t>fix_Lambda</t>
  </si>
  <si>
    <t>fix_Q</t>
  </si>
  <si>
    <t>measure</t>
  </si>
  <si>
    <t>n_tunnel_max</t>
  </si>
  <si>
    <t>Test ID</t>
  </si>
  <si>
    <t>log10(n_iter)</t>
  </si>
  <si>
    <t>Runtime</t>
  </si>
  <si>
    <t>End Date</t>
  </si>
  <si>
    <t>File name</t>
  </si>
  <si>
    <t>Column13</t>
  </si>
  <si>
    <t>Column14</t>
  </si>
  <si>
    <t>Column15</t>
  </si>
  <si>
    <t>Column16</t>
  </si>
  <si>
    <t>Column17</t>
  </si>
  <si>
    <t>lambda_screen</t>
  </si>
  <si>
    <t>log10(mv)</t>
  </si>
  <si>
    <t>B</t>
  </si>
  <si>
    <t>A</t>
  </si>
  <si>
    <t>Quantity</t>
  </si>
  <si>
    <t>Dimensions</t>
  </si>
  <si>
    <t>\phi</t>
  </si>
  <si>
    <t>[M]</t>
  </si>
  <si>
    <t>M_pl</t>
  </si>
  <si>
    <t>8*pi</t>
  </si>
  <si>
    <t>\kappa</t>
  </si>
  <si>
    <t>8*pi/M_pl^2</t>
  </si>
  <si>
    <t>Description</t>
  </si>
  <si>
    <t>Units</t>
  </si>
  <si>
    <t>8*pi/(M_pl)^2</t>
  </si>
  <si>
    <t>Planck mass</t>
  </si>
  <si>
    <t>Inflaton field</t>
  </si>
  <si>
    <t>f</t>
  </si>
  <si>
    <t>[]</t>
  </si>
  <si>
    <t>Dimensionless Gaussian random field</t>
  </si>
  <si>
    <t>mv</t>
  </si>
  <si>
    <t>Q</t>
  </si>
  <si>
    <t>rho_Lambda</t>
  </si>
  <si>
    <t>V</t>
  </si>
  <si>
    <t>M_pl^4</t>
  </si>
  <si>
    <t>Units for Q? Units for \xi?</t>
  </si>
  <si>
    <t>Rescale the potential in instanton code</t>
  </si>
  <si>
    <t>Check find_phistart_A</t>
  </si>
  <si>
    <t>Speed up non-false-vacuum code</t>
  </si>
  <si>
    <t>Fix issue with fv code related to field scale</t>
  </si>
  <si>
    <t>Check for inflation on other side of barrier</t>
  </si>
  <si>
    <t>What is flagStartAtMaximum?</t>
  </si>
  <si>
    <t>Scan param files in script</t>
  </si>
  <si>
    <t>Precompute N_max e-foldings in neighboring basins</t>
  </si>
  <si>
    <t>Make a table of all status codes</t>
  </si>
  <si>
    <t>Line</t>
  </si>
  <si>
    <t>Deprecated?</t>
  </si>
  <si>
    <t>Email Matt Johnson</t>
  </si>
  <si>
    <t>Optimize find_phistart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</si>
</sst>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;@"/>
    <numFmt numFmtId="165" formatCode="ddd\ m/d"/>
  </numFmts>
  <fonts count="39" x14ac:knownFonts="1">
    <font>
      <sz val="11"/>
      <color theme="1" tint="0.24994659260841701"/>
      <name val="Corbel"/>
      <family val="2"/>
      <scheme val="maj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  <family val="2"/>
    </font>
    <font>
      <sz val="12"/>
      <color theme="1" tint="0.24994659260841701"/>
      <name val="Calibri"/>
      <family val="2"/>
    </font>
    <font>
      <b/>
      <sz val="13"/>
      <color theme="7"/>
      <name val="Calibri"/>
      <family val="2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11"/>
      <color theme="1" tint="0.2499465926084170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5E79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20">
    <xf numFmtId="0" fontId="0" fillId="0" borderId="0" applyNumberFormat="0" applyFill="0" applyBorder="0" applyProtection="0">
      <alignment horizontal="center" vertical="center"/>
    </xf>
    <xf numFmtId="0" fontId="32" fillId="0" borderId="0" applyNumberFormat="0" applyFill="0" applyBorder="0" applyAlignment="0" applyProtection="0"/>
    <xf numFmtId="0" fontId="26" fillId="0" borderId="0" applyFill="0" applyBorder="0" applyProtection="0">
      <alignment horizontal="left" wrapText="1"/>
    </xf>
    <xf numFmtId="3" fontId="34" fillId="0" borderId="2" applyFill="0" applyProtection="0">
      <alignment horizontal="center"/>
    </xf>
    <xf numFmtId="0" fontId="34" fillId="0" borderId="0" applyFill="0" applyBorder="0" applyProtection="0">
      <alignment horizontal="center" wrapText="1"/>
    </xf>
    <xf numFmtId="0" fontId="25" fillId="0" borderId="0" applyNumberFormat="0" applyFill="0" applyBorder="0" applyProtection="0">
      <alignment horizontal="left" vertical="center"/>
    </xf>
    <xf numFmtId="9" fontId="27" fillId="0" borderId="0" applyFill="0" applyBorder="0" applyProtection="0">
      <alignment horizontal="center" vertical="center"/>
    </xf>
    <xf numFmtId="0" fontId="33" fillId="6" borderId="1" applyNumberFormat="0" applyProtection="0">
      <alignment horizontal="left" vertical="center"/>
    </xf>
    <xf numFmtId="0" fontId="32" fillId="0" borderId="0" applyNumberFormat="0" applyFill="0" applyBorder="0" applyProtection="0">
      <alignment vertical="center"/>
    </xf>
    <xf numFmtId="0" fontId="34" fillId="0" borderId="0" applyFill="0" applyProtection="0">
      <alignment vertical="center"/>
    </xf>
    <xf numFmtId="0" fontId="34" fillId="0" borderId="0" applyFill="0" applyProtection="0">
      <alignment horizontal="center" vertical="center" wrapText="1"/>
    </xf>
    <xf numFmtId="0" fontId="34" fillId="0" borderId="0" applyFill="0" applyProtection="0">
      <alignment horizontal="left"/>
    </xf>
    <xf numFmtId="0" fontId="36" fillId="0" borderId="0" applyNumberFormat="0" applyFill="0" applyBorder="0" applyProtection="0">
      <alignment vertical="center"/>
    </xf>
    <xf numFmtId="1" fontId="37" fillId="6" borderId="1">
      <alignment horizontal="center" vertical="center"/>
    </xf>
    <xf numFmtId="0" fontId="35" fillId="2" borderId="4" applyNumberFormat="0" applyFont="0" applyAlignment="0">
      <alignment horizontal="center"/>
    </xf>
    <xf numFmtId="0" fontId="35" fillId="3" borderId="3" applyNumberFormat="0" applyFont="0" applyAlignment="0">
      <alignment horizontal="center"/>
    </xf>
    <xf numFmtId="0" fontId="35" fillId="4" borderId="3" applyNumberFormat="0" applyFont="0" applyAlignment="0">
      <alignment horizontal="center"/>
    </xf>
    <xf numFmtId="0" fontId="35" fillId="5" borderId="3" applyNumberFormat="0" applyFont="0" applyAlignment="0">
      <alignment horizontal="center"/>
    </xf>
    <xf numFmtId="0" fontId="35" fillId="7" borderId="3" applyNumberFormat="0" applyFont="0" applyAlignment="0">
      <alignment horizontal="center"/>
    </xf>
    <xf numFmtId="0" fontId="24" fillId="0" borderId="0"/>
  </cellStyleXfs>
  <cellXfs count="78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6" fillId="0" borderId="0" xfId="2">
      <alignment horizontal="left" wrapText="1"/>
    </xf>
    <xf numFmtId="3" fontId="34" fillId="0" borderId="2" xfId="3">
      <alignment horizontal="center"/>
    </xf>
    <xf numFmtId="9" fontId="27" fillId="0" borderId="0" xfId="6">
      <alignment horizontal="center" vertical="center"/>
    </xf>
    <xf numFmtId="0" fontId="33" fillId="6" borderId="1" xfId="7">
      <alignment horizontal="left" vertical="center"/>
    </xf>
    <xf numFmtId="0" fontId="28" fillId="0" borderId="0" xfId="2" applyFont="1">
      <alignment horizontal="left" wrapText="1"/>
    </xf>
    <xf numFmtId="0" fontId="29" fillId="0" borderId="0" xfId="0" applyFont="1" applyAlignment="1">
      <alignment horizontal="center"/>
    </xf>
    <xf numFmtId="9" fontId="30" fillId="0" borderId="0" xfId="6" applyFont="1">
      <alignment horizontal="center" vertical="center"/>
    </xf>
    <xf numFmtId="0" fontId="0" fillId="0" borderId="0" xfId="0" applyAlignment="1">
      <alignment vertical="center" wrapText="1"/>
    </xf>
    <xf numFmtId="0" fontId="32" fillId="0" borderId="0" xfId="1" applyAlignment="1">
      <alignment horizontal="center"/>
    </xf>
    <xf numFmtId="0" fontId="32" fillId="0" borderId="0" xfId="8">
      <alignment vertical="center"/>
    </xf>
    <xf numFmtId="1" fontId="37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164" fontId="34" fillId="0" borderId="0" xfId="11" applyNumberFormat="1" applyAlignment="1">
      <alignment horizontal="left" vertical="center" textRotation="90"/>
    </xf>
    <xf numFmtId="0" fontId="0" fillId="8" borderId="0" xfId="0" applyFill="1" applyAlignment="1">
      <alignment horizontal="center"/>
    </xf>
    <xf numFmtId="164" fontId="34" fillId="8" borderId="0" xfId="11" applyNumberFormat="1" applyFill="1" applyAlignment="1">
      <alignment horizontal="left" vertical="center" textRotation="90"/>
    </xf>
    <xf numFmtId="0" fontId="24" fillId="0" borderId="0" xfId="19"/>
    <xf numFmtId="0" fontId="24" fillId="0" borderId="0" xfId="19" applyAlignment="1">
      <alignment horizontal="center"/>
    </xf>
    <xf numFmtId="165" fontId="24" fillId="0" borderId="0" xfId="19" applyNumberFormat="1" applyAlignment="1">
      <alignment horizontal="center"/>
    </xf>
    <xf numFmtId="0" fontId="24" fillId="0" borderId="0" xfId="19" applyNumberFormat="1" applyAlignment="1">
      <alignment horizontal="center"/>
    </xf>
    <xf numFmtId="0" fontId="23" fillId="0" borderId="0" xfId="19" applyFont="1"/>
    <xf numFmtId="0" fontId="22" fillId="0" borderId="0" xfId="19" applyFont="1"/>
    <xf numFmtId="0" fontId="21" fillId="0" borderId="0" xfId="19" applyFont="1"/>
    <xf numFmtId="0" fontId="20" fillId="0" borderId="0" xfId="19" applyFont="1"/>
    <xf numFmtId="0" fontId="19" fillId="0" borderId="0" xfId="19" applyFont="1"/>
    <xf numFmtId="0" fontId="18" fillId="0" borderId="0" xfId="19" applyFont="1"/>
    <xf numFmtId="0" fontId="17" fillId="0" borderId="0" xfId="19" applyFont="1"/>
    <xf numFmtId="0" fontId="16" fillId="0" borderId="0" xfId="19" applyFont="1"/>
    <xf numFmtId="0" fontId="15" fillId="0" borderId="0" xfId="19" applyFont="1"/>
    <xf numFmtId="0" fontId="14" fillId="0" borderId="0" xfId="19" applyFont="1"/>
    <xf numFmtId="0" fontId="13" fillId="0" borderId="0" xfId="19" applyFont="1"/>
    <xf numFmtId="0" fontId="12" fillId="0" borderId="0" xfId="19" applyFont="1"/>
    <xf numFmtId="0" fontId="11" fillId="0" borderId="0" xfId="19" applyFont="1"/>
    <xf numFmtId="0" fontId="10" fillId="0" borderId="0" xfId="19" applyFont="1"/>
    <xf numFmtId="0" fontId="9" fillId="0" borderId="0" xfId="19" applyFont="1"/>
    <xf numFmtId="0" fontId="8" fillId="0" borderId="0" xfId="19" applyFont="1"/>
    <xf numFmtId="0" fontId="38" fillId="0" borderId="0" xfId="0" applyFont="1" applyAlignment="1">
      <alignment horizontal="center" vertical="center" textRotation="90"/>
    </xf>
    <xf numFmtId="0" fontId="38" fillId="0" borderId="0" xfId="0" applyFont="1">
      <alignment horizontal="center" vertical="center"/>
    </xf>
    <xf numFmtId="0" fontId="33" fillId="0" borderId="0" xfId="0" applyFont="1">
      <alignment horizontal="center" vertical="center"/>
    </xf>
    <xf numFmtId="0" fontId="38" fillId="0" borderId="0" xfId="0" applyFont="1" applyAlignment="1">
      <alignment horizontal="center"/>
    </xf>
    <xf numFmtId="0" fontId="0" fillId="0" borderId="0" xfId="0" applyAlignment="1">
      <alignment horizontal="left" vertical="center"/>
    </xf>
    <xf numFmtId="0" fontId="7" fillId="0" borderId="0" xfId="19" applyFont="1"/>
    <xf numFmtId="0" fontId="6" fillId="0" borderId="0" xfId="19" applyFont="1"/>
    <xf numFmtId="0" fontId="5" fillId="0" borderId="0" xfId="19" applyFont="1"/>
    <xf numFmtId="0" fontId="4" fillId="0" borderId="0" xfId="19" applyFont="1"/>
    <xf numFmtId="0" fontId="3" fillId="0" borderId="0" xfId="19" applyFont="1"/>
    <xf numFmtId="0" fontId="2" fillId="0" borderId="0" xfId="19" applyFont="1"/>
    <xf numFmtId="0" fontId="2" fillId="0" borderId="0" xfId="19" applyFont="1" applyAlignment="1">
      <alignment horizontal="center"/>
    </xf>
    <xf numFmtId="0" fontId="20" fillId="0" borderId="0" xfId="19" applyFont="1" applyAlignment="1">
      <alignment horizontal="center"/>
    </xf>
    <xf numFmtId="0" fontId="19" fillId="0" borderId="0" xfId="19" applyFont="1" applyAlignment="1">
      <alignment horizontal="center"/>
    </xf>
    <xf numFmtId="0" fontId="15" fillId="0" borderId="0" xfId="19" applyFont="1" applyAlignment="1">
      <alignment horizontal="center"/>
    </xf>
    <xf numFmtId="0" fontId="8" fillId="0" borderId="0" xfId="19" applyFont="1" applyAlignment="1">
      <alignment horizontal="center"/>
    </xf>
    <xf numFmtId="0" fontId="6" fillId="0" borderId="0" xfId="19" applyFont="1" applyAlignment="1">
      <alignment horizontal="center"/>
    </xf>
    <xf numFmtId="0" fontId="4" fillId="0" borderId="0" xfId="19" applyFont="1" applyAlignment="1">
      <alignment horizontal="center"/>
    </xf>
    <xf numFmtId="0" fontId="3" fillId="0" borderId="0" xfId="19" applyFont="1" applyAlignment="1">
      <alignment horizontal="center"/>
    </xf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36" fillId="0" borderId="0" xfId="12">
      <alignment vertical="center"/>
    </xf>
    <xf numFmtId="0" fontId="34" fillId="0" borderId="0" xfId="9">
      <alignment vertical="center"/>
    </xf>
    <xf numFmtId="0" fontId="34" fillId="0" borderId="2" xfId="9" applyBorder="1">
      <alignment vertical="center"/>
    </xf>
    <xf numFmtId="0" fontId="34" fillId="0" borderId="0" xfId="10">
      <alignment horizontal="center" vertical="center" wrapText="1"/>
    </xf>
    <xf numFmtId="0" fontId="34" fillId="0" borderId="2" xfId="10" applyBorder="1">
      <alignment horizontal="center" vertical="center" wrapText="1"/>
    </xf>
    <xf numFmtId="0" fontId="34" fillId="0" borderId="5" xfId="10" applyBorder="1">
      <alignment horizontal="center" vertical="center" wrapText="1"/>
    </xf>
    <xf numFmtId="0" fontId="31" fillId="0" borderId="6" xfId="5" applyFont="1" applyBorder="1">
      <alignment horizontal="left" vertical="center"/>
    </xf>
    <xf numFmtId="0" fontId="31" fillId="0" borderId="0" xfId="5" applyFont="1">
      <alignment horizontal="left" vertical="center"/>
    </xf>
    <xf numFmtId="0" fontId="31" fillId="0" borderId="7" xfId="5" applyFont="1" applyBorder="1">
      <alignment horizontal="left" vertical="center"/>
    </xf>
    <xf numFmtId="0" fontId="31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  <xf numFmtId="0" fontId="0" fillId="0" borderId="6" xfId="5" applyFont="1" applyBorder="1" applyAlignment="1">
      <alignment horizontal="left" vertical="center"/>
    </xf>
    <xf numFmtId="0" fontId="0" fillId="0" borderId="0" xfId="5" applyFont="1" applyBorder="1" applyAlignment="1">
      <alignment horizontal="left" vertical="center"/>
    </xf>
    <xf numFmtId="0" fontId="0" fillId="0" borderId="7" xfId="5" applyFont="1" applyBorder="1" applyAlignment="1">
      <alignment horizontal="left" vertical="center"/>
    </xf>
    <xf numFmtId="0" fontId="1" fillId="0" borderId="0" xfId="19" applyFont="1" applyFill="1"/>
    <xf numFmtId="0" fontId="1" fillId="0" borderId="0" xfId="19" applyFont="1"/>
  </cellXfs>
  <cellStyles count="20">
    <cellStyle name="% complete" xfId="16"/>
    <cellStyle name="% complete (beyond plan) legend" xfId="18"/>
    <cellStyle name="Activity" xfId="2"/>
    <cellStyle name="Actual (beyond plan) legend" xfId="17"/>
    <cellStyle name="Actual legend" xfId="15"/>
    <cellStyle name="Explanatory Text" xfId="12" builtinId="53" customBuiltin="1"/>
    <cellStyle name="Heading 1" xfId="1" builtinId="16" customBuiltin="1"/>
    <cellStyle name="Heading 2" xfId="9" builtinId="17" customBuiltin="1"/>
    <cellStyle name="Heading 3" xfId="10" builtinId="18" customBuiltin="1"/>
    <cellStyle name="Heading 4" xfId="11" builtinId="19" customBuiltin="1"/>
    <cellStyle name="Label" xfId="5"/>
    <cellStyle name="Normal" xfId="0" builtinId="0" customBuiltin="1"/>
    <cellStyle name="Normal 2" xfId="19"/>
    <cellStyle name="Percent Complete" xfId="6"/>
    <cellStyle name="Period Headers" xfId="3"/>
    <cellStyle name="Period Highlight Control" xfId="7"/>
    <cellStyle name="Period Value" xfId="13"/>
    <cellStyle name="Plan legend" xfId="14"/>
    <cellStyle name="Project Headers" xfId="4"/>
    <cellStyle name="Title" xfId="8" builtinId="15" customBuiltin="1"/>
  </cellStyles>
  <dxfs count="32"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F5E7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le1" displayName="Table1" ref="A1:G49" totalsRowShown="0">
  <autoFilter ref="A1:G49">
    <filterColumn colId="4">
      <filters blank="1">
        <filter val="0"/>
        <filter val="0.25"/>
        <filter val="0.5"/>
        <filter val="0.75"/>
      </filters>
    </filterColumn>
  </autoFilter>
  <sortState ref="A27:G49">
    <sortCondition descending="1" ref="E1:E49"/>
  </sortState>
  <tableColumns count="7">
    <tableColumn id="1" name="Task"/>
    <tableColumn id="7" name="Line" dataDxfId="31" dataCellStyle="Normal 2"/>
    <tableColumn id="2" name="Assigned"/>
    <tableColumn id="3" name="Due"/>
    <tableColumn id="6" name=" " dataDxfId="30"/>
    <tableColumn id="4" name="Review"/>
    <tableColumn id="5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Q33" totalsRowShown="0" headerRowDxfId="29" dataDxfId="28">
  <autoFilter ref="A1:Q33"/>
  <tableColumns count="17">
    <tableColumn id="1" name="Test ID" dataDxfId="27"/>
    <tableColumn id="2" name="log10(mv)" dataDxfId="26"/>
    <tableColumn id="3" name="mh" dataDxfId="25"/>
    <tableColumn id="4" name="log10(n_iter)" dataDxfId="24"/>
    <tableColumn id="5" name="lambda_screen" dataDxfId="23"/>
    <tableColumn id="6" name="fix_Lambda" dataDxfId="22"/>
    <tableColumn id="7" name="fix_Q" dataDxfId="21"/>
    <tableColumn id="8" name="measure" dataDxfId="20"/>
    <tableColumn id="9" name="n_tunnel_max" dataDxfId="19"/>
    <tableColumn id="10" name="End Date" dataDxfId="18"/>
    <tableColumn id="11" name="Runtime" dataDxfId="17"/>
    <tableColumn id="12" name="File name" dataDxfId="16"/>
    <tableColumn id="13" name="Column13" dataDxfId="15"/>
    <tableColumn id="14" name="Column14" dataDxfId="14"/>
    <tableColumn id="15" name="Column15" dataDxfId="13"/>
    <tableColumn id="16" name="Column16" dataDxfId="12"/>
    <tableColumn id="17" name="Column17" dataDxfId="11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D20" totalsRowShown="0">
  <autoFilter ref="A1:D20"/>
  <tableColumns count="4">
    <tableColumn id="1" name="Quantity"/>
    <tableColumn id="2" name="Dimensions"/>
    <tableColumn id="3" name="Units"/>
    <tableColumn id="4" name="Description" dataDxfId="10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  <pageSetUpPr fitToPage="1"/>
  </sheetPr>
  <dimension ref="A1:BO31"/>
  <sheetViews>
    <sheetView showGridLines="0" zoomScale="85" zoomScaleNormal="85" zoomScaleSheetLayoutView="80" workbookViewId="0">
      <selection activeCell="U6" sqref="U6"/>
    </sheetView>
  </sheetViews>
  <sheetFormatPr defaultColWidth="0" defaultRowHeight="30" customHeight="1" x14ac:dyDescent="0.35"/>
  <cols>
    <col min="1" max="1" width="2.6640625" customWidth="1"/>
    <col min="2" max="2" width="15.6640625" style="2" customWidth="1"/>
    <col min="3" max="6" width="11.6640625" style="1" customWidth="1"/>
    <col min="7" max="7" width="15.6640625" style="4" customWidth="1"/>
    <col min="8" max="27" width="3.5546875" style="1" customWidth="1"/>
    <col min="28" max="48" width="3.5546875" customWidth="1"/>
    <col min="49" max="67" width="0" hidden="1" customWidth="1"/>
    <col min="68" max="16384" width="2.77734375" hidden="1"/>
  </cols>
  <sheetData>
    <row r="1" spans="2:67" ht="60" customHeight="1" thickBot="1" x14ac:dyDescent="1.05">
      <c r="B1" s="11" t="s">
        <v>40</v>
      </c>
      <c r="C1" s="10"/>
      <c r="D1" s="10"/>
      <c r="E1" s="10"/>
      <c r="F1" s="10"/>
      <c r="G1" s="10"/>
    </row>
    <row r="2" spans="2:67" ht="21" customHeight="1" thickTop="1" thickBot="1" x14ac:dyDescent="0.35">
      <c r="B2" s="62" t="s">
        <v>28</v>
      </c>
      <c r="C2" s="62"/>
      <c r="D2" s="62"/>
      <c r="E2" s="62"/>
      <c r="F2" s="62"/>
      <c r="G2" s="5" t="s">
        <v>20</v>
      </c>
      <c r="H2" s="12">
        <v>8</v>
      </c>
      <c r="J2" s="13"/>
      <c r="K2" s="68" t="s">
        <v>27</v>
      </c>
      <c r="L2" s="69"/>
      <c r="M2" s="69"/>
      <c r="N2" s="69"/>
      <c r="O2" s="70"/>
      <c r="P2" s="14"/>
      <c r="Q2" s="68" t="s">
        <v>26</v>
      </c>
      <c r="R2" s="71"/>
      <c r="S2" s="71"/>
      <c r="T2" s="70"/>
      <c r="U2" s="15"/>
      <c r="V2" s="60" t="s">
        <v>17</v>
      </c>
      <c r="W2" s="61"/>
      <c r="X2" s="61"/>
      <c r="Y2" s="72"/>
      <c r="Z2" s="16"/>
      <c r="AA2" s="73" t="s">
        <v>18</v>
      </c>
      <c r="AB2" s="74"/>
      <c r="AC2" s="74"/>
      <c r="AD2" s="74"/>
      <c r="AE2" s="74"/>
      <c r="AF2" s="74"/>
      <c r="AG2" s="75"/>
      <c r="AH2" s="17"/>
      <c r="AI2" s="60" t="s">
        <v>19</v>
      </c>
      <c r="AJ2" s="61"/>
      <c r="AK2" s="61"/>
      <c r="AL2" s="61"/>
      <c r="AM2" s="61"/>
      <c r="AN2" s="61"/>
      <c r="AO2" s="61"/>
      <c r="AP2" s="61"/>
    </row>
    <row r="3" spans="2:67" s="9" customFormat="1" ht="39.9" customHeight="1" thickTop="1" x14ac:dyDescent="0.3">
      <c r="B3" s="63" t="s">
        <v>0</v>
      </c>
      <c r="C3" s="65" t="s">
        <v>21</v>
      </c>
      <c r="D3" s="65" t="s">
        <v>22</v>
      </c>
      <c r="E3" s="65" t="s">
        <v>23</v>
      </c>
      <c r="F3" s="65" t="s">
        <v>24</v>
      </c>
      <c r="G3" s="67" t="s">
        <v>25</v>
      </c>
      <c r="H3" s="18">
        <v>42982</v>
      </c>
      <c r="I3" s="18">
        <v>42989</v>
      </c>
      <c r="J3" s="18">
        <v>42996</v>
      </c>
      <c r="K3" s="18">
        <v>43003</v>
      </c>
      <c r="L3" s="18">
        <v>43010</v>
      </c>
      <c r="M3" s="18">
        <v>43017</v>
      </c>
      <c r="N3" s="18">
        <v>43024</v>
      </c>
      <c r="O3" s="18">
        <v>43031</v>
      </c>
      <c r="P3" s="18">
        <v>43038</v>
      </c>
      <c r="Q3" s="18">
        <v>43045</v>
      </c>
      <c r="R3" s="18">
        <v>43052</v>
      </c>
      <c r="S3" s="20">
        <v>43059</v>
      </c>
      <c r="T3" s="18">
        <v>43066</v>
      </c>
      <c r="U3" s="18">
        <v>43073</v>
      </c>
      <c r="V3" s="18">
        <v>43080</v>
      </c>
      <c r="W3" s="20">
        <v>43087</v>
      </c>
      <c r="X3" s="20">
        <v>43094</v>
      </c>
      <c r="Y3" s="20">
        <v>43101</v>
      </c>
      <c r="Z3" s="18">
        <v>43108</v>
      </c>
      <c r="AA3" s="18">
        <v>43115</v>
      </c>
      <c r="AB3" s="18">
        <v>43122</v>
      </c>
      <c r="AC3" s="18">
        <v>43129</v>
      </c>
      <c r="AD3" s="18">
        <v>43136</v>
      </c>
      <c r="AE3" s="18">
        <v>43143</v>
      </c>
      <c r="AF3" s="18">
        <v>43150</v>
      </c>
      <c r="AG3" s="18">
        <v>43157</v>
      </c>
      <c r="AH3" s="18">
        <v>43164</v>
      </c>
      <c r="AI3" s="18">
        <v>43171</v>
      </c>
      <c r="AJ3" s="18">
        <v>43178</v>
      </c>
      <c r="AK3" s="18">
        <v>43185</v>
      </c>
      <c r="AL3" s="18">
        <v>43192</v>
      </c>
      <c r="AM3" s="18">
        <v>43199</v>
      </c>
      <c r="AN3" s="18">
        <v>43206</v>
      </c>
      <c r="AO3" s="18">
        <v>43213</v>
      </c>
      <c r="AP3" s="18">
        <v>43220</v>
      </c>
      <c r="AQ3" s="18">
        <v>43227</v>
      </c>
      <c r="AR3" s="18">
        <v>43234</v>
      </c>
      <c r="AS3" s="18">
        <v>43241</v>
      </c>
      <c r="AT3" s="18">
        <v>43248</v>
      </c>
      <c r="AU3" s="18">
        <v>43255</v>
      </c>
      <c r="AV3" s="18">
        <v>43262</v>
      </c>
      <c r="AW3" s="18"/>
    </row>
    <row r="4" spans="2:67" ht="15.75" customHeight="1" x14ac:dyDescent="0.3">
      <c r="B4" s="64"/>
      <c r="C4" s="66"/>
      <c r="D4" s="66"/>
      <c r="E4" s="66"/>
      <c r="F4" s="66"/>
      <c r="G4" s="66"/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  <c r="N4" s="3">
        <v>7</v>
      </c>
      <c r="O4" s="3">
        <v>8</v>
      </c>
      <c r="P4" s="3">
        <v>9</v>
      </c>
      <c r="Q4" s="3">
        <v>10</v>
      </c>
      <c r="R4" s="3">
        <v>11</v>
      </c>
      <c r="S4" s="3">
        <v>12</v>
      </c>
      <c r="T4" s="3">
        <v>13</v>
      </c>
      <c r="U4" s="3">
        <v>14</v>
      </c>
      <c r="V4" s="3">
        <v>15</v>
      </c>
      <c r="W4" s="3">
        <v>16</v>
      </c>
      <c r="X4" s="3">
        <v>17</v>
      </c>
      <c r="Y4" s="3">
        <v>18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  <c r="AO4" s="3">
        <v>34</v>
      </c>
      <c r="AP4" s="3">
        <v>35</v>
      </c>
      <c r="AQ4" s="3">
        <v>36</v>
      </c>
      <c r="AR4" s="3">
        <v>37</v>
      </c>
      <c r="AS4" s="3">
        <v>38</v>
      </c>
      <c r="AT4" s="3">
        <v>39</v>
      </c>
      <c r="AU4" s="3">
        <v>40</v>
      </c>
      <c r="AV4" s="3">
        <v>41</v>
      </c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</row>
    <row r="5" spans="2:67" ht="30" customHeight="1" x14ac:dyDescent="0.35">
      <c r="B5" s="6" t="s">
        <v>38</v>
      </c>
      <c r="C5" s="7">
        <v>1</v>
      </c>
      <c r="D5" s="7">
        <v>3</v>
      </c>
      <c r="E5" s="7">
        <v>1</v>
      </c>
      <c r="F5" s="7">
        <v>8</v>
      </c>
      <c r="G5" s="8">
        <v>1</v>
      </c>
      <c r="W5" s="19"/>
      <c r="X5" s="19"/>
      <c r="Y5" s="19"/>
    </row>
    <row r="6" spans="2:67" ht="30" customHeight="1" x14ac:dyDescent="0.35">
      <c r="B6" s="6" t="s">
        <v>35</v>
      </c>
      <c r="C6" s="7">
        <v>3</v>
      </c>
      <c r="D6" s="7">
        <v>1</v>
      </c>
      <c r="E6" s="7">
        <v>3</v>
      </c>
      <c r="F6" s="7">
        <v>6</v>
      </c>
      <c r="G6" s="8">
        <v>0.9</v>
      </c>
      <c r="W6" s="19"/>
      <c r="X6" s="19"/>
      <c r="Y6" s="19"/>
    </row>
    <row r="7" spans="2:67" ht="30" customHeight="1" x14ac:dyDescent="0.35">
      <c r="B7" s="6" t="s">
        <v>29</v>
      </c>
      <c r="C7" s="7">
        <v>3</v>
      </c>
      <c r="D7" s="7">
        <v>5</v>
      </c>
      <c r="E7" s="7">
        <v>8</v>
      </c>
      <c r="F7" s="7">
        <v>1</v>
      </c>
      <c r="G7" s="8">
        <v>0.1</v>
      </c>
      <c r="W7" s="19"/>
      <c r="X7" s="19"/>
      <c r="Y7" s="19"/>
    </row>
    <row r="8" spans="2:67" ht="30" customHeight="1" x14ac:dyDescent="0.35">
      <c r="B8" s="6" t="s">
        <v>32</v>
      </c>
      <c r="C8" s="7">
        <v>4</v>
      </c>
      <c r="D8" s="7">
        <v>3</v>
      </c>
      <c r="E8" s="7">
        <v>8</v>
      </c>
      <c r="F8" s="7">
        <v>1</v>
      </c>
      <c r="G8" s="8"/>
      <c r="W8" s="19"/>
      <c r="X8" s="19"/>
      <c r="Y8" s="19"/>
    </row>
    <row r="9" spans="2:67" ht="30" customHeight="1" x14ac:dyDescent="0.35">
      <c r="B9" s="6" t="s">
        <v>33</v>
      </c>
      <c r="C9" s="7">
        <v>6</v>
      </c>
      <c r="D9" s="7">
        <v>9</v>
      </c>
      <c r="E9" s="7">
        <v>0</v>
      </c>
      <c r="F9" s="7">
        <v>0</v>
      </c>
      <c r="G9" s="8"/>
      <c r="W9" s="19"/>
      <c r="X9" s="19"/>
      <c r="Y9" s="19"/>
    </row>
    <row r="10" spans="2:67" ht="30" customHeight="1" x14ac:dyDescent="0.35">
      <c r="B10" s="6" t="s">
        <v>34</v>
      </c>
      <c r="C10" s="7">
        <v>7</v>
      </c>
      <c r="D10" s="7">
        <v>5</v>
      </c>
      <c r="E10" s="7">
        <v>0</v>
      </c>
      <c r="F10" s="7">
        <v>0</v>
      </c>
      <c r="G10" s="8"/>
      <c r="W10" s="19"/>
      <c r="X10" s="19"/>
      <c r="Y10" s="19"/>
    </row>
    <row r="11" spans="2:67" ht="30" customHeight="1" x14ac:dyDescent="0.35">
      <c r="B11" s="6" t="s">
        <v>39</v>
      </c>
      <c r="C11" s="7">
        <v>14</v>
      </c>
      <c r="D11" s="7">
        <v>2</v>
      </c>
      <c r="E11" s="7">
        <v>0</v>
      </c>
      <c r="F11" s="7">
        <v>0</v>
      </c>
      <c r="G11" s="8"/>
      <c r="W11" s="19"/>
      <c r="X11" s="19"/>
      <c r="Y11" s="19"/>
    </row>
    <row r="12" spans="2:67" ht="30" customHeight="1" x14ac:dyDescent="0.35">
      <c r="B12" s="6" t="s">
        <v>30</v>
      </c>
      <c r="C12" s="7">
        <v>1</v>
      </c>
      <c r="D12" s="7">
        <v>12</v>
      </c>
      <c r="E12" s="7">
        <v>1</v>
      </c>
      <c r="F12" s="7">
        <v>3</v>
      </c>
      <c r="G12" s="8">
        <v>0.2</v>
      </c>
      <c r="W12" s="19"/>
      <c r="X12" s="19"/>
      <c r="Y12" s="19"/>
    </row>
    <row r="13" spans="2:67" ht="30" customHeight="1" x14ac:dyDescent="0.35">
      <c r="B13" s="6" t="s">
        <v>31</v>
      </c>
      <c r="C13" s="7">
        <v>9</v>
      </c>
      <c r="D13" s="7">
        <v>6</v>
      </c>
      <c r="E13" s="7">
        <v>0</v>
      </c>
      <c r="F13" s="7">
        <v>0</v>
      </c>
      <c r="G13" s="8"/>
      <c r="W13" s="19"/>
      <c r="X13" s="19"/>
      <c r="Y13" s="19"/>
    </row>
    <row r="14" spans="2:67" ht="30" customHeight="1" x14ac:dyDescent="0.35">
      <c r="B14" s="6" t="s">
        <v>36</v>
      </c>
      <c r="C14" s="7">
        <v>12</v>
      </c>
      <c r="D14" s="7">
        <v>4</v>
      </c>
      <c r="E14" s="7">
        <v>0</v>
      </c>
      <c r="F14" s="7">
        <v>0</v>
      </c>
      <c r="G14" s="8"/>
      <c r="W14" s="19"/>
      <c r="X14" s="19"/>
      <c r="Y14" s="19"/>
    </row>
    <row r="15" spans="2:67" ht="30" customHeight="1" x14ac:dyDescent="0.35">
      <c r="B15" s="6" t="s">
        <v>37</v>
      </c>
      <c r="C15" s="7">
        <v>15</v>
      </c>
      <c r="D15" s="7">
        <v>1</v>
      </c>
      <c r="E15" s="7">
        <v>0</v>
      </c>
      <c r="F15" s="7">
        <v>0</v>
      </c>
      <c r="G15" s="8"/>
      <c r="W15" s="19"/>
      <c r="X15" s="19"/>
      <c r="Y15" s="19"/>
    </row>
    <row r="16" spans="2:67" ht="30" hidden="1" customHeight="1" x14ac:dyDescent="0.35">
      <c r="B16" s="6" t="s">
        <v>1</v>
      </c>
      <c r="C16" s="7">
        <v>0</v>
      </c>
      <c r="D16" s="7">
        <v>0</v>
      </c>
      <c r="E16" s="7">
        <v>0</v>
      </c>
      <c r="F16" s="7">
        <v>0</v>
      </c>
      <c r="G16" s="8">
        <v>0.6</v>
      </c>
    </row>
    <row r="17" spans="2:7" ht="30" hidden="1" customHeight="1" x14ac:dyDescent="0.35">
      <c r="B17" s="6" t="s">
        <v>2</v>
      </c>
      <c r="C17" s="7">
        <v>0</v>
      </c>
      <c r="D17" s="7">
        <v>0</v>
      </c>
      <c r="E17" s="7">
        <v>0</v>
      </c>
      <c r="F17" s="7">
        <v>0</v>
      </c>
      <c r="G17" s="8">
        <v>0</v>
      </c>
    </row>
    <row r="18" spans="2:7" ht="30" hidden="1" customHeight="1" x14ac:dyDescent="0.35">
      <c r="B18" s="6" t="s">
        <v>3</v>
      </c>
      <c r="C18" s="7">
        <v>0</v>
      </c>
      <c r="D18" s="7">
        <v>0</v>
      </c>
      <c r="E18" s="7">
        <v>0</v>
      </c>
      <c r="F18" s="7">
        <v>0</v>
      </c>
      <c r="G18" s="8">
        <v>0.5</v>
      </c>
    </row>
    <row r="19" spans="2:7" ht="30" hidden="1" customHeight="1" x14ac:dyDescent="0.35">
      <c r="B19" s="6" t="s">
        <v>4</v>
      </c>
      <c r="C19" s="7">
        <v>0</v>
      </c>
      <c r="D19" s="7">
        <v>0</v>
      </c>
      <c r="E19" s="7">
        <v>0</v>
      </c>
      <c r="F19" s="7">
        <v>0</v>
      </c>
      <c r="G19" s="8">
        <v>0</v>
      </c>
    </row>
    <row r="20" spans="2:7" ht="30" hidden="1" customHeight="1" x14ac:dyDescent="0.35">
      <c r="B20" s="6" t="s">
        <v>5</v>
      </c>
      <c r="C20" s="7">
        <v>0</v>
      </c>
      <c r="D20" s="7">
        <v>0</v>
      </c>
      <c r="E20" s="7">
        <v>0</v>
      </c>
      <c r="F20" s="7">
        <v>0</v>
      </c>
      <c r="G20" s="8">
        <v>0.01</v>
      </c>
    </row>
    <row r="21" spans="2:7" ht="30" hidden="1" customHeight="1" x14ac:dyDescent="0.35">
      <c r="B21" s="6" t="s">
        <v>6</v>
      </c>
      <c r="C21" s="7">
        <v>0</v>
      </c>
      <c r="D21" s="7">
        <v>0</v>
      </c>
      <c r="E21" s="7">
        <v>0</v>
      </c>
      <c r="F21" s="7">
        <v>0</v>
      </c>
      <c r="G21" s="8">
        <v>0.8</v>
      </c>
    </row>
    <row r="22" spans="2:7" ht="30" hidden="1" customHeight="1" x14ac:dyDescent="0.35">
      <c r="B22" s="6" t="s">
        <v>7</v>
      </c>
      <c r="C22" s="7">
        <v>0</v>
      </c>
      <c r="D22" s="7">
        <v>0</v>
      </c>
      <c r="E22" s="7">
        <v>0</v>
      </c>
      <c r="F22" s="7">
        <v>0</v>
      </c>
      <c r="G22" s="8">
        <v>0</v>
      </c>
    </row>
    <row r="23" spans="2:7" ht="30" hidden="1" customHeight="1" x14ac:dyDescent="0.35">
      <c r="B23" s="6" t="s">
        <v>8</v>
      </c>
      <c r="C23" s="7">
        <v>0</v>
      </c>
      <c r="D23" s="7">
        <v>0</v>
      </c>
      <c r="E23" s="7">
        <v>0</v>
      </c>
      <c r="F23" s="7">
        <v>0</v>
      </c>
      <c r="G23" s="8">
        <v>0</v>
      </c>
    </row>
    <row r="24" spans="2:7" ht="30" hidden="1" customHeight="1" x14ac:dyDescent="0.35">
      <c r="B24" s="6" t="s">
        <v>9</v>
      </c>
      <c r="C24" s="7">
        <v>0</v>
      </c>
      <c r="D24" s="7">
        <v>0</v>
      </c>
      <c r="E24" s="7">
        <v>0</v>
      </c>
      <c r="F24" s="7">
        <v>0</v>
      </c>
      <c r="G24" s="8">
        <v>0</v>
      </c>
    </row>
    <row r="25" spans="2:7" ht="30" hidden="1" customHeight="1" x14ac:dyDescent="0.35">
      <c r="B25" s="6" t="s">
        <v>10</v>
      </c>
      <c r="C25" s="7">
        <v>0</v>
      </c>
      <c r="D25" s="7">
        <v>0</v>
      </c>
      <c r="E25" s="7">
        <v>0</v>
      </c>
      <c r="F25" s="7">
        <v>0</v>
      </c>
      <c r="G25" s="8">
        <v>0</v>
      </c>
    </row>
    <row r="26" spans="2:7" ht="30" hidden="1" customHeight="1" x14ac:dyDescent="0.35">
      <c r="B26" s="6" t="s">
        <v>11</v>
      </c>
      <c r="C26" s="7">
        <v>0</v>
      </c>
      <c r="D26" s="7">
        <v>0</v>
      </c>
      <c r="E26" s="7">
        <v>0</v>
      </c>
      <c r="F26" s="7">
        <v>0</v>
      </c>
      <c r="G26" s="8">
        <v>0.44</v>
      </c>
    </row>
    <row r="27" spans="2:7" ht="30" hidden="1" customHeight="1" x14ac:dyDescent="0.35">
      <c r="B27" s="6" t="s">
        <v>12</v>
      </c>
      <c r="C27" s="7">
        <v>0</v>
      </c>
      <c r="D27" s="7">
        <v>0</v>
      </c>
      <c r="E27" s="7">
        <v>0</v>
      </c>
      <c r="F27" s="7">
        <v>0</v>
      </c>
      <c r="G27" s="8">
        <v>0</v>
      </c>
    </row>
    <row r="28" spans="2:7" ht="30" hidden="1" customHeight="1" x14ac:dyDescent="0.35">
      <c r="B28" s="6" t="s">
        <v>13</v>
      </c>
      <c r="C28" s="7">
        <v>0</v>
      </c>
      <c r="D28" s="7">
        <v>0</v>
      </c>
      <c r="E28" s="7">
        <v>0</v>
      </c>
      <c r="F28" s="7">
        <v>0</v>
      </c>
      <c r="G28" s="8">
        <v>0.12</v>
      </c>
    </row>
    <row r="29" spans="2:7" ht="30" hidden="1" customHeight="1" x14ac:dyDescent="0.35">
      <c r="B29" s="6" t="s">
        <v>14</v>
      </c>
      <c r="C29" s="7">
        <v>0</v>
      </c>
      <c r="D29" s="7">
        <v>0</v>
      </c>
      <c r="E29" s="7">
        <v>0</v>
      </c>
      <c r="F29" s="7">
        <v>0</v>
      </c>
      <c r="G29" s="8">
        <v>0.05</v>
      </c>
    </row>
    <row r="30" spans="2:7" ht="30" hidden="1" customHeight="1" x14ac:dyDescent="0.35">
      <c r="B30" s="6" t="s">
        <v>15</v>
      </c>
      <c r="C30" s="7">
        <v>0</v>
      </c>
      <c r="D30" s="7">
        <v>0</v>
      </c>
      <c r="E30" s="7">
        <v>0</v>
      </c>
      <c r="F30" s="7">
        <v>0</v>
      </c>
      <c r="G30" s="8">
        <v>0</v>
      </c>
    </row>
    <row r="31" spans="2:7" ht="30" hidden="1" customHeight="1" x14ac:dyDescent="0.35">
      <c r="B31" s="6" t="s">
        <v>16</v>
      </c>
      <c r="C31" s="7">
        <v>0</v>
      </c>
      <c r="D31" s="7">
        <v>0</v>
      </c>
      <c r="E31" s="7">
        <v>0</v>
      </c>
      <c r="F31" s="7">
        <v>0</v>
      </c>
      <c r="G31" s="8">
        <v>0.5</v>
      </c>
    </row>
  </sheetData>
  <mergeCells count="12">
    <mergeCell ref="AI2:AP2"/>
    <mergeCell ref="B2:F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H5:BO31">
    <cfRule type="expression" dxfId="9" priority="1">
      <formula>PercentComplete</formula>
    </cfRule>
    <cfRule type="expression" dxfId="8" priority="3">
      <formula>PercentCompleteBeyond</formula>
    </cfRule>
    <cfRule type="expression" dxfId="7" priority="4">
      <formula>Actual</formula>
    </cfRule>
    <cfRule type="expression" dxfId="6" priority="5">
      <formula>ActualBeyond</formula>
    </cfRule>
    <cfRule type="expression" dxfId="5" priority="6">
      <formula>Plan</formula>
    </cfRule>
    <cfRule type="expression" dxfId="4" priority="7">
      <formula>H$4=period_selected</formula>
    </cfRule>
    <cfRule type="expression" dxfId="3" priority="11">
      <formula>MOD(COLUMN(),2)</formula>
    </cfRule>
    <cfRule type="expression" dxfId="2" priority="12">
      <formula>MOD(COLUMN(),2)=0</formula>
    </cfRule>
  </conditionalFormatting>
  <conditionalFormatting sqref="B32:BO32">
    <cfRule type="expression" dxfId="1" priority="2">
      <formula>TRUE</formula>
    </cfRule>
  </conditionalFormatting>
  <conditionalFormatting sqref="H4:BO4">
    <cfRule type="expression" dxfId="0" priority="8">
      <formula>H$4=period_selected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/>
    <dataValidation type="list" errorStyle="warning" allowBlank="1" showInputMessage="1" showErrorMessage="1" error="Type a value from 1 to 60 or select a period from the list-press  CANCEL, ALT+DOWN ARROW, then ENTER to select a value" prompt="Enter a period in the range of 1 to 60 or select a period from the list. Press ALT+DOWN ARROW to navigate the list, then ENTER to select a value" sqref="H2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J2"/>
    <dataValidation allowBlank="1" showInputMessage="1" showErrorMessage="1" prompt="This legend cell indicates actual duration" sqref="P2"/>
    <dataValidation allowBlank="1" showInputMessage="1" showErrorMessage="1" prompt="This legend cell indicates the percentage of project completed" sqref="U2"/>
    <dataValidation allowBlank="1" showInputMessage="1" showErrorMessage="1" prompt="This legend cell indicates actual duration beyond plan" sqref="Z2"/>
    <dataValidation allowBlank="1" showInputMessage="1" showErrorMessage="1" prompt="This legend cell indicates the percentage of project completed beyond plan" sqref="AH2"/>
    <dataValidation allowBlank="1" showInputMessage="1" showErrorMessage="1" prompt="Periods are charted from 1 to 60 starting from cell H4 to cell BO4 " sqref="H3:AW3"/>
    <dataValidation allowBlank="1" showInputMessage="1" showErrorMessage="1" prompt="Enter activity in column B, starting with cell B5_x000a_" sqref="B3:B4"/>
    <dataValidation allowBlank="1" showInputMessage="1" showErrorMessage="1" prompt="Enter plan start period in column C, starting with cell C5" sqref="C3:C4"/>
    <dataValidation allowBlank="1" showInputMessage="1" showErrorMessage="1" prompt="Enter plan duration period in column D, starting with cell D5" sqref="D3:D4"/>
    <dataValidation allowBlank="1" showInputMessage="1" showErrorMessage="1" prompt="Enter actual start period in column E, starting with cell E5" sqref="E3:E4"/>
    <dataValidation allowBlank="1" showInputMessage="1" showErrorMessage="1" prompt="Enter actual duration period in column F, starting with cell F5" sqref="F3:F4"/>
    <dataValidation allowBlank="1" showInputMessage="1" showErrorMessage="1" prompt="Enter the percentage of project completed in column G, starting with cell G5" sqref="G3:G4"/>
    <dataValidation allowBlank="1" showInputMessage="1" showErrorMessage="1" prompt="Title of the project. Enter a new title in this cell. Highlight a period in H2. Chart legend is in J2 to AI2" sqref="B1"/>
    <dataValidation allowBlank="1" showInputMessage="1" showErrorMessage="1" prompt="Select a period to highlight in H2. A Chart legend is in J2 to AI2" sqref="B2:F2"/>
  </dataValidations>
  <printOptions horizontalCentered="1"/>
  <pageMargins left="0.45" right="0.45" top="0.5" bottom="0.5" header="0.3" footer="0.3"/>
  <pageSetup scale="51" fitToHeight="0" orientation="landscape" r:id="rId1"/>
  <headerFooter differentFirst="1">
    <oddFooter>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1"/>
  <sheetViews>
    <sheetView tabSelected="1" zoomScaleNormal="100" workbookViewId="0">
      <selection activeCell="A47" sqref="A47"/>
    </sheetView>
  </sheetViews>
  <sheetFormatPr defaultColWidth="0" defaultRowHeight="14.4" customHeight="1" zeroHeight="1" x14ac:dyDescent="0.3"/>
  <cols>
    <col min="1" max="1" width="46.5546875" style="21" customWidth="1"/>
    <col min="2" max="2" width="6" style="21" customWidth="1"/>
    <col min="3" max="3" width="9.77734375" style="21" customWidth="1"/>
    <col min="4" max="4" width="10.5546875" style="21" customWidth="1"/>
    <col min="5" max="5" width="5.21875" style="21" customWidth="1"/>
    <col min="6" max="6" width="9.77734375" style="21" customWidth="1"/>
    <col min="7" max="7" width="80.88671875" style="21" customWidth="1"/>
    <col min="8" max="16384" width="8.88671875" style="21" hidden="1"/>
  </cols>
  <sheetData>
    <row r="1" spans="1:7" x14ac:dyDescent="0.3">
      <c r="A1" s="21" t="s">
        <v>41</v>
      </c>
      <c r="B1" s="52" t="s">
        <v>156</v>
      </c>
      <c r="C1" s="22" t="s">
        <v>42</v>
      </c>
      <c r="D1" s="22" t="s">
        <v>43</v>
      </c>
      <c r="E1" s="22" t="s">
        <v>44</v>
      </c>
      <c r="F1" s="22" t="s">
        <v>45</v>
      </c>
      <c r="G1" s="21" t="s">
        <v>46</v>
      </c>
    </row>
    <row r="2" spans="1:7" hidden="1" x14ac:dyDescent="0.3">
      <c r="A2" s="29" t="s">
        <v>80</v>
      </c>
      <c r="B2" s="29"/>
      <c r="C2" s="23">
        <v>42992</v>
      </c>
      <c r="D2" s="23">
        <v>42993</v>
      </c>
      <c r="E2" s="24">
        <v>1.5</v>
      </c>
      <c r="F2" s="23">
        <v>43006</v>
      </c>
      <c r="G2" s="33" t="s">
        <v>85</v>
      </c>
    </row>
    <row r="3" spans="1:7" hidden="1" x14ac:dyDescent="0.3">
      <c r="A3" s="26" t="s">
        <v>66</v>
      </c>
      <c r="B3" s="26"/>
      <c r="C3" s="23">
        <v>42986</v>
      </c>
      <c r="D3" s="23">
        <v>42999</v>
      </c>
      <c r="E3" s="24">
        <v>1.5</v>
      </c>
      <c r="F3" s="23">
        <v>43006</v>
      </c>
      <c r="G3" s="33" t="s">
        <v>88</v>
      </c>
    </row>
    <row r="4" spans="1:7" hidden="1" x14ac:dyDescent="0.3">
      <c r="A4" s="21" t="s">
        <v>47</v>
      </c>
      <c r="C4" s="23">
        <v>42983</v>
      </c>
      <c r="D4" s="23">
        <v>42983</v>
      </c>
      <c r="E4" s="24">
        <v>1</v>
      </c>
      <c r="F4" s="23">
        <v>42984</v>
      </c>
    </row>
    <row r="5" spans="1:7" hidden="1" x14ac:dyDescent="0.3">
      <c r="A5" s="21" t="s">
        <v>48</v>
      </c>
      <c r="C5" s="23">
        <v>42983</v>
      </c>
      <c r="D5" s="23">
        <v>42983</v>
      </c>
      <c r="E5" s="24">
        <v>1</v>
      </c>
      <c r="F5" s="23">
        <v>42992</v>
      </c>
      <c r="G5" s="21" t="s">
        <v>49</v>
      </c>
    </row>
    <row r="6" spans="1:7" hidden="1" x14ac:dyDescent="0.3">
      <c r="A6" s="21" t="s">
        <v>50</v>
      </c>
      <c r="C6" s="23">
        <v>42983</v>
      </c>
      <c r="D6" s="23">
        <v>42983</v>
      </c>
      <c r="E6" s="24">
        <v>1</v>
      </c>
      <c r="F6" s="23">
        <v>42984</v>
      </c>
    </row>
    <row r="7" spans="1:7" hidden="1" x14ac:dyDescent="0.3">
      <c r="A7" s="21" t="s">
        <v>52</v>
      </c>
      <c r="C7" s="23">
        <v>42983</v>
      </c>
      <c r="D7" s="23">
        <v>42984</v>
      </c>
      <c r="E7" s="24">
        <v>1</v>
      </c>
      <c r="F7" s="23">
        <v>42986</v>
      </c>
      <c r="G7" s="25" t="s">
        <v>65</v>
      </c>
    </row>
    <row r="8" spans="1:7" hidden="1" x14ac:dyDescent="0.3">
      <c r="A8" s="21" t="s">
        <v>51</v>
      </c>
      <c r="C8" s="23">
        <v>42983</v>
      </c>
      <c r="D8" s="23">
        <v>42990</v>
      </c>
      <c r="E8" s="24">
        <v>1</v>
      </c>
      <c r="F8" s="23">
        <v>42990</v>
      </c>
    </row>
    <row r="9" spans="1:7" hidden="1" x14ac:dyDescent="0.3">
      <c r="A9" s="21" t="s">
        <v>55</v>
      </c>
      <c r="C9" s="23">
        <v>42983</v>
      </c>
      <c r="D9" s="23">
        <v>42990</v>
      </c>
      <c r="E9" s="24">
        <v>1</v>
      </c>
      <c r="F9" s="23">
        <v>42991</v>
      </c>
      <c r="G9" s="27" t="s">
        <v>72</v>
      </c>
    </row>
    <row r="10" spans="1:7" hidden="1" x14ac:dyDescent="0.3">
      <c r="A10" s="30" t="s">
        <v>81</v>
      </c>
      <c r="B10" s="30"/>
      <c r="C10" s="23">
        <v>42990</v>
      </c>
      <c r="D10" s="23">
        <v>42992</v>
      </c>
      <c r="E10" s="24">
        <v>1</v>
      </c>
      <c r="F10" s="23">
        <v>43027</v>
      </c>
      <c r="G10" s="32" t="s">
        <v>83</v>
      </c>
    </row>
    <row r="11" spans="1:7" hidden="1" x14ac:dyDescent="0.3">
      <c r="A11" s="21" t="s">
        <v>60</v>
      </c>
      <c r="C11" s="23">
        <v>42984</v>
      </c>
      <c r="D11" s="23">
        <v>42992</v>
      </c>
      <c r="E11" s="24">
        <v>1</v>
      </c>
      <c r="F11" s="23">
        <v>42992</v>
      </c>
      <c r="G11" s="26" t="s">
        <v>70</v>
      </c>
    </row>
    <row r="12" spans="1:7" hidden="1" x14ac:dyDescent="0.3">
      <c r="A12" s="21" t="s">
        <v>56</v>
      </c>
      <c r="C12" s="23">
        <v>42983</v>
      </c>
      <c r="D12" s="23">
        <v>42992</v>
      </c>
      <c r="E12" s="24">
        <v>1</v>
      </c>
      <c r="F12" s="23">
        <v>42992</v>
      </c>
      <c r="G12" s="21" t="s">
        <v>57</v>
      </c>
    </row>
    <row r="13" spans="1:7" hidden="1" x14ac:dyDescent="0.3">
      <c r="A13" s="27" t="s">
        <v>73</v>
      </c>
      <c r="B13" s="27"/>
      <c r="C13" s="23">
        <v>42990</v>
      </c>
      <c r="D13" s="23">
        <v>42993</v>
      </c>
      <c r="E13" s="24">
        <v>1</v>
      </c>
      <c r="F13" s="23">
        <v>43006</v>
      </c>
      <c r="G13" s="27" t="s">
        <v>74</v>
      </c>
    </row>
    <row r="14" spans="1:7" hidden="1" x14ac:dyDescent="0.3">
      <c r="A14" s="31" t="s">
        <v>82</v>
      </c>
      <c r="B14" s="31"/>
      <c r="C14" s="23">
        <v>42998</v>
      </c>
      <c r="D14" s="23">
        <v>42998</v>
      </c>
      <c r="E14" s="24">
        <v>1</v>
      </c>
      <c r="F14" s="23">
        <v>43006</v>
      </c>
    </row>
    <row r="15" spans="1:7" hidden="1" x14ac:dyDescent="0.3">
      <c r="A15" s="21" t="s">
        <v>53</v>
      </c>
      <c r="C15" s="23">
        <v>42983</v>
      </c>
      <c r="D15" s="23">
        <v>42991</v>
      </c>
      <c r="E15" s="24">
        <v>1</v>
      </c>
      <c r="F15" s="23">
        <v>42999</v>
      </c>
      <c r="G15" s="29" t="s">
        <v>76</v>
      </c>
    </row>
    <row r="16" spans="1:7" hidden="1" x14ac:dyDescent="0.3">
      <c r="A16" s="21" t="s">
        <v>54</v>
      </c>
      <c r="C16" s="23">
        <v>42983</v>
      </c>
      <c r="D16" s="23">
        <v>42991</v>
      </c>
      <c r="E16" s="24">
        <v>1</v>
      </c>
      <c r="F16" s="23">
        <v>42999</v>
      </c>
      <c r="G16" s="29" t="s">
        <v>79</v>
      </c>
    </row>
    <row r="17" spans="1:7" hidden="1" x14ac:dyDescent="0.3">
      <c r="A17" s="33" t="s">
        <v>84</v>
      </c>
      <c r="B17" s="33"/>
      <c r="C17" s="23">
        <v>43021</v>
      </c>
      <c r="D17" s="23">
        <v>43021</v>
      </c>
      <c r="E17" s="24">
        <v>1</v>
      </c>
      <c r="F17" s="23">
        <v>43027</v>
      </c>
    </row>
    <row r="18" spans="1:7" hidden="1" x14ac:dyDescent="0.3">
      <c r="A18" s="33" t="s">
        <v>90</v>
      </c>
      <c r="B18" s="33"/>
      <c r="C18" s="23">
        <v>43021</v>
      </c>
      <c r="D18" s="23">
        <v>43021</v>
      </c>
      <c r="E18" s="24">
        <v>1</v>
      </c>
      <c r="F18" s="23">
        <v>43027</v>
      </c>
      <c r="G18" s="33"/>
    </row>
    <row r="19" spans="1:7" hidden="1" x14ac:dyDescent="0.3">
      <c r="A19" s="33" t="s">
        <v>91</v>
      </c>
      <c r="B19" s="33"/>
      <c r="C19" s="23">
        <v>43021</v>
      </c>
      <c r="D19" s="23">
        <v>43024</v>
      </c>
      <c r="E19" s="24">
        <v>1</v>
      </c>
      <c r="F19" s="23">
        <v>43027</v>
      </c>
      <c r="G19" s="33" t="s">
        <v>92</v>
      </c>
    </row>
    <row r="20" spans="1:7" hidden="1" x14ac:dyDescent="0.3">
      <c r="A20" s="35" t="s">
        <v>96</v>
      </c>
      <c r="B20" s="35"/>
      <c r="C20" s="23">
        <v>43021</v>
      </c>
      <c r="D20" s="23">
        <v>43024</v>
      </c>
      <c r="E20" s="24">
        <v>1</v>
      </c>
      <c r="F20" s="23">
        <v>43027</v>
      </c>
      <c r="G20" s="33"/>
    </row>
    <row r="21" spans="1:7" hidden="1" x14ac:dyDescent="0.3">
      <c r="A21" s="35" t="s">
        <v>95</v>
      </c>
      <c r="B21" s="35"/>
      <c r="C21" s="23">
        <v>43021</v>
      </c>
      <c r="D21" s="23">
        <v>43027</v>
      </c>
      <c r="E21" s="24">
        <v>1</v>
      </c>
      <c r="F21" s="23">
        <v>43023</v>
      </c>
      <c r="G21" s="33"/>
    </row>
    <row r="22" spans="1:7" hidden="1" x14ac:dyDescent="0.3">
      <c r="A22" s="34" t="s">
        <v>93</v>
      </c>
      <c r="B22" s="34"/>
      <c r="C22" s="23">
        <v>43021</v>
      </c>
      <c r="D22" s="23">
        <v>43027</v>
      </c>
      <c r="E22" s="24">
        <v>1</v>
      </c>
      <c r="F22" s="23">
        <v>43027</v>
      </c>
      <c r="G22" s="34" t="s">
        <v>94</v>
      </c>
    </row>
    <row r="23" spans="1:7" hidden="1" x14ac:dyDescent="0.3">
      <c r="A23" s="36" t="s">
        <v>99</v>
      </c>
      <c r="B23" s="36"/>
      <c r="C23" s="23">
        <v>43024</v>
      </c>
      <c r="D23" s="23">
        <v>43025</v>
      </c>
      <c r="E23" s="24">
        <v>1</v>
      </c>
      <c r="F23" s="23">
        <v>43034</v>
      </c>
      <c r="G23" s="37" t="s">
        <v>100</v>
      </c>
    </row>
    <row r="24" spans="1:7" hidden="1" x14ac:dyDescent="0.3">
      <c r="A24" s="38" t="s">
        <v>101</v>
      </c>
      <c r="B24" s="38"/>
      <c r="C24" s="23">
        <v>43026</v>
      </c>
      <c r="D24" s="23">
        <v>43027</v>
      </c>
      <c r="E24" s="24">
        <v>1</v>
      </c>
      <c r="F24" s="23">
        <v>43034</v>
      </c>
      <c r="G24" s="39" t="s">
        <v>102</v>
      </c>
    </row>
    <row r="25" spans="1:7" hidden="1" x14ac:dyDescent="0.3">
      <c r="A25" s="36" t="s">
        <v>98</v>
      </c>
      <c r="B25" s="36"/>
      <c r="C25" s="23">
        <v>43024</v>
      </c>
      <c r="D25" s="23">
        <v>43026</v>
      </c>
      <c r="E25" s="24">
        <v>1</v>
      </c>
      <c r="F25" s="23">
        <v>43034</v>
      </c>
      <c r="G25" s="33"/>
    </row>
    <row r="26" spans="1:7" hidden="1" x14ac:dyDescent="0.3">
      <c r="A26" s="35" t="s">
        <v>97</v>
      </c>
      <c r="B26" s="35"/>
      <c r="C26" s="23">
        <v>43021</v>
      </c>
      <c r="D26" s="23">
        <v>43024</v>
      </c>
      <c r="E26" s="24">
        <v>1</v>
      </c>
      <c r="F26" s="23">
        <v>43027</v>
      </c>
      <c r="G26" s="33"/>
    </row>
    <row r="27" spans="1:7" hidden="1" x14ac:dyDescent="0.3">
      <c r="A27" s="46" t="s">
        <v>147</v>
      </c>
      <c r="B27" s="46"/>
      <c r="C27" s="23">
        <v>43109</v>
      </c>
      <c r="D27" s="23">
        <v>43118</v>
      </c>
      <c r="E27" s="24">
        <v>1</v>
      </c>
      <c r="F27" s="23">
        <v>43118</v>
      </c>
      <c r="G27" s="33"/>
    </row>
    <row r="28" spans="1:7" hidden="1" x14ac:dyDescent="0.3">
      <c r="A28" s="39" t="s">
        <v>103</v>
      </c>
      <c r="B28" s="39"/>
      <c r="C28" s="23">
        <v>43109</v>
      </c>
      <c r="D28" s="23">
        <v>43118</v>
      </c>
      <c r="E28" s="24">
        <v>1</v>
      </c>
      <c r="F28" s="23">
        <v>43118</v>
      </c>
      <c r="G28" s="33"/>
    </row>
    <row r="29" spans="1:7" x14ac:dyDescent="0.3">
      <c r="A29" s="28" t="s">
        <v>75</v>
      </c>
      <c r="B29" s="53"/>
      <c r="C29" s="23">
        <v>43109</v>
      </c>
      <c r="D29" s="23">
        <v>43118</v>
      </c>
      <c r="E29" s="24">
        <v>0.75</v>
      </c>
      <c r="F29" s="23">
        <v>43118</v>
      </c>
      <c r="G29" s="48"/>
    </row>
    <row r="30" spans="1:7" x14ac:dyDescent="0.3">
      <c r="A30" s="21" t="s">
        <v>58</v>
      </c>
      <c r="B30" s="22"/>
      <c r="C30" s="23">
        <v>43109</v>
      </c>
      <c r="D30" s="23">
        <v>43118</v>
      </c>
      <c r="E30" s="24">
        <v>0.75</v>
      </c>
      <c r="F30" s="23">
        <v>43118</v>
      </c>
      <c r="G30" s="46" t="s">
        <v>146</v>
      </c>
    </row>
    <row r="31" spans="1:7" hidden="1" x14ac:dyDescent="0.3">
      <c r="A31" s="26" t="s">
        <v>67</v>
      </c>
      <c r="B31" s="26"/>
      <c r="C31" s="23">
        <v>42986</v>
      </c>
      <c r="D31" s="23">
        <v>43060</v>
      </c>
      <c r="E31" s="24">
        <v>1.5</v>
      </c>
      <c r="F31" s="23">
        <v>43040</v>
      </c>
      <c r="G31" s="26" t="s">
        <v>68</v>
      </c>
    </row>
    <row r="32" spans="1:7" x14ac:dyDescent="0.3">
      <c r="A32" s="29" t="s">
        <v>77</v>
      </c>
      <c r="B32" s="54"/>
      <c r="C32" s="23">
        <v>43109</v>
      </c>
      <c r="D32" s="23">
        <v>43118</v>
      </c>
      <c r="E32" s="24">
        <v>0.5</v>
      </c>
      <c r="F32" s="23">
        <v>43118</v>
      </c>
      <c r="G32" s="29" t="s">
        <v>78</v>
      </c>
    </row>
    <row r="33" spans="1:7" x14ac:dyDescent="0.3">
      <c r="A33" s="21" t="s">
        <v>62</v>
      </c>
      <c r="B33" s="22"/>
      <c r="C33" s="23">
        <v>43109</v>
      </c>
      <c r="D33" s="23">
        <v>43118</v>
      </c>
      <c r="E33" s="24">
        <v>0.5</v>
      </c>
      <c r="F33" s="23">
        <v>43118</v>
      </c>
      <c r="G33" s="21" t="s">
        <v>63</v>
      </c>
    </row>
    <row r="34" spans="1:7" x14ac:dyDescent="0.3">
      <c r="A34" s="21" t="s">
        <v>59</v>
      </c>
      <c r="B34" s="22"/>
      <c r="C34" s="23">
        <v>43109</v>
      </c>
      <c r="D34" s="23">
        <v>43118</v>
      </c>
      <c r="E34" s="24">
        <v>0.5</v>
      </c>
      <c r="F34" s="23">
        <v>43118</v>
      </c>
      <c r="G34" s="26" t="s">
        <v>69</v>
      </c>
    </row>
    <row r="35" spans="1:7" x14ac:dyDescent="0.3">
      <c r="A35" s="21" t="s">
        <v>64</v>
      </c>
      <c r="B35" s="22"/>
      <c r="C35" s="23">
        <v>43109</v>
      </c>
      <c r="D35" s="23">
        <v>43118</v>
      </c>
      <c r="E35" s="24">
        <v>0.25</v>
      </c>
      <c r="F35" s="23">
        <v>43118</v>
      </c>
      <c r="G35" s="26" t="s">
        <v>71</v>
      </c>
    </row>
    <row r="36" spans="1:7" x14ac:dyDescent="0.3">
      <c r="A36" s="21" t="s">
        <v>61</v>
      </c>
      <c r="B36" s="22"/>
      <c r="C36" s="23">
        <v>43109</v>
      </c>
      <c r="D36" s="23">
        <v>43118</v>
      </c>
      <c r="E36" s="24">
        <v>0.25</v>
      </c>
      <c r="F36" s="23">
        <v>43118</v>
      </c>
      <c r="G36" s="33" t="s">
        <v>89</v>
      </c>
    </row>
    <row r="37" spans="1:7" x14ac:dyDescent="0.3">
      <c r="A37" s="33" t="s">
        <v>87</v>
      </c>
      <c r="B37" s="55"/>
      <c r="C37" s="23">
        <v>43109</v>
      </c>
      <c r="D37" s="23">
        <v>43118</v>
      </c>
      <c r="E37" s="24">
        <v>0.25</v>
      </c>
      <c r="F37" s="23">
        <v>43118</v>
      </c>
      <c r="G37" s="33" t="s">
        <v>86</v>
      </c>
    </row>
    <row r="38" spans="1:7" x14ac:dyDescent="0.3">
      <c r="A38" s="40" t="s">
        <v>104</v>
      </c>
      <c r="B38" s="56"/>
      <c r="C38" s="23">
        <v>43109</v>
      </c>
      <c r="D38" s="23">
        <v>43118</v>
      </c>
      <c r="E38" s="24">
        <v>0</v>
      </c>
      <c r="F38" s="23">
        <v>43118</v>
      </c>
      <c r="G38" s="51" t="s">
        <v>158</v>
      </c>
    </row>
    <row r="39" spans="1:7" x14ac:dyDescent="0.3">
      <c r="A39" s="40" t="s">
        <v>105</v>
      </c>
      <c r="B39" s="56"/>
      <c r="C39" s="23">
        <v>43109</v>
      </c>
      <c r="D39" s="23">
        <v>43118</v>
      </c>
      <c r="E39" s="24">
        <v>0</v>
      </c>
      <c r="F39" s="23">
        <v>43118</v>
      </c>
      <c r="G39" s="33"/>
    </row>
    <row r="40" spans="1:7" x14ac:dyDescent="0.3">
      <c r="A40" s="47" t="s">
        <v>148</v>
      </c>
      <c r="B40" s="57"/>
      <c r="C40" s="23">
        <v>43109</v>
      </c>
      <c r="D40" s="23">
        <v>43118</v>
      </c>
      <c r="E40" s="24">
        <v>0.25</v>
      </c>
      <c r="F40" s="23">
        <v>43118</v>
      </c>
      <c r="G40" s="33"/>
    </row>
    <row r="41" spans="1:7" hidden="1" x14ac:dyDescent="0.3">
      <c r="A41" s="49" t="s">
        <v>149</v>
      </c>
      <c r="B41" s="49"/>
      <c r="C41" s="23">
        <v>43109</v>
      </c>
      <c r="D41" s="23">
        <v>43118</v>
      </c>
      <c r="E41" s="24">
        <v>1</v>
      </c>
      <c r="F41" s="23">
        <v>43118</v>
      </c>
      <c r="G41" s="33"/>
    </row>
    <row r="42" spans="1:7" x14ac:dyDescent="0.3">
      <c r="A42" s="49" t="s">
        <v>150</v>
      </c>
      <c r="B42" s="58"/>
      <c r="C42" s="23">
        <v>43109</v>
      </c>
      <c r="D42" s="23">
        <v>43118</v>
      </c>
      <c r="E42" s="24">
        <v>0.25</v>
      </c>
      <c r="F42" s="23">
        <v>43118</v>
      </c>
      <c r="G42" s="33"/>
    </row>
    <row r="43" spans="1:7" x14ac:dyDescent="0.3">
      <c r="A43" s="50" t="s">
        <v>151</v>
      </c>
      <c r="B43" s="59"/>
      <c r="C43" s="23">
        <f ca="1">TODAY()</f>
        <v>43112</v>
      </c>
      <c r="D43" s="23">
        <v>43118</v>
      </c>
      <c r="E43" s="24">
        <v>0</v>
      </c>
      <c r="F43" s="23">
        <v>43118</v>
      </c>
      <c r="G43" s="33"/>
    </row>
    <row r="44" spans="1:7" x14ac:dyDescent="0.3">
      <c r="A44" s="51" t="s">
        <v>152</v>
      </c>
      <c r="B44" s="52"/>
      <c r="C44" s="23">
        <f ca="1">TODAY()</f>
        <v>43112</v>
      </c>
      <c r="D44" s="23">
        <v>43118</v>
      </c>
      <c r="E44" s="24">
        <v>0.5</v>
      </c>
      <c r="F44" s="23">
        <v>41292</v>
      </c>
      <c r="G44" s="51" t="s">
        <v>157</v>
      </c>
    </row>
    <row r="45" spans="1:7" x14ac:dyDescent="0.3">
      <c r="A45" s="51" t="s">
        <v>153</v>
      </c>
      <c r="B45" s="52"/>
      <c r="C45" s="23">
        <f ca="1">TODAY()</f>
        <v>43112</v>
      </c>
      <c r="D45" s="23">
        <v>43118</v>
      </c>
      <c r="E45" s="24">
        <v>0.25</v>
      </c>
      <c r="F45" s="23">
        <v>41292</v>
      </c>
      <c r="G45" s="33"/>
    </row>
    <row r="46" spans="1:7" x14ac:dyDescent="0.3">
      <c r="A46" s="51" t="s">
        <v>154</v>
      </c>
      <c r="B46" s="52">
        <v>680</v>
      </c>
      <c r="C46" s="23">
        <f t="shared" ref="C46:C47" ca="1" si="0">TODAY()</f>
        <v>43112</v>
      </c>
      <c r="D46" s="23">
        <v>43118</v>
      </c>
      <c r="E46" s="24">
        <v>0.75</v>
      </c>
      <c r="F46" s="23">
        <v>41292</v>
      </c>
      <c r="G46" s="33"/>
    </row>
    <row r="47" spans="1:7" x14ac:dyDescent="0.3">
      <c r="A47" s="51" t="s">
        <v>155</v>
      </c>
      <c r="B47" s="52"/>
      <c r="C47" s="23">
        <f t="shared" ca="1" si="0"/>
        <v>43112</v>
      </c>
      <c r="D47" s="23">
        <v>43118</v>
      </c>
      <c r="E47" s="24">
        <v>1</v>
      </c>
      <c r="F47" s="23">
        <v>41292</v>
      </c>
      <c r="G47" s="33"/>
    </row>
    <row r="48" spans="1:7" x14ac:dyDescent="0.3">
      <c r="A48" s="77" t="s">
        <v>159</v>
      </c>
      <c r="B48" s="76"/>
      <c r="C48" s="23"/>
      <c r="D48" s="23"/>
      <c r="E48" s="24"/>
      <c r="F48" s="23"/>
      <c r="G48" s="33"/>
    </row>
    <row r="49" spans="2:6" x14ac:dyDescent="0.3">
      <c r="B49" s="22"/>
      <c r="C49" s="23"/>
      <c r="D49" s="23"/>
      <c r="E49" s="24"/>
      <c r="F49" s="23"/>
    </row>
    <row r="50" spans="2:6" hidden="1" x14ac:dyDescent="0.3"/>
    <row r="51" spans="2:6" ht="14.4" hidden="1" customHeight="1" x14ac:dyDescent="0.3"/>
  </sheetData>
  <conditionalFormatting sqref="E2:E49">
    <cfRule type="iconSet" priority="14">
      <iconSet iconSet="5Quarters" showValue="0">
        <cfvo type="percent" val="0"/>
        <cfvo type="num" val="0.2"/>
        <cfvo type="num" val="0.4"/>
        <cfvo type="num" val="0.6"/>
        <cfvo type="num" val="0.8"/>
      </iconSet>
    </cfRule>
  </conditionalFormatting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4"/>
  <sheetViews>
    <sheetView zoomScaleNormal="100" workbookViewId="0">
      <selection activeCell="J2" sqref="J2"/>
    </sheetView>
  </sheetViews>
  <sheetFormatPr defaultColWidth="0" defaultRowHeight="14.4" zeroHeight="1" x14ac:dyDescent="0.3"/>
  <cols>
    <col min="1" max="9" width="4.77734375" style="42" customWidth="1"/>
    <col min="10" max="10" width="12.109375" style="42" customWidth="1"/>
    <col min="11" max="11" width="12.5546875" style="42" customWidth="1"/>
    <col min="12" max="12" width="13.88671875" style="42" customWidth="1"/>
    <col min="13" max="17" width="11.109375" style="42" customWidth="1"/>
    <col min="18" max="16384" width="8.88671875" hidden="1"/>
  </cols>
  <sheetData>
    <row r="1" spans="1:17" ht="72.599999999999994" x14ac:dyDescent="0.3">
      <c r="A1" s="41" t="s">
        <v>111</v>
      </c>
      <c r="B1" s="41" t="s">
        <v>122</v>
      </c>
      <c r="C1" s="41" t="s">
        <v>106</v>
      </c>
      <c r="D1" s="41" t="s">
        <v>112</v>
      </c>
      <c r="E1" s="41" t="s">
        <v>121</v>
      </c>
      <c r="F1" s="41" t="s">
        <v>107</v>
      </c>
      <c r="G1" s="41" t="s">
        <v>108</v>
      </c>
      <c r="H1" s="41" t="s">
        <v>109</v>
      </c>
      <c r="I1" s="41" t="s">
        <v>110</v>
      </c>
      <c r="J1" s="44" t="s">
        <v>114</v>
      </c>
      <c r="K1" s="44" t="s">
        <v>113</v>
      </c>
      <c r="L1" s="44" t="s">
        <v>115</v>
      </c>
      <c r="M1" s="41" t="s">
        <v>116</v>
      </c>
      <c r="N1" s="41" t="s">
        <v>117</v>
      </c>
      <c r="O1" s="42" t="s">
        <v>118</v>
      </c>
      <c r="P1" s="42" t="s">
        <v>119</v>
      </c>
      <c r="Q1" s="42" t="s">
        <v>120</v>
      </c>
    </row>
    <row r="2" spans="1:17" x14ac:dyDescent="0.3">
      <c r="A2" s="43">
        <v>1</v>
      </c>
      <c r="B2" s="42">
        <v>-4</v>
      </c>
      <c r="C2" s="42">
        <v>0.2</v>
      </c>
      <c r="D2" s="42">
        <v>5</v>
      </c>
      <c r="E2" s="42">
        <v>1</v>
      </c>
      <c r="F2" s="42">
        <v>0</v>
      </c>
      <c r="G2" s="42">
        <v>0</v>
      </c>
      <c r="H2" s="42" t="s">
        <v>124</v>
      </c>
      <c r="I2" s="42">
        <v>1</v>
      </c>
    </row>
    <row r="3" spans="1:17" x14ac:dyDescent="0.3">
      <c r="A3" s="43">
        <v>2</v>
      </c>
      <c r="B3" s="42">
        <v>-4</v>
      </c>
      <c r="C3" s="42">
        <v>1</v>
      </c>
      <c r="D3" s="42">
        <v>5</v>
      </c>
      <c r="E3" s="42">
        <v>1</v>
      </c>
      <c r="F3" s="42">
        <v>0</v>
      </c>
      <c r="G3" s="42">
        <v>0</v>
      </c>
      <c r="H3" s="42" t="s">
        <v>124</v>
      </c>
      <c r="I3" s="42">
        <v>1</v>
      </c>
    </row>
    <row r="4" spans="1:17" x14ac:dyDescent="0.3">
      <c r="A4" s="43">
        <v>3</v>
      </c>
      <c r="B4" s="42">
        <v>-4</v>
      </c>
      <c r="C4" s="42">
        <v>5</v>
      </c>
      <c r="D4" s="42">
        <v>5</v>
      </c>
      <c r="E4" s="42">
        <v>1</v>
      </c>
      <c r="F4" s="42">
        <v>0</v>
      </c>
      <c r="G4" s="42">
        <v>0</v>
      </c>
      <c r="H4" s="42" t="s">
        <v>124</v>
      </c>
      <c r="I4" s="42">
        <v>1</v>
      </c>
    </row>
    <row r="5" spans="1:17" x14ac:dyDescent="0.3">
      <c r="A5" s="43">
        <v>4</v>
      </c>
      <c r="B5" s="42">
        <v>-4</v>
      </c>
      <c r="C5" s="42">
        <v>30</v>
      </c>
      <c r="D5" s="42">
        <v>5</v>
      </c>
      <c r="E5" s="42">
        <v>1</v>
      </c>
      <c r="F5" s="42">
        <v>0</v>
      </c>
      <c r="G5" s="42">
        <v>0</v>
      </c>
      <c r="H5" s="42" t="s">
        <v>124</v>
      </c>
      <c r="I5" s="42">
        <v>1</v>
      </c>
    </row>
    <row r="6" spans="1:17" x14ac:dyDescent="0.3">
      <c r="A6" s="43">
        <v>5</v>
      </c>
      <c r="B6" s="42">
        <v>-3</v>
      </c>
      <c r="C6" s="42">
        <v>0.2</v>
      </c>
      <c r="D6" s="42">
        <v>5</v>
      </c>
      <c r="E6" s="42">
        <v>1</v>
      </c>
      <c r="F6" s="42">
        <v>0</v>
      </c>
      <c r="G6" s="42">
        <v>0</v>
      </c>
      <c r="H6" s="42" t="s">
        <v>124</v>
      </c>
      <c r="I6" s="42">
        <v>1</v>
      </c>
    </row>
    <row r="7" spans="1:17" x14ac:dyDescent="0.3">
      <c r="A7" s="43">
        <v>6</v>
      </c>
      <c r="B7" s="42">
        <v>-3</v>
      </c>
      <c r="C7" s="42">
        <v>1</v>
      </c>
      <c r="D7" s="42">
        <v>5</v>
      </c>
      <c r="E7" s="42">
        <v>1</v>
      </c>
      <c r="F7" s="42">
        <v>0</v>
      </c>
      <c r="G7" s="42">
        <v>0</v>
      </c>
      <c r="H7" s="42" t="s">
        <v>124</v>
      </c>
      <c r="I7" s="42">
        <v>1</v>
      </c>
    </row>
    <row r="8" spans="1:17" x14ac:dyDescent="0.3">
      <c r="A8" s="43">
        <v>7</v>
      </c>
      <c r="B8" s="42">
        <v>-3</v>
      </c>
      <c r="C8" s="42">
        <v>5</v>
      </c>
      <c r="D8" s="42">
        <v>5</v>
      </c>
      <c r="E8" s="42">
        <v>1</v>
      </c>
      <c r="F8" s="42">
        <v>0</v>
      </c>
      <c r="G8" s="42">
        <v>0</v>
      </c>
      <c r="H8" s="42" t="s">
        <v>124</v>
      </c>
      <c r="I8" s="42">
        <v>1</v>
      </c>
    </row>
    <row r="9" spans="1:17" x14ac:dyDescent="0.3">
      <c r="A9" s="43">
        <v>8</v>
      </c>
      <c r="B9" s="42">
        <v>-3</v>
      </c>
      <c r="C9" s="42">
        <v>30</v>
      </c>
      <c r="D9" s="42">
        <v>5</v>
      </c>
      <c r="E9" s="42">
        <v>1</v>
      </c>
      <c r="F9" s="42">
        <v>0</v>
      </c>
      <c r="G9" s="42">
        <v>0</v>
      </c>
      <c r="H9" s="42" t="s">
        <v>124</v>
      </c>
      <c r="I9" s="42">
        <v>1</v>
      </c>
    </row>
    <row r="10" spans="1:17" x14ac:dyDescent="0.3">
      <c r="A10" s="43">
        <v>9</v>
      </c>
      <c r="B10" s="42">
        <v>-2</v>
      </c>
      <c r="C10" s="42">
        <v>0.2</v>
      </c>
      <c r="D10" s="42">
        <v>5</v>
      </c>
      <c r="E10" s="42">
        <v>1</v>
      </c>
      <c r="F10" s="42">
        <v>0</v>
      </c>
      <c r="G10" s="42">
        <v>0</v>
      </c>
      <c r="H10" s="42" t="s">
        <v>124</v>
      </c>
      <c r="I10" s="42">
        <v>1</v>
      </c>
    </row>
    <row r="11" spans="1:17" x14ac:dyDescent="0.3">
      <c r="A11" s="43">
        <v>10</v>
      </c>
      <c r="B11" s="42">
        <v>-2</v>
      </c>
      <c r="C11" s="42">
        <v>1</v>
      </c>
      <c r="D11" s="42">
        <v>5</v>
      </c>
      <c r="E11" s="42">
        <v>1</v>
      </c>
      <c r="F11" s="42">
        <v>0</v>
      </c>
      <c r="G11" s="42">
        <v>0</v>
      </c>
      <c r="H11" s="42" t="s">
        <v>124</v>
      </c>
      <c r="I11" s="42">
        <v>1</v>
      </c>
    </row>
    <row r="12" spans="1:17" x14ac:dyDescent="0.3">
      <c r="A12" s="43">
        <v>11</v>
      </c>
      <c r="B12" s="42">
        <v>-2</v>
      </c>
      <c r="C12" s="42">
        <v>5</v>
      </c>
      <c r="D12" s="42">
        <v>5</v>
      </c>
      <c r="E12" s="42">
        <v>1</v>
      </c>
      <c r="F12" s="42">
        <v>0</v>
      </c>
      <c r="G12" s="42">
        <v>0</v>
      </c>
      <c r="H12" s="42" t="s">
        <v>124</v>
      </c>
      <c r="I12" s="42">
        <v>1</v>
      </c>
    </row>
    <row r="13" spans="1:17" x14ac:dyDescent="0.3">
      <c r="A13" s="43">
        <v>12</v>
      </c>
      <c r="B13" s="42">
        <v>-2</v>
      </c>
      <c r="C13" s="42">
        <v>30</v>
      </c>
      <c r="D13" s="42">
        <v>5</v>
      </c>
      <c r="E13" s="42">
        <v>1</v>
      </c>
      <c r="F13" s="42">
        <v>0</v>
      </c>
      <c r="G13" s="42">
        <v>0</v>
      </c>
      <c r="H13" s="42" t="s">
        <v>124</v>
      </c>
      <c r="I13" s="42">
        <v>1</v>
      </c>
    </row>
    <row r="14" spans="1:17" x14ac:dyDescent="0.3">
      <c r="A14" s="43">
        <v>13</v>
      </c>
      <c r="B14" s="42">
        <v>-1</v>
      </c>
      <c r="C14" s="42">
        <v>0.2</v>
      </c>
      <c r="D14" s="42">
        <v>5</v>
      </c>
      <c r="E14" s="42">
        <v>1</v>
      </c>
      <c r="F14" s="42">
        <v>0</v>
      </c>
      <c r="G14" s="42">
        <v>0</v>
      </c>
      <c r="H14" s="42" t="s">
        <v>124</v>
      </c>
      <c r="I14" s="42">
        <v>1</v>
      </c>
    </row>
    <row r="15" spans="1:17" x14ac:dyDescent="0.3">
      <c r="A15" s="43">
        <v>14</v>
      </c>
      <c r="B15" s="42">
        <v>-1</v>
      </c>
      <c r="C15" s="42">
        <v>1</v>
      </c>
      <c r="D15" s="42">
        <v>5</v>
      </c>
      <c r="E15" s="42">
        <v>1</v>
      </c>
      <c r="F15" s="42">
        <v>0</v>
      </c>
      <c r="G15" s="42">
        <v>0</v>
      </c>
      <c r="H15" s="42" t="s">
        <v>124</v>
      </c>
      <c r="I15" s="42">
        <v>1</v>
      </c>
    </row>
    <row r="16" spans="1:17" x14ac:dyDescent="0.3">
      <c r="A16" s="43">
        <v>15</v>
      </c>
      <c r="B16" s="42">
        <v>-1</v>
      </c>
      <c r="C16" s="42">
        <v>5</v>
      </c>
      <c r="D16" s="42">
        <v>5</v>
      </c>
      <c r="E16" s="42">
        <v>1</v>
      </c>
      <c r="F16" s="42">
        <v>0</v>
      </c>
      <c r="G16" s="42">
        <v>0</v>
      </c>
      <c r="H16" s="42" t="s">
        <v>124</v>
      </c>
      <c r="I16" s="42">
        <v>1</v>
      </c>
    </row>
    <row r="17" spans="1:9" x14ac:dyDescent="0.3">
      <c r="A17" s="43">
        <v>16</v>
      </c>
      <c r="B17" s="42">
        <v>-1</v>
      </c>
      <c r="C17" s="42">
        <v>30</v>
      </c>
      <c r="D17" s="42">
        <v>5</v>
      </c>
      <c r="E17" s="42">
        <v>1</v>
      </c>
      <c r="F17" s="42">
        <v>0</v>
      </c>
      <c r="G17" s="42">
        <v>0</v>
      </c>
      <c r="H17" s="42" t="s">
        <v>124</v>
      </c>
      <c r="I17" s="42">
        <v>1</v>
      </c>
    </row>
    <row r="18" spans="1:9" x14ac:dyDescent="0.3">
      <c r="A18" s="43">
        <v>17</v>
      </c>
      <c r="B18" s="42">
        <v>-4</v>
      </c>
      <c r="C18" s="42">
        <v>0.2</v>
      </c>
      <c r="D18" s="42">
        <v>5</v>
      </c>
      <c r="E18" s="42">
        <v>1</v>
      </c>
      <c r="F18" s="42">
        <v>0</v>
      </c>
      <c r="G18" s="42">
        <v>0</v>
      </c>
      <c r="H18" s="42" t="s">
        <v>123</v>
      </c>
      <c r="I18" s="42">
        <v>1</v>
      </c>
    </row>
    <row r="19" spans="1:9" x14ac:dyDescent="0.3">
      <c r="A19" s="43">
        <v>18</v>
      </c>
      <c r="B19" s="42">
        <v>-4</v>
      </c>
      <c r="C19" s="42">
        <v>1</v>
      </c>
      <c r="D19" s="42">
        <v>5</v>
      </c>
      <c r="E19" s="42">
        <v>1</v>
      </c>
      <c r="F19" s="42">
        <v>0</v>
      </c>
      <c r="G19" s="42">
        <v>0</v>
      </c>
      <c r="H19" s="42" t="s">
        <v>123</v>
      </c>
      <c r="I19" s="42">
        <v>1</v>
      </c>
    </row>
    <row r="20" spans="1:9" x14ac:dyDescent="0.3">
      <c r="A20" s="43">
        <v>19</v>
      </c>
      <c r="B20" s="42">
        <v>-4</v>
      </c>
      <c r="C20" s="42">
        <v>5</v>
      </c>
      <c r="D20" s="42">
        <v>5</v>
      </c>
      <c r="E20" s="42">
        <v>1</v>
      </c>
      <c r="F20" s="42">
        <v>0</v>
      </c>
      <c r="G20" s="42">
        <v>0</v>
      </c>
      <c r="H20" s="42" t="s">
        <v>123</v>
      </c>
      <c r="I20" s="42">
        <v>1</v>
      </c>
    </row>
    <row r="21" spans="1:9" x14ac:dyDescent="0.3">
      <c r="A21" s="43">
        <v>20</v>
      </c>
      <c r="B21" s="42">
        <v>-4</v>
      </c>
      <c r="C21" s="42">
        <v>30</v>
      </c>
      <c r="D21" s="42">
        <v>5</v>
      </c>
      <c r="E21" s="42">
        <v>1</v>
      </c>
      <c r="F21" s="42">
        <v>0</v>
      </c>
      <c r="G21" s="42">
        <v>0</v>
      </c>
      <c r="H21" s="42" t="s">
        <v>123</v>
      </c>
      <c r="I21" s="42">
        <v>1</v>
      </c>
    </row>
    <row r="22" spans="1:9" x14ac:dyDescent="0.3">
      <c r="A22" s="43">
        <v>21</v>
      </c>
      <c r="B22" s="42">
        <v>-3</v>
      </c>
      <c r="C22" s="42">
        <v>0.2</v>
      </c>
      <c r="D22" s="42">
        <v>5</v>
      </c>
      <c r="E22" s="42">
        <v>1</v>
      </c>
      <c r="F22" s="42">
        <v>0</v>
      </c>
      <c r="G22" s="42">
        <v>0</v>
      </c>
      <c r="H22" s="42" t="s">
        <v>123</v>
      </c>
      <c r="I22" s="42">
        <v>1</v>
      </c>
    </row>
    <row r="23" spans="1:9" x14ac:dyDescent="0.3">
      <c r="A23" s="43">
        <v>22</v>
      </c>
      <c r="B23" s="42">
        <v>-3</v>
      </c>
      <c r="C23" s="42">
        <v>1</v>
      </c>
      <c r="D23" s="42">
        <v>5</v>
      </c>
      <c r="E23" s="42">
        <v>1</v>
      </c>
      <c r="F23" s="42">
        <v>0</v>
      </c>
      <c r="G23" s="42">
        <v>0</v>
      </c>
      <c r="H23" s="42" t="s">
        <v>123</v>
      </c>
      <c r="I23" s="42">
        <v>1</v>
      </c>
    </row>
    <row r="24" spans="1:9" x14ac:dyDescent="0.3">
      <c r="A24" s="43">
        <v>23</v>
      </c>
      <c r="B24" s="42">
        <v>-3</v>
      </c>
      <c r="C24" s="42">
        <v>5</v>
      </c>
      <c r="D24" s="42">
        <v>5</v>
      </c>
      <c r="E24" s="42">
        <v>1</v>
      </c>
      <c r="F24" s="42">
        <v>0</v>
      </c>
      <c r="G24" s="42">
        <v>0</v>
      </c>
      <c r="H24" s="42" t="s">
        <v>123</v>
      </c>
      <c r="I24" s="42">
        <v>1</v>
      </c>
    </row>
    <row r="25" spans="1:9" x14ac:dyDescent="0.3">
      <c r="A25" s="43">
        <v>24</v>
      </c>
      <c r="B25" s="42">
        <v>-3</v>
      </c>
      <c r="C25" s="42">
        <v>30</v>
      </c>
      <c r="D25" s="42">
        <v>5</v>
      </c>
      <c r="E25" s="42">
        <v>1</v>
      </c>
      <c r="F25" s="42">
        <v>0</v>
      </c>
      <c r="G25" s="42">
        <v>0</v>
      </c>
      <c r="H25" s="42" t="s">
        <v>123</v>
      </c>
      <c r="I25" s="42">
        <v>1</v>
      </c>
    </row>
    <row r="26" spans="1:9" x14ac:dyDescent="0.3">
      <c r="A26" s="43">
        <v>25</v>
      </c>
      <c r="B26" s="42">
        <v>-2</v>
      </c>
      <c r="C26" s="42">
        <v>0.2</v>
      </c>
      <c r="D26" s="42">
        <v>5</v>
      </c>
      <c r="E26" s="42">
        <v>1</v>
      </c>
      <c r="F26" s="42">
        <v>0</v>
      </c>
      <c r="G26" s="42">
        <v>0</v>
      </c>
      <c r="H26" s="42" t="s">
        <v>123</v>
      </c>
      <c r="I26" s="42">
        <v>1</v>
      </c>
    </row>
    <row r="27" spans="1:9" x14ac:dyDescent="0.3">
      <c r="A27" s="43">
        <v>26</v>
      </c>
      <c r="B27" s="42">
        <v>-2</v>
      </c>
      <c r="C27" s="42">
        <v>1</v>
      </c>
      <c r="D27" s="42">
        <v>5</v>
      </c>
      <c r="E27" s="42">
        <v>1</v>
      </c>
      <c r="F27" s="42">
        <v>0</v>
      </c>
      <c r="G27" s="42">
        <v>0</v>
      </c>
      <c r="H27" s="42" t="s">
        <v>123</v>
      </c>
      <c r="I27" s="42">
        <v>1</v>
      </c>
    </row>
    <row r="28" spans="1:9" x14ac:dyDescent="0.3">
      <c r="A28" s="43">
        <v>27</v>
      </c>
      <c r="B28" s="42">
        <v>-2</v>
      </c>
      <c r="C28" s="42">
        <v>5</v>
      </c>
      <c r="D28" s="42">
        <v>5</v>
      </c>
      <c r="E28" s="42">
        <v>1</v>
      </c>
      <c r="F28" s="42">
        <v>0</v>
      </c>
      <c r="G28" s="42">
        <v>0</v>
      </c>
      <c r="H28" s="42" t="s">
        <v>123</v>
      </c>
      <c r="I28" s="42">
        <v>1</v>
      </c>
    </row>
    <row r="29" spans="1:9" x14ac:dyDescent="0.3">
      <c r="A29" s="43">
        <v>28</v>
      </c>
      <c r="B29" s="42">
        <v>-2</v>
      </c>
      <c r="C29" s="42">
        <v>30</v>
      </c>
      <c r="D29" s="42">
        <v>5</v>
      </c>
      <c r="E29" s="42">
        <v>1</v>
      </c>
      <c r="F29" s="42">
        <v>0</v>
      </c>
      <c r="G29" s="42">
        <v>0</v>
      </c>
      <c r="H29" s="42" t="s">
        <v>123</v>
      </c>
      <c r="I29" s="42">
        <v>1</v>
      </c>
    </row>
    <row r="30" spans="1:9" x14ac:dyDescent="0.3">
      <c r="A30" s="43">
        <v>29</v>
      </c>
      <c r="B30" s="42">
        <v>-1</v>
      </c>
      <c r="C30" s="42">
        <v>0.2</v>
      </c>
      <c r="D30" s="42">
        <v>5</v>
      </c>
      <c r="E30" s="42">
        <v>1</v>
      </c>
      <c r="F30" s="42">
        <v>0</v>
      </c>
      <c r="G30" s="42">
        <v>0</v>
      </c>
      <c r="H30" s="42" t="s">
        <v>123</v>
      </c>
      <c r="I30" s="42">
        <v>1</v>
      </c>
    </row>
    <row r="31" spans="1:9" x14ac:dyDescent="0.3">
      <c r="A31" s="43">
        <v>30</v>
      </c>
      <c r="B31" s="42">
        <v>-1</v>
      </c>
      <c r="C31" s="42">
        <v>1</v>
      </c>
      <c r="D31" s="42">
        <v>5</v>
      </c>
      <c r="E31" s="42">
        <v>1</v>
      </c>
      <c r="F31" s="42">
        <v>0</v>
      </c>
      <c r="G31" s="42">
        <v>0</v>
      </c>
      <c r="H31" s="42" t="s">
        <v>123</v>
      </c>
      <c r="I31" s="42">
        <v>1</v>
      </c>
    </row>
    <row r="32" spans="1:9" x14ac:dyDescent="0.3">
      <c r="A32" s="43">
        <v>31</v>
      </c>
      <c r="B32" s="42">
        <v>-1</v>
      </c>
      <c r="C32" s="42">
        <v>5</v>
      </c>
      <c r="D32" s="42">
        <v>5</v>
      </c>
      <c r="E32" s="42">
        <v>1</v>
      </c>
      <c r="F32" s="42">
        <v>0</v>
      </c>
      <c r="G32" s="42">
        <v>0</v>
      </c>
      <c r="H32" s="42" t="s">
        <v>123</v>
      </c>
      <c r="I32" s="42">
        <v>1</v>
      </c>
    </row>
    <row r="33" spans="1:9" x14ac:dyDescent="0.3">
      <c r="A33" s="43">
        <v>32</v>
      </c>
      <c r="B33" s="42">
        <v>-1</v>
      </c>
      <c r="C33" s="42">
        <v>30</v>
      </c>
      <c r="D33" s="42">
        <v>5</v>
      </c>
      <c r="E33" s="42">
        <v>1</v>
      </c>
      <c r="F33" s="42">
        <v>0</v>
      </c>
      <c r="G33" s="42">
        <v>0</v>
      </c>
      <c r="H33" s="42" t="s">
        <v>123</v>
      </c>
      <c r="I33" s="42">
        <v>1</v>
      </c>
    </row>
    <row r="34" spans="1:9" hidden="1" x14ac:dyDescent="0.3"/>
  </sheetData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zoomScale="115" zoomScaleNormal="115" workbookViewId="0">
      <selection activeCell="A11" sqref="A11"/>
    </sheetView>
  </sheetViews>
  <sheetFormatPr defaultColWidth="0" defaultRowHeight="14.4" zeroHeight="1" x14ac:dyDescent="0.3"/>
  <cols>
    <col min="1" max="1" width="11.77734375" customWidth="1"/>
    <col min="2" max="2" width="12.6640625" customWidth="1"/>
    <col min="3" max="3" width="8.88671875" customWidth="1"/>
    <col min="4" max="4" width="53.5546875" customWidth="1"/>
    <col min="5" max="16384" width="8.88671875" hidden="1"/>
  </cols>
  <sheetData>
    <row r="1" spans="1:4" x14ac:dyDescent="0.3">
      <c r="A1" t="s">
        <v>125</v>
      </c>
      <c r="B1" t="s">
        <v>126</v>
      </c>
      <c r="C1" t="s">
        <v>134</v>
      </c>
      <c r="D1" s="45" t="s">
        <v>133</v>
      </c>
    </row>
    <row r="2" spans="1:4" x14ac:dyDescent="0.3">
      <c r="A2" t="s">
        <v>127</v>
      </c>
      <c r="B2" t="s">
        <v>128</v>
      </c>
      <c r="C2" t="s">
        <v>129</v>
      </c>
      <c r="D2" s="45" t="s">
        <v>137</v>
      </c>
    </row>
    <row r="3" spans="1:4" x14ac:dyDescent="0.3">
      <c r="A3" t="s">
        <v>129</v>
      </c>
      <c r="B3" t="s">
        <v>128</v>
      </c>
      <c r="C3">
        <v>1</v>
      </c>
      <c r="D3" s="45" t="s">
        <v>136</v>
      </c>
    </row>
    <row r="4" spans="1:4" x14ac:dyDescent="0.3">
      <c r="A4" t="s">
        <v>131</v>
      </c>
      <c r="B4" t="s">
        <v>132</v>
      </c>
      <c r="C4" t="s">
        <v>130</v>
      </c>
      <c r="D4" s="45" t="s">
        <v>135</v>
      </c>
    </row>
    <row r="5" spans="1:4" x14ac:dyDescent="0.3">
      <c r="A5" t="s">
        <v>138</v>
      </c>
      <c r="B5" t="s">
        <v>139</v>
      </c>
      <c r="D5" s="45" t="s">
        <v>140</v>
      </c>
    </row>
    <row r="6" spans="1:4" x14ac:dyDescent="0.3">
      <c r="A6" t="s">
        <v>106</v>
      </c>
      <c r="B6" t="s">
        <v>128</v>
      </c>
      <c r="C6" t="s">
        <v>129</v>
      </c>
      <c r="D6" s="45"/>
    </row>
    <row r="7" spans="1:4" x14ac:dyDescent="0.3">
      <c r="A7" t="s">
        <v>141</v>
      </c>
      <c r="B7" t="s">
        <v>128</v>
      </c>
      <c r="C7" t="s">
        <v>129</v>
      </c>
      <c r="D7" s="45"/>
    </row>
    <row r="8" spans="1:4" x14ac:dyDescent="0.3">
      <c r="A8" t="s">
        <v>142</v>
      </c>
      <c r="D8" s="45"/>
    </row>
    <row r="9" spans="1:4" x14ac:dyDescent="0.3">
      <c r="A9" t="s">
        <v>143</v>
      </c>
      <c r="D9" s="45"/>
    </row>
    <row r="10" spans="1:4" x14ac:dyDescent="0.3">
      <c r="A10" t="s">
        <v>144</v>
      </c>
      <c r="C10" t="s">
        <v>145</v>
      </c>
      <c r="D10" s="45"/>
    </row>
    <row r="11" spans="1:4" x14ac:dyDescent="0.3">
      <c r="D11" s="45"/>
    </row>
    <row r="12" spans="1:4" x14ac:dyDescent="0.3">
      <c r="D12" s="45"/>
    </row>
    <row r="13" spans="1:4" x14ac:dyDescent="0.3">
      <c r="D13" s="45"/>
    </row>
    <row r="14" spans="1:4" x14ac:dyDescent="0.3">
      <c r="D14" s="45"/>
    </row>
    <row r="15" spans="1:4" x14ac:dyDescent="0.3">
      <c r="D15" s="45"/>
    </row>
    <row r="16" spans="1:4" x14ac:dyDescent="0.3">
      <c r="D16" s="45"/>
    </row>
    <row r="17" spans="4:4" x14ac:dyDescent="0.3">
      <c r="D17" s="45"/>
    </row>
    <row r="18" spans="4:4" x14ac:dyDescent="0.3">
      <c r="D18" s="45"/>
    </row>
    <row r="19" spans="4:4" x14ac:dyDescent="0.3">
      <c r="D19" s="45"/>
    </row>
    <row r="20" spans="4:4" x14ac:dyDescent="0.3">
      <c r="D20" s="45"/>
    </row>
    <row r="21" spans="4:4" hidden="1" x14ac:dyDescent="0.3">
      <c r="D21" s="45"/>
    </row>
    <row r="22" spans="4:4" hidden="1" x14ac:dyDescent="0.3">
      <c r="D22" s="45"/>
    </row>
    <row r="23" spans="4:4" hidden="1" x14ac:dyDescent="0.3">
      <c r="D23" s="45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Project Planner</vt:lpstr>
      <vt:lpstr>Task List</vt:lpstr>
      <vt:lpstr>Initial Run Schedule</vt:lpstr>
      <vt:lpstr>Units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Ross Greenwood</dc:creator>
  <cp:lastModifiedBy>Ross Greenwood</cp:lastModifiedBy>
  <dcterms:created xsi:type="dcterms:W3CDTF">2016-12-05T05:14:59Z</dcterms:created>
  <dcterms:modified xsi:type="dcterms:W3CDTF">2018-01-12T19:39:23Z</dcterms:modified>
</cp:coreProperties>
</file>