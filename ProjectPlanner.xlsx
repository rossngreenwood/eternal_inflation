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49" windowHeight="7646" activeTab="1"/>
  </bookViews>
  <sheets>
    <sheet name="Project Planner" sheetId="1" r:id="rId1"/>
    <sheet name="Task List" sheetId="3" r:id="rId2"/>
    <sheet name="Initial Run Schedule" sheetId="4" r:id="rId3"/>
    <sheet name="Units Check" sheetId="6" r:id="rId4"/>
    <sheet name="IO Units" sheetId="5" r:id="rId5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<sst xmlns="http://schemas.openxmlformats.org/spreadsheetml/2006/main" count="677" uniqueCount="390">
  <si>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</si>
  <si>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</si>
  <si>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</si>
  <si>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</si>
  <si>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</si>
  <si>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</si>
  <si>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</si>
  <si>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</si>
  <si>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</si>
  <si>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</si>
  <si>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</si>
  <si>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</si>
  <si>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</si>
  <si>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</si>
  <si>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</si>
  <si>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</si>
  <si>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</si>
  <si>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</si>
  <si>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</si>
  <si>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</si>
  <si>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</si>
  <si>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</si>
  <si>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</si>
  <si>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</si>
  <si>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</si>
  <si>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</si>
  <si>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</si>
  <si>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</si>
  <si>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</si>
  <si>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</si>
  <si>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</si>
  <si>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</si>
  <si>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</si>
  <si>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</si>
  <si>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</si>
  <si>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</si>
  <si>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</si>
  <si>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</si>
  <si>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</si>
  <si>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</si>
  <si>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</si>
  <si>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</si>
  <si>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</si>
  <si>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</si>
  <si>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</si>
  <si>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</si>
  <si>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</si>
  <si>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</si>
  <si>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</si>
  <si>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</si>
  <si>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</si>
  <si>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</si>
  <si>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</si>
  <si>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</si>
  <si>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</si>
  <si>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</si>
  <si>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</si>
  <si>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</si>
  <si>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</si>
  <si>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</si>
  <si>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</si>
  <si>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</si>
  <si>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</si>
  <si>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</si>
  <si>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</si>
  <si>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</si>
  <si>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</si>
  <si>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</si>
  <si>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</si>
  <si>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</si>
  <si>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</si>
  <si>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</si>
  <si>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</si>
  <si>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</si>
  <si>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</si>
  <si>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</si>
  <si>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</si>
  <si>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</si>
  <si>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</si>
  <si>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</si>
  <si>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</si>
  <si>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</si>
  <si>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</si>
  <si>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</si>
  <si>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</si>
  <si>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</si>
  <si>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</si>
  <si>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</si>
  <si>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</si>
  <si>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</si>
  <si>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</si>
  <si>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</si>
  <si>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</si>
  <si>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</si>
  <si>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</si>
  <si>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</si>
  <si>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</si>
  <si>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</si>
  <si>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</si>
  <si>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</si>
  <si>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</si>
  <si>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</si>
  <si>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</si>
  <si>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</si>
  <si>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</si>
  <si>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measure</t>
  </si>
  <si>
    <t>n_tunnel_max</t>
  </si>
  <si>
    <t>Test ID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</si>
  <si>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</si>
  <si>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</si>
  <si>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</si>
  <si>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</si>
  <si>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</si>
  <si>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</si>
  <si>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</si>
  <si>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</si>
  <si>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</si>
  <si>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</si>
  <si>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</si>
  <si>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Dimensions</t>
  </si>
  <si>
    <t>M_pl</t>
  </si>
  <si>
    <t>8*pi</t>
  </si>
  <si>
    <t>\kappa</t>
  </si>
  <si>
    <t>Description</t>
  </si>
  <si>
    <t>Units</t>
  </si>
  <si>
    <t>8*pi/(M_pl)^2</t>
  </si>
  <si>
    <t>mv</t>
  </si>
  <si>
    <t>Q</t>
  </si>
  <si>
    <t>rho_Lambda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</si>
  <si>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</si>
  <si>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</si>
  <si>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</si>
  <si>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</si>
  <si>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</si>
  <si>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</si>
  <si>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</si>
  <si>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</si>
  <si>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</si>
  <si>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</si>
  <si>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</si>
  <si>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</si>
  <si>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</si>
  <si>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</si>
  <si>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</si>
  <si>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</si>
  <si>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</si>
  <si>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</si>
  <si>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</si>
  <si>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</si>
  <si>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</si>
  <si>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</si>
  <si>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</si>
  <si>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</si>
  <si>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</si>
  <si>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</si>
  <si>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</si>
  <si>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</si>
  <si>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</si>
  <si>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</si>
  <si>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</si>
  <si>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</si>
  <si>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</si>
  <si>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</si>
  <si>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</si>
  <si>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</si>
  <si>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</si>
  <si>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</si>
  <si>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</si>
  <si>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</si>
  <si>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</si>
  <si>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</si>
  <si>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</si>
  <si>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</si>
  <si>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</si>
  <si>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</si>
  <si>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</si>
  <si>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</si>
  <si>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</si>
  <si>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</si>
  <si>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</si>
  <si>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</si>
  <si>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</si>
  <si>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</si>
  <si>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</si>
  <si>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</si>
  <si>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</si>
  <si>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</si>
  <si>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</si>
  <si>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</si>
  <si>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</si>
  <si>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</si>
  <si>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</si>
  <si>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</si>
  <si>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</si>
  <si>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Check NSinceStoch and numStochEpochs</t>
  </si>
  <si>
    <t>Allow potential minimum to be slightly negative</t>
  </si>
  <si>
    <t>Impose lower bound on N for stochastic epoch</t>
  </si>
  <si>
    <t>Fix stochastic bug</t>
  </si>
  <si>
    <t>phistart is eternal, but phistart+delta is not - why? Measure A</t>
  </si>
  <si>
    <t>Not run as often as find_phistop; back burner</t>
  </si>
  <si>
    <t>Replaced with step search</t>
  </si>
  <si>
    <t>Bad step size</t>
  </si>
  <si>
    <t>Modify find_phistop MEX code</t>
  </si>
  <si>
    <t>Write script to read output structure from file</t>
  </si>
  <si>
    <t>Ask about second derivative check for stochastic</t>
  </si>
  <si>
    <t>Get Matlab code running on hummingbird</t>
  </si>
  <si>
    <t>Ask about integration failures in instanton calculation</t>
  </si>
  <si>
    <t>Resolve integration failure in instanton calculation</t>
  </si>
  <si>
    <t>Rho was passing zero, causing the solution to be singular and diverge</t>
  </si>
  <si>
    <t>Apply second derivative chck for stochastic</t>
  </si>
  <si>
    <t>Implement Measure C</t>
  </si>
  <si>
    <t>NSinceStoch &gt; N sometimes - why?</t>
  </si>
  <si>
    <t>Already effectively satisfied by requirement of 1+ e-folds?</t>
  </si>
  <si>
    <t>Replace fzero in check_topological</t>
  </si>
  <si>
    <t>Class</t>
  </si>
  <si>
    <t>Function</t>
  </si>
  <si>
    <t>Line</t>
  </si>
  <si>
    <t>Checked</t>
  </si>
  <si>
    <t>FalseVacuumInstanton</t>
  </si>
  <si>
    <t>initial_conditions_no_gravity</t>
  </si>
  <si>
    <t>-</t>
  </si>
  <si>
    <t>initial_conditions</t>
  </si>
  <si>
    <t>w = abs(self.kappa/3*V0)^0.5;</t>
  </si>
  <si>
    <t>r0    = atan(w*r0_guess)/w;</t>
  </si>
  <si>
    <t>integrate_profile</t>
  </si>
  <si>
    <t>equation_of_motion</t>
  </si>
  <si>
    <t>d2phi = self.dV(phi.').' - self.alpha*drho.*dphi./rho;</t>
  </si>
  <si>
    <t>d2rho = -self.kappa/3*rho.*(dphi.^2 + self.V(phi.').');</t>
  </si>
  <si>
    <t>eom_jacobian</t>
  </si>
  <si>
    <t>jac(2,:) = [self.d2V(phi), -self.alpha*drho./rho, self.alpha*drho.*dphi./rho^2, -self.alpha*dphi./rho];</t>
  </si>
  <si>
    <t>jac(4,:) = [rho*self.dV(phi), 2*rho*dphi, (dphi.*dphi + self.V(phi)), 0]*(-self.kappa/3);</t>
  </si>
  <si>
    <t>jac(2,:) = [self.d2V(phi), -self.alpha*drho./rho, 0, 0];</t>
  </si>
  <si>
    <t>phi  = dV/d2V*(gamma(nu+1)*(0.5*beta_r)^(-nu)*bessfun(nu,beta_r)-1) + phi0;</t>
  </si>
  <si>
    <t>dphi = dV/d2V*gamma(nu+1)*(0.5*beta_r)^(-nu)*(...</t>
  </si>
  <si>
    <t>exact_solution</t>
  </si>
  <si>
    <t>beta_r = beta*r;</t>
  </si>
  <si>
    <t>ode_events</t>
  </si>
  <si>
    <t>find_profile</t>
  </si>
  <si>
    <t>delta_phi*phitol/self.rscale,...</t>
  </si>
  <si>
    <t>w_top = abs(self.kappa/3*self.V(self.phi_bar_top))^0.5;</t>
  </si>
  <si>
    <t>w = abs(self.kappa/3*self.V(self.phi_metaMin))^0.5;</t>
  </si>
  <si>
    <t>find_action_4D</t>
  </si>
  <si>
    <t>w_int = abs(self.kappa/3*self.V(Phi(1)))^0.5;</t>
  </si>
  <si>
    <t>volume = 8*pi^2/3/w_int^4*sin(R(1)*w_int/2)^4*(cos(R(1)*w_int)+2);</t>
  </si>
  <si>
    <t>S = volume*(self.V(Phi(1)) - 6*w_int^2/self.kappa);</t>
  </si>
  <si>
    <t>w_ext = abs(self.kappa/3*self.V(Phi(end)))^0.5;</t>
  </si>
  <si>
    <t>S = S + volume*(self.V(Phi(end)) - 6*w_ext^2/self.kappa);</t>
  </si>
  <si>
    <t>lagr = 0.5*dPhi.^2 + self.V(Phi) + 3./self.kappa.*(d2Rho./Rho + (dRho./Rho).^2 - Rho.^(-2));</t>
  </si>
  <si>
    <t>S = S + trapz(R,area.*lagr) + boundary;</t>
  </si>
  <si>
    <t>find_tunneling_suppression</t>
  </si>
  <si>
    <t>B = S_bubble-S_bkgd;</t>
  </si>
  <si>
    <t>EternalInflationSimulator</t>
  </si>
  <si>
    <t>main</t>
  </si>
  <si>
    <t>V0   = Mv^4*f{1}(phi0/Mh);</t>
  </si>
  <si>
    <t>Vp0  = Mv^4*f{2}(phi0/Mh)/Mh;</t>
  </si>
  <si>
    <t>(Vp0(ii)/V0(ii)).^2/(16*pi/obj.Mpl^2) &gt; 1</t>
  </si>
  <si>
    <t>abs(Vpp0(ii)/V0(ii))/(8*pi/obj.Mpl^2) &gt; 1</t>
  </si>
  <si>
    <t>I/O</t>
  </si>
  <si>
    <t>Input</t>
  </si>
  <si>
    <t>Output</t>
  </si>
  <si>
    <t>Hard Coded</t>
  </si>
  <si>
    <t>simulate_slowroll</t>
  </si>
  <si>
    <t>Q_target = 2e-5;</t>
  </si>
  <si>
    <t>Reduced Planck mass</t>
  </si>
  <si>
    <t>dlna_dphi = @(phi) (-kappa*V(phi)./Vp(phi));</t>
  </si>
  <si>
    <t>Assemble table of unit converting lines in code</t>
  </si>
  <si>
    <t>dphi_dlna = @(N,phi) (-Vp(phi)./V(phi)/kappa).';</t>
  </si>
  <si>
    <t>log_stable_rate_cutoff = -1e2;</t>
  </si>
  <si>
    <t>check_false_vacuum_eternal</t>
  </si>
  <si>
    <t>(Vp(phibar)/Vbar).^2/(16*pi/obj.Mpl^2) &gt; 1</t>
  </si>
  <si>
    <t>abs(Vpp(phibar)/Vbar)/(8*pi/obj.Mpl^2) &gt; 1</t>
  </si>
  <si>
    <t>dlna_dphi = @(phi) (-8*pi/obj.Mpl^2*V(phi)./Vp(phi));</t>
  </si>
  <si>
    <t>w_top = abs(kappa/3*V(phipeak{lr}(i_tunnel)))^0.5;</t>
  </si>
  <si>
    <t>check_stochastic_eternal</t>
  </si>
  <si>
    <t>phimin = phiscale^2 * abs(Vpstart./Vstart);</t>
  </si>
  <si>
    <t>sgn_sei*((kappa*Vend(ii))^(3/2) - 2*pi*sqrt(3)*(0.607)*abs(Vpend(ii))) &lt; 0</t>
  </si>
  <si>
    <t>fun = @(x) (kappa*V(x)).^(3/2) - 2*pi*sqrt(3)*(0.607)*abs(Vp(x));</t>
  </si>
  <si>
    <t>elseif (kappa*V(phiexit)).^(3/2) - 2*pi*sqrt(3)*(0.607)*abs(Vp(phiexit)) &gt; 0</t>
  </si>
  <si>
    <t>MEX</t>
  </si>
  <si>
    <t>find_phistop</t>
  </si>
  <si>
    <t>check_topological_eternal</t>
  </si>
  <si>
    <t>H = sqrt(kappa*V(phistart)/3);</t>
  </si>
  <si>
    <t>Dphi = -Vp(phistart)/(3*H^2); % Classical field excursion</t>
  </si>
  <si>
    <t>find_phiend</t>
  </si>
  <si>
    <t>(Vpend(ii)/Vend(ii)).^2/(16*pi/Mpl^2) &gt; 1</t>
  </si>
  <si>
    <t>abs(Vppend(ii)/Vend(ii))/(8*pi/Mpl^2) &gt; 1</t>
  </si>
  <si>
    <t>switch status</t>
  </si>
  <si>
    <t>phimin = phiscale^2 * abs(Vp(phiinit)./V(phiinit));</t>
  </si>
  <si>
    <t>find_phistart_downhill</t>
  </si>
  <si>
    <t>switch status_last</t>
  </si>
  <si>
    <t>(Vp(phi)/V(phi)).^2/(16*pi/Mpl^2) &gt; 1</t>
  </si>
  <si>
    <t>compute_status</t>
  </si>
  <si>
    <t>abs(Vpp(phi)/V(phi))/(8*pi/Mpl^2) &gt; 1</t>
  </si>
  <si>
    <t>eps = (Vp(phiexit)./V_exit).^2/(2*kappa);</t>
  </si>
  <si>
    <t>eta = Vpp(phiexit)./V_exit/kappa;</t>
  </si>
  <si>
    <t>xi2 = Vp(phiexit).*Vppp(phiexit)./V_exit^2/kappa^2;</t>
  </si>
  <si>
    <t>observables.r           = 16*eps;</t>
  </si>
  <si>
    <t>observables.n_s         = 1-6*eps+2*eta;</t>
  </si>
  <si>
    <t>observables.alpha       = 16*eps*eta - 24*eps^2 - 2*xi2;</t>
  </si>
  <si>
    <t>observables.n_t         = -2*eps;</t>
  </si>
  <si>
    <t>observables.dlgrho      = log10(V_exit/V(phi(4)));</t>
  </si>
  <si>
    <t>observables.rho_Lambda  = V(phi(5));</t>
  </si>
  <si>
    <t>compute_observables</t>
  </si>
  <si>
    <t>varargout{d+1} = @(phi) Mv4 * mhmd * grf(phi/Mh);</t>
  </si>
  <si>
    <t>build_potential</t>
  </si>
  <si>
    <t>varargout{ii} = @(phi) Mv4 * mhmd * grf(phi/Mh);</t>
  </si>
  <si>
    <t>gaussian_random_field_1D</t>
  </si>
  <si>
    <t>read_output_file</t>
  </si>
  <si>
    <t>phimin = pow(phiscale,2) * *Vpend / (*Vend-rho_Lambda) / phiscale;</t>
  </si>
  <si>
    <t>rho_Lambda = mxGetScalar(rho_Lambda_in_m)/Vscale;</t>
  </si>
  <si>
    <t>if (*Vstop &lt; rho_Lambda) {</t>
  </si>
  <si>
    <t>find_phipeak</t>
  </si>
  <si>
    <t>find_phinextmin</t>
  </si>
  <si>
    <r>
      <t>points = linspace(phistart,phiend,max(10,abs(phistart-phiend)/mv/obj.Mpl</t>
    </r>
    <r>
      <rPr>
        <b/>
        <sz val="10"/>
        <color theme="1" tint="0.24994659260841701"/>
        <rFont val="Courier New"/>
        <family val="3"/>
      </rPr>
      <t>*</t>
    </r>
    <r>
      <rPr>
        <sz val="10"/>
        <color theme="1" tint="0.24994659260841701"/>
        <rFont val="Courier New"/>
        <family val="3"/>
      </rPr>
      <t>10));</t>
    </r>
  </si>
  <si>
    <r>
      <t>points = linspace(phistart,phiend,max(10,abs(phistart-phiend)/mh/obj.Mpl</t>
    </r>
    <r>
      <rPr>
        <b/>
        <sz val="10"/>
        <color theme="1" tint="0.24994659260841701"/>
        <rFont val="Courier New"/>
        <family val="3"/>
      </rPr>
      <t>*</t>
    </r>
    <r>
      <rPr>
        <sz val="10"/>
        <color theme="1" tint="0.24994659260841701"/>
        <rFont val="Courier New"/>
        <family val="3"/>
      </rPr>
      <t>10));</t>
    </r>
  </si>
  <si>
    <r>
      <t>rho_Lambda = mxGetScalar(rho_Lambda_in_m)</t>
    </r>
    <r>
      <rPr>
        <b/>
        <sz val="10"/>
        <color theme="1" tint="0.24994659260841701"/>
        <rFont val="Courier New"/>
        <family val="3"/>
      </rPr>
      <t>/Vscale</t>
    </r>
    <r>
      <rPr>
        <sz val="10"/>
        <color theme="1" tint="0.24994659260841701"/>
        <rFont val="Courier New"/>
        <family val="3"/>
      </rPr>
      <t>;</t>
    </r>
  </si>
  <si>
    <t>Do it for constructors and set_parameters</t>
  </si>
  <si>
    <t>observables.lgOk        = log10(V(phi(2))/V_exit) - Nbefore*2/log(10);</t>
  </si>
  <si>
    <r>
      <t>phitol       = 1e-4</t>
    </r>
    <r>
      <rPr>
        <b/>
        <sz val="10"/>
        <color rgb="FFFF0000"/>
        <rFont val="Courier New"/>
        <family val="3"/>
      </rPr>
      <t>*mh*obj.Mpl</t>
    </r>
    <r>
      <rPr>
        <sz val="10"/>
        <color theme="1" tint="0.24994659260841701"/>
        <rFont val="Courier New"/>
        <family val="3"/>
      </rPr>
      <t>;</t>
    </r>
  </si>
  <si>
    <r>
      <t xml:space="preserve">sgn_sei = sign( </t>
    </r>
    <r>
      <rPr>
        <b/>
        <sz val="10"/>
        <color theme="1" tint="0.24994659260841701"/>
        <rFont val="Courier New"/>
        <family val="3"/>
      </rPr>
      <t xml:space="preserve">hbar^0.5 * </t>
    </r>
    <r>
      <rPr>
        <sz val="10"/>
        <color theme="1" tint="0.24994659260841701"/>
        <rFont val="Courier New"/>
        <family val="3"/>
      </rPr>
      <t>(kappa*Vstart)^(3/2) - 2*pi*sqrt(3)*(0.607)*abs(Vpstart) );</t>
    </r>
  </si>
  <si>
    <r>
      <t>dphi_dlna = @(lna,phi) -Vp(phi)./V(phi)</t>
    </r>
    <r>
      <rPr>
        <b/>
        <sz val="10"/>
        <color theme="1" tint="0.24994659260841701"/>
        <rFont val="Courier New"/>
        <family val="3"/>
      </rPr>
      <t>/kappa</t>
    </r>
    <r>
      <rPr>
        <sz val="10"/>
        <color theme="1" tint="0.24994659260841701"/>
        <rFont val="Courier New"/>
        <family val="3"/>
      </rPr>
      <t>;</t>
    </r>
  </si>
  <si>
    <r>
      <t xml:space="preserve">dphi = </t>
    </r>
    <r>
      <rPr>
        <b/>
        <sz val="10"/>
        <color theme="1" tint="0.24994659260841701"/>
        <rFont val="Courier New"/>
        <family val="3"/>
      </rPr>
      <t>hbar^0.5*</t>
    </r>
    <r>
      <rPr>
        <sz val="10"/>
        <color theme="1" tint="0.24994659260841701"/>
        <rFont val="Courier New"/>
        <family val="3"/>
      </rPr>
      <t>H/2/pi; % Amplitude of quantum fluctuation</t>
    </r>
  </si>
  <si>
    <r>
      <t>[log_tunnel_rate,imax] = max(-B</t>
    </r>
    <r>
      <rPr>
        <b/>
        <sz val="10"/>
        <color theme="1" tint="0.24994659260841701"/>
        <rFont val="Courier New"/>
        <family val="3"/>
      </rPr>
      <t>/hbar</t>
    </r>
    <r>
      <rPr>
        <sz val="10"/>
        <color theme="1" tint="0.24994659260841701"/>
        <rFont val="Courier New"/>
        <family val="3"/>
      </rPr>
      <t>);</t>
    </r>
  </si>
  <si>
    <t>set_parameters</t>
  </si>
  <si>
    <t>self.rscale = abs(xtop) / sqrt(abs(6*Vtop));</t>
  </si>
  <si>
    <t>Triple check Jacobian</t>
  </si>
  <si>
    <r>
      <t>if log_tunnel_rate &lt; log(9/4/pi)</t>
    </r>
    <r>
      <rPr>
        <b/>
        <sz val="10"/>
        <color rgb="FFFF0000"/>
        <rFont val="Courier New"/>
        <family val="3"/>
      </rPr>
      <t xml:space="preserve"> + 2*log(kappa/3*V(phistop))</t>
    </r>
    <r>
      <rPr>
        <sz val="10"/>
        <color theme="1" tint="0.24994659260841701"/>
        <rFont val="Courier New"/>
        <family val="3"/>
      </rPr>
      <t>;</t>
    </r>
  </si>
  <si>
    <r>
      <t>observables.Q           = sqrt(V_exit/(150*eps)</t>
    </r>
    <r>
      <rPr>
        <b/>
        <sz val="10"/>
        <color theme="1" tint="0.24994659260841701"/>
        <rFont val="Courier New"/>
        <family val="3"/>
      </rPr>
      <t>*kappa*obj.m_Pl^2</t>
    </r>
    <r>
      <rPr>
        <sz val="10"/>
        <color theme="1" tint="0.24994659260841701"/>
        <rFont val="Courier New"/>
        <family val="3"/>
      </rPr>
      <t>)/pi;</t>
    </r>
  </si>
  <si>
    <r>
      <t>Q = sqrt(V(phiexit)/(150*(Vp(phiexit)./V(phiexit)).^2/2)</t>
    </r>
    <r>
      <rPr>
        <b/>
        <sz val="10"/>
        <color theme="1" tint="0.24994659260841701"/>
        <rFont val="Courier New"/>
        <family val="3"/>
      </rPr>
      <t>*kappa^2*obj.m_Pl^2</t>
    </r>
    <r>
      <rPr>
        <sz val="10"/>
        <color theme="1" tint="0.24994659260841701"/>
        <rFont val="Courier New"/>
        <family val="3"/>
      </rPr>
      <t>)/pi;</t>
    </r>
  </si>
  <si>
    <t>List units for all input and output parameters</t>
  </si>
  <si>
    <t>Check all unit conversions within code</t>
  </si>
  <si>
    <t>Check all thresholds and hardcoded values in code</t>
  </si>
  <si>
    <t>List all thresholds and hardcoded values in code</t>
  </si>
  <si>
    <t>n_iter</t>
  </si>
  <si>
    <t>kmax</t>
  </si>
  <si>
    <t>gamma</t>
  </si>
  <si>
    <t>lambdascreen</t>
  </si>
  <si>
    <t>rho_Lambda_thres</t>
  </si>
  <si>
    <t>fixQ</t>
  </si>
  <si>
    <t>Nafter</t>
  </si>
  <si>
    <t>seed</t>
  </si>
  <si>
    <t>n_recycle</t>
  </si>
  <si>
    <t>n_t</t>
  </si>
  <si>
    <t>n_s</t>
  </si>
  <si>
    <t>r</t>
  </si>
  <si>
    <t>alpha</t>
  </si>
  <si>
    <t>[L]/[M]</t>
  </si>
  <si>
    <t>–</t>
  </si>
  <si>
    <t>dlgrho</t>
  </si>
  <si>
    <t>lgOk</t>
  </si>
  <si>
    <t>status</t>
  </si>
  <si>
    <t>Ntotal</t>
  </si>
  <si>
    <t>flag_fv_eternal</t>
  </si>
  <si>
    <t>log_tunnel_rate</t>
  </si>
  <si>
    <t>numStochEpochs</t>
  </si>
  <si>
    <t>NSinceStoch</t>
  </si>
  <si>
    <t>numTopolEpochs</t>
  </si>
  <si>
    <t>Quantity</t>
  </si>
  <si>
    <t>Vacuum energy density divided by m_pl^4</t>
  </si>
  <si>
    <t>Number of contiguous field value intervals in which stochastic eternal inflation criterion is met for at least one e-folding of inflation (calculated based on the classical field value)</t>
  </si>
  <si>
    <t>Number of sites of topological eternal inflation</t>
  </si>
  <si>
    <t>Amplitude of scalar curvature perturbations at horizon scale</t>
  </si>
  <si>
    <t>Tensor to scalar ratio</t>
  </si>
  <si>
    <t>Status of slow roll inflation (int)</t>
  </si>
  <si>
    <t>Total number of e-folds of slow roll inflation in the basin where inflation ends</t>
  </si>
  <si>
    <t>Number of e-foldings between the field value at the end of stochastic eternal inflation and the horizon exit scale</t>
  </si>
  <si>
    <t>Adjusted vertical mass scale after fixing Q</t>
  </si>
  <si>
    <t>(-1)*(S-S_bkgd)/hbar</t>
  </si>
  <si>
    <t>log(\Omega)</t>
  </si>
  <si>
    <t>True if false vacuum eteranl inflation manifests</t>
  </si>
  <si>
    <t>Scalar spectral index</t>
  </si>
  <si>
    <t>Tensor spectral index</t>
  </si>
  <si>
    <t>Running of the scalar spectral index</t>
  </si>
  <si>
    <t>Seed for random number genrator</t>
  </si>
  <si>
    <t>Minimum number of e-foldings between horizon exit and end of inflation</t>
  </si>
  <si>
    <t>Maximum number of tunneling events to simulate</t>
  </si>
  <si>
    <t>Number of times to recycle the same potential</t>
  </si>
  <si>
    <t>Number of iterations of the simulation</t>
  </si>
  <si>
    <t>Vertical mass scale divided by m_Pl</t>
  </si>
  <si>
    <t>Horizontal mass scale divided by m_Pl</t>
  </si>
  <si>
    <t>A', 'B', or 'C'</t>
  </si>
  <si>
    <t>Throw out models that settle into a negative minimum</t>
  </si>
  <si>
    <t>Number of modes with which to construct Gaussian random field</t>
  </si>
  <si>
    <t>k-dependence of the Gaussian random field coefficients</t>
  </si>
  <si>
    <t>Fix the amplitude of scalar curvature perturabations on the fly by tuning mv?</t>
  </si>
  <si>
    <t>log(V_exit/V_end)</t>
  </si>
  <si>
    <t>Start Date</t>
  </si>
  <si>
    <t>Get VBA to automate infile creation from run table</t>
  </si>
  <si>
    <t>Make B_cutoff an argument rather than a parameter</t>
  </si>
  <si>
    <t>Measure B, but don't demand inflation at phistart, search for it downhill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</si>
</sst>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;@"/>
    <numFmt numFmtId="165" formatCode="ddd\ m/d"/>
    <numFmt numFmtId="166" formatCode="0000"/>
  </numFmts>
  <fonts count="71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  <font>
      <sz val="11"/>
      <color theme="1" tint="0.24994659260841701"/>
      <name val="Courier New"/>
      <family val="3"/>
    </font>
    <font>
      <sz val="10"/>
      <color theme="1" tint="0.24994659260841701"/>
      <name val="Courier New"/>
      <family val="3"/>
    </font>
    <font>
      <b/>
      <sz val="10"/>
      <color theme="1" tint="0.24994659260841701"/>
      <name val="Courier New"/>
      <family val="3"/>
    </font>
    <font>
      <b/>
      <sz val="10"/>
      <color rgb="FFFF0000"/>
      <name val="Courier New"/>
      <family val="3"/>
    </font>
    <font>
      <sz val="10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9" fillId="0" borderId="0" applyNumberFormat="0" applyFill="0" applyBorder="0" applyAlignment="0" applyProtection="0"/>
    <xf numFmtId="0" fontId="53" fillId="0" borderId="0" applyFill="0" applyBorder="0" applyProtection="0">
      <alignment horizontal="left" wrapText="1"/>
    </xf>
    <xf numFmtId="3" fontId="61" fillId="0" borderId="2" applyFill="0" applyProtection="0">
      <alignment horizontal="center"/>
    </xf>
    <xf numFmtId="0" fontId="61" fillId="0" borderId="0" applyFill="0" applyBorder="0" applyProtection="0">
      <alignment horizontal="center" wrapText="1"/>
    </xf>
    <xf numFmtId="0" fontId="52" fillId="0" borderId="0" applyNumberFormat="0" applyFill="0" applyBorder="0" applyProtection="0">
      <alignment horizontal="left" vertical="center"/>
    </xf>
    <xf numFmtId="9" fontId="54" fillId="0" borderId="0" applyFill="0" applyBorder="0" applyProtection="0">
      <alignment horizontal="center" vertical="center"/>
    </xf>
    <xf numFmtId="0" fontId="60" fillId="6" borderId="1" applyNumberFormat="0" applyProtection="0">
      <alignment horizontal="left" vertical="center"/>
    </xf>
    <xf numFmtId="0" fontId="59" fillId="0" borderId="0" applyNumberFormat="0" applyFill="0" applyBorder="0" applyProtection="0">
      <alignment vertical="center"/>
    </xf>
    <xf numFmtId="0" fontId="61" fillId="0" borderId="0" applyFill="0" applyProtection="0">
      <alignment vertical="center"/>
    </xf>
    <xf numFmtId="0" fontId="61" fillId="0" borderId="0" applyFill="0" applyProtection="0">
      <alignment horizontal="center" vertical="center" wrapText="1"/>
    </xf>
    <xf numFmtId="0" fontId="61" fillId="0" borderId="0" applyFill="0" applyProtection="0">
      <alignment horizontal="left"/>
    </xf>
    <xf numFmtId="0" fontId="63" fillId="0" borderId="0" applyNumberFormat="0" applyFill="0" applyBorder="0" applyProtection="0">
      <alignment vertical="center"/>
    </xf>
    <xf numFmtId="1" fontId="64" fillId="6" borderId="1">
      <alignment horizontal="center" vertical="center"/>
    </xf>
    <xf numFmtId="0" fontId="62" fillId="2" borderId="4" applyNumberFormat="0" applyFont="0" applyAlignment="0">
      <alignment horizontal="center"/>
    </xf>
    <xf numFmtId="0" fontId="62" fillId="3" borderId="3" applyNumberFormat="0" applyFont="0" applyAlignment="0">
      <alignment horizontal="center"/>
    </xf>
    <xf numFmtId="0" fontId="62" fillId="4" borderId="3" applyNumberFormat="0" applyFont="0" applyAlignment="0">
      <alignment horizontal="center"/>
    </xf>
    <xf numFmtId="0" fontId="62" fillId="5" borderId="3" applyNumberFormat="0" applyFont="0" applyAlignment="0">
      <alignment horizontal="center"/>
    </xf>
    <xf numFmtId="0" fontId="62" fillId="7" borderId="3" applyNumberFormat="0" applyFont="0" applyAlignment="0">
      <alignment horizontal="center"/>
    </xf>
    <xf numFmtId="0" fontId="51" fillId="0" borderId="0"/>
  </cellStyleXfs>
  <cellXfs count="12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53" fillId="0" borderId="0" xfId="2">
      <alignment horizontal="left" wrapText="1"/>
    </xf>
    <xf numFmtId="3" fontId="61" fillId="0" borderId="2" xfId="3">
      <alignment horizontal="center"/>
    </xf>
    <xf numFmtId="9" fontId="54" fillId="0" borderId="0" xfId="6">
      <alignment horizontal="center" vertical="center"/>
    </xf>
    <xf numFmtId="0" fontId="60" fillId="6" borderId="1" xfId="7">
      <alignment horizontal="left" vertical="center"/>
    </xf>
    <xf numFmtId="0" fontId="55" fillId="0" borderId="0" xfId="2" applyFont="1">
      <alignment horizontal="left" wrapText="1"/>
    </xf>
    <xf numFmtId="0" fontId="56" fillId="0" borderId="0" xfId="0" applyFont="1" applyAlignment="1">
      <alignment horizontal="center"/>
    </xf>
    <xf numFmtId="9" fontId="57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9" fillId="0" borderId="0" xfId="1" applyAlignment="1">
      <alignment horizontal="center"/>
    </xf>
    <xf numFmtId="0" fontId="59" fillId="0" borderId="0" xfId="8">
      <alignment vertical="center"/>
    </xf>
    <xf numFmtId="1" fontId="64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61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61" fillId="8" borderId="0" xfId="11" applyNumberFormat="1" applyFill="1" applyAlignment="1">
      <alignment horizontal="left" vertical="center" textRotation="90"/>
    </xf>
    <xf numFmtId="0" fontId="51" fillId="0" borderId="0" xfId="19"/>
    <xf numFmtId="0" fontId="51" fillId="0" borderId="0" xfId="19" applyAlignment="1">
      <alignment horizontal="center"/>
    </xf>
    <xf numFmtId="165" fontId="51" fillId="0" borderId="0" xfId="19" applyNumberFormat="1" applyAlignment="1">
      <alignment horizontal="center"/>
    </xf>
    <xf numFmtId="0" fontId="51" fillId="0" borderId="0" xfId="19" applyNumberFormat="1" applyAlignment="1">
      <alignment horizontal="center"/>
    </xf>
    <xf numFmtId="0" fontId="50" fillId="0" borderId="0" xfId="19" applyFont="1"/>
    <xf numFmtId="0" fontId="49" fillId="0" borderId="0" xfId="19" applyFont="1"/>
    <xf numFmtId="0" fontId="48" fillId="0" borderId="0" xfId="19" applyFont="1"/>
    <xf numFmtId="0" fontId="47" fillId="0" borderId="0" xfId="19" applyFont="1"/>
    <xf numFmtId="0" fontId="46" fillId="0" borderId="0" xfId="19" applyFont="1"/>
    <xf numFmtId="0" fontId="45" fillId="0" borderId="0" xfId="19" applyFont="1"/>
    <xf numFmtId="0" fontId="44" fillId="0" borderId="0" xfId="19" applyFont="1"/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65" fillId="0" borderId="0" xfId="0" applyFont="1" applyAlignment="1">
      <alignment horizontal="center" vertical="center" textRotation="90"/>
    </xf>
    <xf numFmtId="0" fontId="65" fillId="0" borderId="0" xfId="0" applyFont="1">
      <alignment horizontal="center" vertical="center"/>
    </xf>
    <xf numFmtId="0" fontId="65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34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33" fillId="0" borderId="0" xfId="19" applyFont="1" applyAlignment="1">
      <alignment horizontal="left"/>
    </xf>
    <xf numFmtId="0" fontId="34" fillId="0" borderId="0" xfId="19" applyFont="1" applyAlignment="1">
      <alignment horizontal="left"/>
    </xf>
    <xf numFmtId="0" fontId="46" fillId="0" borderId="0" xfId="19" applyFont="1" applyAlignment="1">
      <alignment horizontal="left"/>
    </xf>
    <xf numFmtId="0" fontId="51" fillId="0" borderId="0" xfId="19" applyAlignment="1">
      <alignment horizontal="left"/>
    </xf>
    <xf numFmtId="0" fontId="49" fillId="0" borderId="0" xfId="19" applyFont="1" applyAlignment="1">
      <alignment horizontal="left"/>
    </xf>
    <xf numFmtId="0" fontId="42" fillId="0" borderId="0" xfId="19" applyFont="1" applyAlignment="1">
      <alignment horizontal="left"/>
    </xf>
    <xf numFmtId="0" fontId="30" fillId="0" borderId="0" xfId="19" applyFont="1" applyAlignment="1">
      <alignment horizontal="left"/>
    </xf>
    <xf numFmtId="18" fontId="42" fillId="0" borderId="0" xfId="19" applyNumberFormat="1" applyFont="1" applyAlignment="1">
      <alignment horizontal="left"/>
    </xf>
    <xf numFmtId="0" fontId="24" fillId="0" borderId="0" xfId="19" applyFont="1" applyAlignment="1">
      <alignment horizontal="left"/>
    </xf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1" fillId="0" borderId="0" xfId="19" applyFont="1" applyAlignment="1">
      <alignment horizontal="left"/>
    </xf>
    <xf numFmtId="0" fontId="20" fillId="0" borderId="0" xfId="19" applyFont="1"/>
    <xf numFmtId="0" fontId="19" fillId="0" borderId="0" xfId="19" applyFont="1"/>
    <xf numFmtId="0" fontId="19" fillId="0" borderId="0" xfId="19" applyFont="1" applyAlignment="1">
      <alignment horizontal="left"/>
    </xf>
    <xf numFmtId="0" fontId="18" fillId="0" borderId="0" xfId="19" applyNumberFormat="1" applyFont="1" applyAlignment="1">
      <alignment horizontal="center"/>
    </xf>
    <xf numFmtId="0" fontId="18" fillId="0" borderId="0" xfId="19" applyFont="1"/>
    <xf numFmtId="0" fontId="18" fillId="0" borderId="0" xfId="19" applyFont="1" applyAlignment="1">
      <alignment horizontal="left"/>
    </xf>
    <xf numFmtId="0" fontId="17" fillId="0" borderId="0" xfId="19" applyFont="1"/>
    <xf numFmtId="0" fontId="17" fillId="0" borderId="0" xfId="19" applyFont="1" applyAlignment="1">
      <alignment horizontal="left"/>
    </xf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165" fontId="12" fillId="0" borderId="0" xfId="19" applyNumberFormat="1" applyFont="1" applyAlignment="1">
      <alignment horizontal="center"/>
    </xf>
    <xf numFmtId="0" fontId="12" fillId="0" borderId="0" xfId="19" applyFont="1" applyAlignment="1">
      <alignment horizontal="left"/>
    </xf>
    <xf numFmtId="0" fontId="11" fillId="0" borderId="0" xfId="19" applyFont="1"/>
    <xf numFmtId="0" fontId="11" fillId="0" borderId="0" xfId="19" applyFont="1" applyAlignment="1">
      <alignment horizontal="left"/>
    </xf>
    <xf numFmtId="0" fontId="10" fillId="0" borderId="0" xfId="19" applyFont="1"/>
    <xf numFmtId="0" fontId="9" fillId="0" borderId="0" xfId="19" applyFont="1"/>
    <xf numFmtId="0" fontId="9" fillId="0" borderId="0" xfId="19" applyFont="1" applyAlignment="1">
      <alignment horizontal="left"/>
    </xf>
    <xf numFmtId="0" fontId="8" fillId="0" borderId="0" xfId="19" applyFont="1"/>
    <xf numFmtId="0" fontId="8" fillId="0" borderId="0" xfId="19" applyFont="1" applyAlignment="1">
      <alignment horizontal="left"/>
    </xf>
    <xf numFmtId="0" fontId="7" fillId="0" borderId="0" xfId="19" applyFont="1"/>
    <xf numFmtId="165" fontId="7" fillId="0" borderId="0" xfId="19" applyNumberFormat="1" applyFont="1" applyAlignment="1">
      <alignment horizontal="center"/>
    </xf>
    <xf numFmtId="0" fontId="6" fillId="0" borderId="0" xfId="19" applyFont="1"/>
    <xf numFmtId="0" fontId="5" fillId="0" borderId="0" xfId="19" applyFont="1"/>
    <xf numFmtId="0" fontId="5" fillId="0" borderId="0" xfId="19" applyFont="1" applyAlignment="1">
      <alignment horizontal="left"/>
    </xf>
    <xf numFmtId="0" fontId="4" fillId="0" borderId="0" xfId="19" applyFont="1"/>
    <xf numFmtId="0" fontId="3" fillId="0" borderId="0" xfId="19" applyFont="1" applyAlignment="1">
      <alignment horizontal="left"/>
    </xf>
    <xf numFmtId="0" fontId="3" fillId="0" borderId="0" xfId="19" applyFont="1"/>
    <xf numFmtId="0" fontId="66" fillId="0" borderId="0" xfId="0" applyFont="1">
      <alignment horizontal="center" vertical="center"/>
    </xf>
    <xf numFmtId="0" fontId="67" fillId="0" borderId="0" xfId="0" applyFont="1">
      <alignment horizontal="center" vertical="center"/>
    </xf>
    <xf numFmtId="0" fontId="67" fillId="0" borderId="0" xfId="0" applyFont="1" applyAlignment="1">
      <alignment horizontal="left" vertical="center"/>
    </xf>
    <xf numFmtId="1" fontId="67" fillId="0" borderId="0" xfId="0" applyNumberFormat="1" applyFont="1">
      <alignment horizontal="center" vertical="center"/>
    </xf>
    <xf numFmtId="0" fontId="2" fillId="0" borderId="0" xfId="19" applyFont="1"/>
    <xf numFmtId="0" fontId="70" fillId="0" borderId="0" xfId="0" applyFont="1">
      <alignment horizontal="center" vertical="center"/>
    </xf>
    <xf numFmtId="0" fontId="70" fillId="0" borderId="0" xfId="0" applyFont="1" applyAlignment="1">
      <alignment horizontal="left" vertical="center"/>
    </xf>
    <xf numFmtId="0" fontId="70" fillId="0" borderId="0" xfId="0" quotePrefix="1" applyFont="1" applyAlignment="1">
      <alignment horizontal="left" vertical="center"/>
    </xf>
    <xf numFmtId="166" fontId="60" fillId="0" borderId="0" xfId="0" applyNumberFormat="1" applyFont="1">
      <alignment horizontal="center"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63" fillId="0" borderId="0" xfId="12">
      <alignment vertical="center"/>
    </xf>
    <xf numFmtId="0" fontId="61" fillId="0" borderId="0" xfId="9">
      <alignment vertical="center"/>
    </xf>
    <xf numFmtId="0" fontId="61" fillId="0" borderId="2" xfId="9" applyBorder="1">
      <alignment vertical="center"/>
    </xf>
    <xf numFmtId="0" fontId="61" fillId="0" borderId="0" xfId="10">
      <alignment horizontal="center" vertical="center" wrapText="1"/>
    </xf>
    <xf numFmtId="0" fontId="61" fillId="0" borderId="2" xfId="10" applyBorder="1">
      <alignment horizontal="center" vertical="center" wrapText="1"/>
    </xf>
    <xf numFmtId="0" fontId="61" fillId="0" borderId="5" xfId="10" applyBorder="1">
      <alignment horizontal="center" vertical="center" wrapText="1"/>
    </xf>
    <xf numFmtId="0" fontId="58" fillId="0" borderId="6" xfId="5" applyFont="1" applyBorder="1">
      <alignment horizontal="left" vertical="center"/>
    </xf>
    <xf numFmtId="0" fontId="58" fillId="0" borderId="0" xfId="5" applyFont="1">
      <alignment horizontal="left" vertical="center"/>
    </xf>
    <xf numFmtId="0" fontId="58" fillId="0" borderId="7" xfId="5" applyFont="1" applyBorder="1">
      <alignment horizontal="left" vertical="center"/>
    </xf>
    <xf numFmtId="0" fontId="58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  <xf numFmtId="165" fontId="1" fillId="0" borderId="0" xfId="19" applyNumberFormat="1" applyFont="1" applyAlignment="1">
      <alignment horizontal="center"/>
    </xf>
    <xf numFmtId="0" fontId="1" fillId="0" borderId="0" xfId="19" applyFont="1" applyAlignment="1">
      <alignment horizontal="left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43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4659260841701"/>
        <name val="Courier New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  <numFmt numFmtId="166" formatCode="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F129" totalsRowShown="0">
  <autoFilter ref="A1:F129">
    <filterColumn colId="3">
      <filters blank="1">
        <filter val="0"/>
        <filter val="0.25"/>
      </filters>
    </filterColumn>
  </autoFilter>
  <sortState ref="A30:F129">
    <sortCondition descending="1" ref="C1:C129"/>
  </sortState>
  <tableColumns count="6">
    <tableColumn id="1" name="Task"/>
    <tableColumn id="2" name="Assigned"/>
    <tableColumn id="3" name="Due"/>
    <tableColumn id="6" name=" " dataDxfId="42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W33" totalsRowShown="0" headerRowDxfId="41" dataDxfId="40">
  <autoFilter ref="A1:W33"/>
  <tableColumns count="23">
    <tableColumn id="1" name="Test ID" dataDxfId="39"/>
    <tableColumn id="18" name="n_iter" dataDxfId="38"/>
    <tableColumn id="2" name="log10(mv)" dataDxfId="37"/>
    <tableColumn id="3" name="mh" dataDxfId="36"/>
    <tableColumn id="4" name="kmax" dataDxfId="35"/>
    <tableColumn id="19" name="gamma" dataDxfId="34"/>
    <tableColumn id="8" name="measure" dataDxfId="33"/>
    <tableColumn id="9" name="n_tunnel_max" dataDxfId="32"/>
    <tableColumn id="5" name="lambda_screen" dataDxfId="31"/>
    <tableColumn id="6" name="rho_Lambda_thres" dataDxfId="30"/>
    <tableColumn id="20" name="fixQ" dataDxfId="29"/>
    <tableColumn id="21" name="Nafter" dataDxfId="28"/>
    <tableColumn id="22" name="seed" dataDxfId="27"/>
    <tableColumn id="7" name="n_recycle" dataDxfId="26"/>
    <tableColumn id="10" name="Start Date" dataDxfId="25"/>
    <tableColumn id="24" name="End Date" dataDxfId="24"/>
    <tableColumn id="11" name="Runtime" dataDxfId="23"/>
    <tableColumn id="12" name="File name" dataDxfId="22"/>
    <tableColumn id="13" name="Column13" dataDxfId="21"/>
    <tableColumn id="14" name="Column14" dataDxfId="20"/>
    <tableColumn id="15" name="Column15" dataDxfId="19"/>
    <tableColumn id="16" name="Column16" dataDxfId="18"/>
    <tableColumn id="17" name="Column17" dataDxfId="17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44" displayName="Table44" ref="A1:E117" totalsRowShown="0" dataDxfId="16">
  <autoFilter ref="A1:E117"/>
  <sortState ref="A2:E117">
    <sortCondition ref="A1:A117"/>
  </sortState>
  <tableColumns count="5">
    <tableColumn id="1" name="Class" dataDxfId="15"/>
    <tableColumn id="2" name="Function" dataDxfId="14"/>
    <tableColumn id="3" name="Line" dataDxfId="13"/>
    <tableColumn id="5" name="Checked" dataDxfId="12"/>
    <tableColumn id="4" name="Description" dataDxfId="11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46" totalsRowShown="0">
  <autoFilter ref="A1:E46">
    <filterColumn colId="0">
      <filters>
        <filter val="Input"/>
        <filter val="Output"/>
      </filters>
    </filterColumn>
  </autoFilter>
  <sortState ref="A6:E46">
    <sortCondition ref="A1:A46"/>
  </sortState>
  <tableColumns count="5">
    <tableColumn id="1" name="I/O"/>
    <tableColumn id="6" name="Quantity"/>
    <tableColumn id="2" name="Dimensions"/>
    <tableColumn id="3" name="Units"/>
    <tableColumn id="4" name="Description" dataDxfId="1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45"/>
  <cols>
    <col min="1" max="1" width="2.640625" customWidth="1"/>
    <col min="2" max="2" width="15.640625" style="2" customWidth="1"/>
    <col min="3" max="6" width="11.640625" style="1" customWidth="1"/>
    <col min="7" max="7" width="15.640625" style="4" customWidth="1"/>
    <col min="8" max="27" width="3.5703125" style="1" customWidth="1"/>
    <col min="28" max="48" width="3.5703125" customWidth="1"/>
    <col min="49" max="67" width="0" hidden="1" customWidth="1"/>
    <col min="68" max="16384" width="2.78515625" hidden="1"/>
  </cols>
  <sheetData>
    <row r="1" spans="2:67" ht="60" customHeight="1" thickBot="1" x14ac:dyDescent="1.4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45">
      <c r="B2" s="109" t="s">
        <v>28</v>
      </c>
      <c r="C2" s="109"/>
      <c r="D2" s="109"/>
      <c r="E2" s="109"/>
      <c r="F2" s="109"/>
      <c r="G2" s="5" t="s">
        <v>20</v>
      </c>
      <c r="H2" s="12">
        <v>8</v>
      </c>
      <c r="J2" s="13"/>
      <c r="K2" s="115" t="s">
        <v>27</v>
      </c>
      <c r="L2" s="116"/>
      <c r="M2" s="116"/>
      <c r="N2" s="116"/>
      <c r="O2" s="117"/>
      <c r="P2" s="14"/>
      <c r="Q2" s="115" t="s">
        <v>26</v>
      </c>
      <c r="R2" s="118"/>
      <c r="S2" s="118"/>
      <c r="T2" s="117"/>
      <c r="U2" s="15"/>
      <c r="V2" s="107" t="s">
        <v>17</v>
      </c>
      <c r="W2" s="108"/>
      <c r="X2" s="108"/>
      <c r="Y2" s="119"/>
      <c r="Z2" s="16"/>
      <c r="AA2" s="120" t="s">
        <v>18</v>
      </c>
      <c r="AB2" s="121"/>
      <c r="AC2" s="121"/>
      <c r="AD2" s="121"/>
      <c r="AE2" s="121"/>
      <c r="AF2" s="121"/>
      <c r="AG2" s="122"/>
      <c r="AH2" s="17"/>
      <c r="AI2" s="107" t="s">
        <v>19</v>
      </c>
      <c r="AJ2" s="108"/>
      <c r="AK2" s="108"/>
      <c r="AL2" s="108"/>
      <c r="AM2" s="108"/>
      <c r="AN2" s="108"/>
      <c r="AO2" s="108"/>
      <c r="AP2" s="108"/>
    </row>
    <row r="3" spans="2:67" s="9" customFormat="1" ht="39.9" customHeight="1" thickTop="1" x14ac:dyDescent="0.4">
      <c r="B3" s="110" t="s">
        <v>0</v>
      </c>
      <c r="C3" s="112" t="s">
        <v>21</v>
      </c>
      <c r="D3" s="112" t="s">
        <v>22</v>
      </c>
      <c r="E3" s="112" t="s">
        <v>23</v>
      </c>
      <c r="F3" s="112" t="s">
        <v>24</v>
      </c>
      <c r="G3" s="114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4">
      <c r="B4" s="111"/>
      <c r="C4" s="113"/>
      <c r="D4" s="113"/>
      <c r="E4" s="113"/>
      <c r="F4" s="113"/>
      <c r="G4" s="113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4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4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4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4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4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4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4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4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4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4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4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4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4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4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4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4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4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4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4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4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4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4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4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4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4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4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4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3"/>
  <sheetViews>
    <sheetView tabSelected="1" zoomScaleNormal="100" workbookViewId="0">
      <selection activeCell="F113" sqref="F113"/>
    </sheetView>
  </sheetViews>
  <sheetFormatPr defaultColWidth="0" defaultRowHeight="14.4" customHeight="1" zeroHeight="1" x14ac:dyDescent="0.4"/>
  <cols>
    <col min="1" max="1" width="51.2109375" style="21" customWidth="1"/>
    <col min="2" max="2" width="9.78515625" style="21" customWidth="1"/>
    <col min="3" max="3" width="10.5703125" style="21" customWidth="1"/>
    <col min="4" max="4" width="5.2109375" style="21" customWidth="1"/>
    <col min="5" max="5" width="9.78515625" style="21" customWidth="1"/>
    <col min="6" max="6" width="70.35546875" style="21" customWidth="1"/>
    <col min="7" max="7" width="0" style="21" hidden="1" customWidth="1"/>
    <col min="8" max="16384" width="8.85546875" style="21" hidden="1"/>
  </cols>
  <sheetData>
    <row r="1" spans="1:6" ht="14.6" x14ac:dyDescent="0.4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t="14.6" hidden="1" x14ac:dyDescent="0.4">
      <c r="A2" s="29" t="s">
        <v>79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84</v>
      </c>
    </row>
    <row r="3" spans="1:6" ht="14.6" hidden="1" x14ac:dyDescent="0.4">
      <c r="A3" s="26" t="s">
        <v>65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86</v>
      </c>
    </row>
    <row r="4" spans="1:6" ht="14.6" hidden="1" x14ac:dyDescent="0.4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t="14.6" hidden="1" x14ac:dyDescent="0.4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t="14.6" hidden="1" x14ac:dyDescent="0.4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t="14.6" hidden="1" x14ac:dyDescent="0.4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64</v>
      </c>
    </row>
    <row r="8" spans="1:6" ht="14.6" hidden="1" x14ac:dyDescent="0.4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t="14.6" hidden="1" x14ac:dyDescent="0.4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71</v>
      </c>
    </row>
    <row r="10" spans="1:6" ht="14.6" hidden="1" x14ac:dyDescent="0.4">
      <c r="A10" s="30" t="s">
        <v>80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82</v>
      </c>
    </row>
    <row r="11" spans="1:6" ht="14.6" hidden="1" x14ac:dyDescent="0.4">
      <c r="A11" s="21" t="s">
        <v>59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69</v>
      </c>
    </row>
    <row r="12" spans="1:6" ht="14.6" hidden="1" x14ac:dyDescent="0.4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t="14.6" hidden="1" x14ac:dyDescent="0.4">
      <c r="A13" s="27" t="s">
        <v>72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73</v>
      </c>
    </row>
    <row r="14" spans="1:6" ht="14.6" hidden="1" x14ac:dyDescent="0.4">
      <c r="A14" s="31" t="s">
        <v>81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t="14.6" hidden="1" x14ac:dyDescent="0.4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75</v>
      </c>
    </row>
    <row r="16" spans="1:6" ht="14.6" hidden="1" x14ac:dyDescent="0.4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78</v>
      </c>
    </row>
    <row r="17" spans="1:6" ht="14.6" hidden="1" x14ac:dyDescent="0.4">
      <c r="A17" s="33" t="s">
        <v>83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t="14.6" hidden="1" x14ac:dyDescent="0.4">
      <c r="A18" s="33" t="s">
        <v>88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t="14.6" hidden="1" x14ac:dyDescent="0.4">
      <c r="A19" s="33" t="s">
        <v>89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90</v>
      </c>
    </row>
    <row r="20" spans="1:6" ht="14.6" hidden="1" x14ac:dyDescent="0.4">
      <c r="A20" s="35" t="s">
        <v>94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t="14.6" hidden="1" x14ac:dyDescent="0.4">
      <c r="A21" s="35" t="s">
        <v>93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t="14.6" hidden="1" x14ac:dyDescent="0.4">
      <c r="A22" s="34" t="s">
        <v>91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92</v>
      </c>
    </row>
    <row r="23" spans="1:6" ht="14.6" hidden="1" x14ac:dyDescent="0.4">
      <c r="A23" s="36" t="s">
        <v>97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98</v>
      </c>
    </row>
    <row r="24" spans="1:6" ht="14.6" hidden="1" x14ac:dyDescent="0.4">
      <c r="A24" s="38" t="s">
        <v>99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100</v>
      </c>
    </row>
    <row r="25" spans="1:6" ht="14.6" hidden="1" x14ac:dyDescent="0.4">
      <c r="A25" s="36" t="s">
        <v>96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t="14.6" hidden="1" x14ac:dyDescent="0.4">
      <c r="A26" s="35" t="s">
        <v>95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t="14.6" hidden="1" x14ac:dyDescent="0.4">
      <c r="A27" s="45" t="s">
        <v>130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t="14.6" hidden="1" x14ac:dyDescent="0.4">
      <c r="A28" s="39" t="s">
        <v>101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t="14.6" hidden="1" x14ac:dyDescent="0.4">
      <c r="A29" s="28" t="s">
        <v>74</v>
      </c>
      <c r="B29" s="23">
        <v>43109</v>
      </c>
      <c r="C29" s="23">
        <v>43118</v>
      </c>
      <c r="D29" s="24">
        <v>1.5</v>
      </c>
      <c r="E29" s="23">
        <v>43125</v>
      </c>
      <c r="F29" s="55"/>
    </row>
    <row r="30" spans="1:6" ht="14.6" x14ac:dyDescent="0.4">
      <c r="A30" s="95" t="s">
        <v>210</v>
      </c>
      <c r="B30" s="23">
        <v>43140</v>
      </c>
      <c r="C30" s="81">
        <v>43159</v>
      </c>
      <c r="D30" s="24">
        <v>0</v>
      </c>
      <c r="E30" s="23">
        <v>43160</v>
      </c>
      <c r="F30" s="125" t="s">
        <v>389</v>
      </c>
    </row>
    <row r="31" spans="1:6" ht="14.6" hidden="1" x14ac:dyDescent="0.4">
      <c r="A31" s="26" t="s">
        <v>66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67</v>
      </c>
    </row>
    <row r="32" spans="1:6" ht="14.6" hidden="1" x14ac:dyDescent="0.4">
      <c r="A32" s="29" t="s">
        <v>76</v>
      </c>
      <c r="B32" s="23">
        <v>43109</v>
      </c>
      <c r="C32" s="23">
        <v>43118</v>
      </c>
      <c r="D32" s="24">
        <v>1.5</v>
      </c>
      <c r="E32" s="23">
        <v>43125</v>
      </c>
      <c r="F32" s="57" t="s">
        <v>77</v>
      </c>
    </row>
    <row r="33" spans="1:6" ht="14.6" hidden="1" x14ac:dyDescent="0.4">
      <c r="A33" s="69" t="s">
        <v>161</v>
      </c>
      <c r="B33" s="23">
        <v>43124</v>
      </c>
      <c r="C33" s="23">
        <v>43125</v>
      </c>
      <c r="D33" s="24">
        <v>1</v>
      </c>
      <c r="E33" s="23">
        <v>43132</v>
      </c>
      <c r="F33" s="70" t="s">
        <v>160</v>
      </c>
    </row>
    <row r="34" spans="1:6" ht="14.6" hidden="1" x14ac:dyDescent="0.4">
      <c r="A34" s="69" t="s">
        <v>159</v>
      </c>
      <c r="B34" s="23">
        <v>43124</v>
      </c>
      <c r="C34" s="23">
        <v>43124</v>
      </c>
      <c r="D34" s="24">
        <v>1</v>
      </c>
      <c r="E34" s="23">
        <v>43125</v>
      </c>
      <c r="F34" s="60"/>
    </row>
    <row r="35" spans="1:6" ht="14.6" hidden="1" x14ac:dyDescent="0.4">
      <c r="A35" s="68" t="s">
        <v>158</v>
      </c>
      <c r="B35" s="23">
        <v>43122</v>
      </c>
      <c r="C35" s="23">
        <v>43122</v>
      </c>
      <c r="D35" s="24">
        <v>1</v>
      </c>
      <c r="E35" s="23">
        <v>43125</v>
      </c>
      <c r="F35" s="60"/>
    </row>
    <row r="36" spans="1:6" ht="14.6" hidden="1" x14ac:dyDescent="0.4">
      <c r="A36" s="49" t="s">
        <v>137</v>
      </c>
      <c r="B36" s="23">
        <v>43112</v>
      </c>
      <c r="C36" s="23">
        <v>43118</v>
      </c>
      <c r="D36" s="24">
        <v>1</v>
      </c>
      <c r="E36" s="23">
        <v>43125</v>
      </c>
      <c r="F36" s="60"/>
    </row>
    <row r="37" spans="1:6" ht="14.6" hidden="1" x14ac:dyDescent="0.4">
      <c r="A37" s="54" t="s">
        <v>146</v>
      </c>
      <c r="B37" s="23">
        <v>43117</v>
      </c>
      <c r="C37" s="23">
        <v>43117</v>
      </c>
      <c r="D37" s="24">
        <v>1</v>
      </c>
      <c r="E37" s="23">
        <v>43125</v>
      </c>
      <c r="F37" s="60"/>
    </row>
    <row r="38" spans="1:6" ht="14.6" hidden="1" x14ac:dyDescent="0.4">
      <c r="A38" s="40" t="s">
        <v>102</v>
      </c>
      <c r="B38" s="23">
        <v>43109</v>
      </c>
      <c r="C38" s="23">
        <v>43118</v>
      </c>
      <c r="D38" s="24">
        <v>1.5</v>
      </c>
      <c r="E38" s="23">
        <v>43125</v>
      </c>
      <c r="F38" s="61" t="s">
        <v>136</v>
      </c>
    </row>
    <row r="39" spans="1:6" ht="14.6" hidden="1" x14ac:dyDescent="0.4">
      <c r="A39" s="66" t="s">
        <v>151</v>
      </c>
      <c r="B39" s="23">
        <v>43119</v>
      </c>
      <c r="C39" s="23">
        <v>43122</v>
      </c>
      <c r="D39" s="24">
        <v>1</v>
      </c>
      <c r="E39" s="23">
        <v>43125</v>
      </c>
      <c r="F39" s="60"/>
    </row>
    <row r="40" spans="1:6" ht="14.6" hidden="1" x14ac:dyDescent="0.4">
      <c r="A40" s="46" t="s">
        <v>131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t="14.6" hidden="1" x14ac:dyDescent="0.4">
      <c r="A41" s="67" t="s">
        <v>153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t="14.6" hidden="1" x14ac:dyDescent="0.4">
      <c r="A42" s="47" t="s">
        <v>132</v>
      </c>
      <c r="B42" s="23">
        <f ca="1">TODAY()</f>
        <v>43144</v>
      </c>
      <c r="C42" s="23">
        <v>43118</v>
      </c>
      <c r="D42" s="24">
        <v>1</v>
      </c>
      <c r="E42" s="23">
        <v>43118</v>
      </c>
      <c r="F42" s="33"/>
    </row>
    <row r="43" spans="1:6" ht="14.6" hidden="1" x14ac:dyDescent="0.4">
      <c r="A43" s="66" t="s">
        <v>154</v>
      </c>
      <c r="B43" s="23">
        <v>43119</v>
      </c>
      <c r="C43" s="23">
        <v>43119</v>
      </c>
      <c r="D43" s="24">
        <v>1</v>
      </c>
      <c r="E43" s="23">
        <v>43125</v>
      </c>
      <c r="F43" s="67" t="s">
        <v>155</v>
      </c>
    </row>
    <row r="44" spans="1:6" ht="14.6" hidden="1" x14ac:dyDescent="0.4">
      <c r="A44" s="48" t="s">
        <v>134</v>
      </c>
      <c r="B44" s="23">
        <f ca="1">TODAY()</f>
        <v>43144</v>
      </c>
      <c r="C44" s="23">
        <v>43118</v>
      </c>
      <c r="D44" s="24">
        <v>1</v>
      </c>
      <c r="E44" s="23">
        <v>43118</v>
      </c>
      <c r="F44" s="33"/>
    </row>
    <row r="45" spans="1:6" ht="14.6" hidden="1" x14ac:dyDescent="0.4">
      <c r="A45" s="48" t="s">
        <v>135</v>
      </c>
      <c r="B45" s="23">
        <f ca="1">TODAY()</f>
        <v>43144</v>
      </c>
      <c r="C45" s="23">
        <v>43118</v>
      </c>
      <c r="D45" s="24">
        <v>1</v>
      </c>
      <c r="E45" s="23">
        <v>43118</v>
      </c>
      <c r="F45" s="33"/>
    </row>
    <row r="46" spans="1:6" ht="14.6" hidden="1" x14ac:dyDescent="0.4">
      <c r="A46" s="68" t="s">
        <v>156</v>
      </c>
      <c r="B46" s="23">
        <v>43122</v>
      </c>
      <c r="C46" s="23">
        <v>43122</v>
      </c>
      <c r="D46" s="24">
        <v>1</v>
      </c>
      <c r="E46" s="23">
        <v>43125</v>
      </c>
      <c r="F46" s="60"/>
    </row>
    <row r="47" spans="1:6" ht="14.6" hidden="1" x14ac:dyDescent="0.4">
      <c r="A47" s="49" t="s">
        <v>138</v>
      </c>
      <c r="B47" s="23">
        <f ca="1">TODAY()</f>
        <v>43144</v>
      </c>
      <c r="C47" s="23"/>
      <c r="D47" s="24">
        <v>1</v>
      </c>
      <c r="E47" s="23">
        <v>43118</v>
      </c>
      <c r="F47" s="33"/>
    </row>
    <row r="48" spans="1:6" ht="14.6" hidden="1" x14ac:dyDescent="0.4">
      <c r="A48" s="49" t="s">
        <v>139</v>
      </c>
      <c r="B48" s="23"/>
      <c r="C48" s="23"/>
      <c r="D48" s="24">
        <v>1</v>
      </c>
      <c r="E48" s="23">
        <v>43118</v>
      </c>
      <c r="F48" s="33"/>
    </row>
    <row r="49" spans="1:6" ht="14.6" hidden="1" x14ac:dyDescent="0.4">
      <c r="A49" s="50" t="s">
        <v>140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t="14.6" hidden="1" x14ac:dyDescent="0.4">
      <c r="A50" s="51" t="s">
        <v>141</v>
      </c>
      <c r="B50" s="23">
        <v>43115</v>
      </c>
      <c r="C50" s="23">
        <v>43117</v>
      </c>
      <c r="D50" s="24">
        <v>1</v>
      </c>
      <c r="E50" s="23">
        <v>43118</v>
      </c>
      <c r="F50" s="62">
        <v>0.60416666666666663</v>
      </c>
    </row>
    <row r="51" spans="1:6" ht="14.6" hidden="1" x14ac:dyDescent="0.4">
      <c r="A51" s="52" t="s">
        <v>142</v>
      </c>
      <c r="B51" s="23">
        <v>43115</v>
      </c>
      <c r="C51" s="23">
        <v>43118</v>
      </c>
      <c r="D51" s="24">
        <v>1</v>
      </c>
      <c r="E51" s="23">
        <v>43118</v>
      </c>
      <c r="F51" s="60"/>
    </row>
    <row r="52" spans="1:6" ht="14.6" hidden="1" x14ac:dyDescent="0.4">
      <c r="A52" s="52" t="s">
        <v>143</v>
      </c>
      <c r="B52" s="23">
        <v>43116</v>
      </c>
      <c r="C52" s="23">
        <v>43116</v>
      </c>
      <c r="D52" s="24">
        <v>1</v>
      </c>
      <c r="E52" s="23">
        <v>43118</v>
      </c>
      <c r="F52" s="33"/>
    </row>
    <row r="53" spans="1:6" ht="14.6" hidden="1" x14ac:dyDescent="0.4">
      <c r="A53" s="53" t="s">
        <v>144</v>
      </c>
      <c r="B53" s="23">
        <v>43116</v>
      </c>
      <c r="C53" s="23">
        <v>43116</v>
      </c>
      <c r="D53" s="24">
        <v>1</v>
      </c>
      <c r="E53" s="23">
        <v>43118</v>
      </c>
      <c r="F53" s="33"/>
    </row>
    <row r="54" spans="1:6" ht="14.6" hidden="1" x14ac:dyDescent="0.4">
      <c r="A54" s="53" t="s">
        <v>145</v>
      </c>
      <c r="B54" s="23">
        <v>43116</v>
      </c>
      <c r="C54" s="23">
        <v>43116</v>
      </c>
      <c r="D54" s="24">
        <v>1</v>
      </c>
      <c r="E54" s="23">
        <v>43118</v>
      </c>
      <c r="F54" s="33"/>
    </row>
    <row r="55" spans="1:6" ht="14.6" hidden="1" x14ac:dyDescent="0.4">
      <c r="A55" s="48" t="s">
        <v>133</v>
      </c>
      <c r="B55" s="23">
        <v>43112</v>
      </c>
      <c r="C55" s="23">
        <v>43118</v>
      </c>
      <c r="D55" s="24">
        <v>1</v>
      </c>
      <c r="E55" s="23">
        <v>43125</v>
      </c>
      <c r="F55" s="63" t="s">
        <v>148</v>
      </c>
    </row>
    <row r="56" spans="1:6" ht="14.6" hidden="1" x14ac:dyDescent="0.4">
      <c r="A56" s="54" t="s">
        <v>147</v>
      </c>
      <c r="B56" s="23">
        <v>43117</v>
      </c>
      <c r="C56" s="23">
        <v>43118</v>
      </c>
      <c r="D56" s="24">
        <v>1</v>
      </c>
      <c r="E56" s="23">
        <v>43118</v>
      </c>
      <c r="F56" s="60"/>
    </row>
    <row r="57" spans="1:6" ht="14.6" hidden="1" x14ac:dyDescent="0.4">
      <c r="A57" s="64" t="s">
        <v>149</v>
      </c>
      <c r="B57" s="23">
        <v>43117</v>
      </c>
      <c r="C57" s="23">
        <v>43118</v>
      </c>
      <c r="D57" s="24">
        <v>1.5</v>
      </c>
      <c r="E57" s="23">
        <v>43125</v>
      </c>
      <c r="F57" s="60"/>
    </row>
    <row r="58" spans="1:6" ht="14.6" hidden="1" x14ac:dyDescent="0.4">
      <c r="A58" s="65" t="s">
        <v>150</v>
      </c>
      <c r="B58" s="23">
        <v>43117</v>
      </c>
      <c r="C58" s="23">
        <v>43117</v>
      </c>
      <c r="D58" s="24">
        <v>1</v>
      </c>
      <c r="E58" s="23">
        <v>43118</v>
      </c>
      <c r="F58" s="60"/>
    </row>
    <row r="59" spans="1:6" ht="14.6" hidden="1" x14ac:dyDescent="0.4">
      <c r="A59" s="69" t="s">
        <v>167</v>
      </c>
      <c r="B59" s="23">
        <v>43124</v>
      </c>
      <c r="C59" s="23">
        <v>43124</v>
      </c>
      <c r="D59" s="24">
        <v>1</v>
      </c>
      <c r="E59" s="23">
        <v>43125</v>
      </c>
      <c r="F59" s="60"/>
    </row>
    <row r="60" spans="1:6" ht="14.6" hidden="1" x14ac:dyDescent="0.4">
      <c r="A60" s="21" t="s">
        <v>58</v>
      </c>
      <c r="B60" s="23">
        <v>43109</v>
      </c>
      <c r="C60" s="23">
        <v>43118</v>
      </c>
      <c r="D60" s="24">
        <v>1.5</v>
      </c>
      <c r="E60" s="23">
        <v>43125</v>
      </c>
      <c r="F60" s="59" t="s">
        <v>68</v>
      </c>
    </row>
    <row r="61" spans="1:6" ht="14.6" hidden="1" x14ac:dyDescent="0.4">
      <c r="A61" s="69" t="s">
        <v>163</v>
      </c>
      <c r="B61" s="23">
        <v>43124</v>
      </c>
      <c r="C61" s="23">
        <v>43124</v>
      </c>
      <c r="D61" s="24">
        <v>1</v>
      </c>
      <c r="E61" s="23">
        <v>43125</v>
      </c>
      <c r="F61" s="60" t="s">
        <v>85</v>
      </c>
    </row>
    <row r="62" spans="1:6" ht="14.6" hidden="1" x14ac:dyDescent="0.4">
      <c r="A62" s="69" t="s">
        <v>164</v>
      </c>
      <c r="B62" s="23">
        <v>43124</v>
      </c>
      <c r="C62" s="23">
        <v>43124</v>
      </c>
      <c r="D62" s="24">
        <v>1</v>
      </c>
      <c r="E62" s="23">
        <v>43125</v>
      </c>
      <c r="F62" s="60"/>
    </row>
    <row r="63" spans="1:6" ht="14.6" hidden="1" x14ac:dyDescent="0.4">
      <c r="A63" s="68" t="s">
        <v>157</v>
      </c>
      <c r="B63" s="23">
        <v>43122</v>
      </c>
      <c r="C63" s="23">
        <v>43124</v>
      </c>
      <c r="D63" s="24">
        <v>1</v>
      </c>
      <c r="E63" s="23">
        <v>43125</v>
      </c>
      <c r="F63" s="60"/>
    </row>
    <row r="64" spans="1:6" ht="14.6" hidden="1" x14ac:dyDescent="0.4">
      <c r="A64" s="21" t="s">
        <v>63</v>
      </c>
      <c r="B64" s="23">
        <v>43109</v>
      </c>
      <c r="C64" s="23">
        <v>43118</v>
      </c>
      <c r="D64" s="24">
        <v>1.5</v>
      </c>
      <c r="E64" s="23">
        <v>43125</v>
      </c>
      <c r="F64" s="59" t="s">
        <v>70</v>
      </c>
    </row>
    <row r="65" spans="1:6" ht="14.6" hidden="1" x14ac:dyDescent="0.4">
      <c r="A65" s="69" t="s">
        <v>166</v>
      </c>
      <c r="B65" s="23">
        <v>43124</v>
      </c>
      <c r="C65" s="23">
        <v>43125</v>
      </c>
      <c r="D65" s="24">
        <v>1.5</v>
      </c>
      <c r="E65" s="23">
        <v>43132</v>
      </c>
      <c r="F65" s="60"/>
    </row>
    <row r="66" spans="1:6" ht="14.6" hidden="1" x14ac:dyDescent="0.4">
      <c r="A66" s="21" t="s">
        <v>60</v>
      </c>
      <c r="B66" s="23">
        <v>43124</v>
      </c>
      <c r="C66" s="23">
        <v>43126</v>
      </c>
      <c r="D66" s="24">
        <v>1</v>
      </c>
      <c r="E66" s="23">
        <v>43132</v>
      </c>
      <c r="F66" s="60" t="s">
        <v>87</v>
      </c>
    </row>
    <row r="67" spans="1:6" ht="14.6" x14ac:dyDescent="0.4">
      <c r="A67" s="69" t="s">
        <v>165</v>
      </c>
      <c r="B67" s="23">
        <v>43124</v>
      </c>
      <c r="C67" s="23">
        <v>43156</v>
      </c>
      <c r="D67" s="24">
        <v>0.25</v>
      </c>
      <c r="E67" s="23">
        <v>43160</v>
      </c>
      <c r="F67" s="60"/>
    </row>
    <row r="68" spans="1:6" ht="14.6" hidden="1" x14ac:dyDescent="0.4">
      <c r="A68" s="72" t="s">
        <v>168</v>
      </c>
      <c r="B68" s="23">
        <v>43125</v>
      </c>
      <c r="C68" s="23">
        <v>43136</v>
      </c>
      <c r="D68" s="24">
        <v>1.5</v>
      </c>
      <c r="E68" s="23">
        <v>43139</v>
      </c>
      <c r="F68" s="73" t="s">
        <v>169</v>
      </c>
    </row>
    <row r="69" spans="1:6" ht="14.6" hidden="1" x14ac:dyDescent="0.4">
      <c r="A69" s="40" t="s">
        <v>103</v>
      </c>
      <c r="B69" s="23">
        <v>43124</v>
      </c>
      <c r="C69" s="23">
        <v>43124</v>
      </c>
      <c r="D69" s="71">
        <v>1.5</v>
      </c>
      <c r="E69" s="23">
        <v>43125</v>
      </c>
      <c r="F69" s="70" t="s">
        <v>162</v>
      </c>
    </row>
    <row r="70" spans="1:6" ht="14.6" hidden="1" x14ac:dyDescent="0.4">
      <c r="A70" s="66" t="s">
        <v>152</v>
      </c>
      <c r="B70" s="23">
        <v>43119</v>
      </c>
      <c r="C70" s="23">
        <v>43136</v>
      </c>
      <c r="D70" s="24">
        <v>1</v>
      </c>
      <c r="E70" s="23">
        <v>43139</v>
      </c>
      <c r="F70" s="60"/>
    </row>
    <row r="71" spans="1:6" ht="14.6" hidden="1" x14ac:dyDescent="0.4">
      <c r="A71" s="21" t="s">
        <v>61</v>
      </c>
      <c r="B71" s="23">
        <v>43124</v>
      </c>
      <c r="C71" s="23">
        <v>43136</v>
      </c>
      <c r="D71" s="24">
        <v>1</v>
      </c>
      <c r="E71" s="23">
        <v>43139</v>
      </c>
      <c r="F71" s="58" t="s">
        <v>62</v>
      </c>
    </row>
    <row r="72" spans="1:6" ht="14.6" hidden="1" x14ac:dyDescent="0.4">
      <c r="A72" s="72" t="s">
        <v>170</v>
      </c>
      <c r="B72" s="23">
        <v>43125</v>
      </c>
      <c r="C72" s="23">
        <v>43126</v>
      </c>
      <c r="D72" s="24">
        <v>1</v>
      </c>
      <c r="E72" s="23">
        <v>43132</v>
      </c>
      <c r="F72" s="60"/>
    </row>
    <row r="73" spans="1:6" ht="14.6" hidden="1" x14ac:dyDescent="0.4">
      <c r="A73" s="74" t="s">
        <v>171</v>
      </c>
      <c r="B73" s="23">
        <v>43129</v>
      </c>
      <c r="C73" s="23">
        <v>43143</v>
      </c>
      <c r="D73" s="24">
        <v>1</v>
      </c>
      <c r="E73" s="23">
        <v>43160</v>
      </c>
      <c r="F73" s="75" t="s">
        <v>172</v>
      </c>
    </row>
    <row r="74" spans="1:6" ht="14.6" hidden="1" x14ac:dyDescent="0.4">
      <c r="A74" s="76" t="s">
        <v>173</v>
      </c>
      <c r="B74" s="23">
        <v>43131</v>
      </c>
      <c r="C74" s="23">
        <v>43131</v>
      </c>
      <c r="D74" s="24">
        <v>1</v>
      </c>
      <c r="E74" s="23">
        <v>43132</v>
      </c>
      <c r="F74" s="60"/>
    </row>
    <row r="75" spans="1:6" ht="14.6" hidden="1" x14ac:dyDescent="0.4">
      <c r="A75" s="76" t="s">
        <v>174</v>
      </c>
      <c r="B75" s="23">
        <v>43131</v>
      </c>
      <c r="C75" s="23">
        <v>43131</v>
      </c>
      <c r="D75" s="24">
        <v>1</v>
      </c>
      <c r="E75" s="23">
        <v>43132</v>
      </c>
      <c r="F75" s="60"/>
    </row>
    <row r="76" spans="1:6" ht="14.6" hidden="1" x14ac:dyDescent="0.4">
      <c r="A76" s="76" t="s">
        <v>175</v>
      </c>
      <c r="B76" s="23">
        <v>43129</v>
      </c>
      <c r="C76" s="23">
        <v>43137</v>
      </c>
      <c r="D76" s="24">
        <v>1</v>
      </c>
      <c r="E76" s="23">
        <v>43139</v>
      </c>
      <c r="F76" s="60"/>
    </row>
    <row r="77" spans="1:6" ht="14.6" hidden="1" x14ac:dyDescent="0.4">
      <c r="A77" s="77" t="s">
        <v>95</v>
      </c>
      <c r="B77" s="23">
        <v>43132</v>
      </c>
      <c r="C77" s="23">
        <v>43133</v>
      </c>
      <c r="D77" s="24">
        <v>1</v>
      </c>
      <c r="E77" s="23">
        <v>43139</v>
      </c>
      <c r="F77" s="60"/>
    </row>
    <row r="78" spans="1:6" ht="14.6" hidden="1" x14ac:dyDescent="0.4">
      <c r="A78" s="77" t="s">
        <v>176</v>
      </c>
      <c r="B78" s="23">
        <v>43132</v>
      </c>
      <c r="C78" s="23">
        <v>43133</v>
      </c>
      <c r="D78" s="24">
        <v>1</v>
      </c>
      <c r="E78" s="23">
        <v>43139</v>
      </c>
      <c r="F78" s="60"/>
    </row>
    <row r="79" spans="1:6" ht="14.6" hidden="1" x14ac:dyDescent="0.4">
      <c r="A79" s="77" t="s">
        <v>177</v>
      </c>
      <c r="B79" s="23">
        <v>43132</v>
      </c>
      <c r="C79" s="23">
        <v>43136</v>
      </c>
      <c r="D79" s="24">
        <v>1.5</v>
      </c>
      <c r="E79" s="23">
        <v>43139</v>
      </c>
      <c r="F79" s="60"/>
    </row>
    <row r="80" spans="1:6" ht="14.6" hidden="1" x14ac:dyDescent="0.4">
      <c r="A80" s="78" t="s">
        <v>178</v>
      </c>
      <c r="B80" s="23">
        <v>43132</v>
      </c>
      <c r="C80" s="23">
        <v>43132</v>
      </c>
      <c r="D80" s="24">
        <v>1</v>
      </c>
      <c r="E80" s="23">
        <v>43139</v>
      </c>
      <c r="F80" s="60"/>
    </row>
    <row r="81" spans="1:6" ht="14.6" hidden="1" x14ac:dyDescent="0.4">
      <c r="A81" s="78" t="s">
        <v>179</v>
      </c>
      <c r="B81" s="23">
        <v>43132</v>
      </c>
      <c r="C81" s="23">
        <v>43132</v>
      </c>
      <c r="D81" s="24">
        <v>1.5</v>
      </c>
      <c r="E81" s="23">
        <v>43139</v>
      </c>
      <c r="F81" s="60"/>
    </row>
    <row r="82" spans="1:6" ht="14.6" hidden="1" x14ac:dyDescent="0.4">
      <c r="A82" s="79" t="s">
        <v>180</v>
      </c>
      <c r="B82" s="23">
        <v>43132</v>
      </c>
      <c r="C82" s="23">
        <v>43136</v>
      </c>
      <c r="D82" s="24">
        <v>1.5</v>
      </c>
      <c r="E82" s="23">
        <v>43139</v>
      </c>
      <c r="F82" s="82" t="s">
        <v>184</v>
      </c>
    </row>
    <row r="83" spans="1:6" ht="14.6" hidden="1" x14ac:dyDescent="0.4">
      <c r="A83" s="80" t="s">
        <v>181</v>
      </c>
      <c r="B83" s="23">
        <v>43133</v>
      </c>
      <c r="C83" s="23">
        <v>43133</v>
      </c>
      <c r="D83" s="24">
        <v>1</v>
      </c>
      <c r="E83" s="23">
        <v>43139</v>
      </c>
      <c r="F83" s="60"/>
    </row>
    <row r="84" spans="1:6" ht="14.6" hidden="1" x14ac:dyDescent="0.4">
      <c r="A84" s="80" t="s">
        <v>182</v>
      </c>
      <c r="B84" s="23">
        <v>43133</v>
      </c>
      <c r="C84" s="81">
        <v>43133</v>
      </c>
      <c r="D84" s="24">
        <v>1</v>
      </c>
      <c r="E84" s="23">
        <v>43139</v>
      </c>
      <c r="F84" s="60"/>
    </row>
    <row r="85" spans="1:6" ht="14.6" hidden="1" x14ac:dyDescent="0.4">
      <c r="A85" s="80" t="s">
        <v>183</v>
      </c>
      <c r="B85" s="23">
        <v>43133</v>
      </c>
      <c r="C85" s="81">
        <v>43136</v>
      </c>
      <c r="D85" s="24">
        <v>1</v>
      </c>
      <c r="E85" s="23">
        <v>43139</v>
      </c>
      <c r="F85" s="89" t="s">
        <v>201</v>
      </c>
    </row>
    <row r="86" spans="1:6" ht="14.6" hidden="1" x14ac:dyDescent="0.4">
      <c r="A86" s="83" t="s">
        <v>185</v>
      </c>
      <c r="B86" s="23">
        <v>43134</v>
      </c>
      <c r="C86" s="81">
        <v>43136</v>
      </c>
      <c r="D86" s="24">
        <v>1</v>
      </c>
      <c r="E86" s="23">
        <v>43139</v>
      </c>
      <c r="F86" s="84" t="s">
        <v>186</v>
      </c>
    </row>
    <row r="87" spans="1:6" ht="14.6" hidden="1" x14ac:dyDescent="0.4">
      <c r="A87" s="83" t="s">
        <v>187</v>
      </c>
      <c r="B87" s="23">
        <v>43134</v>
      </c>
      <c r="C87" s="81">
        <v>43136</v>
      </c>
      <c r="D87" s="24">
        <v>1.5</v>
      </c>
      <c r="E87" s="23">
        <v>43139</v>
      </c>
      <c r="F87" s="60"/>
    </row>
    <row r="88" spans="1:6" ht="14.6" hidden="1" x14ac:dyDescent="0.4">
      <c r="A88" s="85" t="s">
        <v>188</v>
      </c>
      <c r="B88" s="23">
        <v>43135</v>
      </c>
      <c r="C88" s="81">
        <v>43136</v>
      </c>
      <c r="D88" s="24">
        <v>1</v>
      </c>
      <c r="E88" s="23">
        <v>43139</v>
      </c>
      <c r="F88" s="60"/>
    </row>
    <row r="89" spans="1:6" ht="14.6" hidden="1" x14ac:dyDescent="0.4">
      <c r="A89" s="85" t="s">
        <v>189</v>
      </c>
      <c r="B89" s="23">
        <v>43136</v>
      </c>
      <c r="C89" s="81">
        <v>43136</v>
      </c>
      <c r="D89" s="24">
        <v>1</v>
      </c>
      <c r="E89" s="23">
        <v>43139</v>
      </c>
      <c r="F89" s="60"/>
    </row>
    <row r="90" spans="1:6" ht="14.6" hidden="1" x14ac:dyDescent="0.4">
      <c r="A90" s="85" t="s">
        <v>190</v>
      </c>
      <c r="B90" s="23">
        <v>43136</v>
      </c>
      <c r="C90" s="81">
        <v>43136</v>
      </c>
      <c r="D90" s="24">
        <v>1.5</v>
      </c>
      <c r="E90" s="23">
        <v>43139</v>
      </c>
      <c r="F90" s="89" t="s">
        <v>199</v>
      </c>
    </row>
    <row r="91" spans="1:6" ht="14.6" hidden="1" x14ac:dyDescent="0.4">
      <c r="A91" s="85" t="s">
        <v>191</v>
      </c>
      <c r="B91" s="23">
        <v>43136</v>
      </c>
      <c r="C91" s="81">
        <v>43137</v>
      </c>
      <c r="D91" s="24">
        <v>1</v>
      </c>
      <c r="E91" s="23">
        <v>43139</v>
      </c>
      <c r="F91" s="89" t="s">
        <v>200</v>
      </c>
    </row>
    <row r="92" spans="1:6" ht="14.6" hidden="1" x14ac:dyDescent="0.4">
      <c r="A92" s="86" t="s">
        <v>192</v>
      </c>
      <c r="B92" s="23">
        <v>43137</v>
      </c>
      <c r="C92" s="81">
        <v>43144</v>
      </c>
      <c r="D92" s="24">
        <v>1</v>
      </c>
      <c r="E92" s="23">
        <v>43139</v>
      </c>
      <c r="F92" s="87" t="s">
        <v>193</v>
      </c>
    </row>
    <row r="93" spans="1:6" ht="14.6" hidden="1" x14ac:dyDescent="0.4">
      <c r="A93" s="86" t="s">
        <v>194</v>
      </c>
      <c r="B93" s="23">
        <v>43137</v>
      </c>
      <c r="C93" s="81">
        <v>43137</v>
      </c>
      <c r="D93" s="24">
        <v>1</v>
      </c>
      <c r="E93" s="23">
        <v>43139</v>
      </c>
      <c r="F93" s="60"/>
    </row>
    <row r="94" spans="1:6" ht="14.6" hidden="1" x14ac:dyDescent="0.4">
      <c r="A94" s="88" t="s">
        <v>195</v>
      </c>
      <c r="B94" s="23">
        <v>43137</v>
      </c>
      <c r="C94" s="81">
        <v>43137</v>
      </c>
      <c r="D94" s="24">
        <v>1</v>
      </c>
      <c r="E94" s="23">
        <v>43139</v>
      </c>
      <c r="F94" s="89" t="s">
        <v>202</v>
      </c>
    </row>
    <row r="95" spans="1:6" ht="14.6" hidden="1" x14ac:dyDescent="0.4">
      <c r="A95" s="88" t="s">
        <v>196</v>
      </c>
      <c r="B95" s="23">
        <v>43137</v>
      </c>
      <c r="C95" s="81">
        <v>43137</v>
      </c>
      <c r="D95" s="24">
        <v>1</v>
      </c>
      <c r="E95" s="23">
        <v>43139</v>
      </c>
      <c r="F95" s="60"/>
    </row>
    <row r="96" spans="1:6" ht="14.6" hidden="1" x14ac:dyDescent="0.4">
      <c r="A96" s="88" t="s">
        <v>197</v>
      </c>
      <c r="B96" s="23">
        <v>43137</v>
      </c>
      <c r="C96" s="81">
        <v>43137</v>
      </c>
      <c r="D96" s="24">
        <v>1</v>
      </c>
      <c r="E96" s="23">
        <v>43139</v>
      </c>
      <c r="F96" s="89" t="s">
        <v>198</v>
      </c>
    </row>
    <row r="97" spans="1:6" ht="14.6" hidden="1" x14ac:dyDescent="0.4">
      <c r="A97" s="90" t="s">
        <v>203</v>
      </c>
      <c r="B97" s="23">
        <v>43138</v>
      </c>
      <c r="C97" s="81">
        <v>43139</v>
      </c>
      <c r="D97" s="24">
        <v>1</v>
      </c>
      <c r="E97" s="23">
        <v>43139</v>
      </c>
      <c r="F97" s="89"/>
    </row>
    <row r="98" spans="1:6" ht="14.6" hidden="1" x14ac:dyDescent="0.4">
      <c r="A98" s="90" t="s">
        <v>204</v>
      </c>
      <c r="B98" s="23">
        <v>43138</v>
      </c>
      <c r="C98" s="81">
        <v>43139</v>
      </c>
      <c r="D98" s="24">
        <v>1</v>
      </c>
      <c r="E98" s="91">
        <v>43139</v>
      </c>
      <c r="F98" s="89"/>
    </row>
    <row r="99" spans="1:6" ht="14.6" hidden="1" x14ac:dyDescent="0.4">
      <c r="A99" s="92" t="s">
        <v>206</v>
      </c>
      <c r="B99" s="23">
        <v>43138</v>
      </c>
      <c r="C99" s="81">
        <v>43139</v>
      </c>
      <c r="D99" s="24">
        <v>1</v>
      </c>
      <c r="E99" s="23">
        <v>43139</v>
      </c>
      <c r="F99" s="89"/>
    </row>
    <row r="100" spans="1:6" ht="14.6" hidden="1" x14ac:dyDescent="0.4">
      <c r="A100" s="92" t="s">
        <v>205</v>
      </c>
      <c r="B100" s="23">
        <v>43138</v>
      </c>
      <c r="C100" s="81">
        <v>43138</v>
      </c>
      <c r="D100" s="24">
        <v>1</v>
      </c>
      <c r="E100" s="23">
        <v>43139</v>
      </c>
      <c r="F100" s="89"/>
    </row>
    <row r="101" spans="1:6" ht="14.6" hidden="1" x14ac:dyDescent="0.4">
      <c r="A101" s="93" t="s">
        <v>207</v>
      </c>
      <c r="B101" s="23">
        <v>43139</v>
      </c>
      <c r="C101" s="81">
        <v>43139</v>
      </c>
      <c r="D101" s="24">
        <v>1</v>
      </c>
      <c r="E101" s="23">
        <v>43144</v>
      </c>
      <c r="F101" s="94" t="s">
        <v>208</v>
      </c>
    </row>
    <row r="102" spans="1:6" ht="14.6" hidden="1" x14ac:dyDescent="0.4">
      <c r="A102" s="93" t="s">
        <v>209</v>
      </c>
      <c r="B102" s="23">
        <v>43139</v>
      </c>
      <c r="C102" s="81">
        <v>43140</v>
      </c>
      <c r="D102" s="24">
        <v>1.5</v>
      </c>
      <c r="E102" s="23">
        <v>43144</v>
      </c>
      <c r="F102" s="96" t="s">
        <v>212</v>
      </c>
    </row>
    <row r="103" spans="1:6" ht="14.6" x14ac:dyDescent="0.4">
      <c r="A103" s="95" t="s">
        <v>211</v>
      </c>
      <c r="B103" s="23">
        <v>43140</v>
      </c>
      <c r="C103" s="81">
        <v>43145</v>
      </c>
      <c r="D103" s="24">
        <v>0</v>
      </c>
      <c r="E103" s="23">
        <v>43160</v>
      </c>
      <c r="F103" s="89"/>
    </row>
    <row r="104" spans="1:6" ht="14.6" hidden="1" x14ac:dyDescent="0.4">
      <c r="A104" s="102" t="s">
        <v>330</v>
      </c>
      <c r="B104" s="23">
        <v>43143</v>
      </c>
      <c r="C104" s="23">
        <v>43144</v>
      </c>
      <c r="D104" s="24">
        <v>1</v>
      </c>
      <c r="E104" s="23">
        <v>43160</v>
      </c>
      <c r="F104" s="56" t="s">
        <v>129</v>
      </c>
    </row>
    <row r="105" spans="1:6" ht="14.6" hidden="1" x14ac:dyDescent="0.4">
      <c r="A105" s="97" t="s">
        <v>213</v>
      </c>
      <c r="B105" s="23">
        <v>43143</v>
      </c>
      <c r="C105" s="81">
        <v>43144</v>
      </c>
      <c r="D105" s="24">
        <v>1</v>
      </c>
      <c r="E105" s="23">
        <v>43160</v>
      </c>
      <c r="F105" s="60"/>
    </row>
    <row r="106" spans="1:6" ht="14.6" hidden="1" x14ac:dyDescent="0.4">
      <c r="A106" s="102" t="s">
        <v>331</v>
      </c>
      <c r="B106" s="23">
        <v>43144</v>
      </c>
      <c r="C106" s="81">
        <v>43145</v>
      </c>
      <c r="D106" s="24">
        <v>0.5</v>
      </c>
      <c r="E106" s="23">
        <v>43160</v>
      </c>
      <c r="F106" s="96"/>
    </row>
    <row r="107" spans="1:6" ht="14.6" hidden="1" x14ac:dyDescent="0.4">
      <c r="A107" s="97" t="s">
        <v>265</v>
      </c>
      <c r="B107" s="23">
        <v>43143</v>
      </c>
      <c r="C107" s="81">
        <v>43143</v>
      </c>
      <c r="D107" s="24">
        <v>1</v>
      </c>
      <c r="E107" s="23">
        <v>43160</v>
      </c>
      <c r="F107" s="96" t="s">
        <v>316</v>
      </c>
    </row>
    <row r="108" spans="1:6" ht="14.6" hidden="1" x14ac:dyDescent="0.4">
      <c r="A108" s="97" t="s">
        <v>325</v>
      </c>
      <c r="B108" s="23">
        <v>43143</v>
      </c>
      <c r="C108" s="81">
        <v>43144</v>
      </c>
      <c r="D108" s="24">
        <v>1</v>
      </c>
      <c r="E108" s="23">
        <v>43160</v>
      </c>
      <c r="F108" s="96"/>
    </row>
    <row r="109" spans="1:6" ht="14.6" hidden="1" x14ac:dyDescent="0.4">
      <c r="A109" s="102" t="s">
        <v>329</v>
      </c>
      <c r="B109" s="23">
        <v>43144</v>
      </c>
      <c r="C109" s="81">
        <v>43144</v>
      </c>
      <c r="D109" s="24">
        <v>0.75</v>
      </c>
      <c r="E109" s="23">
        <v>43160</v>
      </c>
      <c r="F109" s="96"/>
    </row>
    <row r="110" spans="1:6" ht="14.6" hidden="1" x14ac:dyDescent="0.4">
      <c r="A110" s="102" t="s">
        <v>332</v>
      </c>
      <c r="B110" s="23">
        <v>43144</v>
      </c>
      <c r="C110" s="81">
        <v>43144</v>
      </c>
      <c r="D110" s="24">
        <v>1</v>
      </c>
      <c r="E110" s="23">
        <v>43160</v>
      </c>
      <c r="F110" s="96"/>
    </row>
    <row r="111" spans="1:6" ht="14.6" hidden="1" x14ac:dyDescent="0.4">
      <c r="A111" s="102" t="s">
        <v>387</v>
      </c>
      <c r="B111" s="23">
        <v>43144</v>
      </c>
      <c r="C111" s="81">
        <v>43144</v>
      </c>
      <c r="D111" s="24">
        <v>1</v>
      </c>
      <c r="E111" s="23">
        <v>43160</v>
      </c>
      <c r="F111" s="96"/>
    </row>
    <row r="112" spans="1:6" ht="14.6" hidden="1" x14ac:dyDescent="0.4">
      <c r="A112" s="123" t="s">
        <v>388</v>
      </c>
      <c r="B112" s="124">
        <v>43144</v>
      </c>
      <c r="C112" s="81">
        <v>43145</v>
      </c>
      <c r="D112" s="24">
        <v>1</v>
      </c>
      <c r="E112" s="23">
        <v>43160</v>
      </c>
      <c r="F112" s="96"/>
    </row>
    <row r="113" spans="1:6" ht="14.6" x14ac:dyDescent="0.4">
      <c r="A113" s="123"/>
      <c r="B113" s="124"/>
      <c r="C113" s="81"/>
      <c r="D113" s="24"/>
      <c r="E113" s="23"/>
      <c r="F113" s="96"/>
    </row>
    <row r="114" spans="1:6" ht="14.6" x14ac:dyDescent="0.4">
      <c r="A114" s="123"/>
      <c r="B114" s="124"/>
      <c r="C114" s="81"/>
      <c r="D114" s="24"/>
      <c r="E114" s="23"/>
      <c r="F114" s="96"/>
    </row>
    <row r="115" spans="1:6" ht="14.6" x14ac:dyDescent="0.4">
      <c r="A115" s="123"/>
      <c r="B115" s="124"/>
      <c r="C115" s="81"/>
      <c r="D115" s="24"/>
      <c r="E115" s="23"/>
      <c r="F115" s="96"/>
    </row>
    <row r="116" spans="1:6" ht="14.6" x14ac:dyDescent="0.4">
      <c r="A116" s="123"/>
      <c r="B116" s="124"/>
      <c r="C116" s="81"/>
      <c r="D116" s="24"/>
      <c r="E116" s="23"/>
      <c r="F116" s="96"/>
    </row>
    <row r="117" spans="1:6" ht="14.6" x14ac:dyDescent="0.4">
      <c r="A117" s="123"/>
      <c r="B117" s="124"/>
      <c r="C117" s="81"/>
      <c r="D117" s="24"/>
      <c r="E117" s="23"/>
      <c r="F117" s="96"/>
    </row>
    <row r="118" spans="1:6" ht="14.6" x14ac:dyDescent="0.4">
      <c r="A118" s="123"/>
      <c r="B118" s="124"/>
      <c r="C118" s="81"/>
      <c r="D118" s="24"/>
      <c r="E118" s="23"/>
      <c r="F118" s="96"/>
    </row>
    <row r="119" spans="1:6" ht="14.6" x14ac:dyDescent="0.4">
      <c r="A119" s="123"/>
      <c r="B119" s="124"/>
      <c r="C119" s="81"/>
      <c r="D119" s="24"/>
      <c r="E119" s="23"/>
      <c r="F119" s="96"/>
    </row>
    <row r="120" spans="1:6" ht="14.6" x14ac:dyDescent="0.4">
      <c r="A120" s="123"/>
      <c r="B120" s="124"/>
      <c r="C120" s="81"/>
      <c r="D120" s="24"/>
      <c r="E120" s="23"/>
      <c r="F120" s="96"/>
    </row>
    <row r="121" spans="1:6" ht="14.6" x14ac:dyDescent="0.4">
      <c r="A121" s="123"/>
      <c r="B121" s="124"/>
      <c r="C121" s="81"/>
      <c r="D121" s="24"/>
      <c r="E121" s="23"/>
      <c r="F121" s="96"/>
    </row>
    <row r="122" spans="1:6" ht="14.6" x14ac:dyDescent="0.4">
      <c r="A122" s="123"/>
      <c r="B122" s="124"/>
      <c r="C122" s="81"/>
      <c r="D122" s="24"/>
      <c r="E122" s="23"/>
      <c r="F122" s="96"/>
    </row>
    <row r="123" spans="1:6" ht="14.6" x14ac:dyDescent="0.4">
      <c r="A123" s="123"/>
      <c r="B123" s="124"/>
      <c r="C123" s="81"/>
      <c r="D123" s="24"/>
      <c r="E123" s="23"/>
      <c r="F123" s="96"/>
    </row>
    <row r="124" spans="1:6" ht="14.6" x14ac:dyDescent="0.4">
      <c r="A124" s="123"/>
      <c r="B124" s="124"/>
      <c r="C124" s="81"/>
      <c r="D124" s="24"/>
      <c r="E124" s="23"/>
      <c r="F124" s="96"/>
    </row>
    <row r="125" spans="1:6" ht="14.6" x14ac:dyDescent="0.4">
      <c r="A125" s="123"/>
      <c r="B125" s="124"/>
      <c r="C125" s="81"/>
      <c r="D125" s="24"/>
      <c r="E125" s="23"/>
      <c r="F125" s="96"/>
    </row>
    <row r="126" spans="1:6" ht="14.6" x14ac:dyDescent="0.4">
      <c r="A126" s="123"/>
      <c r="B126" s="124"/>
      <c r="C126" s="81"/>
      <c r="D126" s="24"/>
      <c r="E126" s="23"/>
      <c r="F126" s="96"/>
    </row>
    <row r="127" spans="1:6" ht="14.6" x14ac:dyDescent="0.4">
      <c r="A127" s="97"/>
      <c r="B127" s="23"/>
      <c r="C127" s="81"/>
      <c r="D127" s="24"/>
      <c r="E127" s="23"/>
      <c r="F127" s="96"/>
    </row>
    <row r="128" spans="1:6" ht="14.6" x14ac:dyDescent="0.4">
      <c r="A128" s="85"/>
      <c r="B128" s="23"/>
      <c r="C128" s="81"/>
      <c r="D128" s="24"/>
      <c r="E128" s="23"/>
      <c r="F128" s="60"/>
    </row>
    <row r="129" spans="2:6" ht="14.6" x14ac:dyDescent="0.4">
      <c r="B129" s="23"/>
      <c r="C129" s="23"/>
      <c r="D129" s="24"/>
      <c r="E129" s="23"/>
      <c r="F129" s="58"/>
    </row>
    <row r="130" spans="2:6" ht="14.6" hidden="1" x14ac:dyDescent="0.4"/>
    <row r="131" spans="2:6" ht="14.4" hidden="1" customHeight="1" x14ac:dyDescent="0.4"/>
    <row r="132" spans="2:6" ht="14.4" hidden="1" customHeight="1" x14ac:dyDescent="0.4"/>
    <row r="133" spans="2:6" ht="14.4" hidden="1" customHeight="1" x14ac:dyDescent="0.4"/>
  </sheetData>
  <conditionalFormatting sqref="D2:D129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4"/>
  <sheetViews>
    <sheetView zoomScaleNormal="100" workbookViewId="0">
      <selection activeCell="C2" sqref="C2"/>
    </sheetView>
  </sheetViews>
  <sheetFormatPr defaultColWidth="8.85546875" defaultRowHeight="14.6" zeroHeight="1" x14ac:dyDescent="0.4"/>
  <cols>
    <col min="1" max="1" width="5.92578125" style="42" customWidth="1"/>
    <col min="2" max="2" width="10.0703125" style="42" customWidth="1"/>
    <col min="3" max="3" width="8.140625" style="42" customWidth="1"/>
    <col min="4" max="14" width="4.78515625" style="42" customWidth="1"/>
    <col min="18" max="18" width="13.5" style="42" customWidth="1"/>
    <col min="19" max="19" width="12.5703125" style="42" customWidth="1"/>
    <col min="20" max="20" width="13.85546875" style="42" customWidth="1"/>
    <col min="21" max="25" width="11.140625" style="42" customWidth="1"/>
  </cols>
  <sheetData>
    <row r="1" spans="1:25" ht="92.15" x14ac:dyDescent="0.4">
      <c r="A1" s="41" t="s">
        <v>107</v>
      </c>
      <c r="B1" s="41" t="s">
        <v>333</v>
      </c>
      <c r="C1" s="41" t="s">
        <v>117</v>
      </c>
      <c r="D1" s="41" t="s">
        <v>104</v>
      </c>
      <c r="E1" s="41" t="s">
        <v>334</v>
      </c>
      <c r="F1" s="41" t="s">
        <v>335</v>
      </c>
      <c r="G1" s="41" t="s">
        <v>105</v>
      </c>
      <c r="H1" s="41" t="s">
        <v>106</v>
      </c>
      <c r="I1" s="41" t="s">
        <v>116</v>
      </c>
      <c r="J1" s="41" t="s">
        <v>337</v>
      </c>
      <c r="K1" s="41" t="s">
        <v>338</v>
      </c>
      <c r="L1" s="41" t="s">
        <v>339</v>
      </c>
      <c r="M1" s="41" t="s">
        <v>340</v>
      </c>
      <c r="N1" s="41" t="s">
        <v>341</v>
      </c>
      <c r="O1" s="43" t="s">
        <v>386</v>
      </c>
      <c r="P1" s="43" t="s">
        <v>109</v>
      </c>
      <c r="Q1" s="43" t="s">
        <v>108</v>
      </c>
      <c r="R1" s="43" t="s">
        <v>110</v>
      </c>
      <c r="S1" s="41" t="s">
        <v>111</v>
      </c>
      <c r="T1" s="41" t="s">
        <v>112</v>
      </c>
      <c r="U1" s="42" t="s">
        <v>113</v>
      </c>
      <c r="V1" s="42" t="s">
        <v>114</v>
      </c>
      <c r="W1" s="42" t="s">
        <v>115</v>
      </c>
      <c r="X1"/>
      <c r="Y1"/>
    </row>
    <row r="2" spans="1:25" x14ac:dyDescent="0.4">
      <c r="A2" s="106">
        <v>1</v>
      </c>
      <c r="B2" s="42">
        <v>24000000</v>
      </c>
      <c r="C2" s="42">
        <v>-4</v>
      </c>
      <c r="D2" s="42">
        <v>0.2</v>
      </c>
      <c r="E2" s="42">
        <v>30</v>
      </c>
      <c r="F2" s="42">
        <v>0</v>
      </c>
      <c r="G2" s="42" t="s">
        <v>118</v>
      </c>
      <c r="H2" s="42">
        <v>3</v>
      </c>
      <c r="I2" s="42">
        <v>1</v>
      </c>
      <c r="J2" s="42">
        <v>0</v>
      </c>
      <c r="K2" s="42">
        <v>0</v>
      </c>
      <c r="L2" s="42">
        <v>55</v>
      </c>
      <c r="M2" s="42">
        <v>-1</v>
      </c>
      <c r="N2" s="42">
        <v>0</v>
      </c>
      <c r="O2" s="42"/>
      <c r="P2" s="42"/>
      <c r="Q2" s="42"/>
      <c r="X2"/>
      <c r="Y2"/>
    </row>
    <row r="3" spans="1:25" x14ac:dyDescent="0.4">
      <c r="A3" s="106">
        <v>2</v>
      </c>
      <c r="B3" s="42">
        <v>24000000</v>
      </c>
      <c r="C3" s="42">
        <v>-4</v>
      </c>
      <c r="D3" s="42">
        <v>1</v>
      </c>
      <c r="E3" s="42">
        <v>30</v>
      </c>
      <c r="F3" s="42">
        <v>0</v>
      </c>
      <c r="G3" s="42" t="s">
        <v>118</v>
      </c>
      <c r="H3" s="42">
        <v>3</v>
      </c>
      <c r="I3" s="42">
        <v>1</v>
      </c>
      <c r="J3" s="42">
        <v>0</v>
      </c>
      <c r="K3" s="42">
        <v>0</v>
      </c>
      <c r="L3" s="42">
        <v>55</v>
      </c>
      <c r="M3" s="42">
        <v>-1</v>
      </c>
      <c r="N3" s="42">
        <v>0</v>
      </c>
      <c r="O3" s="42"/>
      <c r="P3" s="42"/>
      <c r="Q3" s="42"/>
      <c r="X3"/>
      <c r="Y3"/>
    </row>
    <row r="4" spans="1:25" x14ac:dyDescent="0.4">
      <c r="A4" s="106">
        <v>3</v>
      </c>
      <c r="B4" s="42">
        <v>24000000</v>
      </c>
      <c r="C4" s="42">
        <v>-4</v>
      </c>
      <c r="D4" s="42">
        <v>5</v>
      </c>
      <c r="E4" s="42">
        <v>30</v>
      </c>
      <c r="F4" s="42">
        <v>0</v>
      </c>
      <c r="G4" s="42" t="s">
        <v>118</v>
      </c>
      <c r="H4" s="42">
        <v>3</v>
      </c>
      <c r="I4" s="42">
        <v>1</v>
      </c>
      <c r="J4" s="42">
        <v>0</v>
      </c>
      <c r="K4" s="42">
        <v>0</v>
      </c>
      <c r="L4" s="42">
        <v>55</v>
      </c>
      <c r="M4" s="42">
        <v>-1</v>
      </c>
      <c r="N4" s="42">
        <v>0</v>
      </c>
      <c r="O4" s="42"/>
      <c r="P4" s="42"/>
      <c r="Q4" s="42"/>
      <c r="X4"/>
      <c r="Y4"/>
    </row>
    <row r="5" spans="1:25" x14ac:dyDescent="0.4">
      <c r="A5" s="106">
        <v>4</v>
      </c>
      <c r="B5" s="42">
        <v>24000000</v>
      </c>
      <c r="C5" s="42">
        <v>-4</v>
      </c>
      <c r="D5" s="42">
        <v>30</v>
      </c>
      <c r="E5" s="42">
        <v>30</v>
      </c>
      <c r="F5" s="42">
        <v>0</v>
      </c>
      <c r="G5" s="42" t="s">
        <v>118</v>
      </c>
      <c r="H5" s="42">
        <v>3</v>
      </c>
      <c r="I5" s="42">
        <v>1</v>
      </c>
      <c r="J5" s="42">
        <v>0</v>
      </c>
      <c r="K5" s="42">
        <v>0</v>
      </c>
      <c r="L5" s="42">
        <v>55</v>
      </c>
      <c r="M5" s="42">
        <v>-1</v>
      </c>
      <c r="N5" s="42">
        <v>0</v>
      </c>
      <c r="O5" s="42"/>
      <c r="P5" s="42"/>
      <c r="Q5" s="42"/>
      <c r="X5"/>
      <c r="Y5"/>
    </row>
    <row r="6" spans="1:25" x14ac:dyDescent="0.4">
      <c r="A6" s="106">
        <v>5</v>
      </c>
      <c r="B6" s="42">
        <v>24000000</v>
      </c>
      <c r="C6" s="42">
        <v>-3</v>
      </c>
      <c r="D6" s="42">
        <v>0.2</v>
      </c>
      <c r="E6" s="42">
        <v>30</v>
      </c>
      <c r="F6" s="42">
        <v>0</v>
      </c>
      <c r="G6" s="42" t="s">
        <v>118</v>
      </c>
      <c r="H6" s="42">
        <v>3</v>
      </c>
      <c r="I6" s="42">
        <v>1</v>
      </c>
      <c r="J6" s="42">
        <v>0</v>
      </c>
      <c r="K6" s="42">
        <v>0</v>
      </c>
      <c r="L6" s="42">
        <v>55</v>
      </c>
      <c r="M6" s="42">
        <v>-1</v>
      </c>
      <c r="N6" s="42">
        <v>0</v>
      </c>
      <c r="O6" s="42"/>
      <c r="P6" s="42"/>
      <c r="Q6" s="42"/>
      <c r="X6"/>
      <c r="Y6"/>
    </row>
    <row r="7" spans="1:25" x14ac:dyDescent="0.4">
      <c r="A7" s="106">
        <v>6</v>
      </c>
      <c r="B7" s="42">
        <v>24000000</v>
      </c>
      <c r="C7" s="42">
        <v>-3</v>
      </c>
      <c r="D7" s="42">
        <v>1</v>
      </c>
      <c r="E7" s="42">
        <v>30</v>
      </c>
      <c r="F7" s="42">
        <v>0</v>
      </c>
      <c r="G7" s="42" t="s">
        <v>118</v>
      </c>
      <c r="H7" s="42">
        <v>3</v>
      </c>
      <c r="I7" s="42">
        <v>1</v>
      </c>
      <c r="J7" s="42">
        <v>0</v>
      </c>
      <c r="K7" s="42">
        <v>0</v>
      </c>
      <c r="L7" s="42">
        <v>55</v>
      </c>
      <c r="M7" s="42">
        <v>-1</v>
      </c>
      <c r="N7" s="42">
        <v>0</v>
      </c>
      <c r="O7" s="42"/>
      <c r="P7" s="42"/>
      <c r="Q7" s="42"/>
      <c r="X7"/>
      <c r="Y7"/>
    </row>
    <row r="8" spans="1:25" x14ac:dyDescent="0.4">
      <c r="A8" s="106">
        <v>7</v>
      </c>
      <c r="B8" s="42">
        <v>24000000</v>
      </c>
      <c r="C8" s="42">
        <v>-3</v>
      </c>
      <c r="D8" s="42">
        <v>5</v>
      </c>
      <c r="E8" s="42">
        <v>30</v>
      </c>
      <c r="F8" s="42">
        <v>0</v>
      </c>
      <c r="G8" s="42" t="s">
        <v>118</v>
      </c>
      <c r="H8" s="42">
        <v>3</v>
      </c>
      <c r="I8" s="42">
        <v>1</v>
      </c>
      <c r="J8" s="42">
        <v>0</v>
      </c>
      <c r="K8" s="42">
        <v>0</v>
      </c>
      <c r="L8" s="42">
        <v>55</v>
      </c>
      <c r="M8" s="42">
        <v>-1</v>
      </c>
      <c r="N8" s="42">
        <v>0</v>
      </c>
      <c r="O8" s="42"/>
      <c r="P8" s="42"/>
      <c r="Q8" s="42"/>
      <c r="X8"/>
      <c r="Y8"/>
    </row>
    <row r="9" spans="1:25" x14ac:dyDescent="0.4">
      <c r="A9" s="106">
        <v>8</v>
      </c>
      <c r="B9" s="42">
        <v>24000000</v>
      </c>
      <c r="C9" s="42">
        <v>-3</v>
      </c>
      <c r="D9" s="42">
        <v>30</v>
      </c>
      <c r="E9" s="42">
        <v>30</v>
      </c>
      <c r="F9" s="42">
        <v>0</v>
      </c>
      <c r="G9" s="42" t="s">
        <v>118</v>
      </c>
      <c r="H9" s="42">
        <v>3</v>
      </c>
      <c r="I9" s="42">
        <v>1</v>
      </c>
      <c r="J9" s="42">
        <v>0</v>
      </c>
      <c r="K9" s="42">
        <v>0</v>
      </c>
      <c r="L9" s="42">
        <v>55</v>
      </c>
      <c r="M9" s="42">
        <v>-1</v>
      </c>
      <c r="N9" s="42">
        <v>0</v>
      </c>
      <c r="O9" s="42"/>
      <c r="P9" s="42"/>
      <c r="Q9" s="42"/>
      <c r="X9"/>
      <c r="Y9"/>
    </row>
    <row r="10" spans="1:25" x14ac:dyDescent="0.4">
      <c r="A10" s="106">
        <v>9</v>
      </c>
      <c r="B10" s="42">
        <v>24000000</v>
      </c>
      <c r="C10" s="42">
        <v>-2</v>
      </c>
      <c r="D10" s="42">
        <v>0.2</v>
      </c>
      <c r="E10" s="42">
        <v>30</v>
      </c>
      <c r="F10" s="42">
        <v>0</v>
      </c>
      <c r="G10" s="42" t="s">
        <v>118</v>
      </c>
      <c r="H10" s="42">
        <v>3</v>
      </c>
      <c r="I10" s="42">
        <v>1</v>
      </c>
      <c r="J10" s="42">
        <v>0</v>
      </c>
      <c r="K10" s="42">
        <v>0</v>
      </c>
      <c r="L10" s="42">
        <v>55</v>
      </c>
      <c r="M10" s="42">
        <v>-1</v>
      </c>
      <c r="N10" s="42">
        <v>0</v>
      </c>
      <c r="O10" s="42"/>
      <c r="P10" s="42"/>
      <c r="Q10" s="42"/>
      <c r="X10"/>
      <c r="Y10"/>
    </row>
    <row r="11" spans="1:25" x14ac:dyDescent="0.4">
      <c r="A11" s="106">
        <v>10</v>
      </c>
      <c r="B11" s="42">
        <v>24000000</v>
      </c>
      <c r="C11" s="42">
        <v>-2</v>
      </c>
      <c r="D11" s="42">
        <v>1</v>
      </c>
      <c r="E11" s="42">
        <v>30</v>
      </c>
      <c r="F11" s="42">
        <v>0</v>
      </c>
      <c r="G11" s="42" t="s">
        <v>118</v>
      </c>
      <c r="H11" s="42">
        <v>3</v>
      </c>
      <c r="I11" s="42">
        <v>1</v>
      </c>
      <c r="J11" s="42">
        <v>0</v>
      </c>
      <c r="K11" s="42">
        <v>0</v>
      </c>
      <c r="L11" s="42">
        <v>55</v>
      </c>
      <c r="M11" s="42">
        <v>-1</v>
      </c>
      <c r="N11" s="42">
        <v>0</v>
      </c>
      <c r="O11" s="42"/>
      <c r="P11" s="42"/>
      <c r="Q11" s="42"/>
      <c r="X11"/>
      <c r="Y11"/>
    </row>
    <row r="12" spans="1:25" x14ac:dyDescent="0.4">
      <c r="A12" s="106">
        <v>11</v>
      </c>
      <c r="B12" s="42">
        <v>24000000</v>
      </c>
      <c r="C12" s="42">
        <v>-2</v>
      </c>
      <c r="D12" s="42">
        <v>5</v>
      </c>
      <c r="E12" s="42">
        <v>30</v>
      </c>
      <c r="F12" s="42">
        <v>0</v>
      </c>
      <c r="G12" s="42" t="s">
        <v>118</v>
      </c>
      <c r="H12" s="42">
        <v>3</v>
      </c>
      <c r="I12" s="42">
        <v>1</v>
      </c>
      <c r="J12" s="42">
        <v>0</v>
      </c>
      <c r="K12" s="42">
        <v>0</v>
      </c>
      <c r="L12" s="42">
        <v>55</v>
      </c>
      <c r="M12" s="42">
        <v>-1</v>
      </c>
      <c r="N12" s="42">
        <v>0</v>
      </c>
      <c r="O12" s="42"/>
      <c r="P12" s="42"/>
      <c r="Q12" s="42"/>
      <c r="X12"/>
      <c r="Y12"/>
    </row>
    <row r="13" spans="1:25" x14ac:dyDescent="0.4">
      <c r="A13" s="106">
        <v>12</v>
      </c>
      <c r="B13" s="42">
        <v>24000000</v>
      </c>
      <c r="C13" s="42">
        <v>-2</v>
      </c>
      <c r="D13" s="42">
        <v>30</v>
      </c>
      <c r="E13" s="42">
        <v>30</v>
      </c>
      <c r="F13" s="42">
        <v>0</v>
      </c>
      <c r="G13" s="42" t="s">
        <v>118</v>
      </c>
      <c r="H13" s="42">
        <v>3</v>
      </c>
      <c r="I13" s="42">
        <v>1</v>
      </c>
      <c r="J13" s="42">
        <v>0</v>
      </c>
      <c r="K13" s="42">
        <v>0</v>
      </c>
      <c r="L13" s="42">
        <v>55</v>
      </c>
      <c r="M13" s="42">
        <v>-1</v>
      </c>
      <c r="N13" s="42">
        <v>0</v>
      </c>
      <c r="O13" s="42"/>
      <c r="P13" s="42"/>
      <c r="Q13" s="42"/>
      <c r="X13"/>
      <c r="Y13"/>
    </row>
    <row r="14" spans="1:25" x14ac:dyDescent="0.4">
      <c r="A14" s="106">
        <v>13</v>
      </c>
      <c r="B14" s="42">
        <v>24000000</v>
      </c>
      <c r="C14" s="42">
        <v>-1</v>
      </c>
      <c r="D14" s="42">
        <v>0.2</v>
      </c>
      <c r="E14" s="42">
        <v>30</v>
      </c>
      <c r="F14" s="42">
        <v>0</v>
      </c>
      <c r="G14" s="42" t="s">
        <v>118</v>
      </c>
      <c r="H14" s="42">
        <v>3</v>
      </c>
      <c r="I14" s="42">
        <v>1</v>
      </c>
      <c r="J14" s="42">
        <v>0</v>
      </c>
      <c r="K14" s="42">
        <v>0</v>
      </c>
      <c r="L14" s="42">
        <v>55</v>
      </c>
      <c r="M14" s="42">
        <v>-1</v>
      </c>
      <c r="N14" s="42">
        <v>0</v>
      </c>
      <c r="O14" s="42"/>
      <c r="P14" s="42"/>
      <c r="Q14" s="42"/>
      <c r="X14"/>
      <c r="Y14"/>
    </row>
    <row r="15" spans="1:25" x14ac:dyDescent="0.4">
      <c r="A15" s="106">
        <v>14</v>
      </c>
      <c r="B15" s="42">
        <v>24000000</v>
      </c>
      <c r="C15" s="42">
        <v>-1</v>
      </c>
      <c r="D15" s="42">
        <v>1</v>
      </c>
      <c r="E15" s="42">
        <v>30</v>
      </c>
      <c r="F15" s="42">
        <v>0</v>
      </c>
      <c r="G15" s="42" t="s">
        <v>118</v>
      </c>
      <c r="H15" s="42">
        <v>3</v>
      </c>
      <c r="I15" s="42">
        <v>1</v>
      </c>
      <c r="J15" s="42">
        <v>0</v>
      </c>
      <c r="K15" s="42">
        <v>0</v>
      </c>
      <c r="L15" s="42">
        <v>55</v>
      </c>
      <c r="M15" s="42">
        <v>-1</v>
      </c>
      <c r="N15" s="42">
        <v>0</v>
      </c>
      <c r="O15" s="42"/>
      <c r="P15" s="42"/>
      <c r="Q15" s="42"/>
      <c r="X15"/>
      <c r="Y15"/>
    </row>
    <row r="16" spans="1:25" x14ac:dyDescent="0.4">
      <c r="A16" s="106">
        <v>15</v>
      </c>
      <c r="B16" s="42">
        <v>24000000</v>
      </c>
      <c r="C16" s="42">
        <v>-1</v>
      </c>
      <c r="D16" s="42">
        <v>5</v>
      </c>
      <c r="E16" s="42">
        <v>30</v>
      </c>
      <c r="F16" s="42">
        <v>0</v>
      </c>
      <c r="G16" s="42" t="s">
        <v>118</v>
      </c>
      <c r="H16" s="42">
        <v>3</v>
      </c>
      <c r="I16" s="42">
        <v>1</v>
      </c>
      <c r="J16" s="42">
        <v>0</v>
      </c>
      <c r="K16" s="42">
        <v>0</v>
      </c>
      <c r="L16" s="42">
        <v>55</v>
      </c>
      <c r="M16" s="42">
        <v>-1</v>
      </c>
      <c r="N16" s="42">
        <v>0</v>
      </c>
      <c r="O16" s="42"/>
      <c r="P16" s="42"/>
      <c r="Q16" s="42"/>
      <c r="X16"/>
      <c r="Y16"/>
    </row>
    <row r="17" spans="1:25" x14ac:dyDescent="0.4">
      <c r="A17" s="106">
        <v>16</v>
      </c>
      <c r="B17" s="42">
        <v>24000000</v>
      </c>
      <c r="C17" s="42">
        <v>-1</v>
      </c>
      <c r="D17" s="42">
        <v>30</v>
      </c>
      <c r="E17" s="42">
        <v>30</v>
      </c>
      <c r="F17" s="42">
        <v>0</v>
      </c>
      <c r="G17" s="42" t="s">
        <v>118</v>
      </c>
      <c r="H17" s="42">
        <v>3</v>
      </c>
      <c r="I17" s="42">
        <v>1</v>
      </c>
      <c r="J17" s="42">
        <v>0</v>
      </c>
      <c r="K17" s="42">
        <v>0</v>
      </c>
      <c r="L17" s="42">
        <v>55</v>
      </c>
      <c r="M17" s="42">
        <v>-1</v>
      </c>
      <c r="N17" s="42">
        <v>0</v>
      </c>
      <c r="O17" s="42"/>
      <c r="P17" s="42"/>
      <c r="Q17" s="42"/>
      <c r="X17"/>
      <c r="Y17"/>
    </row>
    <row r="18" spans="1:25" x14ac:dyDescent="0.4">
      <c r="A18" s="106">
        <v>17</v>
      </c>
      <c r="B18" s="42">
        <v>24000000</v>
      </c>
      <c r="C18" s="42">
        <v>-4</v>
      </c>
      <c r="D18" s="42">
        <v>0.2</v>
      </c>
      <c r="E18" s="42">
        <v>30</v>
      </c>
      <c r="F18" s="42">
        <v>0</v>
      </c>
      <c r="G18" s="42" t="s">
        <v>118</v>
      </c>
      <c r="H18" s="42">
        <v>3</v>
      </c>
      <c r="I18" s="42">
        <v>1</v>
      </c>
      <c r="J18" s="42">
        <v>0</v>
      </c>
      <c r="K18" s="42">
        <v>0</v>
      </c>
      <c r="L18" s="42">
        <v>55</v>
      </c>
      <c r="M18" s="42">
        <v>-1</v>
      </c>
      <c r="N18" s="42">
        <v>0</v>
      </c>
      <c r="O18" s="42"/>
      <c r="P18" s="42"/>
      <c r="Q18" s="42"/>
      <c r="X18"/>
      <c r="Y18"/>
    </row>
    <row r="19" spans="1:25" x14ac:dyDescent="0.4">
      <c r="A19" s="106">
        <v>18</v>
      </c>
      <c r="B19" s="42">
        <v>24000000</v>
      </c>
      <c r="C19" s="42">
        <v>-4</v>
      </c>
      <c r="D19" s="42">
        <v>1</v>
      </c>
      <c r="E19" s="42">
        <v>30</v>
      </c>
      <c r="F19" s="42">
        <v>0</v>
      </c>
      <c r="G19" s="42" t="s">
        <v>118</v>
      </c>
      <c r="H19" s="42">
        <v>3</v>
      </c>
      <c r="I19" s="42">
        <v>1</v>
      </c>
      <c r="J19" s="42">
        <v>0</v>
      </c>
      <c r="K19" s="42">
        <v>0</v>
      </c>
      <c r="L19" s="42">
        <v>55</v>
      </c>
      <c r="M19" s="42">
        <v>-1</v>
      </c>
      <c r="N19" s="42">
        <v>0</v>
      </c>
      <c r="O19" s="42"/>
      <c r="P19" s="42"/>
      <c r="Q19" s="42"/>
      <c r="X19"/>
      <c r="Y19"/>
    </row>
    <row r="20" spans="1:25" x14ac:dyDescent="0.4">
      <c r="A20" s="106">
        <v>19</v>
      </c>
      <c r="B20" s="42">
        <v>24000000</v>
      </c>
      <c r="C20" s="42">
        <v>-4</v>
      </c>
      <c r="D20" s="42">
        <v>5</v>
      </c>
      <c r="E20" s="42">
        <v>30</v>
      </c>
      <c r="F20" s="42">
        <v>0</v>
      </c>
      <c r="G20" s="42" t="s">
        <v>118</v>
      </c>
      <c r="H20" s="42">
        <v>3</v>
      </c>
      <c r="I20" s="42">
        <v>1</v>
      </c>
      <c r="J20" s="42">
        <v>0</v>
      </c>
      <c r="K20" s="42">
        <v>0</v>
      </c>
      <c r="L20" s="42">
        <v>55</v>
      </c>
      <c r="M20" s="42">
        <v>-1</v>
      </c>
      <c r="N20" s="42">
        <v>0</v>
      </c>
      <c r="O20" s="42"/>
      <c r="P20" s="42"/>
      <c r="Q20" s="42"/>
      <c r="X20"/>
      <c r="Y20"/>
    </row>
    <row r="21" spans="1:25" x14ac:dyDescent="0.4">
      <c r="A21" s="106">
        <v>20</v>
      </c>
      <c r="B21" s="42">
        <v>24000000</v>
      </c>
      <c r="C21" s="42">
        <v>-4</v>
      </c>
      <c r="D21" s="42">
        <v>30</v>
      </c>
      <c r="E21" s="42">
        <v>30</v>
      </c>
      <c r="F21" s="42">
        <v>0</v>
      </c>
      <c r="G21" s="42" t="s">
        <v>118</v>
      </c>
      <c r="H21" s="42">
        <v>3</v>
      </c>
      <c r="I21" s="42">
        <v>1</v>
      </c>
      <c r="J21" s="42">
        <v>0</v>
      </c>
      <c r="K21" s="42">
        <v>0</v>
      </c>
      <c r="L21" s="42">
        <v>55</v>
      </c>
      <c r="M21" s="42">
        <v>-1</v>
      </c>
      <c r="N21" s="42">
        <v>0</v>
      </c>
      <c r="O21" s="42"/>
      <c r="P21" s="42"/>
      <c r="Q21" s="42"/>
      <c r="X21"/>
      <c r="Y21"/>
    </row>
    <row r="22" spans="1:25" x14ac:dyDescent="0.4">
      <c r="A22" s="106">
        <v>21</v>
      </c>
      <c r="B22" s="42">
        <v>24000000</v>
      </c>
      <c r="C22" s="42">
        <v>-3</v>
      </c>
      <c r="D22" s="42">
        <v>0.2</v>
      </c>
      <c r="E22" s="42">
        <v>30</v>
      </c>
      <c r="F22" s="42">
        <v>0</v>
      </c>
      <c r="G22" s="42" t="s">
        <v>118</v>
      </c>
      <c r="H22" s="42">
        <v>3</v>
      </c>
      <c r="I22" s="42">
        <v>1</v>
      </c>
      <c r="J22" s="42">
        <v>0</v>
      </c>
      <c r="K22" s="42">
        <v>0</v>
      </c>
      <c r="L22" s="42">
        <v>55</v>
      </c>
      <c r="M22" s="42">
        <v>-1</v>
      </c>
      <c r="N22" s="42">
        <v>0</v>
      </c>
      <c r="O22" s="42"/>
      <c r="P22" s="42"/>
      <c r="Q22" s="42"/>
      <c r="X22"/>
      <c r="Y22"/>
    </row>
    <row r="23" spans="1:25" x14ac:dyDescent="0.4">
      <c r="A23" s="106">
        <v>22</v>
      </c>
      <c r="B23" s="42">
        <v>24000000</v>
      </c>
      <c r="C23" s="42">
        <v>-3</v>
      </c>
      <c r="D23" s="42">
        <v>1</v>
      </c>
      <c r="E23" s="42">
        <v>30</v>
      </c>
      <c r="F23" s="42">
        <v>0</v>
      </c>
      <c r="G23" s="42" t="s">
        <v>118</v>
      </c>
      <c r="H23" s="42">
        <v>3</v>
      </c>
      <c r="I23" s="42">
        <v>1</v>
      </c>
      <c r="J23" s="42">
        <v>0</v>
      </c>
      <c r="K23" s="42">
        <v>0</v>
      </c>
      <c r="L23" s="42">
        <v>55</v>
      </c>
      <c r="M23" s="42">
        <v>-1</v>
      </c>
      <c r="N23" s="42">
        <v>0</v>
      </c>
      <c r="O23" s="42"/>
      <c r="P23" s="42"/>
      <c r="Q23" s="42"/>
      <c r="X23"/>
      <c r="Y23"/>
    </row>
    <row r="24" spans="1:25" x14ac:dyDescent="0.4">
      <c r="A24" s="106">
        <v>23</v>
      </c>
      <c r="B24" s="42">
        <v>24000000</v>
      </c>
      <c r="C24" s="42">
        <v>-3</v>
      </c>
      <c r="D24" s="42">
        <v>5</v>
      </c>
      <c r="E24" s="42">
        <v>30</v>
      </c>
      <c r="F24" s="42">
        <v>0</v>
      </c>
      <c r="G24" s="42" t="s">
        <v>118</v>
      </c>
      <c r="H24" s="42">
        <v>3</v>
      </c>
      <c r="I24" s="42">
        <v>1</v>
      </c>
      <c r="J24" s="42">
        <v>0</v>
      </c>
      <c r="K24" s="42">
        <v>0</v>
      </c>
      <c r="L24" s="42">
        <v>55</v>
      </c>
      <c r="M24" s="42">
        <v>-1</v>
      </c>
      <c r="N24" s="42">
        <v>0</v>
      </c>
      <c r="O24" s="42"/>
      <c r="P24" s="42"/>
      <c r="Q24" s="42"/>
      <c r="X24"/>
      <c r="Y24"/>
    </row>
    <row r="25" spans="1:25" x14ac:dyDescent="0.4">
      <c r="A25" s="106">
        <v>24</v>
      </c>
      <c r="B25" s="42">
        <v>24000000</v>
      </c>
      <c r="C25" s="42">
        <v>-3</v>
      </c>
      <c r="D25" s="42">
        <v>30</v>
      </c>
      <c r="E25" s="42">
        <v>30</v>
      </c>
      <c r="F25" s="42">
        <v>0</v>
      </c>
      <c r="G25" s="42" t="s">
        <v>118</v>
      </c>
      <c r="H25" s="42">
        <v>3</v>
      </c>
      <c r="I25" s="42">
        <v>1</v>
      </c>
      <c r="J25" s="42">
        <v>0</v>
      </c>
      <c r="K25" s="42">
        <v>0</v>
      </c>
      <c r="L25" s="42">
        <v>55</v>
      </c>
      <c r="M25" s="42">
        <v>-1</v>
      </c>
      <c r="N25" s="42">
        <v>0</v>
      </c>
      <c r="O25" s="42"/>
      <c r="P25" s="42"/>
      <c r="Q25" s="42"/>
      <c r="X25"/>
      <c r="Y25"/>
    </row>
    <row r="26" spans="1:25" x14ac:dyDescent="0.4">
      <c r="A26" s="106">
        <v>25</v>
      </c>
      <c r="B26" s="42">
        <v>24000000</v>
      </c>
      <c r="C26" s="42">
        <v>-2</v>
      </c>
      <c r="D26" s="42">
        <v>0.2</v>
      </c>
      <c r="E26" s="42">
        <v>30</v>
      </c>
      <c r="F26" s="42">
        <v>0</v>
      </c>
      <c r="G26" s="42" t="s">
        <v>118</v>
      </c>
      <c r="H26" s="42">
        <v>3</v>
      </c>
      <c r="I26" s="42">
        <v>1</v>
      </c>
      <c r="J26" s="42">
        <v>0</v>
      </c>
      <c r="K26" s="42">
        <v>0</v>
      </c>
      <c r="L26" s="42">
        <v>55</v>
      </c>
      <c r="M26" s="42">
        <v>-1</v>
      </c>
      <c r="N26" s="42">
        <v>0</v>
      </c>
      <c r="O26" s="42"/>
      <c r="P26" s="42"/>
      <c r="Q26" s="42"/>
      <c r="X26"/>
      <c r="Y26"/>
    </row>
    <row r="27" spans="1:25" x14ac:dyDescent="0.4">
      <c r="A27" s="106">
        <v>26</v>
      </c>
      <c r="B27" s="42">
        <v>24000000</v>
      </c>
      <c r="C27" s="42">
        <v>-2</v>
      </c>
      <c r="D27" s="42">
        <v>1</v>
      </c>
      <c r="E27" s="42">
        <v>30</v>
      </c>
      <c r="F27" s="42">
        <v>0</v>
      </c>
      <c r="G27" s="42" t="s">
        <v>118</v>
      </c>
      <c r="H27" s="42">
        <v>3</v>
      </c>
      <c r="I27" s="42">
        <v>1</v>
      </c>
      <c r="J27" s="42">
        <v>0</v>
      </c>
      <c r="K27" s="42">
        <v>0</v>
      </c>
      <c r="L27" s="42">
        <v>55</v>
      </c>
      <c r="M27" s="42">
        <v>-1</v>
      </c>
      <c r="N27" s="42">
        <v>0</v>
      </c>
      <c r="O27" s="42"/>
      <c r="P27" s="42"/>
      <c r="Q27" s="42"/>
      <c r="X27"/>
      <c r="Y27"/>
    </row>
    <row r="28" spans="1:25" x14ac:dyDescent="0.4">
      <c r="A28" s="106">
        <v>27</v>
      </c>
      <c r="B28" s="42">
        <v>24000000</v>
      </c>
      <c r="C28" s="42">
        <v>-2</v>
      </c>
      <c r="D28" s="42">
        <v>5</v>
      </c>
      <c r="E28" s="42">
        <v>30</v>
      </c>
      <c r="F28" s="42">
        <v>0</v>
      </c>
      <c r="G28" s="42" t="s">
        <v>118</v>
      </c>
      <c r="H28" s="42">
        <v>3</v>
      </c>
      <c r="I28" s="42">
        <v>1</v>
      </c>
      <c r="J28" s="42">
        <v>0</v>
      </c>
      <c r="K28" s="42">
        <v>0</v>
      </c>
      <c r="L28" s="42">
        <v>55</v>
      </c>
      <c r="M28" s="42">
        <v>-1</v>
      </c>
      <c r="N28" s="42">
        <v>0</v>
      </c>
      <c r="O28" s="42"/>
      <c r="P28" s="42"/>
      <c r="Q28" s="42"/>
      <c r="X28"/>
      <c r="Y28"/>
    </row>
    <row r="29" spans="1:25" x14ac:dyDescent="0.4">
      <c r="A29" s="106">
        <v>28</v>
      </c>
      <c r="B29" s="42">
        <v>24000000</v>
      </c>
      <c r="C29" s="42">
        <v>-2</v>
      </c>
      <c r="D29" s="42">
        <v>30</v>
      </c>
      <c r="E29" s="42">
        <v>30</v>
      </c>
      <c r="F29" s="42">
        <v>0</v>
      </c>
      <c r="G29" s="42" t="s">
        <v>118</v>
      </c>
      <c r="H29" s="42">
        <v>3</v>
      </c>
      <c r="I29" s="42">
        <v>1</v>
      </c>
      <c r="J29" s="42">
        <v>0</v>
      </c>
      <c r="K29" s="42">
        <v>0</v>
      </c>
      <c r="L29" s="42">
        <v>55</v>
      </c>
      <c r="M29" s="42">
        <v>-1</v>
      </c>
      <c r="N29" s="42">
        <v>0</v>
      </c>
      <c r="O29" s="42"/>
      <c r="P29" s="42"/>
      <c r="Q29" s="42"/>
      <c r="X29"/>
      <c r="Y29"/>
    </row>
    <row r="30" spans="1:25" x14ac:dyDescent="0.4">
      <c r="A30" s="106">
        <v>29</v>
      </c>
      <c r="B30" s="42">
        <v>24000000</v>
      </c>
      <c r="C30" s="42">
        <v>-1</v>
      </c>
      <c r="D30" s="42">
        <v>0.2</v>
      </c>
      <c r="E30" s="42">
        <v>30</v>
      </c>
      <c r="F30" s="42">
        <v>0</v>
      </c>
      <c r="G30" s="42" t="s">
        <v>118</v>
      </c>
      <c r="H30" s="42">
        <v>3</v>
      </c>
      <c r="I30" s="42">
        <v>1</v>
      </c>
      <c r="J30" s="42">
        <v>0</v>
      </c>
      <c r="K30" s="42">
        <v>0</v>
      </c>
      <c r="L30" s="42">
        <v>55</v>
      </c>
      <c r="M30" s="42">
        <v>-1</v>
      </c>
      <c r="N30" s="42">
        <v>0</v>
      </c>
      <c r="O30" s="42"/>
      <c r="P30" s="42"/>
      <c r="Q30" s="42"/>
      <c r="X30"/>
      <c r="Y30"/>
    </row>
    <row r="31" spans="1:25" x14ac:dyDescent="0.4">
      <c r="A31" s="106">
        <v>30</v>
      </c>
      <c r="B31" s="42">
        <v>24000000</v>
      </c>
      <c r="C31" s="42">
        <v>-1</v>
      </c>
      <c r="D31" s="42">
        <v>1</v>
      </c>
      <c r="E31" s="42">
        <v>30</v>
      </c>
      <c r="F31" s="42">
        <v>0</v>
      </c>
      <c r="G31" s="42" t="s">
        <v>118</v>
      </c>
      <c r="H31" s="42">
        <v>3</v>
      </c>
      <c r="I31" s="42">
        <v>1</v>
      </c>
      <c r="J31" s="42">
        <v>0</v>
      </c>
      <c r="K31" s="42">
        <v>0</v>
      </c>
      <c r="L31" s="42">
        <v>55</v>
      </c>
      <c r="M31" s="42">
        <v>-1</v>
      </c>
      <c r="N31" s="42">
        <v>0</v>
      </c>
      <c r="O31" s="42"/>
      <c r="P31" s="42"/>
      <c r="Q31" s="42"/>
      <c r="X31"/>
      <c r="Y31"/>
    </row>
    <row r="32" spans="1:25" x14ac:dyDescent="0.4">
      <c r="A32" s="106">
        <v>31</v>
      </c>
      <c r="B32" s="42">
        <v>24000000</v>
      </c>
      <c r="C32" s="42">
        <v>-1</v>
      </c>
      <c r="D32" s="42">
        <v>5</v>
      </c>
      <c r="E32" s="42">
        <v>30</v>
      </c>
      <c r="F32" s="42">
        <v>0</v>
      </c>
      <c r="G32" s="42" t="s">
        <v>118</v>
      </c>
      <c r="H32" s="42">
        <v>3</v>
      </c>
      <c r="I32" s="42">
        <v>1</v>
      </c>
      <c r="J32" s="42">
        <v>0</v>
      </c>
      <c r="K32" s="42">
        <v>0</v>
      </c>
      <c r="L32" s="42">
        <v>55</v>
      </c>
      <c r="M32" s="42">
        <v>-1</v>
      </c>
      <c r="N32" s="42">
        <v>0</v>
      </c>
      <c r="O32" s="42"/>
      <c r="P32" s="42"/>
      <c r="Q32" s="42"/>
      <c r="X32"/>
      <c r="Y32"/>
    </row>
    <row r="33" spans="1:25" x14ac:dyDescent="0.4">
      <c r="A33" s="106">
        <v>32</v>
      </c>
      <c r="B33" s="42">
        <v>24000000</v>
      </c>
      <c r="C33" s="42">
        <v>-1</v>
      </c>
      <c r="D33" s="42">
        <v>30</v>
      </c>
      <c r="E33" s="42">
        <v>30</v>
      </c>
      <c r="F33" s="42">
        <v>0</v>
      </c>
      <c r="G33" s="42" t="s">
        <v>118</v>
      </c>
      <c r="H33" s="42">
        <v>3</v>
      </c>
      <c r="I33" s="42">
        <v>1</v>
      </c>
      <c r="J33" s="42">
        <v>0</v>
      </c>
      <c r="K33" s="42">
        <v>0</v>
      </c>
      <c r="L33" s="42">
        <v>55</v>
      </c>
      <c r="M33" s="42">
        <v>-1</v>
      </c>
      <c r="N33" s="42">
        <v>0</v>
      </c>
      <c r="O33" s="42"/>
      <c r="P33" s="42"/>
      <c r="Q33" s="42"/>
      <c r="X33"/>
      <c r="Y33"/>
    </row>
    <row r="34" spans="1:25" hidden="1" x14ac:dyDescent="0.4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120"/>
  <sheetViews>
    <sheetView zoomScaleNormal="100" workbookViewId="0">
      <selection activeCell="E19" sqref="E19"/>
    </sheetView>
  </sheetViews>
  <sheetFormatPr defaultColWidth="0" defaultRowHeight="14.4" customHeight="1" zeroHeight="1" x14ac:dyDescent="0.4"/>
  <cols>
    <col min="1" max="1" width="29.640625" customWidth="1"/>
    <col min="2" max="2" width="31.5" customWidth="1"/>
    <col min="3" max="3" width="7" customWidth="1"/>
    <col min="4" max="4" width="5.85546875" customWidth="1"/>
    <col min="5" max="5" width="77.78515625" customWidth="1"/>
    <col min="8" max="16383" width="8.85546875" hidden="1"/>
    <col min="16384" max="16384" width="12.2109375" hidden="1" customWidth="1"/>
  </cols>
  <sheetData>
    <row r="1" spans="1:5" ht="14.6" x14ac:dyDescent="0.4">
      <c r="A1" t="s">
        <v>214</v>
      </c>
      <c r="B1" t="s">
        <v>215</v>
      </c>
      <c r="C1" t="s">
        <v>216</v>
      </c>
      <c r="D1" t="s">
        <v>217</v>
      </c>
      <c r="E1" s="44" t="s">
        <v>123</v>
      </c>
    </row>
    <row r="2" spans="1:5" ht="14.6" x14ac:dyDescent="0.4">
      <c r="A2" s="99" t="s">
        <v>251</v>
      </c>
      <c r="B2" s="100" t="s">
        <v>252</v>
      </c>
      <c r="C2" s="101">
        <v>128</v>
      </c>
      <c r="D2" s="98">
        <v>1</v>
      </c>
      <c r="E2" s="100" t="s">
        <v>253</v>
      </c>
    </row>
    <row r="3" spans="1:5" ht="14.6" x14ac:dyDescent="0.4">
      <c r="A3" s="99" t="s">
        <v>251</v>
      </c>
      <c r="B3" s="100" t="s">
        <v>252</v>
      </c>
      <c r="C3" s="101">
        <v>129</v>
      </c>
      <c r="D3" s="98">
        <v>1</v>
      </c>
      <c r="E3" s="100" t="s">
        <v>254</v>
      </c>
    </row>
    <row r="4" spans="1:5" ht="14.6" x14ac:dyDescent="0.4">
      <c r="A4" s="99" t="s">
        <v>251</v>
      </c>
      <c r="B4" s="100" t="s">
        <v>252</v>
      </c>
      <c r="C4" s="101">
        <v>137</v>
      </c>
      <c r="D4" s="98">
        <v>1</v>
      </c>
      <c r="E4" s="100" t="s">
        <v>255</v>
      </c>
    </row>
    <row r="5" spans="1:5" ht="14.6" x14ac:dyDescent="0.4">
      <c r="A5" s="99" t="s">
        <v>251</v>
      </c>
      <c r="B5" s="100" t="s">
        <v>252</v>
      </c>
      <c r="C5" s="101">
        <v>139</v>
      </c>
      <c r="D5" s="98">
        <v>1</v>
      </c>
      <c r="E5" s="100" t="s">
        <v>256</v>
      </c>
    </row>
    <row r="6" spans="1:5" ht="14.6" x14ac:dyDescent="0.4">
      <c r="A6" s="99" t="s">
        <v>251</v>
      </c>
      <c r="B6" s="100" t="s">
        <v>261</v>
      </c>
      <c r="C6" s="101">
        <v>508</v>
      </c>
      <c r="D6" s="98">
        <v>1</v>
      </c>
      <c r="E6" s="100" t="s">
        <v>262</v>
      </c>
    </row>
    <row r="7" spans="1:5" ht="14.6" x14ac:dyDescent="0.4">
      <c r="A7" s="99" t="s">
        <v>251</v>
      </c>
      <c r="B7" s="100" t="s">
        <v>261</v>
      </c>
      <c r="C7" s="101">
        <v>510</v>
      </c>
      <c r="D7" s="98">
        <v>1</v>
      </c>
      <c r="E7" s="100" t="s">
        <v>328</v>
      </c>
    </row>
    <row r="8" spans="1:5" ht="14.6" x14ac:dyDescent="0.4">
      <c r="A8" s="99" t="s">
        <v>251</v>
      </c>
      <c r="B8" s="100" t="s">
        <v>261</v>
      </c>
      <c r="C8" s="101">
        <v>529</v>
      </c>
      <c r="D8" s="98">
        <v>1</v>
      </c>
      <c r="E8" s="100" t="s">
        <v>264</v>
      </c>
    </row>
    <row r="9" spans="1:5" ht="14.6" x14ac:dyDescent="0.4">
      <c r="A9" s="99" t="s">
        <v>251</v>
      </c>
      <c r="B9" s="100" t="s">
        <v>261</v>
      </c>
      <c r="C9" s="101">
        <v>533</v>
      </c>
      <c r="D9" s="98">
        <v>1</v>
      </c>
      <c r="E9" s="100" t="s">
        <v>313</v>
      </c>
    </row>
    <row r="10" spans="1:5" ht="14.6" x14ac:dyDescent="0.4">
      <c r="A10" s="99" t="s">
        <v>251</v>
      </c>
      <c r="B10" s="100" t="s">
        <v>261</v>
      </c>
      <c r="C10" s="101">
        <v>548</v>
      </c>
      <c r="D10" s="98">
        <v>1</v>
      </c>
      <c r="E10" s="100" t="s">
        <v>266</v>
      </c>
    </row>
    <row r="11" spans="1:5" ht="14.6" x14ac:dyDescent="0.4">
      <c r="A11" s="99" t="s">
        <v>251</v>
      </c>
      <c r="B11" s="100" t="s">
        <v>268</v>
      </c>
      <c r="C11" s="101">
        <v>576</v>
      </c>
      <c r="D11" s="98">
        <v>1</v>
      </c>
      <c r="E11" s="100" t="s">
        <v>267</v>
      </c>
    </row>
    <row r="12" spans="1:5" ht="14.6" x14ac:dyDescent="0.4">
      <c r="A12" s="99" t="s">
        <v>251</v>
      </c>
      <c r="B12" s="100" t="s">
        <v>268</v>
      </c>
      <c r="C12" s="101">
        <v>656</v>
      </c>
      <c r="D12" s="98">
        <v>1</v>
      </c>
      <c r="E12" s="100" t="s">
        <v>269</v>
      </c>
    </row>
    <row r="13" spans="1:5" ht="14.6" x14ac:dyDescent="0.4">
      <c r="A13" s="99" t="s">
        <v>251</v>
      </c>
      <c r="B13" s="100" t="s">
        <v>268</v>
      </c>
      <c r="C13" s="101">
        <v>658</v>
      </c>
      <c r="D13" s="98">
        <v>1</v>
      </c>
      <c r="E13" s="100" t="s">
        <v>270</v>
      </c>
    </row>
    <row r="14" spans="1:5" ht="14.6" x14ac:dyDescent="0.4">
      <c r="A14" s="99" t="s">
        <v>251</v>
      </c>
      <c r="B14" s="100" t="s">
        <v>268</v>
      </c>
      <c r="C14" s="101">
        <v>696</v>
      </c>
      <c r="D14" s="98">
        <v>1</v>
      </c>
      <c r="E14" s="100" t="s">
        <v>271</v>
      </c>
    </row>
    <row r="15" spans="1:5" ht="14.6" x14ac:dyDescent="0.4">
      <c r="A15" s="99" t="s">
        <v>251</v>
      </c>
      <c r="B15" s="100" t="s">
        <v>268</v>
      </c>
      <c r="C15" s="101">
        <v>697</v>
      </c>
      <c r="D15" s="98">
        <v>1</v>
      </c>
      <c r="E15" s="100" t="s">
        <v>314</v>
      </c>
    </row>
    <row r="16" spans="1:5" ht="14.6" x14ac:dyDescent="0.4">
      <c r="A16" s="99" t="s">
        <v>251</v>
      </c>
      <c r="B16" s="100" t="s">
        <v>268</v>
      </c>
      <c r="C16" s="101">
        <v>731</v>
      </c>
      <c r="D16" s="98">
        <v>1</v>
      </c>
      <c r="E16" s="100" t="s">
        <v>272</v>
      </c>
    </row>
    <row r="17" spans="1:5" ht="14.6" x14ac:dyDescent="0.4">
      <c r="A17" s="99" t="s">
        <v>251</v>
      </c>
      <c r="B17" s="100" t="s">
        <v>268</v>
      </c>
      <c r="C17" s="101">
        <v>766</v>
      </c>
      <c r="D17" s="98">
        <v>1</v>
      </c>
      <c r="E17" s="100" t="s">
        <v>318</v>
      </c>
    </row>
    <row r="18" spans="1:5" ht="14.6" x14ac:dyDescent="0.4">
      <c r="A18" s="99" t="s">
        <v>251</v>
      </c>
      <c r="B18" s="100" t="s">
        <v>268</v>
      </c>
      <c r="C18" s="101">
        <v>839</v>
      </c>
      <c r="D18" s="98">
        <v>1</v>
      </c>
      <c r="E18" s="100" t="s">
        <v>322</v>
      </c>
    </row>
    <row r="19" spans="1:5" ht="14.6" x14ac:dyDescent="0.4">
      <c r="A19" s="99" t="s">
        <v>251</v>
      </c>
      <c r="B19" s="100" t="s">
        <v>268</v>
      </c>
      <c r="C19" s="101">
        <v>856</v>
      </c>
      <c r="D19" s="98">
        <v>1</v>
      </c>
      <c r="E19" s="100" t="s">
        <v>326</v>
      </c>
    </row>
    <row r="20" spans="1:5" ht="14.6" x14ac:dyDescent="0.4">
      <c r="A20" s="99" t="s">
        <v>251</v>
      </c>
      <c r="B20" s="100" t="s">
        <v>273</v>
      </c>
      <c r="C20" s="101">
        <v>888</v>
      </c>
      <c r="D20" s="98">
        <v>1</v>
      </c>
      <c r="E20" s="100" t="s">
        <v>274</v>
      </c>
    </row>
    <row r="21" spans="1:5" ht="14.6" x14ac:dyDescent="0.4">
      <c r="A21" s="99" t="s">
        <v>251</v>
      </c>
      <c r="B21" s="100" t="s">
        <v>273</v>
      </c>
      <c r="C21" s="101">
        <v>898</v>
      </c>
      <c r="D21" s="98">
        <v>1</v>
      </c>
      <c r="E21" s="100" t="s">
        <v>319</v>
      </c>
    </row>
    <row r="22" spans="1:5" ht="14.6" x14ac:dyDescent="0.4">
      <c r="A22" s="99" t="s">
        <v>251</v>
      </c>
      <c r="B22" s="100" t="s">
        <v>273</v>
      </c>
      <c r="C22" s="101">
        <v>913</v>
      </c>
      <c r="D22" s="98">
        <v>1</v>
      </c>
      <c r="E22" s="100" t="s">
        <v>275</v>
      </c>
    </row>
    <row r="23" spans="1:5" ht="14.6" x14ac:dyDescent="0.4">
      <c r="A23" s="99" t="s">
        <v>251</v>
      </c>
      <c r="B23" s="100" t="s">
        <v>273</v>
      </c>
      <c r="C23" s="101">
        <v>937</v>
      </c>
      <c r="D23" s="99">
        <v>1</v>
      </c>
      <c r="E23" s="100" t="s">
        <v>276</v>
      </c>
    </row>
    <row r="24" spans="1:5" ht="14.6" x14ac:dyDescent="0.4">
      <c r="A24" s="99" t="s">
        <v>251</v>
      </c>
      <c r="B24" s="100" t="s">
        <v>273</v>
      </c>
      <c r="C24" s="101">
        <v>1008</v>
      </c>
      <c r="D24" s="99">
        <v>1</v>
      </c>
      <c r="E24" s="100" t="s">
        <v>277</v>
      </c>
    </row>
    <row r="25" spans="1:5" ht="14.6" x14ac:dyDescent="0.4">
      <c r="A25" s="99" t="s">
        <v>251</v>
      </c>
      <c r="B25" s="100" t="s">
        <v>280</v>
      </c>
      <c r="C25" s="101">
        <v>1095</v>
      </c>
      <c r="D25" s="99">
        <v>1</v>
      </c>
      <c r="E25" s="100" t="s">
        <v>281</v>
      </c>
    </row>
    <row r="26" spans="1:5" ht="14.6" x14ac:dyDescent="0.4">
      <c r="A26" s="99" t="s">
        <v>251</v>
      </c>
      <c r="B26" s="100" t="s">
        <v>280</v>
      </c>
      <c r="C26" s="101">
        <v>1096</v>
      </c>
      <c r="D26" s="99">
        <v>1</v>
      </c>
      <c r="E26" s="100" t="s">
        <v>321</v>
      </c>
    </row>
    <row r="27" spans="1:5" ht="14.6" x14ac:dyDescent="0.4">
      <c r="A27" s="99" t="s">
        <v>251</v>
      </c>
      <c r="B27" s="100" t="s">
        <v>280</v>
      </c>
      <c r="C27" s="101">
        <v>1097</v>
      </c>
      <c r="D27" s="99">
        <v>1</v>
      </c>
      <c r="E27" s="100" t="s">
        <v>282</v>
      </c>
    </row>
    <row r="28" spans="1:5" ht="14.6" x14ac:dyDescent="0.4">
      <c r="A28" s="99" t="s">
        <v>251</v>
      </c>
      <c r="B28" s="100" t="s">
        <v>280</v>
      </c>
      <c r="C28" s="101">
        <v>1119</v>
      </c>
      <c r="D28" s="98">
        <v>1</v>
      </c>
      <c r="E28" s="100" t="s">
        <v>320</v>
      </c>
    </row>
    <row r="29" spans="1:5" ht="14.6" x14ac:dyDescent="0.4">
      <c r="A29" s="99" t="s">
        <v>251</v>
      </c>
      <c r="B29" s="100" t="s">
        <v>283</v>
      </c>
      <c r="C29" s="101">
        <v>1157</v>
      </c>
      <c r="D29" s="98">
        <v>1</v>
      </c>
      <c r="E29" s="100" t="s">
        <v>274</v>
      </c>
    </row>
    <row r="30" spans="1:5" ht="14.6" x14ac:dyDescent="0.4">
      <c r="A30" s="99" t="s">
        <v>251</v>
      </c>
      <c r="B30" s="100" t="s">
        <v>283</v>
      </c>
      <c r="C30" s="101">
        <v>1176</v>
      </c>
      <c r="D30" s="98">
        <v>1</v>
      </c>
      <c r="E30" s="100" t="s">
        <v>284</v>
      </c>
    </row>
    <row r="31" spans="1:5" ht="14.6" x14ac:dyDescent="0.4">
      <c r="A31" s="99" t="s">
        <v>251</v>
      </c>
      <c r="B31" s="100" t="s">
        <v>283</v>
      </c>
      <c r="C31" s="101">
        <v>1178</v>
      </c>
      <c r="D31" s="98">
        <v>1</v>
      </c>
      <c r="E31" s="100" t="s">
        <v>285</v>
      </c>
    </row>
    <row r="32" spans="1:5" ht="14.6" x14ac:dyDescent="0.4">
      <c r="A32" s="99" t="s">
        <v>251</v>
      </c>
      <c r="B32" s="100" t="s">
        <v>283</v>
      </c>
      <c r="C32" s="101">
        <v>1218</v>
      </c>
      <c r="D32" s="98">
        <v>1</v>
      </c>
      <c r="E32" s="100" t="s">
        <v>286</v>
      </c>
    </row>
    <row r="33" spans="1:5" ht="14.6" x14ac:dyDescent="0.4">
      <c r="A33" s="99" t="s">
        <v>251</v>
      </c>
      <c r="B33" s="100" t="s">
        <v>288</v>
      </c>
      <c r="C33" s="101">
        <v>1271</v>
      </c>
      <c r="D33" s="98">
        <v>1</v>
      </c>
      <c r="E33" s="100" t="s">
        <v>287</v>
      </c>
    </row>
    <row r="34" spans="1:5" ht="14.6" x14ac:dyDescent="0.4">
      <c r="A34" s="99" t="s">
        <v>251</v>
      </c>
      <c r="B34" s="100" t="s">
        <v>288</v>
      </c>
      <c r="C34" s="101">
        <v>1290</v>
      </c>
      <c r="D34" s="98">
        <v>1</v>
      </c>
      <c r="E34" s="100" t="s">
        <v>284</v>
      </c>
    </row>
    <row r="35" spans="1:5" ht="14.6" x14ac:dyDescent="0.4">
      <c r="A35" s="99" t="s">
        <v>251</v>
      </c>
      <c r="B35" s="100" t="s">
        <v>288</v>
      </c>
      <c r="C35" s="101">
        <v>1292</v>
      </c>
      <c r="D35" s="98">
        <v>1</v>
      </c>
      <c r="E35" s="100" t="s">
        <v>285</v>
      </c>
    </row>
    <row r="36" spans="1:5" ht="14.6" x14ac:dyDescent="0.4">
      <c r="A36" s="99" t="s">
        <v>251</v>
      </c>
      <c r="B36" s="100" t="s">
        <v>288</v>
      </c>
      <c r="C36" s="101">
        <v>1312</v>
      </c>
      <c r="D36" s="98">
        <v>1</v>
      </c>
      <c r="E36" s="100" t="s">
        <v>289</v>
      </c>
    </row>
    <row r="37" spans="1:5" ht="14.6" x14ac:dyDescent="0.4">
      <c r="A37" s="99" t="s">
        <v>251</v>
      </c>
      <c r="B37" s="100" t="s">
        <v>291</v>
      </c>
      <c r="C37" s="101">
        <v>1351</v>
      </c>
      <c r="D37" s="98">
        <v>1</v>
      </c>
      <c r="E37" s="100" t="s">
        <v>290</v>
      </c>
    </row>
    <row r="38" spans="1:5" ht="14.6" x14ac:dyDescent="0.4">
      <c r="A38" s="99" t="s">
        <v>251</v>
      </c>
      <c r="B38" s="100" t="s">
        <v>291</v>
      </c>
      <c r="C38" s="101">
        <v>1353</v>
      </c>
      <c r="D38" s="98">
        <v>1</v>
      </c>
      <c r="E38" s="100" t="s">
        <v>292</v>
      </c>
    </row>
    <row r="39" spans="1:5" ht="14.6" x14ac:dyDescent="0.4">
      <c r="A39" s="99" t="s">
        <v>251</v>
      </c>
      <c r="B39" s="100" t="s">
        <v>302</v>
      </c>
      <c r="C39" s="101">
        <v>1377</v>
      </c>
      <c r="D39" s="98">
        <v>1</v>
      </c>
      <c r="E39" s="100" t="s">
        <v>293</v>
      </c>
    </row>
    <row r="40" spans="1:5" ht="14.6" x14ac:dyDescent="0.4">
      <c r="A40" s="99" t="s">
        <v>251</v>
      </c>
      <c r="B40" s="100" t="s">
        <v>302</v>
      </c>
      <c r="C40" s="101">
        <v>1378</v>
      </c>
      <c r="D40" s="98">
        <v>1</v>
      </c>
      <c r="E40" s="100" t="s">
        <v>294</v>
      </c>
    </row>
    <row r="41" spans="1:5" ht="14.6" x14ac:dyDescent="0.4">
      <c r="A41" s="99" t="s">
        <v>251</v>
      </c>
      <c r="B41" s="100" t="s">
        <v>302</v>
      </c>
      <c r="C41" s="101">
        <v>1379</v>
      </c>
      <c r="D41" s="98">
        <v>1</v>
      </c>
      <c r="E41" s="100" t="s">
        <v>295</v>
      </c>
    </row>
    <row r="42" spans="1:5" ht="14.6" x14ac:dyDescent="0.4">
      <c r="A42" s="99" t="s">
        <v>251</v>
      </c>
      <c r="B42" s="100" t="s">
        <v>302</v>
      </c>
      <c r="C42" s="101">
        <v>1381</v>
      </c>
      <c r="D42" s="98">
        <v>1</v>
      </c>
      <c r="E42" s="100" t="s">
        <v>327</v>
      </c>
    </row>
    <row r="43" spans="1:5" ht="14.6" x14ac:dyDescent="0.4">
      <c r="A43" s="99" t="s">
        <v>251</v>
      </c>
      <c r="B43" s="100" t="s">
        <v>302</v>
      </c>
      <c r="C43" s="101">
        <v>1382</v>
      </c>
      <c r="D43" s="98">
        <v>1</v>
      </c>
      <c r="E43" s="100" t="s">
        <v>296</v>
      </c>
    </row>
    <row r="44" spans="1:5" ht="14.6" x14ac:dyDescent="0.4">
      <c r="A44" s="99" t="s">
        <v>251</v>
      </c>
      <c r="B44" s="100" t="s">
        <v>302</v>
      </c>
      <c r="C44" s="101">
        <v>1383</v>
      </c>
      <c r="D44" s="98">
        <v>1</v>
      </c>
      <c r="E44" s="100" t="s">
        <v>297</v>
      </c>
    </row>
    <row r="45" spans="1:5" ht="14.6" x14ac:dyDescent="0.4">
      <c r="A45" s="99" t="s">
        <v>251</v>
      </c>
      <c r="B45" s="100" t="s">
        <v>302</v>
      </c>
      <c r="C45" s="101">
        <v>1384</v>
      </c>
      <c r="D45" s="98">
        <v>1</v>
      </c>
      <c r="E45" s="100" t="s">
        <v>298</v>
      </c>
    </row>
    <row r="46" spans="1:5" ht="14.6" x14ac:dyDescent="0.4">
      <c r="A46" s="99" t="s">
        <v>251</v>
      </c>
      <c r="B46" s="100" t="s">
        <v>302</v>
      </c>
      <c r="C46" s="101">
        <v>1385</v>
      </c>
      <c r="D46" s="98">
        <v>1</v>
      </c>
      <c r="E46" s="100" t="s">
        <v>299</v>
      </c>
    </row>
    <row r="47" spans="1:5" ht="14.6" x14ac:dyDescent="0.4">
      <c r="A47" s="99" t="s">
        <v>251</v>
      </c>
      <c r="B47" s="100" t="s">
        <v>302</v>
      </c>
      <c r="C47" s="101">
        <v>1386</v>
      </c>
      <c r="D47" s="98">
        <v>1</v>
      </c>
      <c r="E47" s="100" t="s">
        <v>300</v>
      </c>
    </row>
    <row r="48" spans="1:5" ht="14.6" x14ac:dyDescent="0.4">
      <c r="A48" s="99" t="s">
        <v>251</v>
      </c>
      <c r="B48" s="100" t="s">
        <v>302</v>
      </c>
      <c r="C48" s="101">
        <v>1387</v>
      </c>
      <c r="D48" s="98">
        <v>1</v>
      </c>
      <c r="E48" s="100" t="s">
        <v>317</v>
      </c>
    </row>
    <row r="49" spans="1:5" ht="14.6" x14ac:dyDescent="0.4">
      <c r="A49" s="99" t="s">
        <v>251</v>
      </c>
      <c r="B49" s="100" t="s">
        <v>302</v>
      </c>
      <c r="C49" s="101">
        <v>1388</v>
      </c>
      <c r="D49" s="98">
        <v>1</v>
      </c>
      <c r="E49" s="100" t="s">
        <v>301</v>
      </c>
    </row>
    <row r="50" spans="1:5" ht="14.6" x14ac:dyDescent="0.4">
      <c r="A50" s="99" t="s">
        <v>251</v>
      </c>
      <c r="B50" s="100" t="s">
        <v>304</v>
      </c>
      <c r="C50" s="101">
        <v>2298</v>
      </c>
      <c r="D50" s="98">
        <v>1</v>
      </c>
      <c r="E50" s="100" t="s">
        <v>303</v>
      </c>
    </row>
    <row r="51" spans="1:5" ht="14.6" x14ac:dyDescent="0.4">
      <c r="A51" s="99" t="s">
        <v>251</v>
      </c>
      <c r="B51" s="100" t="s">
        <v>304</v>
      </c>
      <c r="C51" s="101">
        <v>2308</v>
      </c>
      <c r="D51" s="98">
        <v>1</v>
      </c>
      <c r="E51" s="100" t="s">
        <v>305</v>
      </c>
    </row>
    <row r="52" spans="1:5" ht="14.6" x14ac:dyDescent="0.4">
      <c r="A52" s="99" t="s">
        <v>251</v>
      </c>
      <c r="B52" s="100" t="s">
        <v>306</v>
      </c>
      <c r="C52" s="101" t="s">
        <v>220</v>
      </c>
      <c r="D52" s="98">
        <v>1</v>
      </c>
      <c r="E52" s="100"/>
    </row>
    <row r="53" spans="1:5" ht="14.6" x14ac:dyDescent="0.4">
      <c r="A53" s="99" t="s">
        <v>251</v>
      </c>
      <c r="B53" s="100" t="s">
        <v>307</v>
      </c>
      <c r="C53" s="101" t="s">
        <v>220</v>
      </c>
      <c r="D53" s="98">
        <v>1</v>
      </c>
      <c r="E53" s="100"/>
    </row>
    <row r="54" spans="1:5" ht="14.6" x14ac:dyDescent="0.4">
      <c r="A54" s="99" t="s">
        <v>251</v>
      </c>
      <c r="B54" s="100" t="s">
        <v>323</v>
      </c>
      <c r="C54" s="99" t="s">
        <v>220</v>
      </c>
      <c r="D54" s="98">
        <v>1</v>
      </c>
      <c r="E54" s="100"/>
    </row>
    <row r="55" spans="1:5" ht="14.6" x14ac:dyDescent="0.4">
      <c r="A55" s="99" t="s">
        <v>218</v>
      </c>
      <c r="B55" s="100" t="s">
        <v>218</v>
      </c>
      <c r="C55" s="99">
        <v>188</v>
      </c>
      <c r="D55" s="98">
        <v>1</v>
      </c>
      <c r="E55" s="100" t="s">
        <v>324</v>
      </c>
    </row>
    <row r="56" spans="1:5" ht="14.6" x14ac:dyDescent="0.4">
      <c r="A56" s="99" t="s">
        <v>218</v>
      </c>
      <c r="B56" s="100" t="s">
        <v>221</v>
      </c>
      <c r="C56" s="99">
        <v>271</v>
      </c>
      <c r="D56" s="98">
        <v>1</v>
      </c>
      <c r="E56" s="100" t="s">
        <v>222</v>
      </c>
    </row>
    <row r="57" spans="1:5" ht="14.6" x14ac:dyDescent="0.4">
      <c r="A57" s="99" t="s">
        <v>218</v>
      </c>
      <c r="B57" s="100" t="s">
        <v>221</v>
      </c>
      <c r="C57" s="99">
        <v>279</v>
      </c>
      <c r="D57" s="98">
        <v>1</v>
      </c>
      <c r="E57" s="100" t="s">
        <v>223</v>
      </c>
    </row>
    <row r="58" spans="1:5" ht="14.6" x14ac:dyDescent="0.4">
      <c r="A58" s="99" t="s">
        <v>218</v>
      </c>
      <c r="B58" s="100" t="s">
        <v>225</v>
      </c>
      <c r="C58" s="99">
        <v>394</v>
      </c>
      <c r="D58" s="98">
        <v>1</v>
      </c>
      <c r="E58" s="100" t="s">
        <v>226</v>
      </c>
    </row>
    <row r="59" spans="1:5" ht="14.6" x14ac:dyDescent="0.4">
      <c r="A59" s="99" t="s">
        <v>218</v>
      </c>
      <c r="B59" s="100" t="s">
        <v>225</v>
      </c>
      <c r="C59" s="99">
        <v>400</v>
      </c>
      <c r="D59" s="98">
        <v>1</v>
      </c>
      <c r="E59" s="100" t="s">
        <v>227</v>
      </c>
    </row>
    <row r="60" spans="1:5" ht="14.6" x14ac:dyDescent="0.4">
      <c r="A60" s="99" t="s">
        <v>218</v>
      </c>
      <c r="B60" s="100" t="s">
        <v>228</v>
      </c>
      <c r="C60" s="99">
        <v>423</v>
      </c>
      <c r="D60" s="98">
        <v>1</v>
      </c>
      <c r="E60" s="100" t="s">
        <v>229</v>
      </c>
    </row>
    <row r="61" spans="1:5" ht="14.6" x14ac:dyDescent="0.4">
      <c r="A61" s="99" t="s">
        <v>218</v>
      </c>
      <c r="B61" s="100" t="s">
        <v>228</v>
      </c>
      <c r="C61" s="99">
        <v>425</v>
      </c>
      <c r="D61" s="98">
        <v>1</v>
      </c>
      <c r="E61" s="100" t="s">
        <v>230</v>
      </c>
    </row>
    <row r="62" spans="1:5" ht="14.6" x14ac:dyDescent="0.4">
      <c r="A62" s="99" t="s">
        <v>218</v>
      </c>
      <c r="B62" s="100" t="s">
        <v>228</v>
      </c>
      <c r="C62" s="99">
        <v>428</v>
      </c>
      <c r="D62" s="98">
        <v>1</v>
      </c>
      <c r="E62" s="100" t="s">
        <v>231</v>
      </c>
    </row>
    <row r="63" spans="1:5" ht="14.6" x14ac:dyDescent="0.4">
      <c r="A63" s="99" t="s">
        <v>218</v>
      </c>
      <c r="B63" s="100" t="s">
        <v>234</v>
      </c>
      <c r="C63" s="99">
        <v>459</v>
      </c>
      <c r="D63" s="98">
        <v>1</v>
      </c>
      <c r="E63" s="100" t="s">
        <v>235</v>
      </c>
    </row>
    <row r="64" spans="1:5" ht="14.6" x14ac:dyDescent="0.4">
      <c r="A64" s="99" t="s">
        <v>218</v>
      </c>
      <c r="B64" s="100" t="s">
        <v>234</v>
      </c>
      <c r="C64" s="99">
        <v>470</v>
      </c>
      <c r="D64" s="98">
        <v>1</v>
      </c>
      <c r="E64" s="100" t="s">
        <v>232</v>
      </c>
    </row>
    <row r="65" spans="1:5" ht="14.6" x14ac:dyDescent="0.4">
      <c r="A65" s="99" t="s">
        <v>218</v>
      </c>
      <c r="B65" s="100" t="s">
        <v>234</v>
      </c>
      <c r="C65" s="99">
        <v>472</v>
      </c>
      <c r="D65" s="98">
        <v>1</v>
      </c>
      <c r="E65" s="100" t="s">
        <v>233</v>
      </c>
    </row>
    <row r="66" spans="1:5" ht="14.6" x14ac:dyDescent="0.4">
      <c r="A66" s="99" t="s">
        <v>218</v>
      </c>
      <c r="B66" s="100" t="s">
        <v>237</v>
      </c>
      <c r="C66" s="99">
        <v>598</v>
      </c>
      <c r="D66" s="98">
        <v>1</v>
      </c>
      <c r="E66" s="100" t="s">
        <v>238</v>
      </c>
    </row>
    <row r="67" spans="1:5" ht="14.6" x14ac:dyDescent="0.4">
      <c r="A67" s="99" t="s">
        <v>218</v>
      </c>
      <c r="B67" s="100" t="s">
        <v>237</v>
      </c>
      <c r="C67" s="99">
        <v>680</v>
      </c>
      <c r="D67" s="98">
        <v>1</v>
      </c>
      <c r="E67" s="100" t="s">
        <v>239</v>
      </c>
    </row>
    <row r="68" spans="1:5" ht="14.6" x14ac:dyDescent="0.4">
      <c r="A68" s="99" t="s">
        <v>218</v>
      </c>
      <c r="B68" s="100" t="s">
        <v>237</v>
      </c>
      <c r="C68" s="99">
        <v>708</v>
      </c>
      <c r="D68" s="98">
        <v>1</v>
      </c>
      <c r="E68" s="100" t="s">
        <v>240</v>
      </c>
    </row>
    <row r="69" spans="1:5" ht="14.6" x14ac:dyDescent="0.4">
      <c r="A69" s="99" t="s">
        <v>218</v>
      </c>
      <c r="B69" s="100" t="s">
        <v>241</v>
      </c>
      <c r="C69" s="99">
        <v>726</v>
      </c>
      <c r="D69" s="98">
        <v>1</v>
      </c>
      <c r="E69" s="100" t="s">
        <v>242</v>
      </c>
    </row>
    <row r="70" spans="1:5" ht="14.6" x14ac:dyDescent="0.4">
      <c r="A70" s="99" t="s">
        <v>218</v>
      </c>
      <c r="B70" s="100" t="s">
        <v>241</v>
      </c>
      <c r="C70" s="99">
        <v>739</v>
      </c>
      <c r="D70" s="98">
        <v>1</v>
      </c>
      <c r="E70" s="100" t="s">
        <v>243</v>
      </c>
    </row>
    <row r="71" spans="1:5" ht="14.6" x14ac:dyDescent="0.4">
      <c r="A71" s="99" t="s">
        <v>218</v>
      </c>
      <c r="B71" s="100" t="s">
        <v>241</v>
      </c>
      <c r="C71" s="99">
        <v>740</v>
      </c>
      <c r="D71" s="98">
        <v>1</v>
      </c>
      <c r="E71" s="100" t="s">
        <v>244</v>
      </c>
    </row>
    <row r="72" spans="1:5" ht="14.6" x14ac:dyDescent="0.4">
      <c r="A72" s="99" t="s">
        <v>218</v>
      </c>
      <c r="B72" s="100" t="s">
        <v>241</v>
      </c>
      <c r="C72" s="99">
        <v>754</v>
      </c>
      <c r="D72" s="98">
        <v>1</v>
      </c>
      <c r="E72" s="100" t="s">
        <v>245</v>
      </c>
    </row>
    <row r="73" spans="1:5" ht="14.6" x14ac:dyDescent="0.4">
      <c r="A73" s="99" t="s">
        <v>218</v>
      </c>
      <c r="B73" s="100" t="s">
        <v>241</v>
      </c>
      <c r="C73" s="99">
        <v>758</v>
      </c>
      <c r="D73" s="98">
        <v>1</v>
      </c>
      <c r="E73" s="100" t="s">
        <v>246</v>
      </c>
    </row>
    <row r="74" spans="1:5" ht="14.6" x14ac:dyDescent="0.4">
      <c r="A74" s="99" t="s">
        <v>218</v>
      </c>
      <c r="B74" s="100" t="s">
        <v>241</v>
      </c>
      <c r="C74" s="99">
        <v>779</v>
      </c>
      <c r="D74" s="98">
        <v>1</v>
      </c>
      <c r="E74" s="100" t="s">
        <v>247</v>
      </c>
    </row>
    <row r="75" spans="1:5" ht="14.6" x14ac:dyDescent="0.4">
      <c r="A75" s="99" t="s">
        <v>218</v>
      </c>
      <c r="B75" s="100" t="s">
        <v>241</v>
      </c>
      <c r="C75" s="99">
        <v>793</v>
      </c>
      <c r="D75" s="98">
        <v>1</v>
      </c>
      <c r="E75" s="100" t="s">
        <v>248</v>
      </c>
    </row>
    <row r="76" spans="1:5" ht="14.6" x14ac:dyDescent="0.4">
      <c r="A76" s="99" t="s">
        <v>218</v>
      </c>
      <c r="B76" s="100" t="s">
        <v>249</v>
      </c>
      <c r="C76" s="99">
        <v>898</v>
      </c>
      <c r="D76" s="98">
        <v>1</v>
      </c>
      <c r="E76" s="100" t="s">
        <v>240</v>
      </c>
    </row>
    <row r="77" spans="1:5" ht="14.6" x14ac:dyDescent="0.4">
      <c r="A77" s="99" t="s">
        <v>218</v>
      </c>
      <c r="B77" s="100" t="s">
        <v>249</v>
      </c>
      <c r="C77" s="99">
        <v>927</v>
      </c>
      <c r="D77" s="98">
        <v>1</v>
      </c>
      <c r="E77" s="100" t="s">
        <v>250</v>
      </c>
    </row>
    <row r="78" spans="1:5" ht="14.6" x14ac:dyDescent="0.4">
      <c r="A78" s="99" t="s">
        <v>218</v>
      </c>
      <c r="B78" s="100" t="s">
        <v>219</v>
      </c>
      <c r="C78" s="99" t="s">
        <v>220</v>
      </c>
      <c r="D78" s="98">
        <v>1</v>
      </c>
      <c r="E78" s="100"/>
    </row>
    <row r="79" spans="1:5" ht="14.6" x14ac:dyDescent="0.4">
      <c r="A79" s="99" t="s">
        <v>218</v>
      </c>
      <c r="B79" s="100" t="s">
        <v>224</v>
      </c>
      <c r="C79" s="99" t="s">
        <v>220</v>
      </c>
      <c r="D79" s="98">
        <v>1</v>
      </c>
      <c r="E79" s="100"/>
    </row>
    <row r="80" spans="1:5" ht="14.6" x14ac:dyDescent="0.4">
      <c r="A80" s="99" t="s">
        <v>218</v>
      </c>
      <c r="B80" s="100" t="s">
        <v>236</v>
      </c>
      <c r="C80" s="99" t="s">
        <v>220</v>
      </c>
      <c r="D80" s="98">
        <v>1</v>
      </c>
      <c r="E80" s="100"/>
    </row>
    <row r="81" spans="1:5" ht="14.6" x14ac:dyDescent="0.4">
      <c r="A81" s="99" t="s">
        <v>278</v>
      </c>
      <c r="B81" s="100" t="s">
        <v>311</v>
      </c>
      <c r="C81" s="101">
        <v>106</v>
      </c>
      <c r="D81" s="98">
        <v>1</v>
      </c>
      <c r="E81" s="100" t="s">
        <v>315</v>
      </c>
    </row>
    <row r="82" spans="1:5" ht="14.6" x14ac:dyDescent="0.4">
      <c r="A82" s="99" t="s">
        <v>278</v>
      </c>
      <c r="B82" s="100" t="s">
        <v>279</v>
      </c>
      <c r="C82" s="101">
        <v>107</v>
      </c>
      <c r="D82" s="98">
        <v>1</v>
      </c>
      <c r="E82" s="100" t="s">
        <v>315</v>
      </c>
    </row>
    <row r="83" spans="1:5" ht="14.6" x14ac:dyDescent="0.4">
      <c r="A83" s="99" t="s">
        <v>278</v>
      </c>
      <c r="B83" s="100" t="s">
        <v>312</v>
      </c>
      <c r="C83" s="101">
        <v>115</v>
      </c>
      <c r="D83" s="98">
        <v>1</v>
      </c>
      <c r="E83" s="100" t="s">
        <v>309</v>
      </c>
    </row>
    <row r="84" spans="1:5" ht="14.6" x14ac:dyDescent="0.4">
      <c r="A84" s="99" t="s">
        <v>278</v>
      </c>
      <c r="B84" s="100" t="s">
        <v>311</v>
      </c>
      <c r="C84" s="101">
        <v>120</v>
      </c>
      <c r="D84" s="98">
        <v>1</v>
      </c>
      <c r="E84" s="100" t="s">
        <v>308</v>
      </c>
    </row>
    <row r="85" spans="1:5" ht="14.6" x14ac:dyDescent="0.4">
      <c r="A85" s="99" t="s">
        <v>278</v>
      </c>
      <c r="B85" s="100" t="s">
        <v>279</v>
      </c>
      <c r="C85" s="101">
        <v>122</v>
      </c>
      <c r="D85" s="98">
        <v>1</v>
      </c>
      <c r="E85" s="100" t="s">
        <v>308</v>
      </c>
    </row>
    <row r="86" spans="1:5" ht="14.6" x14ac:dyDescent="0.4">
      <c r="A86" s="99" t="s">
        <v>278</v>
      </c>
      <c r="B86" s="100" t="s">
        <v>312</v>
      </c>
      <c r="C86" s="101">
        <v>131</v>
      </c>
      <c r="D86" s="98">
        <v>1</v>
      </c>
      <c r="E86" s="100" t="s">
        <v>308</v>
      </c>
    </row>
    <row r="87" spans="1:5" ht="14.6" x14ac:dyDescent="0.4">
      <c r="A87" s="99" t="s">
        <v>278</v>
      </c>
      <c r="B87" s="100" t="s">
        <v>279</v>
      </c>
      <c r="C87" s="101">
        <v>136</v>
      </c>
      <c r="D87" s="98">
        <v>1</v>
      </c>
      <c r="E87" s="100" t="s">
        <v>310</v>
      </c>
    </row>
    <row r="88" spans="1:5" ht="14.6" x14ac:dyDescent="0.4">
      <c r="A88" s="99"/>
      <c r="B88" s="100"/>
      <c r="C88" s="99"/>
      <c r="D88" s="98"/>
      <c r="E88" s="100"/>
    </row>
    <row r="89" spans="1:5" ht="14.6" x14ac:dyDescent="0.4">
      <c r="A89" s="99"/>
      <c r="B89" s="100"/>
      <c r="C89" s="99"/>
      <c r="D89" s="98"/>
      <c r="E89" s="100"/>
    </row>
    <row r="90" spans="1:5" ht="14.6" x14ac:dyDescent="0.4">
      <c r="A90" s="99"/>
      <c r="B90" s="100"/>
      <c r="C90" s="99"/>
      <c r="D90" s="98"/>
      <c r="E90" s="100"/>
    </row>
    <row r="91" spans="1:5" ht="14.6" x14ac:dyDescent="0.4">
      <c r="A91" s="99"/>
      <c r="B91" s="100"/>
      <c r="C91" s="99"/>
      <c r="D91" s="98"/>
      <c r="E91" s="100"/>
    </row>
    <row r="92" spans="1:5" ht="14.6" x14ac:dyDescent="0.4">
      <c r="A92" s="99"/>
      <c r="B92" s="100"/>
      <c r="C92" s="101"/>
      <c r="D92" s="98"/>
      <c r="E92" s="100"/>
    </row>
    <row r="93" spans="1:5" ht="14.6" x14ac:dyDescent="0.4">
      <c r="A93" s="99"/>
      <c r="B93" s="100"/>
      <c r="C93" s="101"/>
      <c r="D93" s="98"/>
      <c r="E93" s="100"/>
    </row>
    <row r="94" spans="1:5" ht="14.6" x14ac:dyDescent="0.4">
      <c r="A94" s="99"/>
      <c r="B94" s="100"/>
      <c r="C94" s="101"/>
      <c r="D94" s="98"/>
      <c r="E94" s="100"/>
    </row>
    <row r="95" spans="1:5" ht="14.6" x14ac:dyDescent="0.4">
      <c r="A95" s="99"/>
      <c r="B95" s="100"/>
      <c r="C95" s="101"/>
      <c r="D95" s="98"/>
      <c r="E95" s="100"/>
    </row>
    <row r="96" spans="1:5" ht="14.6" x14ac:dyDescent="0.4">
      <c r="A96" s="99"/>
      <c r="B96" s="100"/>
      <c r="C96" s="101"/>
      <c r="D96" s="98"/>
      <c r="E96" s="100"/>
    </row>
    <row r="97" spans="1:5" ht="14.6" x14ac:dyDescent="0.4">
      <c r="A97" s="99"/>
      <c r="B97" s="100"/>
      <c r="C97" s="101"/>
      <c r="D97" s="98"/>
      <c r="E97" s="100"/>
    </row>
    <row r="98" spans="1:5" ht="14.6" x14ac:dyDescent="0.4">
      <c r="A98" s="99"/>
      <c r="B98" s="100"/>
      <c r="C98" s="101"/>
      <c r="D98" s="98"/>
      <c r="E98" s="100"/>
    </row>
    <row r="99" spans="1:5" ht="14.6" x14ac:dyDescent="0.4">
      <c r="A99" s="99"/>
      <c r="B99" s="100"/>
      <c r="C99" s="101"/>
      <c r="D99" s="98"/>
      <c r="E99" s="100"/>
    </row>
    <row r="100" spans="1:5" ht="14.6" x14ac:dyDescent="0.4">
      <c r="A100" s="99"/>
      <c r="B100" s="100"/>
      <c r="C100" s="101"/>
      <c r="D100" s="98"/>
      <c r="E100" s="100"/>
    </row>
    <row r="101" spans="1:5" ht="14.6" x14ac:dyDescent="0.4">
      <c r="A101" s="99"/>
      <c r="B101" s="100"/>
      <c r="C101" s="101"/>
      <c r="D101" s="98"/>
      <c r="E101" s="100"/>
    </row>
    <row r="102" spans="1:5" ht="14.6" x14ac:dyDescent="0.4">
      <c r="A102" s="99"/>
      <c r="B102" s="100"/>
      <c r="C102" s="101"/>
      <c r="D102" s="98"/>
      <c r="E102" s="100"/>
    </row>
    <row r="103" spans="1:5" ht="14.6" x14ac:dyDescent="0.4">
      <c r="A103" s="99"/>
      <c r="B103" s="100"/>
      <c r="C103" s="101"/>
      <c r="D103" s="98"/>
      <c r="E103" s="100"/>
    </row>
    <row r="104" spans="1:5" ht="14.6" x14ac:dyDescent="0.4">
      <c r="A104" s="99"/>
      <c r="B104" s="100"/>
      <c r="C104" s="101"/>
      <c r="D104" s="98"/>
      <c r="E104" s="100"/>
    </row>
    <row r="105" spans="1:5" ht="14.6" x14ac:dyDescent="0.4">
      <c r="A105" s="99"/>
      <c r="B105" s="100"/>
      <c r="C105" s="101"/>
      <c r="D105" s="98"/>
      <c r="E105" s="100"/>
    </row>
    <row r="106" spans="1:5" ht="14.6" x14ac:dyDescent="0.4">
      <c r="A106" s="99"/>
      <c r="B106" s="100"/>
      <c r="C106" s="101"/>
      <c r="D106" s="98"/>
      <c r="E106" s="100"/>
    </row>
    <row r="107" spans="1:5" ht="14.6" x14ac:dyDescent="0.4">
      <c r="A107" s="99"/>
      <c r="B107" s="100"/>
      <c r="C107" s="101"/>
      <c r="D107" s="98"/>
      <c r="E107" s="100"/>
    </row>
    <row r="108" spans="1:5" ht="14.6" x14ac:dyDescent="0.4">
      <c r="A108" s="99"/>
      <c r="B108" s="100"/>
      <c r="C108" s="101"/>
      <c r="D108" s="98"/>
      <c r="E108" s="100"/>
    </row>
    <row r="109" spans="1:5" ht="14.6" x14ac:dyDescent="0.4">
      <c r="A109" s="99"/>
      <c r="B109" s="100"/>
      <c r="C109" s="101"/>
      <c r="D109" s="98"/>
      <c r="E109" s="100"/>
    </row>
    <row r="110" spans="1:5" ht="14.6" x14ac:dyDescent="0.4">
      <c r="A110" s="99"/>
      <c r="B110" s="100"/>
      <c r="C110" s="101"/>
      <c r="D110" s="98"/>
      <c r="E110" s="100"/>
    </row>
    <row r="111" spans="1:5" ht="14.6" x14ac:dyDescent="0.4">
      <c r="A111" s="99"/>
      <c r="B111" s="100"/>
      <c r="C111" s="101"/>
      <c r="D111" s="98"/>
      <c r="E111" s="100"/>
    </row>
    <row r="112" spans="1:5" ht="14.6" x14ac:dyDescent="0.4">
      <c r="A112" s="99"/>
      <c r="B112" s="100"/>
      <c r="C112" s="101"/>
      <c r="D112" s="98"/>
      <c r="E112" s="100"/>
    </row>
    <row r="113" spans="1:5" ht="14.6" x14ac:dyDescent="0.4">
      <c r="A113" s="99"/>
      <c r="B113" s="100"/>
      <c r="C113" s="101"/>
      <c r="D113" s="98"/>
      <c r="E113" s="100"/>
    </row>
    <row r="114" spans="1:5" ht="14.6" x14ac:dyDescent="0.4">
      <c r="A114" s="99"/>
      <c r="B114" s="100"/>
      <c r="C114" s="101"/>
      <c r="D114" s="98"/>
      <c r="E114" s="100"/>
    </row>
    <row r="115" spans="1:5" ht="14.6" x14ac:dyDescent="0.4">
      <c r="A115" s="99"/>
      <c r="B115" s="100"/>
      <c r="C115" s="101"/>
      <c r="D115" s="98"/>
      <c r="E115" s="100"/>
    </row>
    <row r="116" spans="1:5" ht="14.6" x14ac:dyDescent="0.4">
      <c r="A116" s="99"/>
      <c r="B116" s="100"/>
      <c r="C116" s="101"/>
      <c r="D116" s="98"/>
      <c r="E116" s="100"/>
    </row>
    <row r="117" spans="1:5" ht="14.6" x14ac:dyDescent="0.4">
      <c r="A117" s="99"/>
      <c r="B117" s="100"/>
      <c r="C117" s="101"/>
      <c r="D117" s="98"/>
      <c r="E117" s="100"/>
    </row>
    <row r="118" spans="1:5" ht="14.6" hidden="1" x14ac:dyDescent="0.4">
      <c r="E118" s="44"/>
    </row>
    <row r="119" spans="1:5" ht="14.6" hidden="1" x14ac:dyDescent="0.4">
      <c r="E119" s="44"/>
    </row>
    <row r="120" spans="1:5" ht="14.6" hidden="1" x14ac:dyDescent="0.4">
      <c r="E120" s="44"/>
    </row>
  </sheetData>
  <conditionalFormatting sqref="D59:D117 D2:D55">
    <cfRule type="iconSet" priority="2">
      <iconSet iconSet="3Symbols2" showValue="0">
        <cfvo type="percent" val="0"/>
        <cfvo type="num" val="0.5"/>
        <cfvo type="num" val="1"/>
      </iconSet>
    </cfRule>
  </conditionalFormatting>
  <conditionalFormatting sqref="D56:D75">
    <cfRule type="iconSet" priority="1">
      <iconSet iconSet="3Symbols2" showValue="0">
        <cfvo type="percent" val="0"/>
        <cfvo type="num" val="0.5"/>
        <cfvo type="num" val="1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opLeftCell="A17" zoomScale="115" zoomScaleNormal="115" workbookViewId="0">
      <selection activeCell="B29" sqref="B29"/>
    </sheetView>
  </sheetViews>
  <sheetFormatPr defaultColWidth="0" defaultRowHeight="14.6" zeroHeight="1" x14ac:dyDescent="0.4"/>
  <cols>
    <col min="1" max="1" width="11.78515625" customWidth="1"/>
    <col min="2" max="2" width="18.85546875" customWidth="1"/>
    <col min="3" max="3" width="12.640625" customWidth="1"/>
    <col min="4" max="4" width="9.28515625" customWidth="1"/>
    <col min="5" max="5" width="53.5703125" customWidth="1"/>
    <col min="6" max="16384" width="8.85546875" hidden="1"/>
  </cols>
  <sheetData>
    <row r="1" spans="1:5" x14ac:dyDescent="0.4">
      <c r="A1" t="s">
        <v>257</v>
      </c>
      <c r="B1" t="s">
        <v>357</v>
      </c>
      <c r="C1" t="s">
        <v>119</v>
      </c>
      <c r="D1" t="s">
        <v>124</v>
      </c>
      <c r="E1" s="44" t="s">
        <v>123</v>
      </c>
    </row>
    <row r="2" spans="1:5" hidden="1" x14ac:dyDescent="0.4">
      <c r="A2" t="s">
        <v>260</v>
      </c>
      <c r="B2" t="s">
        <v>120</v>
      </c>
      <c r="D2" t="s">
        <v>121</v>
      </c>
      <c r="E2" s="44" t="s">
        <v>263</v>
      </c>
    </row>
    <row r="3" spans="1:5" hidden="1" x14ac:dyDescent="0.4">
      <c r="A3" t="s">
        <v>260</v>
      </c>
      <c r="E3" s="44"/>
    </row>
    <row r="4" spans="1:5" hidden="1" x14ac:dyDescent="0.4">
      <c r="A4" t="s">
        <v>260</v>
      </c>
      <c r="E4" s="44"/>
    </row>
    <row r="5" spans="1:5" hidden="1" x14ac:dyDescent="0.4">
      <c r="A5" t="s">
        <v>260</v>
      </c>
      <c r="E5" s="44"/>
    </row>
    <row r="6" spans="1:5" hidden="1" x14ac:dyDescent="0.4">
      <c r="A6" s="103" t="s">
        <v>260</v>
      </c>
      <c r="B6" s="103" t="s">
        <v>122</v>
      </c>
      <c r="C6" s="103" t="s">
        <v>346</v>
      </c>
      <c r="D6" s="103" t="s">
        <v>121</v>
      </c>
      <c r="E6" s="104" t="s">
        <v>125</v>
      </c>
    </row>
    <row r="7" spans="1:5" hidden="1" x14ac:dyDescent="0.4">
      <c r="A7" s="103"/>
      <c r="B7" s="103"/>
      <c r="C7" s="103"/>
      <c r="D7" s="103"/>
      <c r="E7" s="104"/>
    </row>
    <row r="8" spans="1:5" x14ac:dyDescent="0.4">
      <c r="A8" s="103" t="s">
        <v>258</v>
      </c>
      <c r="B8" s="103" t="s">
        <v>338</v>
      </c>
      <c r="C8" s="103" t="s">
        <v>347</v>
      </c>
      <c r="D8" s="103" t="s">
        <v>347</v>
      </c>
      <c r="E8" s="104" t="s">
        <v>384</v>
      </c>
    </row>
    <row r="9" spans="1:5" x14ac:dyDescent="0.4">
      <c r="A9" s="103" t="s">
        <v>258</v>
      </c>
      <c r="B9" s="103" t="s">
        <v>335</v>
      </c>
      <c r="C9" s="103" t="s">
        <v>347</v>
      </c>
      <c r="D9" s="103" t="s">
        <v>347</v>
      </c>
      <c r="E9" s="104" t="s">
        <v>383</v>
      </c>
    </row>
    <row r="10" spans="1:5" x14ac:dyDescent="0.4">
      <c r="A10" s="103" t="s">
        <v>258</v>
      </c>
      <c r="B10" s="103" t="s">
        <v>334</v>
      </c>
      <c r="C10" s="103" t="s">
        <v>347</v>
      </c>
      <c r="D10" s="103" t="s">
        <v>347</v>
      </c>
      <c r="E10" s="104" t="s">
        <v>382</v>
      </c>
    </row>
    <row r="11" spans="1:5" x14ac:dyDescent="0.4">
      <c r="A11" s="103" t="s">
        <v>258</v>
      </c>
      <c r="B11" s="103" t="s">
        <v>336</v>
      </c>
      <c r="C11" s="103" t="s">
        <v>347</v>
      </c>
      <c r="D11" s="103" t="s">
        <v>347</v>
      </c>
      <c r="E11" s="104" t="s">
        <v>381</v>
      </c>
    </row>
    <row r="12" spans="1:5" x14ac:dyDescent="0.4">
      <c r="A12" s="103" t="s">
        <v>258</v>
      </c>
      <c r="B12" s="103" t="s">
        <v>105</v>
      </c>
      <c r="C12" s="103" t="s">
        <v>347</v>
      </c>
      <c r="D12" s="103" t="s">
        <v>347</v>
      </c>
      <c r="E12" s="105" t="s">
        <v>380</v>
      </c>
    </row>
    <row r="13" spans="1:5" x14ac:dyDescent="0.4">
      <c r="A13" s="103" t="s">
        <v>258</v>
      </c>
      <c r="B13" s="103" t="s">
        <v>104</v>
      </c>
      <c r="C13" s="103" t="s">
        <v>347</v>
      </c>
      <c r="D13" s="103" t="s">
        <v>347</v>
      </c>
      <c r="E13" s="104" t="s">
        <v>379</v>
      </c>
    </row>
    <row r="14" spans="1:5" x14ac:dyDescent="0.4">
      <c r="A14" s="103" t="s">
        <v>258</v>
      </c>
      <c r="B14" s="103" t="s">
        <v>126</v>
      </c>
      <c r="C14" s="103" t="s">
        <v>347</v>
      </c>
      <c r="D14" s="103" t="s">
        <v>347</v>
      </c>
      <c r="E14" s="104" t="s">
        <v>378</v>
      </c>
    </row>
    <row r="15" spans="1:5" x14ac:dyDescent="0.4">
      <c r="A15" s="103" t="s">
        <v>258</v>
      </c>
      <c r="B15" s="103" t="s">
        <v>333</v>
      </c>
      <c r="C15" s="103" t="s">
        <v>347</v>
      </c>
      <c r="D15" s="103" t="s">
        <v>347</v>
      </c>
      <c r="E15" s="104" t="s">
        <v>377</v>
      </c>
    </row>
    <row r="16" spans="1:5" x14ac:dyDescent="0.4">
      <c r="A16" s="103" t="s">
        <v>258</v>
      </c>
      <c r="B16" s="103" t="s">
        <v>341</v>
      </c>
      <c r="C16" s="103" t="s">
        <v>347</v>
      </c>
      <c r="D16" s="103" t="s">
        <v>347</v>
      </c>
      <c r="E16" s="104" t="s">
        <v>376</v>
      </c>
    </row>
    <row r="17" spans="1:5" x14ac:dyDescent="0.4">
      <c r="A17" s="103" t="s">
        <v>258</v>
      </c>
      <c r="B17" s="103" t="s">
        <v>106</v>
      </c>
      <c r="C17" s="103" t="s">
        <v>347</v>
      </c>
      <c r="D17" s="103" t="s">
        <v>347</v>
      </c>
      <c r="E17" s="104" t="s">
        <v>375</v>
      </c>
    </row>
    <row r="18" spans="1:5" x14ac:dyDescent="0.4">
      <c r="A18" s="103" t="s">
        <v>258</v>
      </c>
      <c r="B18" s="103" t="s">
        <v>339</v>
      </c>
      <c r="C18" s="103" t="s">
        <v>347</v>
      </c>
      <c r="D18" s="103" t="s">
        <v>347</v>
      </c>
      <c r="E18" s="104" t="s">
        <v>374</v>
      </c>
    </row>
    <row r="19" spans="1:5" x14ac:dyDescent="0.4">
      <c r="A19" s="103" t="s">
        <v>258</v>
      </c>
      <c r="B19" s="103" t="s">
        <v>337</v>
      </c>
      <c r="C19" s="103" t="s">
        <v>347</v>
      </c>
      <c r="D19" s="103" t="s">
        <v>347</v>
      </c>
      <c r="E19" s="104" t="s">
        <v>358</v>
      </c>
    </row>
    <row r="20" spans="1:5" x14ac:dyDescent="0.4">
      <c r="A20" s="103" t="s">
        <v>258</v>
      </c>
      <c r="B20" s="103" t="s">
        <v>340</v>
      </c>
      <c r="C20" s="103" t="s">
        <v>347</v>
      </c>
      <c r="D20" s="103" t="s">
        <v>347</v>
      </c>
      <c r="E20" s="104" t="s">
        <v>373</v>
      </c>
    </row>
    <row r="21" spans="1:5" x14ac:dyDescent="0.4">
      <c r="A21" s="103" t="s">
        <v>259</v>
      </c>
      <c r="B21" s="103" t="s">
        <v>345</v>
      </c>
      <c r="C21" s="103" t="s">
        <v>347</v>
      </c>
      <c r="D21" s="103" t="s">
        <v>347</v>
      </c>
      <c r="E21" s="104" t="s">
        <v>372</v>
      </c>
    </row>
    <row r="22" spans="1:5" x14ac:dyDescent="0.4">
      <c r="A22" s="103" t="s">
        <v>259</v>
      </c>
      <c r="B22" s="103" t="s">
        <v>348</v>
      </c>
      <c r="C22" s="103"/>
      <c r="D22" s="103"/>
      <c r="E22" s="104" t="s">
        <v>385</v>
      </c>
    </row>
    <row r="23" spans="1:5" x14ac:dyDescent="0.4">
      <c r="A23" s="103" t="s">
        <v>259</v>
      </c>
      <c r="B23" s="103" t="s">
        <v>352</v>
      </c>
      <c r="C23" s="103" t="s">
        <v>347</v>
      </c>
      <c r="D23" s="103" t="s">
        <v>347</v>
      </c>
      <c r="E23" s="104" t="s">
        <v>369</v>
      </c>
    </row>
    <row r="24" spans="1:5" x14ac:dyDescent="0.4">
      <c r="A24" s="103" t="s">
        <v>259</v>
      </c>
      <c r="B24" s="103" t="s">
        <v>349</v>
      </c>
      <c r="C24" s="103" t="s">
        <v>347</v>
      </c>
      <c r="D24" s="103" t="s">
        <v>347</v>
      </c>
      <c r="E24" s="104" t="s">
        <v>368</v>
      </c>
    </row>
    <row r="25" spans="1:5" x14ac:dyDescent="0.4">
      <c r="A25" s="103" t="s">
        <v>259</v>
      </c>
      <c r="B25" s="103" t="s">
        <v>353</v>
      </c>
      <c r="C25" s="103" t="s">
        <v>347</v>
      </c>
      <c r="D25" s="103" t="s">
        <v>347</v>
      </c>
      <c r="E25" s="104" t="s">
        <v>367</v>
      </c>
    </row>
    <row r="26" spans="1:5" x14ac:dyDescent="0.4">
      <c r="A26" s="103" t="s">
        <v>259</v>
      </c>
      <c r="B26" s="103" t="s">
        <v>126</v>
      </c>
      <c r="C26" s="103" t="s">
        <v>347</v>
      </c>
      <c r="D26" s="103" t="s">
        <v>347</v>
      </c>
      <c r="E26" s="104" t="s">
        <v>366</v>
      </c>
    </row>
    <row r="27" spans="1:5" x14ac:dyDescent="0.4">
      <c r="A27" s="103" t="s">
        <v>259</v>
      </c>
      <c r="B27" s="103" t="s">
        <v>343</v>
      </c>
      <c r="C27" s="103" t="s">
        <v>347</v>
      </c>
      <c r="D27" s="103" t="s">
        <v>347</v>
      </c>
      <c r="E27" s="104" t="s">
        <v>370</v>
      </c>
    </row>
    <row r="28" spans="1:5" x14ac:dyDescent="0.4">
      <c r="A28" s="103" t="s">
        <v>259</v>
      </c>
      <c r="B28" s="103" t="s">
        <v>342</v>
      </c>
      <c r="C28" s="103" t="s">
        <v>347</v>
      </c>
      <c r="D28" s="103" t="s">
        <v>347</v>
      </c>
      <c r="E28" s="104" t="s">
        <v>371</v>
      </c>
    </row>
    <row r="29" spans="1:5" x14ac:dyDescent="0.4">
      <c r="A29" s="103" t="s">
        <v>259</v>
      </c>
      <c r="B29" s="103" t="s">
        <v>355</v>
      </c>
      <c r="C29" s="103" t="s">
        <v>347</v>
      </c>
      <c r="D29" s="103" t="s">
        <v>347</v>
      </c>
      <c r="E29" s="104" t="s">
        <v>365</v>
      </c>
    </row>
    <row r="30" spans="1:5" x14ac:dyDescent="0.4">
      <c r="A30" s="103" t="s">
        <v>259</v>
      </c>
      <c r="B30" s="103" t="s">
        <v>351</v>
      </c>
      <c r="C30" s="103" t="s">
        <v>347</v>
      </c>
      <c r="D30" s="103" t="s">
        <v>347</v>
      </c>
      <c r="E30" s="104" t="s">
        <v>364</v>
      </c>
    </row>
    <row r="31" spans="1:5" x14ac:dyDescent="0.4">
      <c r="A31" s="103" t="s">
        <v>259</v>
      </c>
      <c r="B31" s="103" t="s">
        <v>354</v>
      </c>
      <c r="C31" s="103" t="s">
        <v>347</v>
      </c>
      <c r="D31" s="103" t="s">
        <v>347</v>
      </c>
      <c r="E31" s="104" t="s">
        <v>359</v>
      </c>
    </row>
    <row r="32" spans="1:5" x14ac:dyDescent="0.4">
      <c r="A32" s="103" t="s">
        <v>259</v>
      </c>
      <c r="B32" s="103" t="s">
        <v>356</v>
      </c>
      <c r="C32" s="103" t="s">
        <v>347</v>
      </c>
      <c r="D32" s="103" t="s">
        <v>347</v>
      </c>
      <c r="E32" s="104" t="s">
        <v>360</v>
      </c>
    </row>
    <row r="33" spans="1:5" x14ac:dyDescent="0.4">
      <c r="A33" s="103" t="s">
        <v>259</v>
      </c>
      <c r="B33" s="103" t="s">
        <v>127</v>
      </c>
      <c r="C33" s="103" t="s">
        <v>220</v>
      </c>
      <c r="D33" s="103"/>
      <c r="E33" s="104" t="s">
        <v>361</v>
      </c>
    </row>
    <row r="34" spans="1:5" x14ac:dyDescent="0.4">
      <c r="A34" s="103" t="s">
        <v>259</v>
      </c>
      <c r="B34" s="103" t="s">
        <v>344</v>
      </c>
      <c r="C34" s="103" t="s">
        <v>347</v>
      </c>
      <c r="D34" s="103" t="s">
        <v>347</v>
      </c>
      <c r="E34" s="104" t="s">
        <v>362</v>
      </c>
    </row>
    <row r="35" spans="1:5" x14ac:dyDescent="0.4">
      <c r="A35" s="103" t="s">
        <v>259</v>
      </c>
      <c r="B35" s="103" t="s">
        <v>128</v>
      </c>
      <c r="C35" s="103" t="s">
        <v>347</v>
      </c>
      <c r="D35" s="103" t="s">
        <v>347</v>
      </c>
      <c r="E35" s="104" t="s">
        <v>358</v>
      </c>
    </row>
    <row r="36" spans="1:5" x14ac:dyDescent="0.4">
      <c r="A36" s="103" t="s">
        <v>259</v>
      </c>
      <c r="B36" s="103" t="s">
        <v>350</v>
      </c>
      <c r="C36" s="103" t="s">
        <v>347</v>
      </c>
      <c r="D36" s="103" t="s">
        <v>347</v>
      </c>
      <c r="E36" s="104" t="s">
        <v>363</v>
      </c>
    </row>
    <row r="37" spans="1:5" hidden="1" x14ac:dyDescent="0.4">
      <c r="A37" s="103"/>
      <c r="B37" s="103"/>
      <c r="C37" s="103"/>
      <c r="D37" s="103"/>
      <c r="E37" s="104"/>
    </row>
    <row r="38" spans="1:5" hidden="1" x14ac:dyDescent="0.4">
      <c r="A38" s="103"/>
      <c r="B38" s="103"/>
      <c r="C38" s="103"/>
      <c r="D38" s="103"/>
      <c r="E38" s="104"/>
    </row>
    <row r="39" spans="1:5" hidden="1" x14ac:dyDescent="0.4">
      <c r="A39" s="103"/>
      <c r="B39" s="103"/>
      <c r="C39" s="103"/>
      <c r="D39" s="103"/>
      <c r="E39" s="104"/>
    </row>
    <row r="40" spans="1:5" hidden="1" x14ac:dyDescent="0.4">
      <c r="A40" s="103"/>
      <c r="B40" s="103"/>
      <c r="C40" s="103"/>
      <c r="D40" s="103"/>
      <c r="E40" s="104"/>
    </row>
    <row r="41" spans="1:5" hidden="1" x14ac:dyDescent="0.4">
      <c r="A41" s="103"/>
      <c r="B41" s="103"/>
      <c r="C41" s="103"/>
      <c r="D41" s="103"/>
      <c r="E41" s="104"/>
    </row>
    <row r="42" spans="1:5" hidden="1" x14ac:dyDescent="0.4">
      <c r="A42" s="103"/>
      <c r="B42" s="103"/>
      <c r="C42" s="103"/>
      <c r="D42" s="103"/>
      <c r="E42" s="104"/>
    </row>
    <row r="43" spans="1:5" hidden="1" x14ac:dyDescent="0.4">
      <c r="A43" s="103"/>
      <c r="B43" s="103"/>
      <c r="C43" s="103"/>
      <c r="D43" s="103"/>
      <c r="E43" s="104"/>
    </row>
    <row r="44" spans="1:5" hidden="1" x14ac:dyDescent="0.4">
      <c r="A44" s="103"/>
      <c r="B44" s="103"/>
      <c r="C44" s="103"/>
      <c r="D44" s="103"/>
      <c r="E44" s="104"/>
    </row>
    <row r="45" spans="1:5" hidden="1" x14ac:dyDescent="0.4">
      <c r="A45" s="103"/>
      <c r="B45" s="103"/>
      <c r="C45" s="103"/>
      <c r="D45" s="103"/>
      <c r="E45" s="104"/>
    </row>
    <row r="46" spans="1:5" hidden="1" x14ac:dyDescent="0.4">
      <c r="A46" s="103"/>
      <c r="B46" s="103"/>
      <c r="C46" s="103"/>
      <c r="D46" s="103"/>
      <c r="E46" s="104"/>
    </row>
    <row r="47" spans="1:5" hidden="1" x14ac:dyDescent="0.4">
      <c r="E47" s="44"/>
    </row>
    <row r="48" spans="1:5" hidden="1" x14ac:dyDescent="0.4">
      <c r="E48" s="44"/>
    </row>
    <row r="49" spans="5:5" hidden="1" x14ac:dyDescent="0.4">
      <c r="E49" s="44"/>
    </row>
    <row r="50" spans="5:5" hidden="1" x14ac:dyDescent="0.4"/>
    <row r="51" spans="5:5" hidden="1" x14ac:dyDescent="0.4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Project Planner</vt:lpstr>
      <vt:lpstr>Task List</vt:lpstr>
      <vt:lpstr>Initial Run Schedule</vt:lpstr>
      <vt:lpstr>Units Check</vt:lpstr>
      <vt:lpstr>IO 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2018-02-14T03:17:41Z</dcterms:modified>
</cp:coreProperties>
</file>