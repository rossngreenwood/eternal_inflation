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7644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<sst xmlns="http://schemas.openxmlformats.org/spreadsheetml/2006/main" count="268" uniqueCount="230">
  <si>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</si>
  <si>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</si>
  <si>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</si>
  <si>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</si>
  <si>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</si>
  <si>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</si>
  <si>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</si>
  <si>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</si>
  <si>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</si>
  <si>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</si>
  <si>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</si>
  <si>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</si>
  <si>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</si>
  <si>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</si>
  <si>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</si>
  <si>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</si>
  <si>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</si>
  <si>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</si>
  <si>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</si>
  <si>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</si>
  <si>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</si>
  <si>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</si>
  <si>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</si>
  <si>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</si>
  <si>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</si>
  <si>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</si>
  <si>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</si>
  <si>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</si>
  <si>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</si>
  <si>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</si>
  <si>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</si>
  <si>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</si>
  <si>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</si>
  <si>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</si>
  <si>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</si>
  <si>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</si>
  <si>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</si>
  <si>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</si>
  <si>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</si>
  <si>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</si>
  <si>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</si>
  <si>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</si>
  <si>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</si>
  <si>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</si>
  <si>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</si>
  <si>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</si>
  <si>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</si>
  <si>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</si>
  <si>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</si>
  <si>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</si>
  <si>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</si>
  <si>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</si>
  <si>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</si>
  <si>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</si>
  <si>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</si>
  <si>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</si>
  <si>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</si>
  <si>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</si>
  <si>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</si>
  <si>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</si>
  <si>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</si>
  <si>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</si>
  <si>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</si>
  <si>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</si>
  <si>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</si>
  <si>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</si>
  <si>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</si>
  <si>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</si>
  <si>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</si>
  <si>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</si>
  <si>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</si>
  <si>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</si>
  <si>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</si>
  <si>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</si>
  <si>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</si>
  <si>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</si>
  <si>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</si>
  <si>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</si>
  <si>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</si>
  <si>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</si>
  <si>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</si>
  <si>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</si>
  <si>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</si>
  <si>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</si>
  <si>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</si>
  <si>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</si>
  <si>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</si>
  <si>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</si>
  <si>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</si>
  <si>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</si>
  <si>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</si>
  <si>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</si>
  <si>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</si>
  <si>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</si>
  <si>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</si>
  <si>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</si>
  <si>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</si>
  <si>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</si>
  <si>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</si>
  <si>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</si>
  <si>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</si>
  <si>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</si>
  <si>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</si>
  <si>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</si>
  <si>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</si>
  <si>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</si>
  <si>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</si>
  <si>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</si>
  <si>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</si>
  <si>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</si>
  <si>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</si>
  <si>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</si>
  <si>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</si>
  <si>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</si>
  <si>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</si>
  <si>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</si>
  <si>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</si>
  <si>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</si>
  <si>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</si>
  <si>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</si>
  <si>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</si>
  <si>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</si>
  <si>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</si>
  <si>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</si>
  <si>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</si>
  <si>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</si>
  <si>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</si>
  <si>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</si>
  <si>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</si>
  <si>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</si>
  <si>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</si>
  <si>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</si>
  <si>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</si>
  <si>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</si>
  <si>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</si>
  <si>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</si>
  <si>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</si>
  <si>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</si>
  <si>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</si>
  <si>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</si>
  <si>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</si>
  <si>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</si>
  <si>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</si>
  <si>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</si>
  <si>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</si>
  <si>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</si>
  <si>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</si>
  <si>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</si>
  <si>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</si>
  <si>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</si>
  <si>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</si>
  <si>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</si>
  <si>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</si>
  <si>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</si>
  <si>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</si>
  <si>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</si>
  <si>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</si>
  <si>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</si>
  <si>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</si>
  <si>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</si>
  <si>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</si>
  <si>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</si>
  <si>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</si>
  <si>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</si>
  <si>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</si>
  <si>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</si>
  <si>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</si>
  <si>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</si>
  <si>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</si>
  <si>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</si>
  <si>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</si>
  <si>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</si>
  <si>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</si>
  <si>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</si>
  <si>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</si>
  <si>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</si>
  <si>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</si>
  <si>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</si>
  <si>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</si>
  <si>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</si>
  <si>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</si>
  <si>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</si>
  <si>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</si>
  <si>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</si>
  <si>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</si>
  <si>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</si>
  <si>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</si>
  <si>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</si>
  <si>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</si>
  <si>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</si>
  <si>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</si>
  <si>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</si>
  <si>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</si>
  <si>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</si>
  <si>
    <t>Compute stochastic eternal in each basin</t>
  </si>
  <si>
    <t>Set up debug plots</t>
  </si>
  <si>
    <t>Check fixQ</t>
  </si>
  <si>
    <t>Change fixLambda to rho_Lambd_thres</t>
  </si>
  <si>
    <t>Choose in which basin to record observables, status</t>
  </si>
  <si>
    <t>Next minimum is too far away - why?</t>
  </si>
  <si>
    <t>Fixing the potential after the fact to make Q match observation - seems dubious</t>
  </si>
  <si>
    <t>Explore MEX option</t>
  </si>
  <si>
    <t>Potential 10x speedup of find_phistop, find_phiend, etc.</t>
  </si>
  <si>
    <t>Delegate random number generation to c</t>
  </si>
  <si>
    <t>MEX find_phistop</t>
  </si>
  <si>
    <t>MEX find_phinextmin</t>
  </si>
  <si>
    <t>MEX find_phiend</t>
  </si>
  <si>
    <t>Prevent stochastic ode45 from stalling</t>
  </si>
  <si>
    <t>MEX find_phipeak</t>
  </si>
  <si>
    <t>Only necessary for measure A</t>
  </si>
  <si>
    <t>Check NSinceStoch and numStochEpochs</t>
  </si>
  <si>
    <t>Allow potential minimum to be slightly negative</t>
  </si>
  <si>
    <t>Impose lower bound on N for stochastic epoch</t>
  </si>
  <si>
    <t>Fix stochastic bug</t>
  </si>
  <si>
    <t>phistart is eternal, but phistart+delta is not - why? Measure A</t>
  </si>
  <si>
    <t>Not run as often as find_phistop; back burner</t>
  </si>
  <si>
    <t>Replaced with step search</t>
  </si>
  <si>
    <t>Bad step size</t>
  </si>
  <si>
    <t>Modify find_phistop MEX code</t>
  </si>
  <si>
    <t>Write script to read output structure from file</t>
  </si>
  <si>
    <t>Ask about second derivative check for stochastic</t>
  </si>
  <si>
    <t>Get Matlab code running on hummingbird</t>
  </si>
  <si>
    <t>Ask about integration failures in instanton calculation</t>
  </si>
  <si>
    <t>Resolve integration failure in instanton calculation</t>
  </si>
  <si>
    <t>Rho was passing zero, causing the solution to be singular and diverge</t>
  </si>
  <si>
    <t>Apply second derivative chck for stochastic</t>
  </si>
  <si>
    <t>Implement Measure C</t>
  </si>
  <si>
    <t>NSinceStoch &gt; N sometimes - why?</t>
  </si>
  <si>
    <t>Already effectively satisfied by requirement of 1+ e-folds?</t>
  </si>
  <si>
    <t>Replace fzero in check_topological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</si>
</sst>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64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57" fillId="0" borderId="0" applyNumberFormat="0" applyFill="0" applyBorder="0" applyAlignment="0" applyProtection="0"/>
    <xf numFmtId="0" fontId="51" fillId="0" borderId="0" applyFill="0" applyBorder="0" applyProtection="0">
      <alignment horizontal="left" wrapText="1"/>
    </xf>
    <xf numFmtId="3" fontId="59" fillId="0" borderId="2" applyFill="0" applyProtection="0">
      <alignment horizontal="center"/>
    </xf>
    <xf numFmtId="0" fontId="59" fillId="0" borderId="0" applyFill="0" applyBorder="0" applyProtection="0">
      <alignment horizontal="center" wrapText="1"/>
    </xf>
    <xf numFmtId="0" fontId="50" fillId="0" borderId="0" applyNumberFormat="0" applyFill="0" applyBorder="0" applyProtection="0">
      <alignment horizontal="left" vertical="center"/>
    </xf>
    <xf numFmtId="9" fontId="52" fillId="0" borderId="0" applyFill="0" applyBorder="0" applyProtection="0">
      <alignment horizontal="center" vertical="center"/>
    </xf>
    <xf numFmtId="0" fontId="58" fillId="6" borderId="1" applyNumberFormat="0" applyProtection="0">
      <alignment horizontal="left" vertical="center"/>
    </xf>
    <xf numFmtId="0" fontId="57" fillId="0" borderId="0" applyNumberFormat="0" applyFill="0" applyBorder="0" applyProtection="0">
      <alignment vertical="center"/>
    </xf>
    <xf numFmtId="0" fontId="59" fillId="0" borderId="0" applyFill="0" applyProtection="0">
      <alignment vertical="center"/>
    </xf>
    <xf numFmtId="0" fontId="59" fillId="0" borderId="0" applyFill="0" applyProtection="0">
      <alignment horizontal="center" vertical="center" wrapText="1"/>
    </xf>
    <xf numFmtId="0" fontId="59" fillId="0" borderId="0" applyFill="0" applyProtection="0">
      <alignment horizontal="left"/>
    </xf>
    <xf numFmtId="0" fontId="61" fillId="0" borderId="0" applyNumberFormat="0" applyFill="0" applyBorder="0" applyProtection="0">
      <alignment vertical="center"/>
    </xf>
    <xf numFmtId="1" fontId="62" fillId="6" borderId="1">
      <alignment horizontal="center" vertical="center"/>
    </xf>
    <xf numFmtId="0" fontId="60" fillId="2" borderId="4" applyNumberFormat="0" applyFont="0" applyAlignment="0">
      <alignment horizontal="center"/>
    </xf>
    <xf numFmtId="0" fontId="60" fillId="3" borderId="3" applyNumberFormat="0" applyFont="0" applyAlignment="0">
      <alignment horizontal="center"/>
    </xf>
    <xf numFmtId="0" fontId="60" fillId="4" borderId="3" applyNumberFormat="0" applyFont="0" applyAlignment="0">
      <alignment horizontal="center"/>
    </xf>
    <xf numFmtId="0" fontId="60" fillId="5" borderId="3" applyNumberFormat="0" applyFont="0" applyAlignment="0">
      <alignment horizontal="center"/>
    </xf>
    <xf numFmtId="0" fontId="60" fillId="7" borderId="3" applyNumberFormat="0" applyFont="0" applyAlignment="0">
      <alignment horizontal="center"/>
    </xf>
    <xf numFmtId="0" fontId="49" fillId="0" borderId="0"/>
  </cellStyleXfs>
  <cellXfs count="11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51" fillId="0" borderId="0" xfId="2">
      <alignment horizontal="left" wrapText="1"/>
    </xf>
    <xf numFmtId="3" fontId="59" fillId="0" borderId="2" xfId="3">
      <alignment horizontal="center"/>
    </xf>
    <xf numFmtId="9" fontId="52" fillId="0" borderId="0" xfId="6">
      <alignment horizontal="center" vertical="center"/>
    </xf>
    <xf numFmtId="0" fontId="58" fillId="6" borderId="1" xfId="7">
      <alignment horizontal="left" vertical="center"/>
    </xf>
    <xf numFmtId="0" fontId="53" fillId="0" borderId="0" xfId="2" applyFont="1">
      <alignment horizontal="left" wrapText="1"/>
    </xf>
    <xf numFmtId="0" fontId="54" fillId="0" borderId="0" xfId="0" applyFont="1" applyAlignment="1">
      <alignment horizontal="center"/>
    </xf>
    <xf numFmtId="9" fontId="55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57" fillId="0" borderId="0" xfId="1" applyAlignment="1">
      <alignment horizontal="center"/>
    </xf>
    <xf numFmtId="0" fontId="57" fillId="0" borderId="0" xfId="8">
      <alignment vertical="center"/>
    </xf>
    <xf numFmtId="1" fontId="62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59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59" fillId="8" borderId="0" xfId="11" applyNumberFormat="1" applyFill="1" applyAlignment="1">
      <alignment horizontal="left" vertical="center" textRotation="90"/>
    </xf>
    <xf numFmtId="0" fontId="49" fillId="0" borderId="0" xfId="19"/>
    <xf numFmtId="0" fontId="49" fillId="0" borderId="0" xfId="19" applyAlignment="1">
      <alignment horizontal="center"/>
    </xf>
    <xf numFmtId="165" fontId="49" fillId="0" borderId="0" xfId="19" applyNumberFormat="1" applyAlignment="1">
      <alignment horizontal="center"/>
    </xf>
    <xf numFmtId="0" fontId="49" fillId="0" borderId="0" xfId="19" applyNumberFormat="1" applyAlignment="1">
      <alignment horizontal="center"/>
    </xf>
    <xf numFmtId="0" fontId="48" fillId="0" borderId="0" xfId="19" applyFont="1"/>
    <xf numFmtId="0" fontId="47" fillId="0" borderId="0" xfId="19" applyFont="1"/>
    <xf numFmtId="0" fontId="46" fillId="0" borderId="0" xfId="19" applyFont="1"/>
    <xf numFmtId="0" fontId="45" fillId="0" borderId="0" xfId="19" applyFont="1"/>
    <xf numFmtId="0" fontId="44" fillId="0" borderId="0" xfId="19" applyFont="1"/>
    <xf numFmtId="0" fontId="43" fillId="0" borderId="0" xfId="19" applyFont="1"/>
    <xf numFmtId="0" fontId="42" fillId="0" borderId="0" xfId="19" applyFont="1"/>
    <xf numFmtId="0" fontId="41" fillId="0" borderId="0" xfId="19" applyFont="1"/>
    <xf numFmtId="0" fontId="40" fillId="0" borderId="0" xfId="19" applyFont="1"/>
    <xf numFmtId="0" fontId="39" fillId="0" borderId="0" xfId="19" applyFont="1"/>
    <xf numFmtId="0" fontId="38" fillId="0" borderId="0" xfId="19" applyFont="1"/>
    <xf numFmtId="0" fontId="37" fillId="0" borderId="0" xfId="19" applyFont="1"/>
    <xf numFmtId="0" fontId="36" fillId="0" borderId="0" xfId="19" applyFont="1"/>
    <xf numFmtId="0" fontId="35" fillId="0" borderId="0" xfId="19" applyFont="1"/>
    <xf numFmtId="0" fontId="34" fillId="0" borderId="0" xfId="19" applyFont="1"/>
    <xf numFmtId="0" fontId="33" fillId="0" borderId="0" xfId="19" applyFont="1"/>
    <xf numFmtId="0" fontId="63" fillId="0" borderId="0" xfId="0" applyFont="1" applyAlignment="1">
      <alignment horizontal="center" vertical="center" textRotation="90"/>
    </xf>
    <xf numFmtId="0" fontId="63" fillId="0" borderId="0" xfId="0" applyFont="1">
      <alignment horizontal="center" vertical="center"/>
    </xf>
    <xf numFmtId="0" fontId="58" fillId="0" borderId="0" xfId="0" applyFont="1">
      <alignment horizontal="center" vertical="center"/>
    </xf>
    <xf numFmtId="0" fontId="63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32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31" fillId="0" borderId="0" xfId="19" applyFont="1" applyAlignment="1">
      <alignment horizontal="left"/>
    </xf>
    <xf numFmtId="0" fontId="32" fillId="0" borderId="0" xfId="19" applyFont="1" applyAlignment="1">
      <alignment horizontal="left"/>
    </xf>
    <xf numFmtId="0" fontId="44" fillId="0" borderId="0" xfId="19" applyFont="1" applyAlignment="1">
      <alignment horizontal="left"/>
    </xf>
    <xf numFmtId="0" fontId="49" fillId="0" borderId="0" xfId="19" applyAlignment="1">
      <alignment horizontal="left"/>
    </xf>
    <xf numFmtId="0" fontId="47" fillId="0" borderId="0" xfId="19" applyFont="1" applyAlignment="1">
      <alignment horizontal="left"/>
    </xf>
    <xf numFmtId="0" fontId="40" fillId="0" borderId="0" xfId="19" applyFont="1" applyAlignment="1">
      <alignment horizontal="left"/>
    </xf>
    <xf numFmtId="0" fontId="28" fillId="0" borderId="0" xfId="19" applyFont="1" applyAlignment="1">
      <alignment horizontal="left"/>
    </xf>
    <xf numFmtId="18" fontId="40" fillId="0" borderId="0" xfId="19" applyNumberFormat="1" applyFont="1" applyAlignment="1">
      <alignment horizontal="left"/>
    </xf>
    <xf numFmtId="0" fontId="22" fillId="0" borderId="0" xfId="19" applyFont="1" applyAlignment="1">
      <alignment horizontal="left"/>
    </xf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9" fillId="0" borderId="0" xfId="19" applyFont="1" applyAlignment="1">
      <alignment horizontal="left"/>
    </xf>
    <xf numFmtId="0" fontId="18" fillId="0" borderId="0" xfId="19" applyFont="1"/>
    <xf numFmtId="0" fontId="17" fillId="0" borderId="0" xfId="19" applyFont="1"/>
    <xf numFmtId="0" fontId="17" fillId="0" borderId="0" xfId="19" applyFont="1" applyAlignment="1">
      <alignment horizontal="left"/>
    </xf>
    <xf numFmtId="0" fontId="16" fillId="0" borderId="0" xfId="19" applyNumberFormat="1" applyFont="1" applyAlignment="1">
      <alignment horizontal="center"/>
    </xf>
    <xf numFmtId="0" fontId="16" fillId="0" borderId="0" xfId="19" applyFont="1"/>
    <xf numFmtId="0" fontId="16" fillId="0" borderId="0" xfId="19" applyFont="1" applyAlignment="1">
      <alignment horizontal="left"/>
    </xf>
    <xf numFmtId="0" fontId="15" fillId="0" borderId="0" xfId="19" applyFont="1"/>
    <xf numFmtId="0" fontId="15" fillId="0" borderId="0" xfId="19" applyFont="1" applyAlignment="1">
      <alignment horizontal="left"/>
    </xf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10" fillId="0" borderId="0" xfId="19" applyFont="1"/>
    <xf numFmtId="165" fontId="10" fillId="0" borderId="0" xfId="19" applyNumberFormat="1" applyFont="1" applyAlignment="1">
      <alignment horizontal="center"/>
    </xf>
    <xf numFmtId="0" fontId="10" fillId="0" borderId="0" xfId="19" applyFont="1" applyAlignment="1">
      <alignment horizontal="left"/>
    </xf>
    <xf numFmtId="0" fontId="9" fillId="0" borderId="0" xfId="19" applyFont="1"/>
    <xf numFmtId="0" fontId="9" fillId="0" borderId="0" xfId="19" applyFont="1" applyAlignment="1">
      <alignment horizontal="left"/>
    </xf>
    <xf numFmtId="0" fontId="8" fillId="0" borderId="0" xfId="19" applyFont="1"/>
    <xf numFmtId="0" fontId="7" fillId="0" borderId="0" xfId="19" applyFont="1"/>
    <xf numFmtId="0" fontId="7" fillId="0" borderId="0" xfId="19" applyFont="1" applyAlignment="1">
      <alignment horizontal="left"/>
    </xf>
    <xf numFmtId="0" fontId="6" fillId="0" borderId="0" xfId="19" applyFont="1"/>
    <xf numFmtId="0" fontId="6" fillId="0" borderId="0" xfId="19" applyFont="1" applyAlignment="1">
      <alignment horizontal="left"/>
    </xf>
    <xf numFmtId="0" fontId="5" fillId="0" borderId="0" xfId="19" applyFont="1"/>
    <xf numFmtId="165" fontId="5" fillId="0" borderId="0" xfId="19" applyNumberFormat="1" applyFont="1" applyAlignment="1">
      <alignment horizontal="center"/>
    </xf>
    <xf numFmtId="0" fontId="4" fillId="0" borderId="0" xfId="19" applyFont="1"/>
    <xf numFmtId="0" fontId="3" fillId="0" borderId="0" xfId="19" applyFont="1"/>
    <xf numFmtId="0" fontId="3" fillId="0" borderId="0" xfId="19" applyFont="1" applyAlignment="1">
      <alignment horizontal="left"/>
    </xf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61" fillId="0" borderId="0" xfId="12">
      <alignment vertical="center"/>
    </xf>
    <xf numFmtId="0" fontId="59" fillId="0" borderId="0" xfId="9">
      <alignment vertical="center"/>
    </xf>
    <xf numFmtId="0" fontId="59" fillId="0" borderId="2" xfId="9" applyBorder="1">
      <alignment vertical="center"/>
    </xf>
    <xf numFmtId="0" fontId="59" fillId="0" borderId="0" xfId="10">
      <alignment horizontal="center" vertical="center" wrapText="1"/>
    </xf>
    <xf numFmtId="0" fontId="59" fillId="0" borderId="2" xfId="10" applyBorder="1">
      <alignment horizontal="center" vertical="center" wrapText="1"/>
    </xf>
    <xf numFmtId="0" fontId="59" fillId="0" borderId="5" xfId="10" applyBorder="1">
      <alignment horizontal="center" vertical="center" wrapText="1"/>
    </xf>
    <xf numFmtId="0" fontId="56" fillId="0" borderId="6" xfId="5" applyFont="1" applyBorder="1">
      <alignment horizontal="left" vertical="center"/>
    </xf>
    <xf numFmtId="0" fontId="56" fillId="0" borderId="0" xfId="5" applyFont="1">
      <alignment horizontal="left" vertical="center"/>
    </xf>
    <xf numFmtId="0" fontId="56" fillId="0" borderId="7" xfId="5" applyFont="1" applyBorder="1">
      <alignment horizontal="left" vertical="center"/>
    </xf>
    <xf numFmtId="0" fontId="56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 applyAlignment="1">
      <alignment horizontal="left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108" totalsRowShown="0">
  <autoFilter ref="A1:F108">
    <filterColumn colId="3">
      <filters blank="1">
        <filter val="0"/>
        <filter val="0.25"/>
      </filters>
    </filterColumn>
  </autoFilter>
  <sortState ref="A30:F108">
    <sortCondition descending="1" ref="C1:C108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99" t="s">
        <v>28</v>
      </c>
      <c r="C2" s="99"/>
      <c r="D2" s="99"/>
      <c r="E2" s="99"/>
      <c r="F2" s="99"/>
      <c r="G2" s="5" t="s">
        <v>20</v>
      </c>
      <c r="H2" s="12">
        <v>8</v>
      </c>
      <c r="J2" s="13"/>
      <c r="K2" s="105" t="s">
        <v>27</v>
      </c>
      <c r="L2" s="106"/>
      <c r="M2" s="106"/>
      <c r="N2" s="106"/>
      <c r="O2" s="107"/>
      <c r="P2" s="14"/>
      <c r="Q2" s="105" t="s">
        <v>26</v>
      </c>
      <c r="R2" s="108"/>
      <c r="S2" s="108"/>
      <c r="T2" s="107"/>
      <c r="U2" s="15"/>
      <c r="V2" s="97" t="s">
        <v>17</v>
      </c>
      <c r="W2" s="98"/>
      <c r="X2" s="98"/>
      <c r="Y2" s="109"/>
      <c r="Z2" s="16"/>
      <c r="AA2" s="110" t="s">
        <v>18</v>
      </c>
      <c r="AB2" s="111"/>
      <c r="AC2" s="111"/>
      <c r="AD2" s="111"/>
      <c r="AE2" s="111"/>
      <c r="AF2" s="111"/>
      <c r="AG2" s="112"/>
      <c r="AH2" s="17"/>
      <c r="AI2" s="97" t="s">
        <v>19</v>
      </c>
      <c r="AJ2" s="98"/>
      <c r="AK2" s="98"/>
      <c r="AL2" s="98"/>
      <c r="AM2" s="98"/>
      <c r="AN2" s="98"/>
      <c r="AO2" s="98"/>
      <c r="AP2" s="98"/>
    </row>
    <row r="3" spans="2:67" s="9" customFormat="1" ht="39.9" customHeight="1" thickTop="1" x14ac:dyDescent="0.3">
      <c r="B3" s="100" t="s">
        <v>0</v>
      </c>
      <c r="C3" s="102" t="s">
        <v>21</v>
      </c>
      <c r="D3" s="102" t="s">
        <v>22</v>
      </c>
      <c r="E3" s="102" t="s">
        <v>23</v>
      </c>
      <c r="F3" s="102" t="s">
        <v>24</v>
      </c>
      <c r="G3" s="104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101"/>
      <c r="C4" s="103"/>
      <c r="D4" s="103"/>
      <c r="E4" s="103"/>
      <c r="F4" s="103"/>
      <c r="G4" s="103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2"/>
  <sheetViews>
    <sheetView tabSelected="1" zoomScaleNormal="100" workbookViewId="0">
      <selection activeCell="F105" sqref="F105"/>
    </sheetView>
  </sheetViews>
  <sheetFormatPr defaultColWidth="0" defaultRowHeight="14.4" customHeight="1" zeroHeight="1" x14ac:dyDescent="0.3"/>
  <cols>
    <col min="1" max="1" width="51.21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70.33203125" style="21" customWidth="1"/>
    <col min="7" max="7" width="0" style="21" hidden="1" customWidth="1"/>
    <col min="8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idden="1" x14ac:dyDescent="0.3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idden="1" x14ac:dyDescent="0.3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idden="1" x14ac:dyDescent="0.3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idden="1" x14ac:dyDescent="0.3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idden="1" x14ac:dyDescent="0.3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x14ac:dyDescent="0.3">
      <c r="A30" s="70" t="s">
        <v>181</v>
      </c>
      <c r="B30" s="23">
        <v>43124</v>
      </c>
      <c r="C30" s="23">
        <v>43142</v>
      </c>
      <c r="D30" s="24">
        <v>0.25</v>
      </c>
      <c r="E30" s="23">
        <v>43139</v>
      </c>
      <c r="F30" s="61"/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idden="1" x14ac:dyDescent="0.3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hidden="1" x14ac:dyDescent="0.3">
      <c r="A33" s="70" t="s">
        <v>177</v>
      </c>
      <c r="B33" s="23">
        <v>43124</v>
      </c>
      <c r="C33" s="23">
        <v>43125</v>
      </c>
      <c r="D33" s="24">
        <v>1</v>
      </c>
      <c r="E33" s="23">
        <v>43132</v>
      </c>
      <c r="F33" s="71" t="s">
        <v>176</v>
      </c>
    </row>
    <row r="34" spans="1:6" hidden="1" x14ac:dyDescent="0.3">
      <c r="A34" s="70" t="s">
        <v>175</v>
      </c>
      <c r="B34" s="23">
        <v>43124</v>
      </c>
      <c r="C34" s="23">
        <v>43124</v>
      </c>
      <c r="D34" s="24">
        <v>1</v>
      </c>
      <c r="E34" s="23">
        <v>43125</v>
      </c>
      <c r="F34" s="61"/>
    </row>
    <row r="35" spans="1:6" hidden="1" x14ac:dyDescent="0.3">
      <c r="A35" s="69" t="s">
        <v>174</v>
      </c>
      <c r="B35" s="23">
        <v>43122</v>
      </c>
      <c r="C35" s="23">
        <v>43122</v>
      </c>
      <c r="D35" s="24">
        <v>1</v>
      </c>
      <c r="E35" s="23">
        <v>43125</v>
      </c>
      <c r="F35" s="61"/>
    </row>
    <row r="36" spans="1:6" hidden="1" x14ac:dyDescent="0.3">
      <c r="A36" s="50" t="s">
        <v>153</v>
      </c>
      <c r="B36" s="23">
        <v>43112</v>
      </c>
      <c r="C36" s="23">
        <v>43118</v>
      </c>
      <c r="D36" s="24">
        <v>1</v>
      </c>
      <c r="E36" s="23">
        <v>43125</v>
      </c>
      <c r="F36" s="61"/>
    </row>
    <row r="37" spans="1:6" hidden="1" x14ac:dyDescent="0.3">
      <c r="A37" s="55" t="s">
        <v>162</v>
      </c>
      <c r="B37" s="23">
        <v>43117</v>
      </c>
      <c r="C37" s="23">
        <v>43117</v>
      </c>
      <c r="D37" s="24">
        <v>1</v>
      </c>
      <c r="E37" s="23">
        <v>43125</v>
      </c>
      <c r="F37" s="61"/>
    </row>
    <row r="38" spans="1:6" hidden="1" x14ac:dyDescent="0.3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hidden="1" x14ac:dyDescent="0.3">
      <c r="A39" s="67" t="s">
        <v>167</v>
      </c>
      <c r="B39" s="23">
        <v>43119</v>
      </c>
      <c r="C39" s="23">
        <v>43122</v>
      </c>
      <c r="D39" s="24">
        <v>1</v>
      </c>
      <c r="E39" s="23">
        <v>43125</v>
      </c>
      <c r="F39" s="61"/>
    </row>
    <row r="40" spans="1:6" hidden="1" x14ac:dyDescent="0.3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idden="1" x14ac:dyDescent="0.3">
      <c r="A41" s="68" t="s">
        <v>169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idden="1" x14ac:dyDescent="0.3">
      <c r="A42" s="48" t="s">
        <v>148</v>
      </c>
      <c r="B42" s="23">
        <f ca="1">TODAY()</f>
        <v>43143</v>
      </c>
      <c r="C42" s="23">
        <v>43118</v>
      </c>
      <c r="D42" s="24">
        <v>1</v>
      </c>
      <c r="E42" s="23">
        <v>43118</v>
      </c>
      <c r="F42" s="33"/>
    </row>
    <row r="43" spans="1:6" hidden="1" x14ac:dyDescent="0.3">
      <c r="A43" s="67" t="s">
        <v>170</v>
      </c>
      <c r="B43" s="23">
        <v>43119</v>
      </c>
      <c r="C43" s="23">
        <v>43119</v>
      </c>
      <c r="D43" s="24">
        <v>1</v>
      </c>
      <c r="E43" s="23">
        <v>43125</v>
      </c>
      <c r="F43" s="68" t="s">
        <v>171</v>
      </c>
    </row>
    <row r="44" spans="1:6" hidden="1" x14ac:dyDescent="0.3">
      <c r="A44" s="49" t="s">
        <v>150</v>
      </c>
      <c r="B44" s="23">
        <f ca="1">TODAY()</f>
        <v>43143</v>
      </c>
      <c r="C44" s="23">
        <v>43118</v>
      </c>
      <c r="D44" s="24">
        <v>1</v>
      </c>
      <c r="E44" s="23">
        <v>43118</v>
      </c>
      <c r="F44" s="33"/>
    </row>
    <row r="45" spans="1:6" hidden="1" x14ac:dyDescent="0.3">
      <c r="A45" s="49" t="s">
        <v>151</v>
      </c>
      <c r="B45" s="23">
        <f ca="1">TODAY()</f>
        <v>43143</v>
      </c>
      <c r="C45" s="23">
        <v>43118</v>
      </c>
      <c r="D45" s="24">
        <v>1</v>
      </c>
      <c r="E45" s="23">
        <v>43118</v>
      </c>
      <c r="F45" s="33"/>
    </row>
    <row r="46" spans="1:6" hidden="1" x14ac:dyDescent="0.3">
      <c r="A46" s="69" t="s">
        <v>172</v>
      </c>
      <c r="B46" s="23">
        <v>43122</v>
      </c>
      <c r="C46" s="23">
        <v>43122</v>
      </c>
      <c r="D46" s="24">
        <v>1</v>
      </c>
      <c r="E46" s="23">
        <v>43125</v>
      </c>
      <c r="F46" s="61"/>
    </row>
    <row r="47" spans="1:6" hidden="1" x14ac:dyDescent="0.3">
      <c r="A47" s="50" t="s">
        <v>154</v>
      </c>
      <c r="B47" s="23">
        <f ca="1">TODAY()</f>
        <v>43143</v>
      </c>
      <c r="C47" s="23"/>
      <c r="D47" s="24">
        <v>1</v>
      </c>
      <c r="E47" s="23">
        <v>43118</v>
      </c>
      <c r="F47" s="33"/>
    </row>
    <row r="48" spans="1:6" hidden="1" x14ac:dyDescent="0.3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idden="1" x14ac:dyDescent="0.3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idden="1" x14ac:dyDescent="0.3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idden="1" x14ac:dyDescent="0.3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idden="1" x14ac:dyDescent="0.3">
      <c r="A52" s="53" t="s">
        <v>159</v>
      </c>
      <c r="B52" s="23">
        <v>43116</v>
      </c>
      <c r="C52" s="23">
        <v>43116</v>
      </c>
      <c r="D52" s="24">
        <v>1</v>
      </c>
      <c r="E52" s="23">
        <v>43118</v>
      </c>
      <c r="F52" s="33"/>
    </row>
    <row r="53" spans="1:6" hidden="1" x14ac:dyDescent="0.3">
      <c r="A53" s="54" t="s">
        <v>160</v>
      </c>
      <c r="B53" s="23">
        <v>43116</v>
      </c>
      <c r="C53" s="23">
        <v>43116</v>
      </c>
      <c r="D53" s="24">
        <v>1</v>
      </c>
      <c r="E53" s="23">
        <v>43118</v>
      </c>
      <c r="F53" s="33"/>
    </row>
    <row r="54" spans="1:6" hidden="1" x14ac:dyDescent="0.3">
      <c r="A54" s="54" t="s">
        <v>161</v>
      </c>
      <c r="B54" s="23">
        <v>43116</v>
      </c>
      <c r="C54" s="23">
        <v>43116</v>
      </c>
      <c r="D54" s="24">
        <v>1</v>
      </c>
      <c r="E54" s="23">
        <v>43118</v>
      </c>
      <c r="F54" s="33"/>
    </row>
    <row r="55" spans="1:6" hidden="1" x14ac:dyDescent="0.3">
      <c r="A55" s="49" t="s">
        <v>149</v>
      </c>
      <c r="B55" s="23">
        <v>43112</v>
      </c>
      <c r="C55" s="23">
        <v>43118</v>
      </c>
      <c r="D55" s="24">
        <v>1</v>
      </c>
      <c r="E55" s="23">
        <v>43125</v>
      </c>
      <c r="F55" s="64" t="s">
        <v>164</v>
      </c>
    </row>
    <row r="56" spans="1:6" hidden="1" x14ac:dyDescent="0.3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idden="1" x14ac:dyDescent="0.3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idden="1" x14ac:dyDescent="0.3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idden="1" x14ac:dyDescent="0.3">
      <c r="A59" s="70" t="s">
        <v>183</v>
      </c>
      <c r="B59" s="23">
        <v>43124</v>
      </c>
      <c r="C59" s="23">
        <v>43124</v>
      </c>
      <c r="D59" s="24">
        <v>1</v>
      </c>
      <c r="E59" s="23">
        <v>43125</v>
      </c>
      <c r="F59" s="61"/>
    </row>
    <row r="60" spans="1:6" hidden="1" x14ac:dyDescent="0.3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idden="1" x14ac:dyDescent="0.3">
      <c r="A61" s="70" t="s">
        <v>179</v>
      </c>
      <c r="B61" s="23">
        <v>43124</v>
      </c>
      <c r="C61" s="23">
        <v>43124</v>
      </c>
      <c r="D61" s="24">
        <v>1</v>
      </c>
      <c r="E61" s="23">
        <v>43125</v>
      </c>
      <c r="F61" s="61" t="s">
        <v>86</v>
      </c>
    </row>
    <row r="62" spans="1:6" hidden="1" x14ac:dyDescent="0.3">
      <c r="A62" s="70" t="s">
        <v>180</v>
      </c>
      <c r="B62" s="23">
        <v>43124</v>
      </c>
      <c r="C62" s="23">
        <v>43124</v>
      </c>
      <c r="D62" s="24">
        <v>1</v>
      </c>
      <c r="E62" s="23">
        <v>43125</v>
      </c>
      <c r="F62" s="61"/>
    </row>
    <row r="63" spans="1:6" hidden="1" x14ac:dyDescent="0.3">
      <c r="A63" s="69" t="s">
        <v>173</v>
      </c>
      <c r="B63" s="23">
        <v>43122</v>
      </c>
      <c r="C63" s="23">
        <v>43124</v>
      </c>
      <c r="D63" s="24">
        <v>1</v>
      </c>
      <c r="E63" s="23">
        <v>43125</v>
      </c>
      <c r="F63" s="61"/>
    </row>
    <row r="64" spans="1:6" hidden="1" x14ac:dyDescent="0.3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hidden="1" x14ac:dyDescent="0.3">
      <c r="A65" s="70" t="s">
        <v>182</v>
      </c>
      <c r="B65" s="23">
        <v>43124</v>
      </c>
      <c r="C65" s="23">
        <v>43125</v>
      </c>
      <c r="D65" s="24">
        <v>1.5</v>
      </c>
      <c r="E65" s="23">
        <v>43132</v>
      </c>
      <c r="F65" s="61"/>
    </row>
    <row r="66" spans="1:6" hidden="1" x14ac:dyDescent="0.3">
      <c r="A66" s="21" t="s">
        <v>61</v>
      </c>
      <c r="B66" s="23">
        <v>43124</v>
      </c>
      <c r="C66" s="23">
        <v>43126</v>
      </c>
      <c r="D66" s="24">
        <v>1</v>
      </c>
      <c r="E66" s="23">
        <v>43132</v>
      </c>
      <c r="F66" s="61" t="s">
        <v>88</v>
      </c>
    </row>
    <row r="67" spans="1:6" x14ac:dyDescent="0.3">
      <c r="A67" s="21" t="s">
        <v>58</v>
      </c>
      <c r="B67" s="23">
        <v>43124</v>
      </c>
      <c r="C67" s="23">
        <v>43142</v>
      </c>
      <c r="D67" s="24">
        <v>0.25</v>
      </c>
      <c r="E67" s="23">
        <v>43139</v>
      </c>
      <c r="F67" s="57" t="s">
        <v>145</v>
      </c>
    </row>
    <row r="68" spans="1:6" hidden="1" x14ac:dyDescent="0.3">
      <c r="A68" s="73" t="s">
        <v>184</v>
      </c>
      <c r="B68" s="23">
        <v>43125</v>
      </c>
      <c r="C68" s="23">
        <v>43136</v>
      </c>
      <c r="D68" s="24">
        <v>1.5</v>
      </c>
      <c r="E68" s="23">
        <v>43139</v>
      </c>
      <c r="F68" s="74" t="s">
        <v>185</v>
      </c>
    </row>
    <row r="69" spans="1:6" hidden="1" x14ac:dyDescent="0.3">
      <c r="A69" s="40" t="s">
        <v>104</v>
      </c>
      <c r="B69" s="23">
        <v>43124</v>
      </c>
      <c r="C69" s="23">
        <v>43124</v>
      </c>
      <c r="D69" s="72">
        <v>1.5</v>
      </c>
      <c r="E69" s="23">
        <v>43125</v>
      </c>
      <c r="F69" s="71" t="s">
        <v>178</v>
      </c>
    </row>
    <row r="70" spans="1:6" hidden="1" x14ac:dyDescent="0.3">
      <c r="A70" s="67" t="s">
        <v>168</v>
      </c>
      <c r="B70" s="23">
        <v>43119</v>
      </c>
      <c r="C70" s="23">
        <v>43136</v>
      </c>
      <c r="D70" s="24">
        <v>1</v>
      </c>
      <c r="E70" s="23">
        <v>43139</v>
      </c>
      <c r="F70" s="61"/>
    </row>
    <row r="71" spans="1:6" hidden="1" x14ac:dyDescent="0.3">
      <c r="A71" s="21" t="s">
        <v>62</v>
      </c>
      <c r="B71" s="23">
        <v>43124</v>
      </c>
      <c r="C71" s="23">
        <v>43136</v>
      </c>
      <c r="D71" s="24">
        <v>1</v>
      </c>
      <c r="E71" s="23">
        <v>43139</v>
      </c>
      <c r="F71" s="59" t="s">
        <v>63</v>
      </c>
    </row>
    <row r="72" spans="1:6" hidden="1" x14ac:dyDescent="0.3">
      <c r="A72" s="73" t="s">
        <v>186</v>
      </c>
      <c r="B72" s="23">
        <v>43125</v>
      </c>
      <c r="C72" s="23">
        <v>43126</v>
      </c>
      <c r="D72" s="24">
        <v>1</v>
      </c>
      <c r="E72" s="23">
        <v>43132</v>
      </c>
      <c r="F72" s="61"/>
    </row>
    <row r="73" spans="1:6" hidden="1" x14ac:dyDescent="0.3">
      <c r="A73" s="75" t="s">
        <v>187</v>
      </c>
      <c r="B73" s="23">
        <v>43129</v>
      </c>
      <c r="C73" s="23">
        <v>43143</v>
      </c>
      <c r="D73" s="24">
        <v>1</v>
      </c>
      <c r="E73" s="23">
        <v>43160</v>
      </c>
      <c r="F73" s="76" t="s">
        <v>188</v>
      </c>
    </row>
    <row r="74" spans="1:6" hidden="1" x14ac:dyDescent="0.3">
      <c r="A74" s="77" t="s">
        <v>189</v>
      </c>
      <c r="B74" s="23">
        <v>43131</v>
      </c>
      <c r="C74" s="23">
        <v>43131</v>
      </c>
      <c r="D74" s="24">
        <v>1</v>
      </c>
      <c r="E74" s="23">
        <v>43132</v>
      </c>
      <c r="F74" s="61"/>
    </row>
    <row r="75" spans="1:6" hidden="1" x14ac:dyDescent="0.3">
      <c r="A75" s="77" t="s">
        <v>190</v>
      </c>
      <c r="B75" s="23">
        <v>43131</v>
      </c>
      <c r="C75" s="23">
        <v>43131</v>
      </c>
      <c r="D75" s="24">
        <v>1</v>
      </c>
      <c r="E75" s="23">
        <v>43132</v>
      </c>
      <c r="F75" s="61"/>
    </row>
    <row r="76" spans="1:6" hidden="1" x14ac:dyDescent="0.3">
      <c r="A76" s="77" t="s">
        <v>191</v>
      </c>
      <c r="B76" s="23">
        <v>43129</v>
      </c>
      <c r="C76" s="23">
        <v>43137</v>
      </c>
      <c r="D76" s="24">
        <v>1</v>
      </c>
      <c r="E76" s="23">
        <v>43139</v>
      </c>
      <c r="F76" s="61"/>
    </row>
    <row r="77" spans="1:6" hidden="1" x14ac:dyDescent="0.3">
      <c r="A77" s="78" t="s">
        <v>96</v>
      </c>
      <c r="B77" s="23">
        <v>43132</v>
      </c>
      <c r="C77" s="23">
        <v>43133</v>
      </c>
      <c r="D77" s="24">
        <v>1</v>
      </c>
      <c r="E77" s="23">
        <v>43139</v>
      </c>
      <c r="F77" s="61"/>
    </row>
    <row r="78" spans="1:6" hidden="1" x14ac:dyDescent="0.3">
      <c r="A78" s="78" t="s">
        <v>192</v>
      </c>
      <c r="B78" s="23">
        <v>43132</v>
      </c>
      <c r="C78" s="23">
        <v>43133</v>
      </c>
      <c r="D78" s="24">
        <v>1</v>
      </c>
      <c r="E78" s="23">
        <v>43139</v>
      </c>
      <c r="F78" s="61"/>
    </row>
    <row r="79" spans="1:6" hidden="1" x14ac:dyDescent="0.3">
      <c r="A79" s="78" t="s">
        <v>193</v>
      </c>
      <c r="B79" s="23">
        <v>43132</v>
      </c>
      <c r="C79" s="23">
        <v>43136</v>
      </c>
      <c r="D79" s="24">
        <v>1.5</v>
      </c>
      <c r="E79" s="23">
        <v>43139</v>
      </c>
      <c r="F79" s="61"/>
    </row>
    <row r="80" spans="1:6" hidden="1" x14ac:dyDescent="0.3">
      <c r="A80" s="79" t="s">
        <v>194</v>
      </c>
      <c r="B80" s="23">
        <v>43132</v>
      </c>
      <c r="C80" s="23">
        <v>43132</v>
      </c>
      <c r="D80" s="24">
        <v>1</v>
      </c>
      <c r="E80" s="23">
        <v>43139</v>
      </c>
      <c r="F80" s="61"/>
    </row>
    <row r="81" spans="1:6" hidden="1" x14ac:dyDescent="0.3">
      <c r="A81" s="79" t="s">
        <v>195</v>
      </c>
      <c r="B81" s="23">
        <v>43132</v>
      </c>
      <c r="C81" s="23">
        <v>43132</v>
      </c>
      <c r="D81" s="24">
        <v>1.5</v>
      </c>
      <c r="E81" s="23">
        <v>43139</v>
      </c>
      <c r="F81" s="61"/>
    </row>
    <row r="82" spans="1:6" hidden="1" x14ac:dyDescent="0.3">
      <c r="A82" s="80" t="s">
        <v>196</v>
      </c>
      <c r="B82" s="23">
        <v>43132</v>
      </c>
      <c r="C82" s="23">
        <v>43136</v>
      </c>
      <c r="D82" s="24">
        <v>1.5</v>
      </c>
      <c r="E82" s="23">
        <v>43139</v>
      </c>
      <c r="F82" s="83" t="s">
        <v>200</v>
      </c>
    </row>
    <row r="83" spans="1:6" hidden="1" x14ac:dyDescent="0.3">
      <c r="A83" s="81" t="s">
        <v>197</v>
      </c>
      <c r="B83" s="23">
        <v>43133</v>
      </c>
      <c r="C83" s="23">
        <v>43133</v>
      </c>
      <c r="D83" s="24">
        <v>1</v>
      </c>
      <c r="E83" s="23">
        <v>43139</v>
      </c>
      <c r="F83" s="61"/>
    </row>
    <row r="84" spans="1:6" hidden="1" x14ac:dyDescent="0.3">
      <c r="A84" s="81" t="s">
        <v>198</v>
      </c>
      <c r="B84" s="23">
        <v>43133</v>
      </c>
      <c r="C84" s="82">
        <v>43133</v>
      </c>
      <c r="D84" s="24">
        <v>1</v>
      </c>
      <c r="E84" s="23">
        <v>43139</v>
      </c>
      <c r="F84" s="61"/>
    </row>
    <row r="85" spans="1:6" hidden="1" x14ac:dyDescent="0.3">
      <c r="A85" s="81" t="s">
        <v>199</v>
      </c>
      <c r="B85" s="23">
        <v>43133</v>
      </c>
      <c r="C85" s="82">
        <v>43136</v>
      </c>
      <c r="D85" s="24">
        <v>1</v>
      </c>
      <c r="E85" s="23">
        <v>43139</v>
      </c>
      <c r="F85" s="90" t="s">
        <v>217</v>
      </c>
    </row>
    <row r="86" spans="1:6" hidden="1" x14ac:dyDescent="0.3">
      <c r="A86" s="84" t="s">
        <v>201</v>
      </c>
      <c r="B86" s="23">
        <v>43134</v>
      </c>
      <c r="C86" s="82">
        <v>43136</v>
      </c>
      <c r="D86" s="24">
        <v>1</v>
      </c>
      <c r="E86" s="23">
        <v>43139</v>
      </c>
      <c r="F86" s="85" t="s">
        <v>202</v>
      </c>
    </row>
    <row r="87" spans="1:6" hidden="1" x14ac:dyDescent="0.3">
      <c r="A87" s="84" t="s">
        <v>203</v>
      </c>
      <c r="B87" s="23">
        <v>43134</v>
      </c>
      <c r="C87" s="82">
        <v>43136</v>
      </c>
      <c r="D87" s="24">
        <v>1.5</v>
      </c>
      <c r="E87" s="23">
        <v>43139</v>
      </c>
      <c r="F87" s="61"/>
    </row>
    <row r="88" spans="1:6" hidden="1" x14ac:dyDescent="0.3">
      <c r="A88" s="86" t="s">
        <v>204</v>
      </c>
      <c r="B88" s="23">
        <v>43135</v>
      </c>
      <c r="C88" s="82">
        <v>43136</v>
      </c>
      <c r="D88" s="24">
        <v>1</v>
      </c>
      <c r="E88" s="23">
        <v>43139</v>
      </c>
      <c r="F88" s="61"/>
    </row>
    <row r="89" spans="1:6" hidden="1" x14ac:dyDescent="0.3">
      <c r="A89" s="86" t="s">
        <v>205</v>
      </c>
      <c r="B89" s="23">
        <v>43136</v>
      </c>
      <c r="C89" s="82">
        <v>43136</v>
      </c>
      <c r="D89" s="24">
        <v>1</v>
      </c>
      <c r="E89" s="23">
        <v>43139</v>
      </c>
      <c r="F89" s="61"/>
    </row>
    <row r="90" spans="1:6" hidden="1" x14ac:dyDescent="0.3">
      <c r="A90" s="86" t="s">
        <v>206</v>
      </c>
      <c r="B90" s="23">
        <v>43136</v>
      </c>
      <c r="C90" s="82">
        <v>43136</v>
      </c>
      <c r="D90" s="24">
        <v>1.5</v>
      </c>
      <c r="E90" s="23">
        <v>43139</v>
      </c>
      <c r="F90" s="90" t="s">
        <v>215</v>
      </c>
    </row>
    <row r="91" spans="1:6" hidden="1" x14ac:dyDescent="0.3">
      <c r="A91" s="86" t="s">
        <v>207</v>
      </c>
      <c r="B91" s="23">
        <v>43136</v>
      </c>
      <c r="C91" s="82">
        <v>43137</v>
      </c>
      <c r="D91" s="24">
        <v>1</v>
      </c>
      <c r="E91" s="23">
        <v>43139</v>
      </c>
      <c r="F91" s="90" t="s">
        <v>216</v>
      </c>
    </row>
    <row r="92" spans="1:6" hidden="1" x14ac:dyDescent="0.3">
      <c r="A92" s="87" t="s">
        <v>208</v>
      </c>
      <c r="B92" s="23">
        <v>43137</v>
      </c>
      <c r="C92" s="82">
        <v>43144</v>
      </c>
      <c r="D92" s="24">
        <v>1</v>
      </c>
      <c r="E92" s="23">
        <v>43139</v>
      </c>
      <c r="F92" s="88" t="s">
        <v>209</v>
      </c>
    </row>
    <row r="93" spans="1:6" hidden="1" x14ac:dyDescent="0.3">
      <c r="A93" s="87" t="s">
        <v>210</v>
      </c>
      <c r="B93" s="23">
        <v>43137</v>
      </c>
      <c r="C93" s="82">
        <v>43137</v>
      </c>
      <c r="D93" s="24">
        <v>1</v>
      </c>
      <c r="E93" s="23">
        <v>43139</v>
      </c>
      <c r="F93" s="61"/>
    </row>
    <row r="94" spans="1:6" hidden="1" x14ac:dyDescent="0.3">
      <c r="A94" s="89" t="s">
        <v>211</v>
      </c>
      <c r="B94" s="23">
        <v>43137</v>
      </c>
      <c r="C94" s="82">
        <v>43137</v>
      </c>
      <c r="D94" s="24">
        <v>1</v>
      </c>
      <c r="E94" s="23">
        <v>43139</v>
      </c>
      <c r="F94" s="90" t="s">
        <v>218</v>
      </c>
    </row>
    <row r="95" spans="1:6" hidden="1" x14ac:dyDescent="0.3">
      <c r="A95" s="89" t="s">
        <v>212</v>
      </c>
      <c r="B95" s="23">
        <v>43137</v>
      </c>
      <c r="C95" s="82">
        <v>43137</v>
      </c>
      <c r="D95" s="24">
        <v>1</v>
      </c>
      <c r="E95" s="23">
        <v>43139</v>
      </c>
      <c r="F95" s="61"/>
    </row>
    <row r="96" spans="1:6" hidden="1" x14ac:dyDescent="0.3">
      <c r="A96" s="89" t="s">
        <v>213</v>
      </c>
      <c r="B96" s="23">
        <v>43137</v>
      </c>
      <c r="C96" s="82">
        <v>43137</v>
      </c>
      <c r="D96" s="24">
        <v>1</v>
      </c>
      <c r="E96" s="23">
        <v>43139</v>
      </c>
      <c r="F96" s="90" t="s">
        <v>214</v>
      </c>
    </row>
    <row r="97" spans="1:6" hidden="1" x14ac:dyDescent="0.3">
      <c r="A97" s="91" t="s">
        <v>219</v>
      </c>
      <c r="B97" s="23">
        <v>43138</v>
      </c>
      <c r="C97" s="82">
        <v>43139</v>
      </c>
      <c r="D97" s="24">
        <v>1</v>
      </c>
      <c r="E97" s="23">
        <v>43139</v>
      </c>
      <c r="F97" s="90"/>
    </row>
    <row r="98" spans="1:6" hidden="1" x14ac:dyDescent="0.3">
      <c r="A98" s="91" t="s">
        <v>220</v>
      </c>
      <c r="B98" s="23">
        <v>43138</v>
      </c>
      <c r="C98" s="82">
        <v>43139</v>
      </c>
      <c r="D98" s="24">
        <v>1</v>
      </c>
      <c r="E98" s="92">
        <v>43139</v>
      </c>
      <c r="F98" s="90"/>
    </row>
    <row r="99" spans="1:6" hidden="1" x14ac:dyDescent="0.3">
      <c r="A99" s="93" t="s">
        <v>222</v>
      </c>
      <c r="B99" s="23">
        <v>43138</v>
      </c>
      <c r="C99" s="82">
        <v>43139</v>
      </c>
      <c r="D99" s="24">
        <v>1</v>
      </c>
      <c r="E99" s="23">
        <v>43139</v>
      </c>
      <c r="F99" s="90"/>
    </row>
    <row r="100" spans="1:6" hidden="1" x14ac:dyDescent="0.3">
      <c r="A100" s="93" t="s">
        <v>221</v>
      </c>
      <c r="B100" s="23">
        <v>43138</v>
      </c>
      <c r="C100" s="82">
        <v>43138</v>
      </c>
      <c r="D100" s="24">
        <v>1</v>
      </c>
      <c r="E100" s="23">
        <v>43139</v>
      </c>
      <c r="F100" s="90"/>
    </row>
    <row r="101" spans="1:6" hidden="1" x14ac:dyDescent="0.3">
      <c r="A101" s="94" t="s">
        <v>223</v>
      </c>
      <c r="B101" s="23">
        <v>43139</v>
      </c>
      <c r="C101" s="82">
        <v>43139</v>
      </c>
      <c r="D101" s="24">
        <v>1</v>
      </c>
      <c r="E101" s="23">
        <v>43144</v>
      </c>
      <c r="F101" s="95" t="s">
        <v>224</v>
      </c>
    </row>
    <row r="102" spans="1:6" hidden="1" x14ac:dyDescent="0.3">
      <c r="A102" s="94" t="s">
        <v>225</v>
      </c>
      <c r="B102" s="23">
        <v>43139</v>
      </c>
      <c r="C102" s="82">
        <v>43140</v>
      </c>
      <c r="D102" s="24">
        <v>1.5</v>
      </c>
      <c r="E102" s="23">
        <v>43144</v>
      </c>
      <c r="F102" s="113" t="s">
        <v>228</v>
      </c>
    </row>
    <row r="103" spans="1:6" x14ac:dyDescent="0.3">
      <c r="A103" s="96" t="s">
        <v>226</v>
      </c>
      <c r="B103" s="23">
        <v>43140</v>
      </c>
      <c r="C103" s="82">
        <v>43159</v>
      </c>
      <c r="D103" s="24">
        <v>0</v>
      </c>
      <c r="E103" s="23">
        <v>43160</v>
      </c>
      <c r="F103" s="90"/>
    </row>
    <row r="104" spans="1:6" x14ac:dyDescent="0.3">
      <c r="A104" s="96" t="s">
        <v>227</v>
      </c>
      <c r="B104" s="23">
        <v>43140</v>
      </c>
      <c r="C104" s="82">
        <v>43144</v>
      </c>
      <c r="D104" s="24">
        <v>0</v>
      </c>
      <c r="E104" s="23">
        <v>43160</v>
      </c>
      <c r="F104" s="90"/>
    </row>
    <row r="105" spans="1:6" x14ac:dyDescent="0.3">
      <c r="A105" s="114" t="s">
        <v>229</v>
      </c>
      <c r="B105" s="23">
        <v>43143</v>
      </c>
      <c r="C105" s="82">
        <v>43144</v>
      </c>
      <c r="D105" s="24">
        <v>0</v>
      </c>
      <c r="E105" s="23">
        <v>43160</v>
      </c>
      <c r="F105" s="61"/>
    </row>
    <row r="106" spans="1:6" x14ac:dyDescent="0.3">
      <c r="A106" s="86"/>
      <c r="B106" s="23"/>
      <c r="C106" s="82"/>
      <c r="D106" s="24"/>
      <c r="E106" s="23"/>
      <c r="F106" s="61"/>
    </row>
    <row r="107" spans="1:6" x14ac:dyDescent="0.3">
      <c r="A107" s="86"/>
      <c r="B107" s="23"/>
      <c r="C107" s="82"/>
      <c r="D107" s="24"/>
      <c r="E107" s="23"/>
      <c r="F107" s="61"/>
    </row>
    <row r="108" spans="1:6" x14ac:dyDescent="0.3">
      <c r="B108" s="23"/>
      <c r="C108" s="23"/>
      <c r="D108" s="24"/>
      <c r="E108" s="23"/>
      <c r="F108" s="59"/>
    </row>
    <row r="109" spans="1:6" hidden="1" x14ac:dyDescent="0.3"/>
    <row r="110" spans="1:6" ht="14.4" hidden="1" customHeight="1" x14ac:dyDescent="0.3"/>
    <row r="111" spans="1:6" ht="14.4" hidden="1" customHeight="1" x14ac:dyDescent="0.3"/>
    <row r="112" spans="1:6" ht="14.4" hidden="1" customHeight="1" x14ac:dyDescent="0.3"/>
  </sheetData>
  <conditionalFormatting sqref="D2:D108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124</v>
      </c>
      <c r="B1" t="s">
        <v>125</v>
      </c>
      <c r="C1" t="s">
        <v>133</v>
      </c>
      <c r="D1" s="45" t="s">
        <v>132</v>
      </c>
    </row>
    <row r="2" spans="1:4" x14ac:dyDescent="0.3">
      <c r="A2" t="s">
        <v>126</v>
      </c>
      <c r="B2" t="s">
        <v>127</v>
      </c>
      <c r="C2" t="s">
        <v>128</v>
      </c>
      <c r="D2" s="45" t="s">
        <v>136</v>
      </c>
    </row>
    <row r="3" spans="1:4" x14ac:dyDescent="0.3">
      <c r="A3" t="s">
        <v>128</v>
      </c>
      <c r="B3" t="s">
        <v>127</v>
      </c>
      <c r="C3">
        <v>1</v>
      </c>
      <c r="D3" s="45" t="s">
        <v>135</v>
      </c>
    </row>
    <row r="4" spans="1:4" x14ac:dyDescent="0.3">
      <c r="A4" t="s">
        <v>130</v>
      </c>
      <c r="B4" t="s">
        <v>131</v>
      </c>
      <c r="C4" t="s">
        <v>129</v>
      </c>
      <c r="D4" s="45" t="s">
        <v>134</v>
      </c>
    </row>
    <row r="5" spans="1:4" x14ac:dyDescent="0.3">
      <c r="A5" t="s">
        <v>137</v>
      </c>
      <c r="B5" t="s">
        <v>138</v>
      </c>
      <c r="D5" s="45" t="s">
        <v>139</v>
      </c>
    </row>
    <row r="6" spans="1:4" x14ac:dyDescent="0.3">
      <c r="A6" t="s">
        <v>105</v>
      </c>
      <c r="B6" t="s">
        <v>127</v>
      </c>
      <c r="C6" t="s">
        <v>128</v>
      </c>
      <c r="D6" s="45"/>
    </row>
    <row r="7" spans="1:4" x14ac:dyDescent="0.3">
      <c r="A7" t="s">
        <v>140</v>
      </c>
      <c r="B7" t="s">
        <v>127</v>
      </c>
      <c r="C7" t="s">
        <v>128</v>
      </c>
      <c r="D7" s="45"/>
    </row>
    <row r="8" spans="1:4" x14ac:dyDescent="0.3">
      <c r="A8" t="s">
        <v>141</v>
      </c>
      <c r="D8" s="45"/>
    </row>
    <row r="9" spans="1:4" x14ac:dyDescent="0.3">
      <c r="A9" t="s">
        <v>142</v>
      </c>
      <c r="D9" s="45"/>
    </row>
    <row r="10" spans="1:4" x14ac:dyDescent="0.3">
      <c r="A10" t="s">
        <v>143</v>
      </c>
      <c r="C10" t="s">
        <v>144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2018-02-12T21:00:46Z</dcterms:modified>
</cp:coreProperties>
</file>